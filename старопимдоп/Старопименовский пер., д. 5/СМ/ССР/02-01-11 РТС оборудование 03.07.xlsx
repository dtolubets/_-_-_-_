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на загрузку\03.07.2026\"/>
    </mc:Choice>
  </mc:AlternateContent>
  <xr:revisionPtr revIDLastSave="0" documentId="13_ncr:1_{18A8B69B-9091-40C7-BBC9-178365E38DFC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доп.67'!$A$1:$K$464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H462" i="7"/>
  <c r="H459" i="7"/>
  <c r="C462" i="7"/>
  <c r="C459" i="7"/>
  <c r="J29" i="7"/>
  <c r="J26" i="7"/>
  <c r="J25" i="7"/>
  <c r="J24" i="7"/>
  <c r="J23" i="7"/>
  <c r="J22" i="7"/>
  <c r="J21" i="7"/>
  <c r="I29" i="7"/>
  <c r="I27" i="7"/>
  <c r="I26" i="7"/>
  <c r="I25" i="7"/>
  <c r="I24" i="7"/>
  <c r="I23" i="7"/>
  <c r="I22" i="7"/>
  <c r="I21" i="7"/>
  <c r="I456" i="7"/>
  <c r="J456" i="7"/>
  <c r="I455" i="7"/>
  <c r="J455" i="7"/>
  <c r="A454" i="7"/>
  <c r="I452" i="7"/>
  <c r="J452" i="7"/>
  <c r="I451" i="7"/>
  <c r="J451" i="7"/>
  <c r="A450" i="7"/>
  <c r="I448" i="7"/>
  <c r="J448" i="7"/>
  <c r="I447" i="7"/>
  <c r="J447" i="7"/>
  <c r="A446" i="7"/>
  <c r="P443" i="7"/>
  <c r="K442" i="7"/>
  <c r="J443" i="7" s="1"/>
  <c r="J442" i="7"/>
  <c r="I442" i="7"/>
  <c r="O443" i="7" s="1"/>
  <c r="H442" i="7"/>
  <c r="F442" i="7"/>
  <c r="V442" i="7"/>
  <c r="T442" i="7"/>
  <c r="R442" i="7"/>
  <c r="U442" i="7"/>
  <c r="S442" i="7"/>
  <c r="Q442" i="7"/>
  <c r="E442" i="7"/>
  <c r="D442" i="7"/>
  <c r="B442" i="7"/>
  <c r="H439" i="7"/>
  <c r="J439" i="7"/>
  <c r="I437" i="7"/>
  <c r="H437" i="7"/>
  <c r="E437" i="7"/>
  <c r="K436" i="7"/>
  <c r="J436" i="7"/>
  <c r="I436" i="7"/>
  <c r="E436" i="7"/>
  <c r="J435" i="7"/>
  <c r="E435" i="7"/>
  <c r="K434" i="7"/>
  <c r="J434" i="7"/>
  <c r="I434" i="7"/>
  <c r="H434" i="7"/>
  <c r="F434" i="7"/>
  <c r="K433" i="7"/>
  <c r="P440" i="7" s="1"/>
  <c r="J433" i="7"/>
  <c r="I433" i="7"/>
  <c r="H438" i="7" s="1"/>
  <c r="H433" i="7"/>
  <c r="F433" i="7"/>
  <c r="C432" i="7"/>
  <c r="V431" i="7"/>
  <c r="T431" i="7"/>
  <c r="R431" i="7"/>
  <c r="K435" i="7" s="1"/>
  <c r="U431" i="7"/>
  <c r="S431" i="7"/>
  <c r="Q431" i="7"/>
  <c r="I435" i="7" s="1"/>
  <c r="E431" i="7"/>
  <c r="D431" i="7"/>
  <c r="B431" i="7"/>
  <c r="P429" i="7"/>
  <c r="J429" i="7"/>
  <c r="K428" i="7"/>
  <c r="J428" i="7"/>
  <c r="I428" i="7"/>
  <c r="O429" i="7" s="1"/>
  <c r="H428" i="7"/>
  <c r="F428" i="7"/>
  <c r="V428" i="7"/>
  <c r="T428" i="7"/>
  <c r="R428" i="7"/>
  <c r="U428" i="7"/>
  <c r="S428" i="7"/>
  <c r="Q428" i="7"/>
  <c r="E428" i="7"/>
  <c r="D428" i="7"/>
  <c r="B428" i="7"/>
  <c r="H425" i="7"/>
  <c r="J425" i="7"/>
  <c r="I423" i="7"/>
  <c r="H423" i="7"/>
  <c r="E423" i="7"/>
  <c r="K422" i="7"/>
  <c r="J422" i="7"/>
  <c r="E422" i="7"/>
  <c r="J421" i="7"/>
  <c r="I421" i="7"/>
  <c r="E421" i="7"/>
  <c r="K420" i="7"/>
  <c r="J424" i="7" s="1"/>
  <c r="J420" i="7"/>
  <c r="I420" i="7"/>
  <c r="H420" i="7"/>
  <c r="F420" i="7"/>
  <c r="C419" i="7"/>
  <c r="V418" i="7"/>
  <c r="T418" i="7"/>
  <c r="R418" i="7"/>
  <c r="K421" i="7" s="1"/>
  <c r="U418" i="7"/>
  <c r="S418" i="7"/>
  <c r="I422" i="7" s="1"/>
  <c r="H424" i="7" s="1"/>
  <c r="Q418" i="7"/>
  <c r="E418" i="7"/>
  <c r="D418" i="7"/>
  <c r="B418" i="7"/>
  <c r="H416" i="7"/>
  <c r="C415" i="7"/>
  <c r="K414" i="7"/>
  <c r="P416" i="7" s="1"/>
  <c r="J414" i="7"/>
  <c r="I414" i="7"/>
  <c r="O416" i="7" s="1"/>
  <c r="H414" i="7"/>
  <c r="F414" i="7"/>
  <c r="V414" i="7"/>
  <c r="T414" i="7"/>
  <c r="R414" i="7"/>
  <c r="U414" i="7"/>
  <c r="S414" i="7"/>
  <c r="Q414" i="7"/>
  <c r="E414" i="7"/>
  <c r="D414" i="7"/>
  <c r="B414" i="7"/>
  <c r="J412" i="7"/>
  <c r="C411" i="7"/>
  <c r="K410" i="7"/>
  <c r="P412" i="7" s="1"/>
  <c r="J410" i="7"/>
  <c r="I410" i="7"/>
  <c r="O412" i="7" s="1"/>
  <c r="H410" i="7"/>
  <c r="F410" i="7"/>
  <c r="V410" i="7"/>
  <c r="T410" i="7"/>
  <c r="R410" i="7"/>
  <c r="U410" i="7"/>
  <c r="S410" i="7"/>
  <c r="Q410" i="7"/>
  <c r="E410" i="7"/>
  <c r="D410" i="7"/>
  <c r="B410" i="7"/>
  <c r="O408" i="7"/>
  <c r="H408" i="7"/>
  <c r="J408" i="7"/>
  <c r="C407" i="7"/>
  <c r="K406" i="7"/>
  <c r="P408" i="7" s="1"/>
  <c r="J406" i="7"/>
  <c r="I406" i="7"/>
  <c r="H406" i="7"/>
  <c r="F406" i="7"/>
  <c r="V406" i="7"/>
  <c r="T406" i="7"/>
  <c r="R406" i="7"/>
  <c r="U406" i="7"/>
  <c r="S406" i="7"/>
  <c r="Q406" i="7"/>
  <c r="E406" i="7"/>
  <c r="D406" i="7"/>
  <c r="B406" i="7"/>
  <c r="H403" i="7"/>
  <c r="J403" i="7"/>
  <c r="I401" i="7"/>
  <c r="H401" i="7"/>
  <c r="E401" i="7"/>
  <c r="J400" i="7"/>
  <c r="E400" i="7"/>
  <c r="J399" i="7"/>
  <c r="E399" i="7"/>
  <c r="K398" i="7"/>
  <c r="J398" i="7"/>
  <c r="H398" i="7"/>
  <c r="I398" i="7"/>
  <c r="F398" i="7"/>
  <c r="V398" i="7"/>
  <c r="T398" i="7"/>
  <c r="R398" i="7"/>
  <c r="U398" i="7"/>
  <c r="S398" i="7"/>
  <c r="Q398" i="7"/>
  <c r="E398" i="7"/>
  <c r="D398" i="7"/>
  <c r="B398" i="7"/>
  <c r="K397" i="7"/>
  <c r="J397" i="7"/>
  <c r="I397" i="7"/>
  <c r="H397" i="7"/>
  <c r="F397" i="7"/>
  <c r="K396" i="7"/>
  <c r="J396" i="7"/>
  <c r="I396" i="7"/>
  <c r="H396" i="7"/>
  <c r="F396" i="7"/>
  <c r="K395" i="7"/>
  <c r="J395" i="7"/>
  <c r="I395" i="7"/>
  <c r="H395" i="7"/>
  <c r="F395" i="7"/>
  <c r="K394" i="7"/>
  <c r="J404" i="7" s="1"/>
  <c r="J394" i="7"/>
  <c r="I394" i="7"/>
  <c r="H394" i="7"/>
  <c r="F394" i="7"/>
  <c r="C393" i="7"/>
  <c r="V392" i="7"/>
  <c r="T392" i="7"/>
  <c r="K400" i="7" s="1"/>
  <c r="R392" i="7"/>
  <c r="K399" i="7" s="1"/>
  <c r="U392" i="7"/>
  <c r="S392" i="7"/>
  <c r="I400" i="7" s="1"/>
  <c r="Q392" i="7"/>
  <c r="I399" i="7" s="1"/>
  <c r="E392" i="7"/>
  <c r="D392" i="7"/>
  <c r="B392" i="7"/>
  <c r="H390" i="7"/>
  <c r="C389" i="7"/>
  <c r="K388" i="7"/>
  <c r="P390" i="7" s="1"/>
  <c r="J388" i="7"/>
  <c r="I388" i="7"/>
  <c r="O390" i="7" s="1"/>
  <c r="H388" i="7"/>
  <c r="F388" i="7"/>
  <c r="V388" i="7"/>
  <c r="T388" i="7"/>
  <c r="R388" i="7"/>
  <c r="U388" i="7"/>
  <c r="S388" i="7"/>
  <c r="Q388" i="7"/>
  <c r="E388" i="7"/>
  <c r="D388" i="7"/>
  <c r="B388" i="7"/>
  <c r="J386" i="7"/>
  <c r="C385" i="7"/>
  <c r="K384" i="7"/>
  <c r="P386" i="7" s="1"/>
  <c r="J384" i="7"/>
  <c r="I384" i="7"/>
  <c r="O386" i="7" s="1"/>
  <c r="H384" i="7"/>
  <c r="F384" i="7"/>
  <c r="V384" i="7"/>
  <c r="T384" i="7"/>
  <c r="R384" i="7"/>
  <c r="U384" i="7"/>
  <c r="S384" i="7"/>
  <c r="Q384" i="7"/>
  <c r="E384" i="7"/>
  <c r="D384" i="7"/>
  <c r="B384" i="7"/>
  <c r="O382" i="7"/>
  <c r="H382" i="7"/>
  <c r="P382" i="7"/>
  <c r="J382" i="7"/>
  <c r="C381" i="7"/>
  <c r="K380" i="7"/>
  <c r="J380" i="7"/>
  <c r="I380" i="7"/>
  <c r="H380" i="7"/>
  <c r="F380" i="7"/>
  <c r="V380" i="7"/>
  <c r="T380" i="7"/>
  <c r="R380" i="7"/>
  <c r="U380" i="7"/>
  <c r="S380" i="7"/>
  <c r="Q380" i="7"/>
  <c r="E380" i="7"/>
  <c r="D380" i="7"/>
  <c r="B380" i="7"/>
  <c r="P378" i="7"/>
  <c r="C377" i="7"/>
  <c r="K376" i="7"/>
  <c r="J378" i="7" s="1"/>
  <c r="J376" i="7"/>
  <c r="I376" i="7"/>
  <c r="O378" i="7" s="1"/>
  <c r="H376" i="7"/>
  <c r="F376" i="7"/>
  <c r="V376" i="7"/>
  <c r="T376" i="7"/>
  <c r="R376" i="7"/>
  <c r="U376" i="7"/>
  <c r="S376" i="7"/>
  <c r="Q376" i="7"/>
  <c r="E376" i="7"/>
  <c r="D376" i="7"/>
  <c r="B376" i="7"/>
  <c r="H373" i="7"/>
  <c r="J373" i="7"/>
  <c r="I371" i="7"/>
  <c r="H371" i="7"/>
  <c r="E371" i="7"/>
  <c r="J370" i="7"/>
  <c r="I370" i="7"/>
  <c r="E370" i="7"/>
  <c r="J369" i="7"/>
  <c r="E369" i="7"/>
  <c r="K368" i="7"/>
  <c r="J368" i="7"/>
  <c r="H368" i="7"/>
  <c r="I368" i="7"/>
  <c r="F368" i="7"/>
  <c r="V368" i="7"/>
  <c r="T368" i="7"/>
  <c r="R368" i="7"/>
  <c r="U368" i="7"/>
  <c r="S368" i="7"/>
  <c r="Q368" i="7"/>
  <c r="E368" i="7"/>
  <c r="D368" i="7"/>
  <c r="B368" i="7"/>
  <c r="K367" i="7"/>
  <c r="J367" i="7"/>
  <c r="I367" i="7"/>
  <c r="H367" i="7"/>
  <c r="F367" i="7"/>
  <c r="K366" i="7"/>
  <c r="J366" i="7"/>
  <c r="I366" i="7"/>
  <c r="H366" i="7"/>
  <c r="F366" i="7"/>
  <c r="K365" i="7"/>
  <c r="P374" i="7" s="1"/>
  <c r="J365" i="7"/>
  <c r="I365" i="7"/>
  <c r="H372" i="7" s="1"/>
  <c r="H365" i="7"/>
  <c r="F365" i="7"/>
  <c r="C364" i="7"/>
  <c r="V363" i="7"/>
  <c r="T363" i="7"/>
  <c r="K370" i="7" s="1"/>
  <c r="R363" i="7"/>
  <c r="K369" i="7" s="1"/>
  <c r="U363" i="7"/>
  <c r="S363" i="7"/>
  <c r="Q363" i="7"/>
  <c r="I369" i="7" s="1"/>
  <c r="H374" i="7" s="1"/>
  <c r="E363" i="7"/>
  <c r="D363" i="7"/>
  <c r="B363" i="7"/>
  <c r="A362" i="7"/>
  <c r="I360" i="7"/>
  <c r="J360" i="7"/>
  <c r="I359" i="7"/>
  <c r="J359" i="7"/>
  <c r="A358" i="7"/>
  <c r="H355" i="7"/>
  <c r="J355" i="7"/>
  <c r="K354" i="7"/>
  <c r="P355" i="7" s="1"/>
  <c r="J354" i="7"/>
  <c r="I354" i="7"/>
  <c r="O355" i="7" s="1"/>
  <c r="H354" i="7"/>
  <c r="F354" i="7"/>
  <c r="V354" i="7"/>
  <c r="T354" i="7"/>
  <c r="R354" i="7"/>
  <c r="U354" i="7"/>
  <c r="S354" i="7"/>
  <c r="Q354" i="7"/>
  <c r="E354" i="7"/>
  <c r="D354" i="7"/>
  <c r="B354" i="7"/>
  <c r="H352" i="7"/>
  <c r="P352" i="7"/>
  <c r="J352" i="7"/>
  <c r="K351" i="7"/>
  <c r="J351" i="7"/>
  <c r="I351" i="7"/>
  <c r="O352" i="7" s="1"/>
  <c r="H351" i="7"/>
  <c r="F351" i="7"/>
  <c r="V351" i="7"/>
  <c r="T351" i="7"/>
  <c r="R351" i="7"/>
  <c r="U351" i="7"/>
  <c r="S351" i="7"/>
  <c r="Q351" i="7"/>
  <c r="E351" i="7"/>
  <c r="D351" i="7"/>
  <c r="B351" i="7"/>
  <c r="H349" i="7"/>
  <c r="J349" i="7"/>
  <c r="K348" i="7"/>
  <c r="P349" i="7" s="1"/>
  <c r="J348" i="7"/>
  <c r="I348" i="7"/>
  <c r="O349" i="7" s="1"/>
  <c r="H348" i="7"/>
  <c r="F348" i="7"/>
  <c r="V348" i="7"/>
  <c r="T348" i="7"/>
  <c r="R348" i="7"/>
  <c r="U348" i="7"/>
  <c r="S348" i="7"/>
  <c r="Q348" i="7"/>
  <c r="E348" i="7"/>
  <c r="D348" i="7"/>
  <c r="B348" i="7"/>
  <c r="H345" i="7"/>
  <c r="J345" i="7"/>
  <c r="I343" i="7"/>
  <c r="H343" i="7"/>
  <c r="E343" i="7"/>
  <c r="K342" i="7"/>
  <c r="J342" i="7"/>
  <c r="I342" i="7"/>
  <c r="E342" i="7"/>
  <c r="J341" i="7"/>
  <c r="I341" i="7"/>
  <c r="E341" i="7"/>
  <c r="K340" i="7"/>
  <c r="J340" i="7"/>
  <c r="I340" i="7"/>
  <c r="H340" i="7"/>
  <c r="F340" i="7"/>
  <c r="K339" i="7"/>
  <c r="J339" i="7"/>
  <c r="I339" i="7"/>
  <c r="H346" i="7" s="1"/>
  <c r="H339" i="7"/>
  <c r="F339" i="7"/>
  <c r="K338" i="7"/>
  <c r="J338" i="7"/>
  <c r="I338" i="7"/>
  <c r="H344" i="7" s="1"/>
  <c r="H338" i="7"/>
  <c r="F338" i="7"/>
  <c r="C337" i="7"/>
  <c r="V336" i="7"/>
  <c r="T336" i="7"/>
  <c r="R336" i="7"/>
  <c r="K341" i="7" s="1"/>
  <c r="U336" i="7"/>
  <c r="S336" i="7"/>
  <c r="Q336" i="7"/>
  <c r="E336" i="7"/>
  <c r="D336" i="7"/>
  <c r="B336" i="7"/>
  <c r="A335" i="7"/>
  <c r="I333" i="7"/>
  <c r="J333" i="7"/>
  <c r="I332" i="7"/>
  <c r="J332" i="7"/>
  <c r="AQ331" i="7"/>
  <c r="A331" i="7"/>
  <c r="K327" i="7"/>
  <c r="P328" i="7" s="1"/>
  <c r="J327" i="7"/>
  <c r="I327" i="7"/>
  <c r="O328" i="7" s="1"/>
  <c r="H327" i="7"/>
  <c r="F327" i="7"/>
  <c r="V327" i="7"/>
  <c r="T327" i="7"/>
  <c r="R327" i="7"/>
  <c r="U327" i="7"/>
  <c r="S327" i="7"/>
  <c r="Q327" i="7"/>
  <c r="E327" i="7"/>
  <c r="D327" i="7"/>
  <c r="B327" i="7"/>
  <c r="O325" i="7"/>
  <c r="P325" i="7"/>
  <c r="J325" i="7"/>
  <c r="K324" i="7"/>
  <c r="J324" i="7"/>
  <c r="I324" i="7"/>
  <c r="H325" i="7" s="1"/>
  <c r="H324" i="7"/>
  <c r="F324" i="7"/>
  <c r="V324" i="7"/>
  <c r="T324" i="7"/>
  <c r="R324" i="7"/>
  <c r="U324" i="7"/>
  <c r="S324" i="7"/>
  <c r="Q324" i="7"/>
  <c r="E324" i="7"/>
  <c r="D324" i="7"/>
  <c r="B324" i="7"/>
  <c r="K321" i="7"/>
  <c r="P322" i="7" s="1"/>
  <c r="J321" i="7"/>
  <c r="I321" i="7"/>
  <c r="O322" i="7" s="1"/>
  <c r="H321" i="7"/>
  <c r="F321" i="7"/>
  <c r="V321" i="7"/>
  <c r="T321" i="7"/>
  <c r="R321" i="7"/>
  <c r="U321" i="7"/>
  <c r="S321" i="7"/>
  <c r="Q321" i="7"/>
  <c r="E321" i="7"/>
  <c r="D321" i="7"/>
  <c r="B321" i="7"/>
  <c r="H318" i="7"/>
  <c r="J318" i="7"/>
  <c r="I316" i="7"/>
  <c r="H316" i="7"/>
  <c r="E316" i="7"/>
  <c r="K315" i="7"/>
  <c r="J315" i="7"/>
  <c r="E315" i="7"/>
  <c r="K314" i="7"/>
  <c r="J314" i="7"/>
  <c r="E314" i="7"/>
  <c r="K313" i="7"/>
  <c r="J313" i="7"/>
  <c r="I313" i="7"/>
  <c r="H313" i="7"/>
  <c r="F313" i="7"/>
  <c r="K312" i="7"/>
  <c r="P319" i="7" s="1"/>
  <c r="J312" i="7"/>
  <c r="I312" i="7"/>
  <c r="O319" i="7" s="1"/>
  <c r="H312" i="7"/>
  <c r="F312" i="7"/>
  <c r="V311" i="7"/>
  <c r="T311" i="7"/>
  <c r="R311" i="7"/>
  <c r="U311" i="7"/>
  <c r="S311" i="7"/>
  <c r="I315" i="7" s="1"/>
  <c r="Q311" i="7"/>
  <c r="I314" i="7" s="1"/>
  <c r="E311" i="7"/>
  <c r="D311" i="7"/>
  <c r="B311" i="7"/>
  <c r="O309" i="7"/>
  <c r="H309" i="7"/>
  <c r="K308" i="7"/>
  <c r="P309" i="7" s="1"/>
  <c r="J308" i="7"/>
  <c r="I308" i="7"/>
  <c r="H308" i="7"/>
  <c r="F308" i="7"/>
  <c r="V308" i="7"/>
  <c r="T308" i="7"/>
  <c r="R308" i="7"/>
  <c r="U308" i="7"/>
  <c r="S308" i="7"/>
  <c r="Q308" i="7"/>
  <c r="E308" i="7"/>
  <c r="D308" i="7"/>
  <c r="B308" i="7"/>
  <c r="H305" i="7"/>
  <c r="J305" i="7"/>
  <c r="I303" i="7"/>
  <c r="H303" i="7"/>
  <c r="E303" i="7"/>
  <c r="J302" i="7"/>
  <c r="I302" i="7"/>
  <c r="E302" i="7"/>
  <c r="J301" i="7"/>
  <c r="E301" i="7"/>
  <c r="K300" i="7"/>
  <c r="J300" i="7"/>
  <c r="I300" i="7"/>
  <c r="H300" i="7"/>
  <c r="F300" i="7"/>
  <c r="K299" i="7"/>
  <c r="J306" i="7" s="1"/>
  <c r="J299" i="7"/>
  <c r="I299" i="7"/>
  <c r="H299" i="7"/>
  <c r="F299" i="7"/>
  <c r="V298" i="7"/>
  <c r="T298" i="7"/>
  <c r="K302" i="7" s="1"/>
  <c r="R298" i="7"/>
  <c r="K301" i="7" s="1"/>
  <c r="U298" i="7"/>
  <c r="S298" i="7"/>
  <c r="Q298" i="7"/>
  <c r="I301" i="7" s="1"/>
  <c r="E298" i="7"/>
  <c r="D298" i="7"/>
  <c r="B298" i="7"/>
  <c r="O296" i="7"/>
  <c r="H296" i="7"/>
  <c r="K295" i="7"/>
  <c r="P296" i="7" s="1"/>
  <c r="J295" i="7"/>
  <c r="I295" i="7"/>
  <c r="H295" i="7"/>
  <c r="F295" i="7"/>
  <c r="V295" i="7"/>
  <c r="T295" i="7"/>
  <c r="R295" i="7"/>
  <c r="U295" i="7"/>
  <c r="S295" i="7"/>
  <c r="Q295" i="7"/>
  <c r="E295" i="7"/>
  <c r="D295" i="7"/>
  <c r="B295" i="7"/>
  <c r="H292" i="7"/>
  <c r="J292" i="7"/>
  <c r="I290" i="7"/>
  <c r="H290" i="7"/>
  <c r="E290" i="7"/>
  <c r="K289" i="7"/>
  <c r="J289" i="7"/>
  <c r="E289" i="7"/>
  <c r="J288" i="7"/>
  <c r="E288" i="7"/>
  <c r="K287" i="7"/>
  <c r="J287" i="7"/>
  <c r="I287" i="7"/>
  <c r="H287" i="7"/>
  <c r="F287" i="7"/>
  <c r="K286" i="7"/>
  <c r="J286" i="7"/>
  <c r="I286" i="7"/>
  <c r="O293" i="7" s="1"/>
  <c r="H286" i="7"/>
  <c r="F286" i="7"/>
  <c r="V285" i="7"/>
  <c r="T285" i="7"/>
  <c r="R285" i="7"/>
  <c r="K288" i="7" s="1"/>
  <c r="J293" i="7" s="1"/>
  <c r="U285" i="7"/>
  <c r="S285" i="7"/>
  <c r="I289" i="7" s="1"/>
  <c r="Q285" i="7"/>
  <c r="I288" i="7" s="1"/>
  <c r="E285" i="7"/>
  <c r="D285" i="7"/>
  <c r="B285" i="7"/>
  <c r="K282" i="7"/>
  <c r="P283" i="7" s="1"/>
  <c r="J282" i="7"/>
  <c r="I282" i="7"/>
  <c r="O283" i="7" s="1"/>
  <c r="H282" i="7"/>
  <c r="F282" i="7"/>
  <c r="V282" i="7"/>
  <c r="T282" i="7"/>
  <c r="R282" i="7"/>
  <c r="U282" i="7"/>
  <c r="S282" i="7"/>
  <c r="Q282" i="7"/>
  <c r="E282" i="7"/>
  <c r="D282" i="7"/>
  <c r="B282" i="7"/>
  <c r="H279" i="7"/>
  <c r="J279" i="7"/>
  <c r="I277" i="7"/>
  <c r="H277" i="7"/>
  <c r="E277" i="7"/>
  <c r="K276" i="7"/>
  <c r="J276" i="7"/>
  <c r="E276" i="7"/>
  <c r="K275" i="7"/>
  <c r="J275" i="7"/>
  <c r="E275" i="7"/>
  <c r="K274" i="7"/>
  <c r="J274" i="7"/>
  <c r="I274" i="7"/>
  <c r="H274" i="7"/>
  <c r="F274" i="7"/>
  <c r="K273" i="7"/>
  <c r="P280" i="7" s="1"/>
  <c r="J273" i="7"/>
  <c r="I273" i="7"/>
  <c r="H273" i="7"/>
  <c r="F273" i="7"/>
  <c r="V272" i="7"/>
  <c r="T272" i="7"/>
  <c r="R272" i="7"/>
  <c r="U272" i="7"/>
  <c r="S272" i="7"/>
  <c r="I276" i="7" s="1"/>
  <c r="Q272" i="7"/>
  <c r="I275" i="7" s="1"/>
  <c r="H278" i="7" s="1"/>
  <c r="E272" i="7"/>
  <c r="D272" i="7"/>
  <c r="B272" i="7"/>
  <c r="AP271" i="7"/>
  <c r="A271" i="7"/>
  <c r="I269" i="7"/>
  <c r="J269" i="7"/>
  <c r="I268" i="7"/>
  <c r="J268" i="7"/>
  <c r="AQ267" i="7"/>
  <c r="A267" i="7"/>
  <c r="P264" i="7"/>
  <c r="J264" i="7"/>
  <c r="K263" i="7"/>
  <c r="J263" i="7"/>
  <c r="I263" i="7"/>
  <c r="O264" i="7" s="1"/>
  <c r="H263" i="7"/>
  <c r="F263" i="7"/>
  <c r="V263" i="7"/>
  <c r="T263" i="7"/>
  <c r="R263" i="7"/>
  <c r="U263" i="7"/>
  <c r="S263" i="7"/>
  <c r="Q263" i="7"/>
  <c r="E263" i="7"/>
  <c r="D263" i="7"/>
  <c r="B263" i="7"/>
  <c r="H260" i="7"/>
  <c r="J260" i="7"/>
  <c r="I258" i="7"/>
  <c r="H258" i="7"/>
  <c r="E258" i="7"/>
  <c r="J257" i="7"/>
  <c r="E257" i="7"/>
  <c r="K256" i="7"/>
  <c r="J256" i="7"/>
  <c r="E256" i="7"/>
  <c r="K255" i="7"/>
  <c r="J255" i="7"/>
  <c r="I255" i="7"/>
  <c r="H255" i="7"/>
  <c r="F255" i="7"/>
  <c r="K254" i="7"/>
  <c r="J254" i="7"/>
  <c r="I254" i="7"/>
  <c r="H254" i="7"/>
  <c r="F254" i="7"/>
  <c r="K253" i="7"/>
  <c r="J261" i="7" s="1"/>
  <c r="J253" i="7"/>
  <c r="I253" i="7"/>
  <c r="O261" i="7" s="1"/>
  <c r="H253" i="7"/>
  <c r="F253" i="7"/>
  <c r="V252" i="7"/>
  <c r="T252" i="7"/>
  <c r="K257" i="7" s="1"/>
  <c r="P261" i="7" s="1"/>
  <c r="R252" i="7"/>
  <c r="U252" i="7"/>
  <c r="S252" i="7"/>
  <c r="I257" i="7" s="1"/>
  <c r="Q252" i="7"/>
  <c r="I256" i="7" s="1"/>
  <c r="E252" i="7"/>
  <c r="D252" i="7"/>
  <c r="B252" i="7"/>
  <c r="H249" i="7"/>
  <c r="J249" i="7"/>
  <c r="I247" i="7"/>
  <c r="H247" i="7"/>
  <c r="E247" i="7"/>
  <c r="J246" i="7"/>
  <c r="I246" i="7"/>
  <c r="E246" i="7"/>
  <c r="J245" i="7"/>
  <c r="E245" i="7"/>
  <c r="K244" i="7"/>
  <c r="J244" i="7"/>
  <c r="H244" i="7"/>
  <c r="I244" i="7"/>
  <c r="F244" i="7"/>
  <c r="V244" i="7"/>
  <c r="T244" i="7"/>
  <c r="R244" i="7"/>
  <c r="U244" i="7"/>
  <c r="S244" i="7"/>
  <c r="Q244" i="7"/>
  <c r="E244" i="7"/>
  <c r="D244" i="7"/>
  <c r="B244" i="7"/>
  <c r="K243" i="7"/>
  <c r="J243" i="7"/>
  <c r="I243" i="7"/>
  <c r="H243" i="7"/>
  <c r="F243" i="7"/>
  <c r="K242" i="7"/>
  <c r="J242" i="7"/>
  <c r="I242" i="7"/>
  <c r="H242" i="7"/>
  <c r="F242" i="7"/>
  <c r="K241" i="7"/>
  <c r="J241" i="7"/>
  <c r="I241" i="7"/>
  <c r="H248" i="7" s="1"/>
  <c r="H241" i="7"/>
  <c r="F241" i="7"/>
  <c r="C240" i="7"/>
  <c r="V239" i="7"/>
  <c r="T239" i="7"/>
  <c r="K246" i="7" s="1"/>
  <c r="R239" i="7"/>
  <c r="K245" i="7" s="1"/>
  <c r="U239" i="7"/>
  <c r="S239" i="7"/>
  <c r="Q239" i="7"/>
  <c r="I245" i="7" s="1"/>
  <c r="H250" i="7" s="1"/>
  <c r="E239" i="7"/>
  <c r="D239" i="7"/>
  <c r="B239" i="7"/>
  <c r="H236" i="7"/>
  <c r="P237" i="7"/>
  <c r="J236" i="7"/>
  <c r="I234" i="7"/>
  <c r="H234" i="7"/>
  <c r="E234" i="7"/>
  <c r="K233" i="7"/>
  <c r="J233" i="7"/>
  <c r="E233" i="7"/>
  <c r="K232" i="7"/>
  <c r="J232" i="7"/>
  <c r="E232" i="7"/>
  <c r="K231" i="7"/>
  <c r="J231" i="7"/>
  <c r="H231" i="7"/>
  <c r="I231" i="7"/>
  <c r="F231" i="7"/>
  <c r="V231" i="7"/>
  <c r="T231" i="7"/>
  <c r="R231" i="7"/>
  <c r="U231" i="7"/>
  <c r="S231" i="7"/>
  <c r="Q231" i="7"/>
  <c r="E231" i="7"/>
  <c r="D231" i="7"/>
  <c r="B231" i="7"/>
  <c r="K230" i="7"/>
  <c r="J230" i="7"/>
  <c r="I230" i="7"/>
  <c r="H230" i="7"/>
  <c r="F230" i="7"/>
  <c r="K229" i="7"/>
  <c r="J237" i="7" s="1"/>
  <c r="J229" i="7"/>
  <c r="I229" i="7"/>
  <c r="H229" i="7"/>
  <c r="F229" i="7"/>
  <c r="C228" i="7"/>
  <c r="V227" i="7"/>
  <c r="T227" i="7"/>
  <c r="R227" i="7"/>
  <c r="U227" i="7"/>
  <c r="S227" i="7"/>
  <c r="I233" i="7" s="1"/>
  <c r="Q227" i="7"/>
  <c r="I232" i="7" s="1"/>
  <c r="E227" i="7"/>
  <c r="D227" i="7"/>
  <c r="B227" i="7"/>
  <c r="K224" i="7"/>
  <c r="P225" i="7" s="1"/>
  <c r="J224" i="7"/>
  <c r="I224" i="7"/>
  <c r="O225" i="7" s="1"/>
  <c r="H224" i="7"/>
  <c r="F224" i="7"/>
  <c r="V224" i="7"/>
  <c r="T224" i="7"/>
  <c r="R224" i="7"/>
  <c r="U224" i="7"/>
  <c r="S224" i="7"/>
  <c r="Q224" i="7"/>
  <c r="E224" i="7"/>
  <c r="D224" i="7"/>
  <c r="B224" i="7"/>
  <c r="O222" i="7"/>
  <c r="H222" i="7"/>
  <c r="K221" i="7"/>
  <c r="P222" i="7" s="1"/>
  <c r="J221" i="7"/>
  <c r="I221" i="7"/>
  <c r="H221" i="7"/>
  <c r="F221" i="7"/>
  <c r="V221" i="7"/>
  <c r="T221" i="7"/>
  <c r="R221" i="7"/>
  <c r="U221" i="7"/>
  <c r="S221" i="7"/>
  <c r="Q221" i="7"/>
  <c r="E221" i="7"/>
  <c r="D221" i="7"/>
  <c r="B221" i="7"/>
  <c r="H218" i="7"/>
  <c r="J218" i="7"/>
  <c r="I216" i="7"/>
  <c r="H216" i="7"/>
  <c r="E216" i="7"/>
  <c r="K215" i="7"/>
  <c r="J215" i="7"/>
  <c r="E215" i="7"/>
  <c r="J214" i="7"/>
  <c r="E214" i="7"/>
  <c r="K213" i="7"/>
  <c r="J213" i="7"/>
  <c r="I213" i="7"/>
  <c r="H213" i="7"/>
  <c r="F213" i="7"/>
  <c r="K212" i="7"/>
  <c r="J212" i="7"/>
  <c r="I212" i="7"/>
  <c r="H212" i="7"/>
  <c r="F212" i="7"/>
  <c r="V211" i="7"/>
  <c r="T211" i="7"/>
  <c r="R211" i="7"/>
  <c r="K214" i="7" s="1"/>
  <c r="J219" i="7" s="1"/>
  <c r="U211" i="7"/>
  <c r="S211" i="7"/>
  <c r="I215" i="7" s="1"/>
  <c r="Q211" i="7"/>
  <c r="I214" i="7" s="1"/>
  <c r="E211" i="7"/>
  <c r="D211" i="7"/>
  <c r="B211" i="7"/>
  <c r="K208" i="7"/>
  <c r="P209" i="7" s="1"/>
  <c r="J208" i="7"/>
  <c r="I208" i="7"/>
  <c r="O209" i="7" s="1"/>
  <c r="H208" i="7"/>
  <c r="F208" i="7"/>
  <c r="V208" i="7"/>
  <c r="T208" i="7"/>
  <c r="R208" i="7"/>
  <c r="U208" i="7"/>
  <c r="S208" i="7"/>
  <c r="Q208" i="7"/>
  <c r="E208" i="7"/>
  <c r="D208" i="7"/>
  <c r="B208" i="7"/>
  <c r="H205" i="7"/>
  <c r="J205" i="7"/>
  <c r="I203" i="7"/>
  <c r="H203" i="7"/>
  <c r="E203" i="7"/>
  <c r="K202" i="7"/>
  <c r="J202" i="7"/>
  <c r="I202" i="7"/>
  <c r="E202" i="7"/>
  <c r="K201" i="7"/>
  <c r="P206" i="7" s="1"/>
  <c r="J201" i="7"/>
  <c r="E201" i="7"/>
  <c r="K200" i="7"/>
  <c r="J200" i="7"/>
  <c r="I200" i="7"/>
  <c r="H200" i="7"/>
  <c r="F200" i="7"/>
  <c r="K199" i="7"/>
  <c r="J206" i="7" s="1"/>
  <c r="J199" i="7"/>
  <c r="I199" i="7"/>
  <c r="O206" i="7" s="1"/>
  <c r="H199" i="7"/>
  <c r="F199" i="7"/>
  <c r="V198" i="7"/>
  <c r="T198" i="7"/>
  <c r="R198" i="7"/>
  <c r="U198" i="7"/>
  <c r="S198" i="7"/>
  <c r="Q198" i="7"/>
  <c r="I201" i="7" s="1"/>
  <c r="H204" i="7" s="1"/>
  <c r="E198" i="7"/>
  <c r="D198" i="7"/>
  <c r="B198" i="7"/>
  <c r="O196" i="7"/>
  <c r="H196" i="7"/>
  <c r="P196" i="7"/>
  <c r="K195" i="7"/>
  <c r="J196" i="7" s="1"/>
  <c r="J195" i="7"/>
  <c r="I195" i="7"/>
  <c r="H195" i="7"/>
  <c r="F195" i="7"/>
  <c r="V195" i="7"/>
  <c r="T195" i="7"/>
  <c r="R195" i="7"/>
  <c r="U195" i="7"/>
  <c r="S195" i="7"/>
  <c r="Q195" i="7"/>
  <c r="E195" i="7"/>
  <c r="D195" i="7"/>
  <c r="B195" i="7"/>
  <c r="H192" i="7"/>
  <c r="J192" i="7"/>
  <c r="I190" i="7"/>
  <c r="H190" i="7"/>
  <c r="E190" i="7"/>
  <c r="J189" i="7"/>
  <c r="E189" i="7"/>
  <c r="K188" i="7"/>
  <c r="J188" i="7"/>
  <c r="I188" i="7"/>
  <c r="E188" i="7"/>
  <c r="K187" i="7"/>
  <c r="J187" i="7"/>
  <c r="I187" i="7"/>
  <c r="H187" i="7"/>
  <c r="F187" i="7"/>
  <c r="K186" i="7"/>
  <c r="J186" i="7"/>
  <c r="I186" i="7"/>
  <c r="H186" i="7"/>
  <c r="F186" i="7"/>
  <c r="K185" i="7"/>
  <c r="J185" i="7"/>
  <c r="I185" i="7"/>
  <c r="H185" i="7"/>
  <c r="F185" i="7"/>
  <c r="V184" i="7"/>
  <c r="T184" i="7"/>
  <c r="K189" i="7" s="1"/>
  <c r="J191" i="7" s="1"/>
  <c r="R184" i="7"/>
  <c r="U184" i="7"/>
  <c r="S184" i="7"/>
  <c r="I189" i="7" s="1"/>
  <c r="Q184" i="7"/>
  <c r="E184" i="7"/>
  <c r="D184" i="7"/>
  <c r="B184" i="7"/>
  <c r="O182" i="7"/>
  <c r="J182" i="7"/>
  <c r="K181" i="7"/>
  <c r="P182" i="7" s="1"/>
  <c r="J181" i="7"/>
  <c r="I181" i="7"/>
  <c r="H182" i="7" s="1"/>
  <c r="H181" i="7"/>
  <c r="F181" i="7"/>
  <c r="V181" i="7"/>
  <c r="T181" i="7"/>
  <c r="R181" i="7"/>
  <c r="U181" i="7"/>
  <c r="S181" i="7"/>
  <c r="Q181" i="7"/>
  <c r="E181" i="7"/>
  <c r="D181" i="7"/>
  <c r="B181" i="7"/>
  <c r="H178" i="7"/>
  <c r="J178" i="7"/>
  <c r="I176" i="7"/>
  <c r="H176" i="7"/>
  <c r="E176" i="7"/>
  <c r="J175" i="7"/>
  <c r="I175" i="7"/>
  <c r="E175" i="7"/>
  <c r="J174" i="7"/>
  <c r="I174" i="7"/>
  <c r="H179" i="7" s="1"/>
  <c r="E174" i="7"/>
  <c r="K173" i="7"/>
  <c r="J173" i="7"/>
  <c r="I173" i="7"/>
  <c r="H173" i="7"/>
  <c r="F173" i="7"/>
  <c r="K172" i="7"/>
  <c r="J177" i="7" s="1"/>
  <c r="J172" i="7"/>
  <c r="I172" i="7"/>
  <c r="O179" i="7" s="1"/>
  <c r="H172" i="7"/>
  <c r="F172" i="7"/>
  <c r="V171" i="7"/>
  <c r="T171" i="7"/>
  <c r="K175" i="7" s="1"/>
  <c r="R171" i="7"/>
  <c r="K174" i="7" s="1"/>
  <c r="U171" i="7"/>
  <c r="S171" i="7"/>
  <c r="Q171" i="7"/>
  <c r="E171" i="7"/>
  <c r="D171" i="7"/>
  <c r="B171" i="7"/>
  <c r="A170" i="7"/>
  <c r="I168" i="7"/>
  <c r="J168" i="7"/>
  <c r="I167" i="7"/>
  <c r="J167" i="7"/>
  <c r="A166" i="7"/>
  <c r="H162" i="7"/>
  <c r="J162" i="7"/>
  <c r="I160" i="7"/>
  <c r="H160" i="7"/>
  <c r="E160" i="7"/>
  <c r="J159" i="7"/>
  <c r="E159" i="7"/>
  <c r="J158" i="7"/>
  <c r="E158" i="7"/>
  <c r="K157" i="7"/>
  <c r="P163" i="7" s="1"/>
  <c r="J157" i="7"/>
  <c r="I157" i="7"/>
  <c r="H157" i="7"/>
  <c r="F157" i="7"/>
  <c r="C156" i="7"/>
  <c r="V155" i="7"/>
  <c r="T155" i="7"/>
  <c r="K159" i="7" s="1"/>
  <c r="R155" i="7"/>
  <c r="K158" i="7" s="1"/>
  <c r="U155" i="7"/>
  <c r="S155" i="7"/>
  <c r="I159" i="7" s="1"/>
  <c r="Q155" i="7"/>
  <c r="I158" i="7" s="1"/>
  <c r="E155" i="7"/>
  <c r="D155" i="7"/>
  <c r="B155" i="7"/>
  <c r="H152" i="7"/>
  <c r="J152" i="7"/>
  <c r="I150" i="7"/>
  <c r="H150" i="7"/>
  <c r="E150" i="7"/>
  <c r="K149" i="7"/>
  <c r="J149" i="7"/>
  <c r="E149" i="7"/>
  <c r="J148" i="7"/>
  <c r="I148" i="7"/>
  <c r="E148" i="7"/>
  <c r="K147" i="7"/>
  <c r="J147" i="7"/>
  <c r="I147" i="7"/>
  <c r="H147" i="7"/>
  <c r="F147" i="7"/>
  <c r="K146" i="7"/>
  <c r="J151" i="7" s="1"/>
  <c r="J146" i="7"/>
  <c r="I146" i="7"/>
  <c r="O153" i="7" s="1"/>
  <c r="H146" i="7"/>
  <c r="F146" i="7"/>
  <c r="C145" i="7"/>
  <c r="V144" i="7"/>
  <c r="T144" i="7"/>
  <c r="R144" i="7"/>
  <c r="K148" i="7" s="1"/>
  <c r="U144" i="7"/>
  <c r="S144" i="7"/>
  <c r="I149" i="7" s="1"/>
  <c r="Q144" i="7"/>
  <c r="E144" i="7"/>
  <c r="D144" i="7"/>
  <c r="B144" i="7"/>
  <c r="H141" i="7"/>
  <c r="J141" i="7"/>
  <c r="I139" i="7"/>
  <c r="H139" i="7"/>
  <c r="E139" i="7"/>
  <c r="J138" i="7"/>
  <c r="I138" i="7"/>
  <c r="E138" i="7"/>
  <c r="J137" i="7"/>
  <c r="E137" i="7"/>
  <c r="K136" i="7"/>
  <c r="J136" i="7"/>
  <c r="I136" i="7"/>
  <c r="H136" i="7"/>
  <c r="F136" i="7"/>
  <c r="V135" i="7"/>
  <c r="T135" i="7"/>
  <c r="K138" i="7" s="1"/>
  <c r="R135" i="7"/>
  <c r="K137" i="7" s="1"/>
  <c r="J140" i="7" s="1"/>
  <c r="U135" i="7"/>
  <c r="S135" i="7"/>
  <c r="Q135" i="7"/>
  <c r="I137" i="7" s="1"/>
  <c r="E135" i="7"/>
  <c r="D135" i="7"/>
  <c r="B135" i="7"/>
  <c r="H132" i="7"/>
  <c r="P133" i="7"/>
  <c r="J133" i="7"/>
  <c r="J132" i="7"/>
  <c r="I130" i="7"/>
  <c r="H130" i="7"/>
  <c r="E130" i="7"/>
  <c r="K129" i="7"/>
  <c r="J129" i="7"/>
  <c r="E129" i="7"/>
  <c r="K128" i="7"/>
  <c r="J128" i="7"/>
  <c r="E128" i="7"/>
  <c r="K127" i="7"/>
  <c r="J131" i="7" s="1"/>
  <c r="J127" i="7"/>
  <c r="I127" i="7"/>
  <c r="H127" i="7"/>
  <c r="F127" i="7"/>
  <c r="V126" i="7"/>
  <c r="T126" i="7"/>
  <c r="R126" i="7"/>
  <c r="U126" i="7"/>
  <c r="S126" i="7"/>
  <c r="I129" i="7" s="1"/>
  <c r="Q126" i="7"/>
  <c r="I128" i="7" s="1"/>
  <c r="E126" i="7"/>
  <c r="D126" i="7"/>
  <c r="B126" i="7"/>
  <c r="H123" i="7"/>
  <c r="J123" i="7"/>
  <c r="I121" i="7"/>
  <c r="H121" i="7"/>
  <c r="E121" i="7"/>
  <c r="J120" i="7"/>
  <c r="I120" i="7"/>
  <c r="E120" i="7"/>
  <c r="J119" i="7"/>
  <c r="E119" i="7"/>
  <c r="K118" i="7"/>
  <c r="J118" i="7"/>
  <c r="I118" i="7"/>
  <c r="H118" i="7"/>
  <c r="F118" i="7"/>
  <c r="V117" i="7"/>
  <c r="T117" i="7"/>
  <c r="K120" i="7" s="1"/>
  <c r="R117" i="7"/>
  <c r="K119" i="7" s="1"/>
  <c r="U117" i="7"/>
  <c r="S117" i="7"/>
  <c r="Q117" i="7"/>
  <c r="I119" i="7" s="1"/>
  <c r="E117" i="7"/>
  <c r="D117" i="7"/>
  <c r="B117" i="7"/>
  <c r="H114" i="7"/>
  <c r="P115" i="7"/>
  <c r="J114" i="7"/>
  <c r="I112" i="7"/>
  <c r="H112" i="7"/>
  <c r="E112" i="7"/>
  <c r="K111" i="7"/>
  <c r="J111" i="7"/>
  <c r="E111" i="7"/>
  <c r="K110" i="7"/>
  <c r="J115" i="7" s="1"/>
  <c r="J110" i="7"/>
  <c r="E110" i="7"/>
  <c r="K109" i="7"/>
  <c r="J113" i="7" s="1"/>
  <c r="J109" i="7"/>
  <c r="I109" i="7"/>
  <c r="H115" i="7" s="1"/>
  <c r="H109" i="7"/>
  <c r="F109" i="7"/>
  <c r="V108" i="7"/>
  <c r="T108" i="7"/>
  <c r="R108" i="7"/>
  <c r="U108" i="7"/>
  <c r="S108" i="7"/>
  <c r="I111" i="7" s="1"/>
  <c r="Q108" i="7"/>
  <c r="I110" i="7" s="1"/>
  <c r="E108" i="7"/>
  <c r="D108" i="7"/>
  <c r="B108" i="7"/>
  <c r="H105" i="7"/>
  <c r="J105" i="7"/>
  <c r="I103" i="7"/>
  <c r="H103" i="7"/>
  <c r="E103" i="7"/>
  <c r="J102" i="7"/>
  <c r="E102" i="7"/>
  <c r="K101" i="7"/>
  <c r="J101" i="7"/>
  <c r="E101" i="7"/>
  <c r="K100" i="7"/>
  <c r="J100" i="7"/>
  <c r="I100" i="7"/>
  <c r="H100" i="7"/>
  <c r="F100" i="7"/>
  <c r="K99" i="7"/>
  <c r="J99" i="7"/>
  <c r="I99" i="7"/>
  <c r="H99" i="7"/>
  <c r="F99" i="7"/>
  <c r="K98" i="7"/>
  <c r="P106" i="7" s="1"/>
  <c r="J98" i="7"/>
  <c r="I98" i="7"/>
  <c r="H98" i="7"/>
  <c r="F98" i="7"/>
  <c r="V97" i="7"/>
  <c r="T97" i="7"/>
  <c r="K102" i="7" s="1"/>
  <c r="J104" i="7" s="1"/>
  <c r="R97" i="7"/>
  <c r="U97" i="7"/>
  <c r="S97" i="7"/>
  <c r="I102" i="7" s="1"/>
  <c r="Q97" i="7"/>
  <c r="I101" i="7" s="1"/>
  <c r="E97" i="7"/>
  <c r="D97" i="7"/>
  <c r="B97" i="7"/>
  <c r="H94" i="7"/>
  <c r="J94" i="7"/>
  <c r="I92" i="7"/>
  <c r="H92" i="7"/>
  <c r="E92" i="7"/>
  <c r="K91" i="7"/>
  <c r="J91" i="7"/>
  <c r="E91" i="7"/>
  <c r="J90" i="7"/>
  <c r="E90" i="7"/>
  <c r="K89" i="7"/>
  <c r="J89" i="7"/>
  <c r="I89" i="7"/>
  <c r="H89" i="7"/>
  <c r="F89" i="7"/>
  <c r="C88" i="7"/>
  <c r="V87" i="7"/>
  <c r="T87" i="7"/>
  <c r="R87" i="7"/>
  <c r="K90" i="7" s="1"/>
  <c r="U87" i="7"/>
  <c r="S87" i="7"/>
  <c r="I91" i="7" s="1"/>
  <c r="Q87" i="7"/>
  <c r="I90" i="7" s="1"/>
  <c r="E87" i="7"/>
  <c r="D87" i="7"/>
  <c r="B87" i="7"/>
  <c r="H84" i="7"/>
  <c r="J84" i="7"/>
  <c r="I82" i="7"/>
  <c r="H82" i="7"/>
  <c r="E82" i="7"/>
  <c r="J81" i="7"/>
  <c r="I81" i="7"/>
  <c r="E81" i="7"/>
  <c r="J80" i="7"/>
  <c r="E80" i="7"/>
  <c r="K79" i="7"/>
  <c r="P85" i="7" s="1"/>
  <c r="J79" i="7"/>
  <c r="I79" i="7"/>
  <c r="H79" i="7"/>
  <c r="F79" i="7"/>
  <c r="C78" i="7"/>
  <c r="V77" i="7"/>
  <c r="T77" i="7"/>
  <c r="K81" i="7" s="1"/>
  <c r="R77" i="7"/>
  <c r="K80" i="7" s="1"/>
  <c r="U77" i="7"/>
  <c r="S77" i="7"/>
  <c r="Q77" i="7"/>
  <c r="I80" i="7" s="1"/>
  <c r="H85" i="7" s="1"/>
  <c r="E77" i="7"/>
  <c r="D77" i="7"/>
  <c r="B77" i="7"/>
  <c r="H74" i="7"/>
  <c r="P75" i="7"/>
  <c r="J74" i="7"/>
  <c r="I72" i="7"/>
  <c r="H72" i="7"/>
  <c r="E72" i="7"/>
  <c r="K71" i="7"/>
  <c r="J71" i="7"/>
  <c r="E71" i="7"/>
  <c r="K70" i="7"/>
  <c r="J70" i="7"/>
  <c r="E70" i="7"/>
  <c r="K69" i="7"/>
  <c r="J75" i="7" s="1"/>
  <c r="J69" i="7"/>
  <c r="I69" i="7"/>
  <c r="H69" i="7"/>
  <c r="F69" i="7"/>
  <c r="V68" i="7"/>
  <c r="T68" i="7"/>
  <c r="R68" i="7"/>
  <c r="U68" i="7"/>
  <c r="S68" i="7"/>
  <c r="I71" i="7" s="1"/>
  <c r="Q68" i="7"/>
  <c r="I70" i="7" s="1"/>
  <c r="E68" i="7"/>
  <c r="D68" i="7"/>
  <c r="B68" i="7"/>
  <c r="H65" i="7"/>
  <c r="J65" i="7"/>
  <c r="I63" i="7"/>
  <c r="H63" i="7"/>
  <c r="E63" i="7"/>
  <c r="J62" i="7"/>
  <c r="I62" i="7"/>
  <c r="E62" i="7"/>
  <c r="J61" i="7"/>
  <c r="E61" i="7"/>
  <c r="K60" i="7"/>
  <c r="P66" i="7" s="1"/>
  <c r="J60" i="7"/>
  <c r="I60" i="7"/>
  <c r="O66" i="7" s="1"/>
  <c r="H60" i="7"/>
  <c r="F60" i="7"/>
  <c r="V59" i="7"/>
  <c r="T59" i="7"/>
  <c r="K62" i="7" s="1"/>
  <c r="R59" i="7"/>
  <c r="K61" i="7" s="1"/>
  <c r="U59" i="7"/>
  <c r="S59" i="7"/>
  <c r="Q59" i="7"/>
  <c r="I61" i="7" s="1"/>
  <c r="H64" i="7" s="1"/>
  <c r="E59" i="7"/>
  <c r="D59" i="7"/>
  <c r="B59" i="7"/>
  <c r="H56" i="7"/>
  <c r="J56" i="7"/>
  <c r="I54" i="7"/>
  <c r="H54" i="7"/>
  <c r="E54" i="7"/>
  <c r="J53" i="7"/>
  <c r="E53" i="7"/>
  <c r="J52" i="7"/>
  <c r="I52" i="7"/>
  <c r="E52" i="7"/>
  <c r="K51" i="7"/>
  <c r="J51" i="7"/>
  <c r="I51" i="7"/>
  <c r="H51" i="7"/>
  <c r="F51" i="7"/>
  <c r="K50" i="7"/>
  <c r="J50" i="7"/>
  <c r="I50" i="7"/>
  <c r="H50" i="7"/>
  <c r="F50" i="7"/>
  <c r="K49" i="7"/>
  <c r="J49" i="7"/>
  <c r="I49" i="7"/>
  <c r="O57" i="7" s="1"/>
  <c r="H49" i="7"/>
  <c r="F49" i="7"/>
  <c r="V48" i="7"/>
  <c r="T48" i="7"/>
  <c r="K53" i="7" s="1"/>
  <c r="R48" i="7"/>
  <c r="K52" i="7" s="1"/>
  <c r="U48" i="7"/>
  <c r="S48" i="7"/>
  <c r="I53" i="7" s="1"/>
  <c r="Q48" i="7"/>
  <c r="E48" i="7"/>
  <c r="D48" i="7"/>
  <c r="B48" i="7"/>
  <c r="H45" i="7"/>
  <c r="J45" i="7"/>
  <c r="I43" i="7"/>
  <c r="H43" i="7"/>
  <c r="E43" i="7"/>
  <c r="K42" i="7"/>
  <c r="J42" i="7"/>
  <c r="E42" i="7"/>
  <c r="K41" i="7"/>
  <c r="J41" i="7"/>
  <c r="E41" i="7"/>
  <c r="K40" i="7"/>
  <c r="P46" i="7" s="1"/>
  <c r="J40" i="7"/>
  <c r="I40" i="7"/>
  <c r="H40" i="7"/>
  <c r="F40" i="7"/>
  <c r="V39" i="7"/>
  <c r="T39" i="7"/>
  <c r="R39" i="7"/>
  <c r="U39" i="7"/>
  <c r="S39" i="7"/>
  <c r="I42" i="7" s="1"/>
  <c r="Q39" i="7"/>
  <c r="I41" i="7" s="1"/>
  <c r="H44" i="7" s="1"/>
  <c r="E39" i="7"/>
  <c r="D39" i="7"/>
  <c r="B39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1" i="3"/>
  <c r="Y1" i="3"/>
  <c r="CV1" i="3" s="1"/>
  <c r="CU1" i="3"/>
  <c r="CX1" i="3"/>
  <c r="CY1" i="3"/>
  <c r="CZ1" i="3"/>
  <c r="DA1" i="3"/>
  <c r="DB1" i="3"/>
  <c r="DC1" i="3"/>
  <c r="A2" i="3"/>
  <c r="Y2" i="3"/>
  <c r="CX2" i="3" s="1"/>
  <c r="CY2" i="3"/>
  <c r="CZ2" i="3"/>
  <c r="DB2" i="3" s="1"/>
  <c r="DA2" i="3"/>
  <c r="DC2" i="3"/>
  <c r="A3" i="3"/>
  <c r="Y3" i="3"/>
  <c r="CX3" i="3" s="1"/>
  <c r="DG3" i="3" s="1"/>
  <c r="CY3" i="3"/>
  <c r="CZ3" i="3"/>
  <c r="DB3" i="3" s="1"/>
  <c r="DA3" i="3"/>
  <c r="DC3" i="3"/>
  <c r="A4" i="3"/>
  <c r="Y4" i="3"/>
  <c r="CX4" i="3"/>
  <c r="DH4" i="3" s="1"/>
  <c r="CY4" i="3"/>
  <c r="CZ4" i="3"/>
  <c r="DB4" i="3" s="1"/>
  <c r="DA4" i="3"/>
  <c r="DC4" i="3"/>
  <c r="DI4" i="3"/>
  <c r="A5" i="3"/>
  <c r="Y5" i="3"/>
  <c r="CX5" i="3"/>
  <c r="DG5" i="3" s="1"/>
  <c r="CY5" i="3"/>
  <c r="CZ5" i="3"/>
  <c r="DA5" i="3"/>
  <c r="DB5" i="3"/>
  <c r="DC5" i="3"/>
  <c r="DH5" i="3"/>
  <c r="DI5" i="3"/>
  <c r="A6" i="3"/>
  <c r="Y6" i="3"/>
  <c r="CX6" i="3"/>
  <c r="DF6" i="3" s="1"/>
  <c r="CY6" i="3"/>
  <c r="CZ6" i="3"/>
  <c r="DA6" i="3"/>
  <c r="DB6" i="3"/>
  <c r="DC6" i="3"/>
  <c r="DH6" i="3"/>
  <c r="DI6" i="3"/>
  <c r="DJ6" i="3"/>
  <c r="A7" i="3"/>
  <c r="Y7" i="3"/>
  <c r="CX7" i="3" s="1"/>
  <c r="CY7" i="3"/>
  <c r="CZ7" i="3"/>
  <c r="DB7" i="3" s="1"/>
  <c r="DA7" i="3"/>
  <c r="DC7" i="3"/>
  <c r="DF7" i="3"/>
  <c r="DJ7" i="3" s="1"/>
  <c r="DG7" i="3"/>
  <c r="DH7" i="3"/>
  <c r="DI7" i="3"/>
  <c r="A8" i="3"/>
  <c r="Y8" i="3"/>
  <c r="CX8" i="3"/>
  <c r="CY8" i="3"/>
  <c r="CZ8" i="3"/>
  <c r="DB8" i="3" s="1"/>
  <c r="DA8" i="3"/>
  <c r="DC8" i="3"/>
  <c r="DF8" i="3"/>
  <c r="DJ8" i="3" s="1"/>
  <c r="DG8" i="3"/>
  <c r="DH8" i="3"/>
  <c r="DI8" i="3"/>
  <c r="A9" i="3"/>
  <c r="Y9" i="3"/>
  <c r="CX9" i="3"/>
  <c r="DF9" i="3" s="1"/>
  <c r="DJ9" i="3" s="1"/>
  <c r="CY9" i="3"/>
  <c r="CZ9" i="3"/>
  <c r="DA9" i="3"/>
  <c r="DB9" i="3"/>
  <c r="DC9" i="3"/>
  <c r="DG9" i="3"/>
  <c r="DH9" i="3"/>
  <c r="DI9" i="3"/>
  <c r="A10" i="3"/>
  <c r="Y10" i="3"/>
  <c r="CX10" i="3"/>
  <c r="DI10" i="3" s="1"/>
  <c r="CY10" i="3"/>
  <c r="CZ10" i="3"/>
  <c r="DA10" i="3"/>
  <c r="DB10" i="3"/>
  <c r="DC10" i="3"/>
  <c r="DG10" i="3"/>
  <c r="DH10" i="3"/>
  <c r="A11" i="3"/>
  <c r="Y11" i="3"/>
  <c r="CX11" i="3" s="1"/>
  <c r="CY11" i="3"/>
  <c r="CZ11" i="3"/>
  <c r="DB11" i="3" s="1"/>
  <c r="DA11" i="3"/>
  <c r="DC11" i="3"/>
  <c r="A12" i="3"/>
  <c r="Y12" i="3"/>
  <c r="CV12" i="3" s="1"/>
  <c r="CU12" i="3"/>
  <c r="CY12" i="3"/>
  <c r="CZ12" i="3"/>
  <c r="DA12" i="3"/>
  <c r="DB12" i="3"/>
  <c r="DC12" i="3"/>
  <c r="A13" i="3"/>
  <c r="Y13" i="3"/>
  <c r="CX13" i="3" s="1"/>
  <c r="CY13" i="3"/>
  <c r="CZ13" i="3"/>
  <c r="DB13" i="3" s="1"/>
  <c r="DA13" i="3"/>
  <c r="DC13" i="3"/>
  <c r="DF13" i="3"/>
  <c r="DJ13" i="3" s="1"/>
  <c r="A14" i="3"/>
  <c r="Y14" i="3"/>
  <c r="CX14" i="3"/>
  <c r="CY14" i="3"/>
  <c r="CZ14" i="3"/>
  <c r="DB14" i="3" s="1"/>
  <c r="DA14" i="3"/>
  <c r="DC14" i="3"/>
  <c r="A15" i="3"/>
  <c r="Y15" i="3"/>
  <c r="CX15" i="3" s="1"/>
  <c r="CY15" i="3"/>
  <c r="CZ15" i="3"/>
  <c r="DA15" i="3"/>
  <c r="DB15" i="3"/>
  <c r="DC15" i="3"/>
  <c r="DH15" i="3"/>
  <c r="A16" i="3"/>
  <c r="Y16" i="3"/>
  <c r="CX16" i="3" s="1"/>
  <c r="CY16" i="3"/>
  <c r="CZ16" i="3"/>
  <c r="DA16" i="3"/>
  <c r="DB16" i="3"/>
  <c r="DC16" i="3"/>
  <c r="A17" i="3"/>
  <c r="Y17" i="3"/>
  <c r="CX17" i="3" s="1"/>
  <c r="CY17" i="3"/>
  <c r="CZ17" i="3"/>
  <c r="DB17" i="3" s="1"/>
  <c r="DA17" i="3"/>
  <c r="DC17" i="3"/>
  <c r="A18" i="3"/>
  <c r="Y18" i="3"/>
  <c r="CX18" i="3"/>
  <c r="CY18" i="3"/>
  <c r="CZ18" i="3"/>
  <c r="DB18" i="3" s="1"/>
  <c r="DA18" i="3"/>
  <c r="DC18" i="3"/>
  <c r="DF18" i="3"/>
  <c r="DJ18" i="3" s="1"/>
  <c r="DG18" i="3"/>
  <c r="DH18" i="3"/>
  <c r="DI18" i="3"/>
  <c r="A19" i="3"/>
  <c r="Y19" i="3"/>
  <c r="CX19" i="3" s="1"/>
  <c r="CY19" i="3"/>
  <c r="CZ19" i="3"/>
  <c r="DA19" i="3"/>
  <c r="DB19" i="3"/>
  <c r="DC19" i="3"/>
  <c r="DG19" i="3"/>
  <c r="A20" i="3"/>
  <c r="Y20" i="3"/>
  <c r="CX20" i="3" s="1"/>
  <c r="CY20" i="3"/>
  <c r="CZ20" i="3"/>
  <c r="DA20" i="3"/>
  <c r="DB20" i="3"/>
  <c r="DC20" i="3"/>
  <c r="A21" i="3"/>
  <c r="Y21" i="3"/>
  <c r="CX21" i="3" s="1"/>
  <c r="CY21" i="3"/>
  <c r="CZ21" i="3"/>
  <c r="DA21" i="3"/>
  <c r="DB21" i="3"/>
  <c r="DC21" i="3"/>
  <c r="DG21" i="3"/>
  <c r="A22" i="3"/>
  <c r="Y22" i="3"/>
  <c r="CX22" i="3" s="1"/>
  <c r="CY22" i="3"/>
  <c r="CZ22" i="3"/>
  <c r="DB22" i="3" s="1"/>
  <c r="DA22" i="3"/>
  <c r="DC22" i="3"/>
  <c r="DI22" i="3"/>
  <c r="A23" i="3"/>
  <c r="Y23" i="3"/>
  <c r="CU23" i="3"/>
  <c r="CV23" i="3"/>
  <c r="CX23" i="3"/>
  <c r="CY23" i="3"/>
  <c r="CZ23" i="3"/>
  <c r="DB23" i="3" s="1"/>
  <c r="DA23" i="3"/>
  <c r="DC23" i="3"/>
  <c r="A24" i="3"/>
  <c r="Y24" i="3"/>
  <c r="CW24" i="3" s="1"/>
  <c r="CX24" i="3"/>
  <c r="CY24" i="3"/>
  <c r="CZ24" i="3"/>
  <c r="DA24" i="3"/>
  <c r="DB24" i="3"/>
  <c r="DC24" i="3"/>
  <c r="A25" i="3"/>
  <c r="Y25" i="3"/>
  <c r="CV25" i="3" s="1"/>
  <c r="CU25" i="3"/>
  <c r="CY25" i="3"/>
  <c r="CZ25" i="3"/>
  <c r="DB25" i="3" s="1"/>
  <c r="DA25" i="3"/>
  <c r="DC25" i="3"/>
  <c r="A26" i="3"/>
  <c r="Y26" i="3"/>
  <c r="CY26" i="3"/>
  <c r="CZ26" i="3"/>
  <c r="DA26" i="3"/>
  <c r="DB26" i="3"/>
  <c r="DC26" i="3"/>
  <c r="A27" i="3"/>
  <c r="Y27" i="3"/>
  <c r="CV27" i="3" s="1"/>
  <c r="CU27" i="3"/>
  <c r="CX27" i="3"/>
  <c r="DF27" i="3" s="1"/>
  <c r="CY27" i="3"/>
  <c r="CZ27" i="3"/>
  <c r="DA27" i="3"/>
  <c r="DB27" i="3"/>
  <c r="DC27" i="3"/>
  <c r="DH27" i="3"/>
  <c r="A28" i="3"/>
  <c r="Y28" i="3"/>
  <c r="CX28" i="3"/>
  <c r="DF28" i="3" s="1"/>
  <c r="DJ28" i="3" s="1"/>
  <c r="CY28" i="3"/>
  <c r="CZ28" i="3"/>
  <c r="DA28" i="3"/>
  <c r="DB28" i="3"/>
  <c r="DC28" i="3"/>
  <c r="DG28" i="3"/>
  <c r="DI28" i="3"/>
  <c r="A29" i="3"/>
  <c r="Y29" i="3"/>
  <c r="CU29" i="3"/>
  <c r="CV29" i="3"/>
  <c r="CX29" i="3"/>
  <c r="DG29" i="3" s="1"/>
  <c r="CY29" i="3"/>
  <c r="CZ29" i="3"/>
  <c r="DA29" i="3"/>
  <c r="DB29" i="3"/>
  <c r="DC29" i="3"/>
  <c r="DH29" i="3"/>
  <c r="A30" i="3"/>
  <c r="Y30" i="3"/>
  <c r="CX30" i="3" s="1"/>
  <c r="CY30" i="3"/>
  <c r="CZ30" i="3"/>
  <c r="DB30" i="3" s="1"/>
  <c r="DA30" i="3"/>
  <c r="DC30" i="3"/>
  <c r="DH30" i="3"/>
  <c r="A31" i="3"/>
  <c r="Y31" i="3"/>
  <c r="CU31" i="3"/>
  <c r="CV31" i="3"/>
  <c r="CX31" i="3"/>
  <c r="DF31" i="3" s="1"/>
  <c r="CY31" i="3"/>
  <c r="CZ31" i="3"/>
  <c r="DA31" i="3"/>
  <c r="DB31" i="3"/>
  <c r="DC31" i="3"/>
  <c r="DH31" i="3"/>
  <c r="A32" i="3"/>
  <c r="Y32" i="3"/>
  <c r="CX32" i="3" s="1"/>
  <c r="CY32" i="3"/>
  <c r="CZ32" i="3"/>
  <c r="DA32" i="3"/>
  <c r="DB32" i="3"/>
  <c r="DC32" i="3"/>
  <c r="A33" i="3"/>
  <c r="Y33" i="3"/>
  <c r="CX33" i="3" s="1"/>
  <c r="CY33" i="3"/>
  <c r="CZ33" i="3"/>
  <c r="DA33" i="3"/>
  <c r="DB33" i="3"/>
  <c r="DC33" i="3"/>
  <c r="A34" i="3"/>
  <c r="Y34" i="3"/>
  <c r="CX34" i="3" s="1"/>
  <c r="DF34" i="3" s="1"/>
  <c r="DJ34" i="3" s="1"/>
  <c r="CY34" i="3"/>
  <c r="CZ34" i="3"/>
  <c r="DA34" i="3"/>
  <c r="DB34" i="3"/>
  <c r="DC34" i="3"/>
  <c r="A35" i="3"/>
  <c r="Y35" i="3"/>
  <c r="CX35" i="3"/>
  <c r="CY35" i="3"/>
  <c r="CZ35" i="3"/>
  <c r="DA35" i="3"/>
  <c r="DB35" i="3"/>
  <c r="DC35" i="3"/>
  <c r="DG35" i="3"/>
  <c r="A36" i="3"/>
  <c r="Y36" i="3"/>
  <c r="CX36" i="3"/>
  <c r="CY36" i="3"/>
  <c r="CZ36" i="3"/>
  <c r="DA36" i="3"/>
  <c r="DB36" i="3"/>
  <c r="DC36" i="3"/>
  <c r="A37" i="3"/>
  <c r="Y37" i="3"/>
  <c r="CX37" i="3"/>
  <c r="CY37" i="3"/>
  <c r="CZ37" i="3"/>
  <c r="DB37" i="3" s="1"/>
  <c r="DA37" i="3"/>
  <c r="DC37" i="3"/>
  <c r="A38" i="3"/>
  <c r="Y38" i="3"/>
  <c r="CX38" i="3" s="1"/>
  <c r="CY38" i="3"/>
  <c r="CZ38" i="3"/>
  <c r="DB38" i="3" s="1"/>
  <c r="DA38" i="3"/>
  <c r="DC38" i="3"/>
  <c r="DG38" i="3"/>
  <c r="A39" i="3"/>
  <c r="Y39" i="3"/>
  <c r="CX39" i="3" s="1"/>
  <c r="CY39" i="3"/>
  <c r="CZ39" i="3"/>
  <c r="DA39" i="3"/>
  <c r="DB39" i="3"/>
  <c r="DC39" i="3"/>
  <c r="A40" i="3"/>
  <c r="Y40" i="3"/>
  <c r="CX40" i="3" s="1"/>
  <c r="CY40" i="3"/>
  <c r="CZ40" i="3"/>
  <c r="DB40" i="3" s="1"/>
  <c r="DA40" i="3"/>
  <c r="DC40" i="3"/>
  <c r="DH40" i="3"/>
  <c r="A41" i="3"/>
  <c r="Y41" i="3"/>
  <c r="CX41" i="3" s="1"/>
  <c r="DG41" i="3" s="1"/>
  <c r="CY41" i="3"/>
  <c r="CZ41" i="3"/>
  <c r="DB41" i="3" s="1"/>
  <c r="DA41" i="3"/>
  <c r="DC41" i="3"/>
  <c r="DF41" i="3"/>
  <c r="DJ41" i="3" s="1"/>
  <c r="DH41" i="3"/>
  <c r="A42" i="3"/>
  <c r="Y42" i="3"/>
  <c r="CX42" i="3"/>
  <c r="DG42" i="3" s="1"/>
  <c r="CY42" i="3"/>
  <c r="CZ42" i="3"/>
  <c r="DB42" i="3" s="1"/>
  <c r="DA42" i="3"/>
  <c r="DC42" i="3"/>
  <c r="DF42" i="3"/>
  <c r="DJ42" i="3" s="1"/>
  <c r="DH42" i="3"/>
  <c r="A43" i="3"/>
  <c r="Y43" i="3"/>
  <c r="CX43" i="3" s="1"/>
  <c r="CY43" i="3"/>
  <c r="CZ43" i="3"/>
  <c r="DB43" i="3" s="1"/>
  <c r="DA43" i="3"/>
  <c r="DC43" i="3"/>
  <c r="DG43" i="3"/>
  <c r="A44" i="3"/>
  <c r="Y44" i="3"/>
  <c r="CX44" i="3" s="1"/>
  <c r="CY44" i="3"/>
  <c r="CZ44" i="3"/>
  <c r="DA44" i="3"/>
  <c r="DB44" i="3"/>
  <c r="DC44" i="3"/>
  <c r="DG44" i="3"/>
  <c r="A45" i="3"/>
  <c r="Y45" i="3"/>
  <c r="CX45" i="3" s="1"/>
  <c r="CY45" i="3"/>
  <c r="CZ45" i="3"/>
  <c r="DB45" i="3" s="1"/>
  <c r="DA45" i="3"/>
  <c r="DC45" i="3"/>
  <c r="DG45" i="3"/>
  <c r="A46" i="3"/>
  <c r="Y46" i="3"/>
  <c r="CU46" i="3"/>
  <c r="CV46" i="3"/>
  <c r="CX46" i="3"/>
  <c r="CY46" i="3"/>
  <c r="CZ46" i="3"/>
  <c r="DA46" i="3"/>
  <c r="DB46" i="3"/>
  <c r="DC46" i="3"/>
  <c r="A47" i="3"/>
  <c r="Y47" i="3"/>
  <c r="CX47" i="3"/>
  <c r="CY47" i="3"/>
  <c r="CZ47" i="3"/>
  <c r="DB47" i="3" s="1"/>
  <c r="DA47" i="3"/>
  <c r="DC47" i="3"/>
  <c r="DF47" i="3"/>
  <c r="DJ47" i="3"/>
  <c r="A48" i="3"/>
  <c r="Y48" i="3"/>
  <c r="CX48" i="3"/>
  <c r="CY48" i="3"/>
  <c r="CZ48" i="3"/>
  <c r="DA48" i="3"/>
  <c r="DB48" i="3"/>
  <c r="DC48" i="3"/>
  <c r="DF48" i="3"/>
  <c r="DJ48" i="3"/>
  <c r="A49" i="3"/>
  <c r="Y49" i="3"/>
  <c r="CX49" i="3"/>
  <c r="CY49" i="3"/>
  <c r="CZ49" i="3"/>
  <c r="DA49" i="3"/>
  <c r="DB49" i="3"/>
  <c r="DC49" i="3"/>
  <c r="A50" i="3"/>
  <c r="Y50" i="3"/>
  <c r="CX50" i="3"/>
  <c r="CY50" i="3"/>
  <c r="CZ50" i="3"/>
  <c r="DA50" i="3"/>
  <c r="DB50" i="3"/>
  <c r="DC50" i="3"/>
  <c r="A51" i="3"/>
  <c r="Y51" i="3"/>
  <c r="CX51" i="3" s="1"/>
  <c r="DF51" i="3" s="1"/>
  <c r="DJ51" i="3" s="1"/>
  <c r="CY51" i="3"/>
  <c r="CZ51" i="3"/>
  <c r="DB51" i="3" s="1"/>
  <c r="DA51" i="3"/>
  <c r="DC51" i="3"/>
  <c r="DG51" i="3"/>
  <c r="A52" i="3"/>
  <c r="Y52" i="3"/>
  <c r="CX52" i="3"/>
  <c r="CY52" i="3"/>
  <c r="CZ52" i="3"/>
  <c r="DB52" i="3" s="1"/>
  <c r="DA52" i="3"/>
  <c r="DC52" i="3"/>
  <c r="DG52" i="3"/>
  <c r="A53" i="3"/>
  <c r="Y53" i="3"/>
  <c r="CX53" i="3"/>
  <c r="CY53" i="3"/>
  <c r="CZ53" i="3"/>
  <c r="DA53" i="3"/>
  <c r="DB53" i="3"/>
  <c r="DC53" i="3"/>
  <c r="DF53" i="3"/>
  <c r="DJ53" i="3" s="1"/>
  <c r="DI53" i="3"/>
  <c r="A54" i="3"/>
  <c r="Y54" i="3"/>
  <c r="CX54" i="3"/>
  <c r="CY54" i="3"/>
  <c r="CZ54" i="3"/>
  <c r="DA54" i="3"/>
  <c r="DB54" i="3"/>
  <c r="DC54" i="3"/>
  <c r="A55" i="3"/>
  <c r="Y55" i="3"/>
  <c r="CX55" i="3"/>
  <c r="CY55" i="3"/>
  <c r="CZ55" i="3"/>
  <c r="DA55" i="3"/>
  <c r="DB55" i="3"/>
  <c r="DC55" i="3"/>
  <c r="DF55" i="3"/>
  <c r="DJ55" i="3" s="1"/>
  <c r="A56" i="3"/>
  <c r="Y56" i="3"/>
  <c r="CX56" i="3" s="1"/>
  <c r="DG56" i="3" s="1"/>
  <c r="CY56" i="3"/>
  <c r="CZ56" i="3"/>
  <c r="DB56" i="3" s="1"/>
  <c r="DA56" i="3"/>
  <c r="DC56" i="3"/>
  <c r="DH56" i="3"/>
  <c r="A57" i="3"/>
  <c r="Y57" i="3"/>
  <c r="CX57" i="3"/>
  <c r="DF57" i="3" s="1"/>
  <c r="DJ57" i="3" s="1"/>
  <c r="CY57" i="3"/>
  <c r="CZ57" i="3"/>
  <c r="DB57" i="3" s="1"/>
  <c r="DA57" i="3"/>
  <c r="DC57" i="3"/>
  <c r="DH57" i="3"/>
  <c r="A58" i="3"/>
  <c r="Y58" i="3"/>
  <c r="CX58" i="3" s="1"/>
  <c r="CY58" i="3"/>
  <c r="CZ58" i="3"/>
  <c r="DB58" i="3" s="1"/>
  <c r="DA58" i="3"/>
  <c r="DC58" i="3"/>
  <c r="A59" i="3"/>
  <c r="Y59" i="3"/>
  <c r="CX59" i="3" s="1"/>
  <c r="CY59" i="3"/>
  <c r="CZ59" i="3"/>
  <c r="DB59" i="3" s="1"/>
  <c r="DA59" i="3"/>
  <c r="DC59" i="3"/>
  <c r="DF59" i="3"/>
  <c r="DJ59" i="3" s="1"/>
  <c r="DH59" i="3"/>
  <c r="A60" i="3"/>
  <c r="Y60" i="3"/>
  <c r="CX60" i="3" s="1"/>
  <c r="CY60" i="3"/>
  <c r="CZ60" i="3"/>
  <c r="DB60" i="3" s="1"/>
  <c r="DA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A72" i="3"/>
  <c r="DB72" i="3"/>
  <c r="DC72" i="3"/>
  <c r="A73" i="3"/>
  <c r="Y73" i="3"/>
  <c r="CU73" i="3"/>
  <c r="CV73" i="3"/>
  <c r="CX73" i="3"/>
  <c r="CY73" i="3"/>
  <c r="CZ73" i="3"/>
  <c r="DB73" i="3" s="1"/>
  <c r="DA73" i="3"/>
  <c r="DC73" i="3"/>
  <c r="A74" i="3"/>
  <c r="Y74" i="3"/>
  <c r="CW74" i="3"/>
  <c r="CX74" i="3"/>
  <c r="CY74" i="3"/>
  <c r="CZ74" i="3"/>
  <c r="DA74" i="3"/>
  <c r="DB74" i="3"/>
  <c r="DC74" i="3"/>
  <c r="A75" i="3"/>
  <c r="Y75" i="3"/>
  <c r="CV75" i="3" s="1"/>
  <c r="CU75" i="3"/>
  <c r="CX75" i="3"/>
  <c r="CY75" i="3"/>
  <c r="CZ75" i="3"/>
  <c r="DB75" i="3" s="1"/>
  <c r="DA75" i="3"/>
  <c r="DC75" i="3"/>
  <c r="DF75" i="3"/>
  <c r="DG75" i="3"/>
  <c r="DH75" i="3"/>
  <c r="DI75" i="3"/>
  <c r="DJ75" i="3" s="1"/>
  <c r="A76" i="3"/>
  <c r="Y76" i="3"/>
  <c r="CW76" i="3" s="1"/>
  <c r="CX76" i="3"/>
  <c r="CY76" i="3"/>
  <c r="CZ76" i="3"/>
  <c r="DA76" i="3"/>
  <c r="DB76" i="3"/>
  <c r="DC76" i="3"/>
  <c r="DF76" i="3"/>
  <c r="A77" i="3"/>
  <c r="Y77" i="3"/>
  <c r="CV77" i="3" s="1"/>
  <c r="CU77" i="3"/>
  <c r="CY77" i="3"/>
  <c r="CZ77" i="3"/>
  <c r="DB77" i="3" s="1"/>
  <c r="DA77" i="3"/>
  <c r="DC77" i="3"/>
  <c r="A78" i="3"/>
  <c r="Y78" i="3"/>
  <c r="CX78" i="3" s="1"/>
  <c r="CY78" i="3"/>
  <c r="CZ78" i="3"/>
  <c r="DB78" i="3" s="1"/>
  <c r="DA78" i="3"/>
  <c r="DC78" i="3"/>
  <c r="A79" i="3"/>
  <c r="Y79" i="3"/>
  <c r="CX79" i="3" s="1"/>
  <c r="CY79" i="3"/>
  <c r="CZ79" i="3"/>
  <c r="DB79" i="3" s="1"/>
  <c r="DA79" i="3"/>
  <c r="DC79" i="3"/>
  <c r="A80" i="3"/>
  <c r="Y80" i="3"/>
  <c r="CX80" i="3"/>
  <c r="CY80" i="3"/>
  <c r="CZ80" i="3"/>
  <c r="DA80" i="3"/>
  <c r="DB80" i="3"/>
  <c r="DC80" i="3"/>
  <c r="DF80" i="3"/>
  <c r="DJ80" i="3" s="1"/>
  <c r="DG80" i="3"/>
  <c r="A81" i="3"/>
  <c r="Y81" i="3"/>
  <c r="CX81" i="3"/>
  <c r="DF81" i="3" s="1"/>
  <c r="DJ81" i="3" s="1"/>
  <c r="CY81" i="3"/>
  <c r="CZ81" i="3"/>
  <c r="DA81" i="3"/>
  <c r="DB81" i="3"/>
  <c r="DC81" i="3"/>
  <c r="A82" i="3"/>
  <c r="Y82" i="3"/>
  <c r="CX82" i="3"/>
  <c r="CY82" i="3"/>
  <c r="CZ82" i="3"/>
  <c r="DA82" i="3"/>
  <c r="DB82" i="3"/>
  <c r="DC82" i="3"/>
  <c r="DG82" i="3"/>
  <c r="DH82" i="3"/>
  <c r="A83" i="3"/>
  <c r="Y83" i="3"/>
  <c r="CX83" i="3" s="1"/>
  <c r="DI83" i="3" s="1"/>
  <c r="CY83" i="3"/>
  <c r="CZ83" i="3"/>
  <c r="DA83" i="3"/>
  <c r="DB83" i="3"/>
  <c r="DC83" i="3"/>
  <c r="DF83" i="3"/>
  <c r="DJ83" i="3" s="1"/>
  <c r="DG83" i="3"/>
  <c r="DH83" i="3"/>
  <c r="A84" i="3"/>
  <c r="Y84" i="3"/>
  <c r="CU84" i="3"/>
  <c r="CV84" i="3"/>
  <c r="CX84" i="3"/>
  <c r="DI84" i="3" s="1"/>
  <c r="CY84" i="3"/>
  <c r="CZ84" i="3"/>
  <c r="DA84" i="3"/>
  <c r="DB84" i="3"/>
  <c r="DC84" i="3"/>
  <c r="DG84" i="3"/>
  <c r="DH84" i="3"/>
  <c r="DJ84" i="3"/>
  <c r="A85" i="3"/>
  <c r="Y85" i="3"/>
  <c r="CX85" i="3"/>
  <c r="DH85" i="3" s="1"/>
  <c r="CY85" i="3"/>
  <c r="CZ85" i="3"/>
  <c r="DB85" i="3" s="1"/>
  <c r="DA85" i="3"/>
  <c r="DC85" i="3"/>
  <c r="DG85" i="3"/>
  <c r="DI85" i="3"/>
  <c r="A86" i="3"/>
  <c r="Y86" i="3"/>
  <c r="CX86" i="3" s="1"/>
  <c r="DG86" i="3" s="1"/>
  <c r="CY86" i="3"/>
  <c r="CZ86" i="3"/>
  <c r="DB86" i="3" s="1"/>
  <c r="DA86" i="3"/>
  <c r="DC86" i="3"/>
  <c r="DF86" i="3"/>
  <c r="DJ86" i="3" s="1"/>
  <c r="DI86" i="3"/>
  <c r="A87" i="3"/>
  <c r="Y87" i="3"/>
  <c r="CX87" i="3"/>
  <c r="DF87" i="3" s="1"/>
  <c r="CY87" i="3"/>
  <c r="CZ87" i="3"/>
  <c r="DB87" i="3" s="1"/>
  <c r="DA87" i="3"/>
  <c r="DC87" i="3"/>
  <c r="DG87" i="3"/>
  <c r="DI87" i="3"/>
  <c r="DJ87" i="3"/>
  <c r="A88" i="3"/>
  <c r="Y88" i="3"/>
  <c r="CX88" i="3" s="1"/>
  <c r="CY88" i="3"/>
  <c r="CZ88" i="3"/>
  <c r="DB88" i="3" s="1"/>
  <c r="DA88" i="3"/>
  <c r="DC88" i="3"/>
  <c r="DF88" i="3"/>
  <c r="DJ88" i="3" s="1"/>
  <c r="DI88" i="3"/>
  <c r="A89" i="3"/>
  <c r="Y89" i="3"/>
  <c r="CX89" i="3" s="1"/>
  <c r="CY89" i="3"/>
  <c r="CZ89" i="3"/>
  <c r="DB89" i="3" s="1"/>
  <c r="DA89" i="3"/>
  <c r="DC89" i="3"/>
  <c r="DF89" i="3"/>
  <c r="DJ89" i="3" s="1"/>
  <c r="A90" i="3"/>
  <c r="Y90" i="3"/>
  <c r="CX90" i="3"/>
  <c r="CY90" i="3"/>
  <c r="CZ90" i="3"/>
  <c r="DA90" i="3"/>
  <c r="DB90" i="3"/>
  <c r="DC90" i="3"/>
  <c r="A91" i="3"/>
  <c r="Y91" i="3"/>
  <c r="CX91" i="3" s="1"/>
  <c r="DG91" i="3" s="1"/>
  <c r="CU91" i="3"/>
  <c r="CY91" i="3"/>
  <c r="CZ91" i="3"/>
  <c r="DB91" i="3" s="1"/>
  <c r="DA91" i="3"/>
  <c r="DC91" i="3"/>
  <c r="DF91" i="3"/>
  <c r="DI91" i="3"/>
  <c r="DJ91" i="3" s="1"/>
  <c r="A92" i="3"/>
  <c r="Y92" i="3"/>
  <c r="CX92" i="3"/>
  <c r="DG92" i="3" s="1"/>
  <c r="CY92" i="3"/>
  <c r="CZ92" i="3"/>
  <c r="DB92" i="3" s="1"/>
  <c r="DA92" i="3"/>
  <c r="DC92" i="3"/>
  <c r="DF92" i="3"/>
  <c r="DJ92" i="3" s="1"/>
  <c r="DH92" i="3"/>
  <c r="DI92" i="3"/>
  <c r="A93" i="3"/>
  <c r="Y93" i="3"/>
  <c r="CX93" i="3"/>
  <c r="DF93" i="3" s="1"/>
  <c r="DJ93" i="3" s="1"/>
  <c r="CY93" i="3"/>
  <c r="CZ93" i="3"/>
  <c r="DB93" i="3" s="1"/>
  <c r="DA93" i="3"/>
  <c r="DC93" i="3"/>
  <c r="DG93" i="3"/>
  <c r="DH93" i="3"/>
  <c r="DI93" i="3"/>
  <c r="A94" i="3"/>
  <c r="Y94" i="3"/>
  <c r="CX94" i="3"/>
  <c r="DI94" i="3" s="1"/>
  <c r="CY94" i="3"/>
  <c r="CZ94" i="3"/>
  <c r="DA94" i="3"/>
  <c r="DB94" i="3"/>
  <c r="DC94" i="3"/>
  <c r="DG94" i="3"/>
  <c r="DH94" i="3"/>
  <c r="A95" i="3"/>
  <c r="Y95" i="3"/>
  <c r="CX95" i="3"/>
  <c r="DH95" i="3" s="1"/>
  <c r="CY95" i="3"/>
  <c r="CZ95" i="3"/>
  <c r="DB95" i="3" s="1"/>
  <c r="DA95" i="3"/>
  <c r="DC95" i="3"/>
  <c r="DG95" i="3"/>
  <c r="DI95" i="3"/>
  <c r="A96" i="3"/>
  <c r="Y96" i="3"/>
  <c r="CX96" i="3" s="1"/>
  <c r="DG96" i="3" s="1"/>
  <c r="CY96" i="3"/>
  <c r="CZ96" i="3"/>
  <c r="DA96" i="3"/>
  <c r="DB96" i="3"/>
  <c r="DC96" i="3"/>
  <c r="DF96" i="3"/>
  <c r="DI96" i="3"/>
  <c r="DJ96" i="3"/>
  <c r="A97" i="3"/>
  <c r="Y97" i="3"/>
  <c r="CX97" i="3"/>
  <c r="DF97" i="3" s="1"/>
  <c r="CY97" i="3"/>
  <c r="CZ97" i="3"/>
  <c r="DB97" i="3" s="1"/>
  <c r="DA97" i="3"/>
  <c r="DC97" i="3"/>
  <c r="DG97" i="3"/>
  <c r="DI97" i="3"/>
  <c r="DJ97" i="3"/>
  <c r="A98" i="3"/>
  <c r="Y98" i="3"/>
  <c r="CX98" i="3" s="1"/>
  <c r="CY98" i="3"/>
  <c r="CZ98" i="3"/>
  <c r="DB98" i="3" s="1"/>
  <c r="DA98" i="3"/>
  <c r="DC98" i="3"/>
  <c r="DF98" i="3"/>
  <c r="DJ98" i="3" s="1"/>
  <c r="DI98" i="3"/>
  <c r="A99" i="3"/>
  <c r="Y99" i="3"/>
  <c r="CX99" i="3" s="1"/>
  <c r="CY99" i="3"/>
  <c r="CZ99" i="3"/>
  <c r="DB99" i="3" s="1"/>
  <c r="DA99" i="3"/>
  <c r="DC99" i="3"/>
  <c r="DF99" i="3"/>
  <c r="DJ99" i="3" s="1"/>
  <c r="DG99" i="3"/>
  <c r="A100" i="3"/>
  <c r="Y100" i="3"/>
  <c r="CX100" i="3"/>
  <c r="CY100" i="3"/>
  <c r="CZ100" i="3"/>
  <c r="DA100" i="3"/>
  <c r="DB100" i="3"/>
  <c r="DC100" i="3"/>
  <c r="A101" i="3"/>
  <c r="Y101" i="3"/>
  <c r="CX101" i="3"/>
  <c r="CY101" i="3"/>
  <c r="CZ101" i="3"/>
  <c r="DA101" i="3"/>
  <c r="DB101" i="3"/>
  <c r="DC101" i="3"/>
  <c r="DH101" i="3"/>
  <c r="A102" i="3"/>
  <c r="Y102" i="3"/>
  <c r="CV102" i="3" s="1"/>
  <c r="CU102" i="3"/>
  <c r="CY102" i="3"/>
  <c r="CZ102" i="3"/>
  <c r="DB102" i="3" s="1"/>
  <c r="DA102" i="3"/>
  <c r="DC102" i="3"/>
  <c r="A103" i="3"/>
  <c r="Y103" i="3"/>
  <c r="CX103" i="3" s="1"/>
  <c r="DF103" i="3" s="1"/>
  <c r="DJ103" i="3" s="1"/>
  <c r="CY103" i="3"/>
  <c r="CZ103" i="3"/>
  <c r="DA103" i="3"/>
  <c r="DB103" i="3"/>
  <c r="DC103" i="3"/>
  <c r="A104" i="3"/>
  <c r="Y104" i="3"/>
  <c r="CX104" i="3" s="1"/>
  <c r="CY104" i="3"/>
  <c r="CZ104" i="3"/>
  <c r="DA104" i="3"/>
  <c r="DB104" i="3"/>
  <c r="DC104" i="3"/>
  <c r="A105" i="3"/>
  <c r="Y105" i="3"/>
  <c r="CX105" i="3" s="1"/>
  <c r="CY105" i="3"/>
  <c r="CZ105" i="3"/>
  <c r="DB105" i="3" s="1"/>
  <c r="DA105" i="3"/>
  <c r="DC105" i="3"/>
  <c r="DF105" i="3"/>
  <c r="DJ105" i="3" s="1"/>
  <c r="A106" i="3"/>
  <c r="Y106" i="3"/>
  <c r="CX106" i="3" s="1"/>
  <c r="CY106" i="3"/>
  <c r="CZ106" i="3"/>
  <c r="DA106" i="3"/>
  <c r="DB106" i="3"/>
  <c r="DC106" i="3"/>
  <c r="DF106" i="3"/>
  <c r="DJ106" i="3" s="1"/>
  <c r="A107" i="3"/>
  <c r="Y107" i="3"/>
  <c r="CX107" i="3"/>
  <c r="CY107" i="3"/>
  <c r="CZ107" i="3"/>
  <c r="DA107" i="3"/>
  <c r="DB107" i="3"/>
  <c r="DC107" i="3"/>
  <c r="DG107" i="3"/>
  <c r="DH107" i="3"/>
  <c r="A108" i="3"/>
  <c r="Y108" i="3"/>
  <c r="CX108" i="3"/>
  <c r="CY108" i="3"/>
  <c r="CZ108" i="3"/>
  <c r="DA108" i="3"/>
  <c r="DB108" i="3"/>
  <c r="DC108" i="3"/>
  <c r="DF108" i="3"/>
  <c r="DJ108" i="3" s="1"/>
  <c r="DG108" i="3"/>
  <c r="A109" i="3"/>
  <c r="Y109" i="3"/>
  <c r="CX109" i="3"/>
  <c r="CY109" i="3"/>
  <c r="CZ109" i="3"/>
  <c r="DB109" i="3" s="1"/>
  <c r="DA109" i="3"/>
  <c r="DC109" i="3"/>
  <c r="A110" i="3"/>
  <c r="Y110" i="3"/>
  <c r="CX110" i="3" s="1"/>
  <c r="CY110" i="3"/>
  <c r="CZ110" i="3"/>
  <c r="DA110" i="3"/>
  <c r="DB110" i="3"/>
  <c r="DC110" i="3"/>
  <c r="A111" i="3"/>
  <c r="Y111" i="3"/>
  <c r="CX111" i="3" s="1"/>
  <c r="CY111" i="3"/>
  <c r="CZ111" i="3"/>
  <c r="DA111" i="3"/>
  <c r="DB111" i="3"/>
  <c r="DC111" i="3"/>
  <c r="A112" i="3"/>
  <c r="Y112" i="3"/>
  <c r="CX112" i="3" s="1"/>
  <c r="CY112" i="3"/>
  <c r="CZ112" i="3"/>
  <c r="DA112" i="3"/>
  <c r="DB112" i="3"/>
  <c r="DC112" i="3"/>
  <c r="A113" i="3"/>
  <c r="Y113" i="3"/>
  <c r="CX113" i="3" s="1"/>
  <c r="CU113" i="3"/>
  <c r="CY113" i="3"/>
  <c r="CZ113" i="3"/>
  <c r="DA113" i="3"/>
  <c r="DB113" i="3"/>
  <c r="DC113" i="3"/>
  <c r="DI113" i="3"/>
  <c r="DJ113" i="3" s="1"/>
  <c r="A114" i="3"/>
  <c r="Y114" i="3"/>
  <c r="CX114" i="3" s="1"/>
  <c r="CY114" i="3"/>
  <c r="CZ114" i="3"/>
  <c r="DA114" i="3"/>
  <c r="DB114" i="3"/>
  <c r="DC114" i="3"/>
  <c r="DF114" i="3"/>
  <c r="DJ114" i="3" s="1"/>
  <c r="A115" i="3"/>
  <c r="Y115" i="3"/>
  <c r="CU115" i="3"/>
  <c r="CY115" i="3"/>
  <c r="CZ115" i="3"/>
  <c r="DA115" i="3"/>
  <c r="DB115" i="3"/>
  <c r="DC115" i="3"/>
  <c r="A116" i="3"/>
  <c r="Y116" i="3"/>
  <c r="CX116" i="3"/>
  <c r="DF116" i="3" s="1"/>
  <c r="DJ116" i="3" s="1"/>
  <c r="CY116" i="3"/>
  <c r="CZ116" i="3"/>
  <c r="DB116" i="3" s="1"/>
  <c r="DA116" i="3"/>
  <c r="DC116" i="3"/>
  <c r="DG116" i="3"/>
  <c r="DH116" i="3"/>
  <c r="DI116" i="3"/>
  <c r="A117" i="3"/>
  <c r="Y117" i="3"/>
  <c r="CU117" i="3"/>
  <c r="CV117" i="3"/>
  <c r="CX117" i="3"/>
  <c r="DG117" i="3" s="1"/>
  <c r="CY117" i="3"/>
  <c r="CZ117" i="3"/>
  <c r="DA117" i="3"/>
  <c r="DB117" i="3"/>
  <c r="DC117" i="3"/>
  <c r="DF117" i="3"/>
  <c r="DH117" i="3"/>
  <c r="DI117" i="3"/>
  <c r="DJ117" i="3" s="1"/>
  <c r="A118" i="3"/>
  <c r="Y118" i="3"/>
  <c r="CX118" i="3" s="1"/>
  <c r="CY118" i="3"/>
  <c r="CZ118" i="3"/>
  <c r="DB118" i="3" s="1"/>
  <c r="DA118" i="3"/>
  <c r="DC118" i="3"/>
  <c r="A119" i="3"/>
  <c r="Y119" i="3"/>
  <c r="CX119" i="3" s="1"/>
  <c r="DF119" i="3" s="1"/>
  <c r="DJ119" i="3" s="1"/>
  <c r="CY119" i="3"/>
  <c r="CZ119" i="3"/>
  <c r="DB119" i="3" s="1"/>
  <c r="DA119" i="3"/>
  <c r="DC119" i="3"/>
  <c r="DH119" i="3"/>
  <c r="DI119" i="3"/>
  <c r="A120" i="3"/>
  <c r="Y120" i="3"/>
  <c r="CX120" i="3"/>
  <c r="DG120" i="3" s="1"/>
  <c r="CY120" i="3"/>
  <c r="CZ120" i="3"/>
  <c r="DB120" i="3" s="1"/>
  <c r="DA120" i="3"/>
  <c r="DC120" i="3"/>
  <c r="DF120" i="3"/>
  <c r="DJ120" i="3" s="1"/>
  <c r="DI120" i="3"/>
  <c r="A121" i="3"/>
  <c r="Y121" i="3"/>
  <c r="CX121" i="3" s="1"/>
  <c r="CY121" i="3"/>
  <c r="CZ121" i="3"/>
  <c r="DB121" i="3" s="1"/>
  <c r="DA121" i="3"/>
  <c r="DC121" i="3"/>
  <c r="A122" i="3"/>
  <c r="Y122" i="3"/>
  <c r="CX122" i="3" s="1"/>
  <c r="CY122" i="3"/>
  <c r="CZ122" i="3"/>
  <c r="DA122" i="3"/>
  <c r="DB122" i="3"/>
  <c r="DC122" i="3"/>
  <c r="A123" i="3"/>
  <c r="Y123" i="3"/>
  <c r="CX123" i="3"/>
  <c r="DH123" i="3" s="1"/>
  <c r="CY123" i="3"/>
  <c r="CZ123" i="3"/>
  <c r="DB123" i="3" s="1"/>
  <c r="DA123" i="3"/>
  <c r="DC123" i="3"/>
  <c r="DF123" i="3"/>
  <c r="DJ123" i="3" s="1"/>
  <c r="DG123" i="3"/>
  <c r="A124" i="3"/>
  <c r="Y124" i="3"/>
  <c r="CX124" i="3" s="1"/>
  <c r="DG124" i="3" s="1"/>
  <c r="CY124" i="3"/>
  <c r="CZ124" i="3"/>
  <c r="DA124" i="3"/>
  <c r="DB124" i="3"/>
  <c r="DC124" i="3"/>
  <c r="DI124" i="3"/>
  <c r="A125" i="3"/>
  <c r="Y125" i="3"/>
  <c r="CX125" i="3"/>
  <c r="DF125" i="3" s="1"/>
  <c r="CY125" i="3"/>
  <c r="CZ125" i="3"/>
  <c r="DA125" i="3"/>
  <c r="DB125" i="3"/>
  <c r="DC125" i="3"/>
  <c r="DI125" i="3"/>
  <c r="DJ125" i="3"/>
  <c r="A126" i="3"/>
  <c r="Y126" i="3"/>
  <c r="CX126" i="3"/>
  <c r="DF126" i="3" s="1"/>
  <c r="DJ126" i="3" s="1"/>
  <c r="CY126" i="3"/>
  <c r="CZ126" i="3"/>
  <c r="DA126" i="3"/>
  <c r="DB126" i="3"/>
  <c r="DC126" i="3"/>
  <c r="DH126" i="3"/>
  <c r="DI126" i="3"/>
  <c r="A127" i="3"/>
  <c r="Y127" i="3"/>
  <c r="CX127" i="3"/>
  <c r="DG127" i="3" s="1"/>
  <c r="CY127" i="3"/>
  <c r="CZ127" i="3"/>
  <c r="DB127" i="3" s="1"/>
  <c r="DA127" i="3"/>
  <c r="DC127" i="3"/>
  <c r="A128" i="3"/>
  <c r="Y128" i="3"/>
  <c r="CX128" i="3"/>
  <c r="CY128" i="3"/>
  <c r="CZ128" i="3"/>
  <c r="DB128" i="3" s="1"/>
  <c r="DA128" i="3"/>
  <c r="DC128" i="3"/>
  <c r="DG128" i="3"/>
  <c r="DI128" i="3"/>
  <c r="A129" i="3"/>
  <c r="Y129" i="3"/>
  <c r="CX129" i="3"/>
  <c r="CY129" i="3"/>
  <c r="CZ129" i="3"/>
  <c r="DA129" i="3"/>
  <c r="DB129" i="3"/>
  <c r="DC129" i="3"/>
  <c r="A130" i="3"/>
  <c r="Y130" i="3"/>
  <c r="CX130" i="3"/>
  <c r="CY130" i="3"/>
  <c r="CZ130" i="3"/>
  <c r="DA130" i="3"/>
  <c r="DB130" i="3"/>
  <c r="DC130" i="3"/>
  <c r="A131" i="3"/>
  <c r="Y131" i="3"/>
  <c r="CX131" i="3" s="1"/>
  <c r="DG131" i="3" s="1"/>
  <c r="CY131" i="3"/>
  <c r="CZ131" i="3"/>
  <c r="DB131" i="3" s="1"/>
  <c r="DA131" i="3"/>
  <c r="DC131" i="3"/>
  <c r="DF131" i="3"/>
  <c r="DJ131" i="3" s="1"/>
  <c r="DH131" i="3"/>
  <c r="DI131" i="3"/>
  <c r="A132" i="3"/>
  <c r="Y132" i="3"/>
  <c r="CU132" i="3"/>
  <c r="CV132" i="3"/>
  <c r="CX132" i="3"/>
  <c r="CY132" i="3"/>
  <c r="CZ132" i="3"/>
  <c r="DA132" i="3"/>
  <c r="DB132" i="3"/>
  <c r="DC132" i="3"/>
  <c r="A133" i="3"/>
  <c r="Y133" i="3"/>
  <c r="CX133" i="3" s="1"/>
  <c r="CY133" i="3"/>
  <c r="CZ133" i="3"/>
  <c r="DB133" i="3" s="1"/>
  <c r="DA133" i="3"/>
  <c r="DC133" i="3"/>
  <c r="A134" i="3"/>
  <c r="Y134" i="3"/>
  <c r="CX134" i="3" s="1"/>
  <c r="DG134" i="3" s="1"/>
  <c r="CY134" i="3"/>
  <c r="CZ134" i="3"/>
  <c r="DA134" i="3"/>
  <c r="DB134" i="3"/>
  <c r="DC134" i="3"/>
  <c r="DI134" i="3"/>
  <c r="A135" i="3"/>
  <c r="Y135" i="3"/>
  <c r="CX135" i="3"/>
  <c r="DF135" i="3" s="1"/>
  <c r="DJ135" i="3" s="1"/>
  <c r="CY135" i="3"/>
  <c r="CZ135" i="3"/>
  <c r="DA135" i="3"/>
  <c r="DB135" i="3"/>
  <c r="DC135" i="3"/>
  <c r="DI135" i="3"/>
  <c r="A136" i="3"/>
  <c r="Y136" i="3"/>
  <c r="CX136" i="3" s="1"/>
  <c r="DH136" i="3" s="1"/>
  <c r="CY136" i="3"/>
  <c r="CZ136" i="3"/>
  <c r="DA136" i="3"/>
  <c r="DB136" i="3"/>
  <c r="DC136" i="3"/>
  <c r="A137" i="3"/>
  <c r="Y137" i="3"/>
  <c r="CX137" i="3" s="1"/>
  <c r="CY137" i="3"/>
  <c r="CZ137" i="3"/>
  <c r="DB137" i="3" s="1"/>
  <c r="DA137" i="3"/>
  <c r="DC137" i="3"/>
  <c r="A138" i="3"/>
  <c r="Y138" i="3"/>
  <c r="CX138" i="3"/>
  <c r="DG138" i="3" s="1"/>
  <c r="CY138" i="3"/>
  <c r="CZ138" i="3"/>
  <c r="DB138" i="3" s="1"/>
  <c r="DA138" i="3"/>
  <c r="DC138" i="3"/>
  <c r="DF138" i="3"/>
  <c r="DJ138" i="3" s="1"/>
  <c r="DI138" i="3"/>
  <c r="A139" i="3"/>
  <c r="Y139" i="3"/>
  <c r="CX139" i="3"/>
  <c r="DI139" i="3" s="1"/>
  <c r="CY139" i="3"/>
  <c r="CZ139" i="3"/>
  <c r="DA139" i="3"/>
  <c r="DB139" i="3"/>
  <c r="DC139" i="3"/>
  <c r="DF139" i="3"/>
  <c r="DJ139" i="3" s="1"/>
  <c r="A140" i="3"/>
  <c r="Y140" i="3"/>
  <c r="CX140" i="3"/>
  <c r="DH140" i="3" s="1"/>
  <c r="CY140" i="3"/>
  <c r="CZ140" i="3"/>
  <c r="DB140" i="3" s="1"/>
  <c r="DA140" i="3"/>
  <c r="DC140" i="3"/>
  <c r="DF140" i="3"/>
  <c r="DJ140" i="3"/>
  <c r="A141" i="3"/>
  <c r="Y141" i="3"/>
  <c r="CX141" i="3" s="1"/>
  <c r="DH141" i="3" s="1"/>
  <c r="CY141" i="3"/>
  <c r="CZ141" i="3"/>
  <c r="DB141" i="3" s="1"/>
  <c r="DA141" i="3"/>
  <c r="DC141" i="3"/>
  <c r="DF141" i="3"/>
  <c r="DJ141" i="3" s="1"/>
  <c r="DG141" i="3"/>
  <c r="A142" i="3"/>
  <c r="Y142" i="3"/>
  <c r="CX142" i="3"/>
  <c r="DG142" i="3" s="1"/>
  <c r="CY142" i="3"/>
  <c r="CZ142" i="3"/>
  <c r="DA142" i="3"/>
  <c r="DB142" i="3"/>
  <c r="DC142" i="3"/>
  <c r="DF142" i="3"/>
  <c r="DJ142" i="3" s="1"/>
  <c r="DH142" i="3"/>
  <c r="A143" i="3"/>
  <c r="Y143" i="3"/>
  <c r="CX143" i="3"/>
  <c r="DF143" i="3" s="1"/>
  <c r="DJ143" i="3" s="1"/>
  <c r="CY143" i="3"/>
  <c r="CZ143" i="3"/>
  <c r="DB143" i="3" s="1"/>
  <c r="DA143" i="3"/>
  <c r="DC143" i="3"/>
  <c r="DG143" i="3"/>
  <c r="DH143" i="3"/>
  <c r="A144" i="3"/>
  <c r="Y144" i="3"/>
  <c r="CX144" i="3" s="1"/>
  <c r="DI144" i="3" s="1"/>
  <c r="CY144" i="3"/>
  <c r="CZ144" i="3"/>
  <c r="DB144" i="3" s="1"/>
  <c r="DA144" i="3"/>
  <c r="DC144" i="3"/>
  <c r="DF144" i="3"/>
  <c r="DJ144" i="3" s="1"/>
  <c r="DG144" i="3"/>
  <c r="DH144" i="3"/>
  <c r="A145" i="3"/>
  <c r="Y145" i="3"/>
  <c r="CX145" i="3"/>
  <c r="DI145" i="3" s="1"/>
  <c r="CY145" i="3"/>
  <c r="CZ145" i="3"/>
  <c r="DB145" i="3" s="1"/>
  <c r="DA145" i="3"/>
  <c r="DC145" i="3"/>
  <c r="DF145" i="3"/>
  <c r="DJ145" i="3" s="1"/>
  <c r="DG145" i="3"/>
  <c r="DH145" i="3"/>
  <c r="A146" i="3"/>
  <c r="Y146" i="3"/>
  <c r="CX146" i="3"/>
  <c r="DH146" i="3" s="1"/>
  <c r="CY146" i="3"/>
  <c r="CZ146" i="3"/>
  <c r="DB146" i="3" s="1"/>
  <c r="DA146" i="3"/>
  <c r="DC146" i="3"/>
  <c r="DF146" i="3"/>
  <c r="DJ146" i="3" s="1"/>
  <c r="DG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A156" i="3"/>
  <c r="DB156" i="3"/>
  <c r="DC156" i="3"/>
  <c r="A157" i="3"/>
  <c r="Y157" i="3"/>
  <c r="CU157" i="3"/>
  <c r="CV157" i="3"/>
  <c r="CX157" i="3"/>
  <c r="DI157" i="3" s="1"/>
  <c r="DJ157" i="3" s="1"/>
  <c r="CY157" i="3"/>
  <c r="CZ157" i="3"/>
  <c r="DB157" i="3" s="1"/>
  <c r="DA157" i="3"/>
  <c r="DC157" i="3"/>
  <c r="DF157" i="3"/>
  <c r="DG157" i="3"/>
  <c r="DH157" i="3"/>
  <c r="A158" i="3"/>
  <c r="Y158" i="3"/>
  <c r="CX158" i="3"/>
  <c r="DH158" i="3" s="1"/>
  <c r="CY158" i="3"/>
  <c r="CZ158" i="3"/>
  <c r="DB158" i="3" s="1"/>
  <c r="DA158" i="3"/>
  <c r="DC158" i="3"/>
  <c r="DF158" i="3"/>
  <c r="DJ158" i="3" s="1"/>
  <c r="DG158" i="3"/>
  <c r="A159" i="3"/>
  <c r="Y159" i="3"/>
  <c r="CX159" i="3"/>
  <c r="CY159" i="3"/>
  <c r="CZ159" i="3"/>
  <c r="DA159" i="3"/>
  <c r="DB159" i="3"/>
  <c r="DC159" i="3"/>
  <c r="DF159" i="3"/>
  <c r="DJ159" i="3" s="1"/>
  <c r="DI159" i="3"/>
  <c r="A160" i="3"/>
  <c r="Y160" i="3"/>
  <c r="CX160" i="3" s="1"/>
  <c r="CY160" i="3"/>
  <c r="CZ160" i="3"/>
  <c r="DA160" i="3"/>
  <c r="DB160" i="3"/>
  <c r="DC160" i="3"/>
  <c r="DH160" i="3"/>
  <c r="A161" i="3"/>
  <c r="Y161" i="3"/>
  <c r="CX161" i="3" s="1"/>
  <c r="CY161" i="3"/>
  <c r="CZ161" i="3"/>
  <c r="DA161" i="3"/>
  <c r="DB161" i="3"/>
  <c r="DC161" i="3"/>
  <c r="DG161" i="3"/>
  <c r="A162" i="3"/>
  <c r="Y162" i="3"/>
  <c r="CX162" i="3"/>
  <c r="DG162" i="3" s="1"/>
  <c r="CY162" i="3"/>
  <c r="CZ162" i="3"/>
  <c r="DB162" i="3" s="1"/>
  <c r="DA162" i="3"/>
  <c r="DC162" i="3"/>
  <c r="DF162" i="3"/>
  <c r="DJ162" i="3" s="1"/>
  <c r="DI162" i="3"/>
  <c r="A163" i="3"/>
  <c r="Y163" i="3"/>
  <c r="CX163" i="3"/>
  <c r="DF163" i="3" s="1"/>
  <c r="DJ163" i="3" s="1"/>
  <c r="CY163" i="3"/>
  <c r="CZ163" i="3"/>
  <c r="DB163" i="3" s="1"/>
  <c r="DA163" i="3"/>
  <c r="DC163" i="3"/>
  <c r="DH163" i="3"/>
  <c r="DI163" i="3"/>
  <c r="A164" i="3"/>
  <c r="Y164" i="3"/>
  <c r="CX164" i="3"/>
  <c r="CY164" i="3"/>
  <c r="CZ164" i="3"/>
  <c r="DA164" i="3"/>
  <c r="DB164" i="3"/>
  <c r="DC164" i="3"/>
  <c r="DG164" i="3"/>
  <c r="A165" i="3"/>
  <c r="Y165" i="3"/>
  <c r="CX165" i="3"/>
  <c r="DF165" i="3" s="1"/>
  <c r="DJ165" i="3" s="1"/>
  <c r="CY165" i="3"/>
  <c r="CZ165" i="3"/>
  <c r="DB165" i="3" s="1"/>
  <c r="DA165" i="3"/>
  <c r="DC165" i="3"/>
  <c r="A166" i="3"/>
  <c r="Y166" i="3"/>
  <c r="CX166" i="3" s="1"/>
  <c r="CY166" i="3"/>
  <c r="CZ166" i="3"/>
  <c r="DB166" i="3" s="1"/>
  <c r="DA166" i="3"/>
  <c r="DC166" i="3"/>
  <c r="A167" i="3"/>
  <c r="Y167" i="3"/>
  <c r="CX167" i="3"/>
  <c r="CY167" i="3"/>
  <c r="CZ167" i="3"/>
  <c r="DA167" i="3"/>
  <c r="DB167" i="3"/>
  <c r="DC167" i="3"/>
  <c r="DF167" i="3"/>
  <c r="DG167" i="3"/>
  <c r="DH167" i="3"/>
  <c r="DI167" i="3"/>
  <c r="DJ167" i="3"/>
  <c r="A168" i="3"/>
  <c r="Y168" i="3"/>
  <c r="CV168" i="3" s="1"/>
  <c r="CU168" i="3"/>
  <c r="CX168" i="3"/>
  <c r="DH168" i="3" s="1"/>
  <c r="CY168" i="3"/>
  <c r="CZ168" i="3"/>
  <c r="DB168" i="3" s="1"/>
  <c r="DA168" i="3"/>
  <c r="DC168" i="3"/>
  <c r="DF168" i="3"/>
  <c r="DG168" i="3"/>
  <c r="A169" i="3"/>
  <c r="Y169" i="3"/>
  <c r="CX169" i="3"/>
  <c r="CY169" i="3"/>
  <c r="CZ169" i="3"/>
  <c r="DA169" i="3"/>
  <c r="DB169" i="3"/>
  <c r="DC169" i="3"/>
  <c r="DI169" i="3"/>
  <c r="A170" i="3"/>
  <c r="Y170" i="3"/>
  <c r="CX170" i="3" s="1"/>
  <c r="CY170" i="3"/>
  <c r="CZ170" i="3"/>
  <c r="DA170" i="3"/>
  <c r="DB170" i="3"/>
  <c r="DC170" i="3"/>
  <c r="A171" i="3"/>
  <c r="Y171" i="3"/>
  <c r="CX171" i="3" s="1"/>
  <c r="CY171" i="3"/>
  <c r="CZ171" i="3"/>
  <c r="DA171" i="3"/>
  <c r="DB171" i="3"/>
  <c r="DC171" i="3"/>
  <c r="DG171" i="3"/>
  <c r="A172" i="3"/>
  <c r="Y172" i="3"/>
  <c r="CX172" i="3"/>
  <c r="DG172" i="3" s="1"/>
  <c r="CY172" i="3"/>
  <c r="CZ172" i="3"/>
  <c r="DB172" i="3" s="1"/>
  <c r="DA172" i="3"/>
  <c r="DC172" i="3"/>
  <c r="DF172" i="3"/>
  <c r="DI172" i="3"/>
  <c r="DJ172" i="3"/>
  <c r="A173" i="3"/>
  <c r="Y173" i="3"/>
  <c r="CX173" i="3"/>
  <c r="DF173" i="3" s="1"/>
  <c r="DJ173" i="3" s="1"/>
  <c r="CY173" i="3"/>
  <c r="CZ173" i="3"/>
  <c r="DB173" i="3" s="1"/>
  <c r="DA173" i="3"/>
  <c r="DC173" i="3"/>
  <c r="DH173" i="3"/>
  <c r="DI173" i="3"/>
  <c r="A174" i="3"/>
  <c r="Y174" i="3"/>
  <c r="CX174" i="3"/>
  <c r="CY174" i="3"/>
  <c r="CZ174" i="3"/>
  <c r="DA174" i="3"/>
  <c r="DB174" i="3"/>
  <c r="DC174" i="3"/>
  <c r="DG174" i="3"/>
  <c r="A175" i="3"/>
  <c r="Y175" i="3"/>
  <c r="CX175" i="3" s="1"/>
  <c r="CY175" i="3"/>
  <c r="CZ175" i="3"/>
  <c r="DB175" i="3" s="1"/>
  <c r="DA175" i="3"/>
  <c r="DC175" i="3"/>
  <c r="A176" i="3"/>
  <c r="Y176" i="3"/>
  <c r="CX176" i="3" s="1"/>
  <c r="CY176" i="3"/>
  <c r="CZ176" i="3"/>
  <c r="DB176" i="3" s="1"/>
  <c r="DA176" i="3"/>
  <c r="DC176" i="3"/>
  <c r="A177" i="3"/>
  <c r="Y177" i="3"/>
  <c r="CX177" i="3"/>
  <c r="CY177" i="3"/>
  <c r="CZ177" i="3"/>
  <c r="DA177" i="3"/>
  <c r="DB177" i="3"/>
  <c r="DC177" i="3"/>
  <c r="DF177" i="3"/>
  <c r="DG177" i="3"/>
  <c r="DH177" i="3"/>
  <c r="DI177" i="3"/>
  <c r="DJ177" i="3"/>
  <c r="A178" i="3"/>
  <c r="Y178" i="3"/>
  <c r="CX178" i="3"/>
  <c r="CY178" i="3"/>
  <c r="CZ178" i="3"/>
  <c r="DA178" i="3"/>
  <c r="DB178" i="3"/>
  <c r="DC178" i="3"/>
  <c r="A179" i="3"/>
  <c r="Y179" i="3"/>
  <c r="CV179" i="3" s="1"/>
  <c r="CU179" i="3"/>
  <c r="CY179" i="3"/>
  <c r="CZ179" i="3"/>
  <c r="DB179" i="3" s="1"/>
  <c r="DA179" i="3"/>
  <c r="DC179" i="3"/>
  <c r="A180" i="3"/>
  <c r="Y180" i="3"/>
  <c r="CX180" i="3" s="1"/>
  <c r="CW180" i="3"/>
  <c r="CY180" i="3"/>
  <c r="CZ180" i="3"/>
  <c r="DA180" i="3"/>
  <c r="DB180" i="3"/>
  <c r="DC180" i="3"/>
  <c r="DG180" i="3"/>
  <c r="DJ180" i="3" s="1"/>
  <c r="A181" i="3"/>
  <c r="Y181" i="3"/>
  <c r="CV181" i="3" s="1"/>
  <c r="CU181" i="3"/>
  <c r="CX181" i="3"/>
  <c r="CY181" i="3"/>
  <c r="CZ181" i="3"/>
  <c r="DA181" i="3"/>
  <c r="DB181" i="3"/>
  <c r="DC181" i="3"/>
  <c r="DG181" i="3"/>
  <c r="DH181" i="3"/>
  <c r="A182" i="3"/>
  <c r="Y182" i="3"/>
  <c r="CY182" i="3"/>
  <c r="CZ182" i="3"/>
  <c r="DB182" i="3" s="1"/>
  <c r="DA182" i="3"/>
  <c r="DC182" i="3"/>
  <c r="A183" i="3"/>
  <c r="Y183" i="3"/>
  <c r="CX183" i="3" s="1"/>
  <c r="CU183" i="3"/>
  <c r="CV183" i="3"/>
  <c r="CY183" i="3"/>
  <c r="CZ183" i="3"/>
  <c r="DB183" i="3" s="1"/>
  <c r="DA183" i="3"/>
  <c r="DC183" i="3"/>
  <c r="DG183" i="3"/>
  <c r="A184" i="3"/>
  <c r="Y184" i="3"/>
  <c r="CX184" i="3"/>
  <c r="DH184" i="3" s="1"/>
  <c r="CY184" i="3"/>
  <c r="CZ184" i="3"/>
  <c r="DB184" i="3" s="1"/>
  <c r="DA184" i="3"/>
  <c r="DC184" i="3"/>
  <c r="DF184" i="3"/>
  <c r="DJ184" i="3" s="1"/>
  <c r="DG184" i="3"/>
  <c r="A185" i="3"/>
  <c r="Y185" i="3"/>
  <c r="CU185" i="3"/>
  <c r="CV185" i="3"/>
  <c r="CX185" i="3"/>
  <c r="DF185" i="3" s="1"/>
  <c r="CY185" i="3"/>
  <c r="CZ185" i="3"/>
  <c r="DA185" i="3"/>
  <c r="DB185" i="3"/>
  <c r="DC185" i="3"/>
  <c r="DG185" i="3"/>
  <c r="A186" i="3"/>
  <c r="Y186" i="3"/>
  <c r="CX186" i="3" s="1"/>
  <c r="CY186" i="3"/>
  <c r="CZ186" i="3"/>
  <c r="DB186" i="3" s="1"/>
  <c r="DA186" i="3"/>
  <c r="DC186" i="3"/>
  <c r="DF186" i="3"/>
  <c r="DJ186" i="3"/>
  <c r="A187" i="3"/>
  <c r="Y187" i="3"/>
  <c r="CU187" i="3"/>
  <c r="CV187" i="3"/>
  <c r="CX187" i="3"/>
  <c r="CY187" i="3"/>
  <c r="CZ187" i="3"/>
  <c r="DB187" i="3" s="1"/>
  <c r="DA187" i="3"/>
  <c r="DC187" i="3"/>
  <c r="DF187" i="3"/>
  <c r="A188" i="3"/>
  <c r="Y188" i="3"/>
  <c r="CX188" i="3" s="1"/>
  <c r="DF188" i="3" s="1"/>
  <c r="DJ188" i="3" s="1"/>
  <c r="CY188" i="3"/>
  <c r="CZ188" i="3"/>
  <c r="DB188" i="3" s="1"/>
  <c r="DA188" i="3"/>
  <c r="DC188" i="3"/>
  <c r="A189" i="3"/>
  <c r="Y189" i="3"/>
  <c r="CX189" i="3"/>
  <c r="CY189" i="3"/>
  <c r="CZ189" i="3"/>
  <c r="DA189" i="3"/>
  <c r="DB189" i="3"/>
  <c r="DC189" i="3"/>
  <c r="DF189" i="3"/>
  <c r="DG189" i="3"/>
  <c r="DH189" i="3"/>
  <c r="DI189" i="3"/>
  <c r="DJ189" i="3"/>
  <c r="A190" i="3"/>
  <c r="Y190" i="3"/>
  <c r="CX190" i="3"/>
  <c r="CY190" i="3"/>
  <c r="CZ190" i="3"/>
  <c r="DA190" i="3"/>
  <c r="DB190" i="3"/>
  <c r="DC190" i="3"/>
  <c r="DH190" i="3"/>
  <c r="DI190" i="3"/>
  <c r="A191" i="3"/>
  <c r="Y191" i="3"/>
  <c r="CX191" i="3" s="1"/>
  <c r="CY191" i="3"/>
  <c r="CZ191" i="3"/>
  <c r="DB191" i="3" s="1"/>
  <c r="DA191" i="3"/>
  <c r="DC191" i="3"/>
  <c r="A192" i="3"/>
  <c r="Y192" i="3"/>
  <c r="CX192" i="3"/>
  <c r="DH192" i="3" s="1"/>
  <c r="CY192" i="3"/>
  <c r="CZ192" i="3"/>
  <c r="DA192" i="3"/>
  <c r="DB192" i="3"/>
  <c r="DC192" i="3"/>
  <c r="DF192" i="3"/>
  <c r="DJ192" i="3" s="1"/>
  <c r="DG192" i="3"/>
  <c r="A193" i="3"/>
  <c r="Y193" i="3"/>
  <c r="CX193" i="3"/>
  <c r="CY193" i="3"/>
  <c r="CZ193" i="3"/>
  <c r="DA193" i="3"/>
  <c r="DB193" i="3"/>
  <c r="DC193" i="3"/>
  <c r="DI193" i="3"/>
  <c r="A194" i="3"/>
  <c r="Y194" i="3"/>
  <c r="CX194" i="3" s="1"/>
  <c r="CY194" i="3"/>
  <c r="CZ194" i="3"/>
  <c r="DB194" i="3" s="1"/>
  <c r="DA194" i="3"/>
  <c r="DC194" i="3"/>
  <c r="A195" i="3"/>
  <c r="Y195" i="3"/>
  <c r="CX195" i="3"/>
  <c r="CY195" i="3"/>
  <c r="CZ195" i="3"/>
  <c r="DA195" i="3"/>
  <c r="DB195" i="3"/>
  <c r="DC195" i="3"/>
  <c r="A196" i="3"/>
  <c r="Y196" i="3"/>
  <c r="CX196" i="3" s="1"/>
  <c r="CY196" i="3"/>
  <c r="CZ196" i="3"/>
  <c r="DB196" i="3" s="1"/>
  <c r="DA196" i="3"/>
  <c r="DC196" i="3"/>
  <c r="A197" i="3"/>
  <c r="Y197" i="3"/>
  <c r="CX197" i="3"/>
  <c r="CY197" i="3"/>
  <c r="CZ197" i="3"/>
  <c r="DB197" i="3" s="1"/>
  <c r="DA197" i="3"/>
  <c r="DC197" i="3"/>
  <c r="A198" i="3"/>
  <c r="Y198" i="3"/>
  <c r="CX198" i="3" s="1"/>
  <c r="CY198" i="3"/>
  <c r="CZ198" i="3"/>
  <c r="DA198" i="3"/>
  <c r="DB198" i="3"/>
  <c r="DC198" i="3"/>
  <c r="DG198" i="3"/>
  <c r="A199" i="3"/>
  <c r="Y199" i="3"/>
  <c r="CX199" i="3" s="1"/>
  <c r="CY199" i="3"/>
  <c r="CZ199" i="3"/>
  <c r="DB199" i="3" s="1"/>
  <c r="DA199" i="3"/>
  <c r="DC199" i="3"/>
  <c r="DG199" i="3"/>
  <c r="A200" i="3"/>
  <c r="Y200" i="3"/>
  <c r="CX200" i="3" s="1"/>
  <c r="DG200" i="3" s="1"/>
  <c r="CY200" i="3"/>
  <c r="CZ200" i="3"/>
  <c r="DB200" i="3" s="1"/>
  <c r="DA200" i="3"/>
  <c r="DC200" i="3"/>
  <c r="DF200" i="3"/>
  <c r="DJ200" i="3" s="1"/>
  <c r="DH200" i="3"/>
  <c r="DI200" i="3"/>
  <c r="A201" i="3"/>
  <c r="Y201" i="3"/>
  <c r="CX201" i="3"/>
  <c r="CY201" i="3"/>
  <c r="CZ201" i="3"/>
  <c r="DA201" i="3"/>
  <c r="DB201" i="3"/>
  <c r="DC201" i="3"/>
  <c r="DF201" i="3"/>
  <c r="DG201" i="3"/>
  <c r="DH201" i="3"/>
  <c r="DI201" i="3"/>
  <c r="DJ201" i="3"/>
  <c r="A202" i="3"/>
  <c r="Y202" i="3"/>
  <c r="CV202" i="3" s="1"/>
  <c r="CU202" i="3"/>
  <c r="CX202" i="3"/>
  <c r="DH202" i="3" s="1"/>
  <c r="CY202" i="3"/>
  <c r="CZ202" i="3"/>
  <c r="DB202" i="3" s="1"/>
  <c r="DA202" i="3"/>
  <c r="DC202" i="3"/>
  <c r="DF202" i="3"/>
  <c r="DG202" i="3"/>
  <c r="A203" i="3"/>
  <c r="Y203" i="3"/>
  <c r="CX203" i="3"/>
  <c r="CY203" i="3"/>
  <c r="CZ203" i="3"/>
  <c r="DA203" i="3"/>
  <c r="DB203" i="3"/>
  <c r="DC203" i="3"/>
  <c r="DF203" i="3"/>
  <c r="DJ203" i="3" s="1"/>
  <c r="DI203" i="3"/>
  <c r="A204" i="3"/>
  <c r="Y204" i="3"/>
  <c r="CX204" i="3"/>
  <c r="CY204" i="3"/>
  <c r="CZ204" i="3"/>
  <c r="DA204" i="3"/>
  <c r="DB204" i="3"/>
  <c r="DC204" i="3"/>
  <c r="DH204" i="3"/>
  <c r="A205" i="3"/>
  <c r="Y205" i="3"/>
  <c r="CX205" i="3" s="1"/>
  <c r="CY205" i="3"/>
  <c r="CZ205" i="3"/>
  <c r="DA205" i="3"/>
  <c r="DB205" i="3"/>
  <c r="DC205" i="3"/>
  <c r="A206" i="3"/>
  <c r="Y206" i="3"/>
  <c r="CX206" i="3" s="1"/>
  <c r="CY206" i="3"/>
  <c r="CZ206" i="3"/>
  <c r="DB206" i="3" s="1"/>
  <c r="DA206" i="3"/>
  <c r="DC206" i="3"/>
  <c r="DF206" i="3"/>
  <c r="DJ206" i="3" s="1"/>
  <c r="A207" i="3"/>
  <c r="Y207" i="3"/>
  <c r="CX207" i="3" s="1"/>
  <c r="CY207" i="3"/>
  <c r="CZ207" i="3"/>
  <c r="DB207" i="3" s="1"/>
  <c r="DA207" i="3"/>
  <c r="DC207" i="3"/>
  <c r="A208" i="3"/>
  <c r="Y208" i="3"/>
  <c r="CX208" i="3" s="1"/>
  <c r="CY208" i="3"/>
  <c r="CZ208" i="3"/>
  <c r="DA208" i="3"/>
  <c r="DB208" i="3"/>
  <c r="DC208" i="3"/>
  <c r="A209" i="3"/>
  <c r="Y209" i="3"/>
  <c r="CX209" i="3" s="1"/>
  <c r="CY209" i="3"/>
  <c r="CZ209" i="3"/>
  <c r="DB209" i="3" s="1"/>
  <c r="DA209" i="3"/>
  <c r="DC209" i="3"/>
  <c r="DF209" i="3"/>
  <c r="DJ209" i="3" s="1"/>
  <c r="A210" i="3"/>
  <c r="Y210" i="3"/>
  <c r="CX210" i="3" s="1"/>
  <c r="DF210" i="3" s="1"/>
  <c r="DJ210" i="3" s="1"/>
  <c r="CY210" i="3"/>
  <c r="CZ210" i="3"/>
  <c r="DB210" i="3" s="1"/>
  <c r="DA210" i="3"/>
  <c r="DC210" i="3"/>
  <c r="DG210" i="3"/>
  <c r="DH210" i="3"/>
  <c r="A211" i="3"/>
  <c r="Y211" i="3"/>
  <c r="CX211" i="3"/>
  <c r="CY211" i="3"/>
  <c r="CZ211" i="3"/>
  <c r="DA211" i="3"/>
  <c r="DB211" i="3"/>
  <c r="DC211" i="3"/>
  <c r="DF211" i="3"/>
  <c r="DG211" i="3"/>
  <c r="DH211" i="3"/>
  <c r="DI211" i="3"/>
  <c r="DJ211" i="3"/>
  <c r="A212" i="3"/>
  <c r="Y212" i="3"/>
  <c r="CX212" i="3"/>
  <c r="DG212" i="3" s="1"/>
  <c r="CY212" i="3"/>
  <c r="CZ212" i="3"/>
  <c r="DA212" i="3"/>
  <c r="DB212" i="3"/>
  <c r="DC212" i="3"/>
  <c r="DF212" i="3"/>
  <c r="DJ212" i="3" s="1"/>
  <c r="DI212" i="3"/>
  <c r="A213" i="3"/>
  <c r="Y213" i="3"/>
  <c r="CX213" i="3" s="1"/>
  <c r="DI213" i="3" s="1"/>
  <c r="CY213" i="3"/>
  <c r="CZ213" i="3"/>
  <c r="DA213" i="3"/>
  <c r="DB213" i="3"/>
  <c r="DC213" i="3"/>
  <c r="DF213" i="3"/>
  <c r="DJ213" i="3" s="1"/>
  <c r="DG213" i="3"/>
  <c r="A214" i="3"/>
  <c r="Y214" i="3"/>
  <c r="CX214" i="3"/>
  <c r="DH214" i="3" s="1"/>
  <c r="CY214" i="3"/>
  <c r="CZ214" i="3"/>
  <c r="DA214" i="3"/>
  <c r="DB214" i="3"/>
  <c r="DC214" i="3"/>
  <c r="DF214" i="3"/>
  <c r="DG214" i="3"/>
  <c r="DJ214" i="3"/>
  <c r="A215" i="3"/>
  <c r="Y215" i="3"/>
  <c r="CX215" i="3"/>
  <c r="CY215" i="3"/>
  <c r="CZ215" i="3"/>
  <c r="DA215" i="3"/>
  <c r="DB215" i="3"/>
  <c r="DC215" i="3"/>
  <c r="DF215" i="3"/>
  <c r="DJ215" i="3" s="1"/>
  <c r="A216" i="3"/>
  <c r="Y216" i="3"/>
  <c r="CX216" i="3" s="1"/>
  <c r="CY216" i="3"/>
  <c r="CZ216" i="3"/>
  <c r="DB216" i="3" s="1"/>
  <c r="DA216" i="3"/>
  <c r="DC216" i="3"/>
  <c r="DH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B224" i="3" s="1"/>
  <c r="DA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B231" i="3" s="1"/>
  <c r="DA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A234" i="3"/>
  <c r="DB234" i="3"/>
  <c r="DC234" i="3"/>
  <c r="A235" i="3"/>
  <c r="Y235" i="3"/>
  <c r="CU235" i="3"/>
  <c r="CY235" i="3"/>
  <c r="CZ235" i="3"/>
  <c r="DB235" i="3" s="1"/>
  <c r="DA235" i="3"/>
  <c r="DC235" i="3"/>
  <c r="A236" i="3"/>
  <c r="Y236" i="3"/>
  <c r="CW236" i="3"/>
  <c r="CX236" i="3"/>
  <c r="DG236" i="3" s="1"/>
  <c r="DJ236" i="3" s="1"/>
  <c r="CY236" i="3"/>
  <c r="CZ236" i="3"/>
  <c r="DA236" i="3"/>
  <c r="DB236" i="3"/>
  <c r="DC236" i="3"/>
  <c r="A237" i="3"/>
  <c r="Y237" i="3"/>
  <c r="CU237" i="3"/>
  <c r="CY237" i="3"/>
  <c r="CZ237" i="3"/>
  <c r="DB237" i="3" s="1"/>
  <c r="DA237" i="3"/>
  <c r="DC237" i="3"/>
  <c r="A238" i="3"/>
  <c r="Y238" i="3"/>
  <c r="CW238" i="3"/>
  <c r="CX238" i="3"/>
  <c r="CY238" i="3"/>
  <c r="CZ238" i="3"/>
  <c r="DA238" i="3"/>
  <c r="DB238" i="3"/>
  <c r="DC238" i="3"/>
  <c r="DG238" i="3"/>
  <c r="DJ238" i="3" s="1"/>
  <c r="A239" i="3"/>
  <c r="Y239" i="3"/>
  <c r="CV239" i="3" s="1"/>
  <c r="CU239" i="3"/>
  <c r="CY239" i="3"/>
  <c r="CZ239" i="3"/>
  <c r="DA239" i="3"/>
  <c r="DB239" i="3"/>
  <c r="DC239" i="3"/>
  <c r="A240" i="3"/>
  <c r="Y240" i="3"/>
  <c r="CX240" i="3" s="1"/>
  <c r="CY240" i="3"/>
  <c r="CZ240" i="3"/>
  <c r="DA240" i="3"/>
  <c r="DB240" i="3"/>
  <c r="DC240" i="3"/>
  <c r="DI240" i="3"/>
  <c r="A241" i="3"/>
  <c r="Y241" i="3"/>
  <c r="CX241" i="3" s="1"/>
  <c r="DI241" i="3" s="1"/>
  <c r="CY241" i="3"/>
  <c r="CZ241" i="3"/>
  <c r="DB241" i="3" s="1"/>
  <c r="DA241" i="3"/>
  <c r="DC241" i="3"/>
  <c r="DF241" i="3"/>
  <c r="DJ241" i="3" s="1"/>
  <c r="DG241" i="3"/>
  <c r="DH241" i="3"/>
  <c r="A242" i="3"/>
  <c r="Y242" i="3"/>
  <c r="CX242" i="3"/>
  <c r="DH242" i="3" s="1"/>
  <c r="CY242" i="3"/>
  <c r="CZ242" i="3"/>
  <c r="DB242" i="3" s="1"/>
  <c r="DA242" i="3"/>
  <c r="DC242" i="3"/>
  <c r="DF242" i="3"/>
  <c r="DG242" i="3"/>
  <c r="DI242" i="3"/>
  <c r="DJ242" i="3"/>
  <c r="A243" i="3"/>
  <c r="Y243" i="3"/>
  <c r="CX243" i="3"/>
  <c r="CY243" i="3"/>
  <c r="CZ243" i="3"/>
  <c r="DA243" i="3"/>
  <c r="DB243" i="3"/>
  <c r="DC243" i="3"/>
  <c r="A244" i="3"/>
  <c r="Y244" i="3"/>
  <c r="CX244" i="3" s="1"/>
  <c r="CY244" i="3"/>
  <c r="CZ244" i="3"/>
  <c r="DA244" i="3"/>
  <c r="DB244" i="3"/>
  <c r="DC244" i="3"/>
  <c r="A245" i="3"/>
  <c r="Y245" i="3"/>
  <c r="CX245" i="3" s="1"/>
  <c r="CY245" i="3"/>
  <c r="CZ245" i="3"/>
  <c r="DB245" i="3" s="1"/>
  <c r="DA245" i="3"/>
  <c r="DC245" i="3"/>
  <c r="DF245" i="3"/>
  <c r="DJ245" i="3" s="1"/>
  <c r="A246" i="3"/>
  <c r="Y246" i="3"/>
  <c r="CU246" i="3"/>
  <c r="CV246" i="3"/>
  <c r="CX246" i="3"/>
  <c r="CY246" i="3"/>
  <c r="CZ246" i="3"/>
  <c r="DA246" i="3"/>
  <c r="DB246" i="3"/>
  <c r="DC246" i="3"/>
  <c r="A247" i="3"/>
  <c r="Y247" i="3"/>
  <c r="CX247" i="3" s="1"/>
  <c r="CY247" i="3"/>
  <c r="CZ247" i="3"/>
  <c r="DB247" i="3" s="1"/>
  <c r="DA247" i="3"/>
  <c r="DC247" i="3"/>
  <c r="A248" i="3"/>
  <c r="Y248" i="3"/>
  <c r="CX248" i="3" s="1"/>
  <c r="CY248" i="3"/>
  <c r="CZ248" i="3"/>
  <c r="DB248" i="3" s="1"/>
  <c r="DA248" i="3"/>
  <c r="DC248" i="3"/>
  <c r="A249" i="3"/>
  <c r="Y249" i="3"/>
  <c r="CX249" i="3"/>
  <c r="CY249" i="3"/>
  <c r="CZ249" i="3"/>
  <c r="DA249" i="3"/>
  <c r="DB249" i="3"/>
  <c r="DC249" i="3"/>
  <c r="A250" i="3"/>
  <c r="Y250" i="3"/>
  <c r="CX250" i="3"/>
  <c r="DF250" i="3" s="1"/>
  <c r="DJ250" i="3" s="1"/>
  <c r="CY250" i="3"/>
  <c r="CZ250" i="3"/>
  <c r="DA250" i="3"/>
  <c r="DB250" i="3"/>
  <c r="DC250" i="3"/>
  <c r="DG250" i="3"/>
  <c r="A251" i="3"/>
  <c r="Y251" i="3"/>
  <c r="CX251" i="3" s="1"/>
  <c r="DI251" i="3" s="1"/>
  <c r="CY251" i="3"/>
  <c r="CZ251" i="3"/>
  <c r="DB251" i="3" s="1"/>
  <c r="DA251" i="3"/>
  <c r="DC251" i="3"/>
  <c r="DF251" i="3"/>
  <c r="DJ251" i="3" s="1"/>
  <c r="DG251" i="3"/>
  <c r="A252" i="3"/>
  <c r="Y252" i="3"/>
  <c r="CX252" i="3"/>
  <c r="DH252" i="3" s="1"/>
  <c r="CY252" i="3"/>
  <c r="CZ252" i="3"/>
  <c r="DB252" i="3" s="1"/>
  <c r="DA252" i="3"/>
  <c r="DC252" i="3"/>
  <c r="DF252" i="3"/>
  <c r="DJ252" i="3" s="1"/>
  <c r="DG252" i="3"/>
  <c r="DI252" i="3"/>
  <c r="A253" i="3"/>
  <c r="Y253" i="3"/>
  <c r="CU253" i="3"/>
  <c r="CV253" i="3"/>
  <c r="CX253" i="3"/>
  <c r="DH253" i="3" s="1"/>
  <c r="CY253" i="3"/>
  <c r="CZ253" i="3"/>
  <c r="DB253" i="3" s="1"/>
  <c r="DA253" i="3"/>
  <c r="DC253" i="3"/>
  <c r="DF253" i="3"/>
  <c r="DG253" i="3"/>
  <c r="A254" i="3"/>
  <c r="Y254" i="3"/>
  <c r="CX254" i="3" s="1"/>
  <c r="DI254" i="3" s="1"/>
  <c r="CY254" i="3"/>
  <c r="CZ254" i="3"/>
  <c r="DB254" i="3" s="1"/>
  <c r="DA254" i="3"/>
  <c r="DC254" i="3"/>
  <c r="DF254" i="3"/>
  <c r="DJ254" i="3" s="1"/>
  <c r="A255" i="3"/>
  <c r="Y255" i="3"/>
  <c r="CX255" i="3"/>
  <c r="CY255" i="3"/>
  <c r="CZ255" i="3"/>
  <c r="DB255" i="3" s="1"/>
  <c r="DA255" i="3"/>
  <c r="DC255" i="3"/>
  <c r="DH255" i="3"/>
  <c r="A256" i="3"/>
  <c r="Y256" i="3"/>
  <c r="CX256" i="3" s="1"/>
  <c r="CY256" i="3"/>
  <c r="CZ256" i="3"/>
  <c r="DA256" i="3"/>
  <c r="DB256" i="3"/>
  <c r="DC256" i="3"/>
  <c r="A257" i="3"/>
  <c r="Y257" i="3"/>
  <c r="CX257" i="3" s="1"/>
  <c r="CY257" i="3"/>
  <c r="CZ257" i="3"/>
  <c r="DB257" i="3" s="1"/>
  <c r="DA257" i="3"/>
  <c r="DC257" i="3"/>
  <c r="A258" i="3"/>
  <c r="Y258" i="3"/>
  <c r="CX258" i="3" s="1"/>
  <c r="CY258" i="3"/>
  <c r="CZ258" i="3"/>
  <c r="DB258" i="3" s="1"/>
  <c r="DA258" i="3"/>
  <c r="DC258" i="3"/>
  <c r="DI258" i="3"/>
  <c r="A259" i="3"/>
  <c r="Y259" i="3"/>
  <c r="CX259" i="3"/>
  <c r="CY259" i="3"/>
  <c r="CZ259" i="3"/>
  <c r="DA259" i="3"/>
  <c r="DB259" i="3"/>
  <c r="DC259" i="3"/>
  <c r="A260" i="3"/>
  <c r="Y260" i="3"/>
  <c r="CX260" i="3"/>
  <c r="CY260" i="3"/>
  <c r="CZ260" i="3"/>
  <c r="DA260" i="3"/>
  <c r="DB260" i="3"/>
  <c r="DC260" i="3"/>
  <c r="A261" i="3"/>
  <c r="Y261" i="3"/>
  <c r="CX261" i="3" s="1"/>
  <c r="DI261" i="3" s="1"/>
  <c r="CY261" i="3"/>
  <c r="CZ261" i="3"/>
  <c r="DB261" i="3" s="1"/>
  <c r="DA261" i="3"/>
  <c r="DC261" i="3"/>
  <c r="DF261" i="3"/>
  <c r="DJ261" i="3" s="1"/>
  <c r="A262" i="3"/>
  <c r="Y262" i="3"/>
  <c r="CX262" i="3"/>
  <c r="DH262" i="3" s="1"/>
  <c r="CY262" i="3"/>
  <c r="CZ262" i="3"/>
  <c r="DB262" i="3" s="1"/>
  <c r="DA262" i="3"/>
  <c r="DC262" i="3"/>
  <c r="DF262" i="3"/>
  <c r="DG262" i="3"/>
  <c r="DI262" i="3"/>
  <c r="DJ262" i="3"/>
  <c r="A263" i="3"/>
  <c r="Y263" i="3"/>
  <c r="CX263" i="3"/>
  <c r="DG263" i="3" s="1"/>
  <c r="CY263" i="3"/>
  <c r="CZ263" i="3"/>
  <c r="DA263" i="3"/>
  <c r="DB263" i="3"/>
  <c r="DC263" i="3"/>
  <c r="DH263" i="3"/>
  <c r="A264" i="3"/>
  <c r="Y264" i="3"/>
  <c r="CU264" i="3"/>
  <c r="CY264" i="3"/>
  <c r="CZ264" i="3"/>
  <c r="DB264" i="3" s="1"/>
  <c r="DA264" i="3"/>
  <c r="DC264" i="3"/>
  <c r="A265" i="3"/>
  <c r="Y265" i="3"/>
  <c r="CX265" i="3"/>
  <c r="CY265" i="3"/>
  <c r="CZ265" i="3"/>
  <c r="DA265" i="3"/>
  <c r="DB265" i="3"/>
  <c r="DC265" i="3"/>
  <c r="DH265" i="3"/>
  <c r="A266" i="3"/>
  <c r="Y266" i="3"/>
  <c r="CX266" i="3" s="1"/>
  <c r="CY266" i="3"/>
  <c r="CZ266" i="3"/>
  <c r="DA266" i="3"/>
  <c r="DB266" i="3"/>
  <c r="DC266" i="3"/>
  <c r="A267" i="3"/>
  <c r="Y267" i="3"/>
  <c r="CX267" i="3" s="1"/>
  <c r="CY267" i="3"/>
  <c r="CZ267" i="3"/>
  <c r="DB267" i="3" s="1"/>
  <c r="DA267" i="3"/>
  <c r="DC267" i="3"/>
  <c r="A268" i="3"/>
  <c r="Y268" i="3"/>
  <c r="CX268" i="3" s="1"/>
  <c r="CY268" i="3"/>
  <c r="CZ268" i="3"/>
  <c r="DB268" i="3" s="1"/>
  <c r="DA268" i="3"/>
  <c r="DC268" i="3"/>
  <c r="DI268" i="3"/>
  <c r="A269" i="3"/>
  <c r="Y269" i="3"/>
  <c r="CX269" i="3"/>
  <c r="DH269" i="3" s="1"/>
  <c r="CY269" i="3"/>
  <c r="CZ269" i="3"/>
  <c r="DA269" i="3"/>
  <c r="DB269" i="3"/>
  <c r="DC269" i="3"/>
  <c r="A270" i="3"/>
  <c r="Y270" i="3"/>
  <c r="CX270" i="3" s="1"/>
  <c r="CY270" i="3"/>
  <c r="CZ270" i="3"/>
  <c r="DA270" i="3"/>
  <c r="DB270" i="3"/>
  <c r="DC270" i="3"/>
  <c r="A271" i="3"/>
  <c r="Y271" i="3"/>
  <c r="CX271" i="3" s="1"/>
  <c r="CY271" i="3"/>
  <c r="CZ271" i="3"/>
  <c r="DB271" i="3" s="1"/>
  <c r="DA271" i="3"/>
  <c r="DC271" i="3"/>
  <c r="A272" i="3"/>
  <c r="Y272" i="3"/>
  <c r="CX272" i="3"/>
  <c r="DH272" i="3" s="1"/>
  <c r="CY272" i="3"/>
  <c r="CZ272" i="3"/>
  <c r="DB272" i="3" s="1"/>
  <c r="DA272" i="3"/>
  <c r="DC272" i="3"/>
  <c r="DF272" i="3"/>
  <c r="DG272" i="3"/>
  <c r="DI272" i="3"/>
  <c r="DJ272" i="3"/>
  <c r="A273" i="3"/>
  <c r="Y273" i="3"/>
  <c r="CX273" i="3"/>
  <c r="DG273" i="3" s="1"/>
  <c r="CY273" i="3"/>
  <c r="CZ273" i="3"/>
  <c r="DA273" i="3"/>
  <c r="DB273" i="3"/>
  <c r="DC273" i="3"/>
  <c r="A274" i="3"/>
  <c r="Y274" i="3"/>
  <c r="CX274" i="3" s="1"/>
  <c r="CY274" i="3"/>
  <c r="CZ274" i="3"/>
  <c r="DA274" i="3"/>
  <c r="DB274" i="3"/>
  <c r="DC274" i="3"/>
  <c r="DH274" i="3"/>
  <c r="A275" i="3"/>
  <c r="Y275" i="3"/>
  <c r="CV275" i="3" s="1"/>
  <c r="CU275" i="3"/>
  <c r="CX275" i="3"/>
  <c r="CY275" i="3"/>
  <c r="CZ275" i="3"/>
  <c r="DB275" i="3" s="1"/>
  <c r="DA275" i="3"/>
  <c r="DC275" i="3"/>
  <c r="DH275" i="3"/>
  <c r="A276" i="3"/>
  <c r="Y276" i="3"/>
  <c r="CX276" i="3" s="1"/>
  <c r="CY276" i="3"/>
  <c r="CZ276" i="3"/>
  <c r="DA276" i="3"/>
  <c r="DB276" i="3"/>
  <c r="DC276" i="3"/>
  <c r="A277" i="3"/>
  <c r="Y277" i="3"/>
  <c r="CU277" i="3"/>
  <c r="CY277" i="3"/>
  <c r="CZ277" i="3"/>
  <c r="DA277" i="3"/>
  <c r="DB277" i="3"/>
  <c r="DC277" i="3"/>
  <c r="A278" i="3"/>
  <c r="Y278" i="3"/>
  <c r="CX278" i="3"/>
  <c r="CY278" i="3"/>
  <c r="CZ278" i="3"/>
  <c r="DA278" i="3"/>
  <c r="DB278" i="3"/>
  <c r="DC278" i="3"/>
  <c r="A279" i="3"/>
  <c r="Y279" i="3"/>
  <c r="CV279" i="3" s="1"/>
  <c r="CU279" i="3"/>
  <c r="CX279" i="3"/>
  <c r="CY279" i="3"/>
  <c r="CZ279" i="3"/>
  <c r="DA279" i="3"/>
  <c r="DB279" i="3"/>
  <c r="DC279" i="3"/>
  <c r="A280" i="3"/>
  <c r="Y280" i="3"/>
  <c r="CX280" i="3"/>
  <c r="CY280" i="3"/>
  <c r="CZ280" i="3"/>
  <c r="DA280" i="3"/>
  <c r="DB280" i="3"/>
  <c r="DC280" i="3"/>
  <c r="A281" i="3"/>
  <c r="Y281" i="3"/>
  <c r="CX281" i="3" s="1"/>
  <c r="CY281" i="3"/>
  <c r="CZ281" i="3"/>
  <c r="DA281" i="3"/>
  <c r="DB281" i="3"/>
  <c r="DC281" i="3"/>
  <c r="DF281" i="3"/>
  <c r="DJ281" i="3" s="1"/>
  <c r="A282" i="3"/>
  <c r="Y282" i="3"/>
  <c r="CX282" i="3" s="1"/>
  <c r="CY282" i="3"/>
  <c r="CZ282" i="3"/>
  <c r="DB282" i="3" s="1"/>
  <c r="DA282" i="3"/>
  <c r="DC282" i="3"/>
  <c r="DF282" i="3"/>
  <c r="DJ282" i="3" s="1"/>
  <c r="DI282" i="3"/>
  <c r="A283" i="3"/>
  <c r="Y283" i="3"/>
  <c r="CX283" i="3"/>
  <c r="DH283" i="3" s="1"/>
  <c r="CY283" i="3"/>
  <c r="CZ283" i="3"/>
  <c r="DB283" i="3" s="1"/>
  <c r="DA283" i="3"/>
  <c r="DC283" i="3"/>
  <c r="DI283" i="3"/>
  <c r="A284" i="3"/>
  <c r="Y284" i="3"/>
  <c r="CX284" i="3"/>
  <c r="DG284" i="3" s="1"/>
  <c r="CY284" i="3"/>
  <c r="CZ284" i="3"/>
  <c r="DA284" i="3"/>
  <c r="DB284" i="3"/>
  <c r="DC284" i="3"/>
  <c r="A285" i="3"/>
  <c r="Y285" i="3"/>
  <c r="CX285" i="3"/>
  <c r="CY285" i="3"/>
  <c r="CZ285" i="3"/>
  <c r="DB285" i="3" s="1"/>
  <c r="DA285" i="3"/>
  <c r="DC285" i="3"/>
  <c r="A286" i="3"/>
  <c r="Y286" i="3"/>
  <c r="CX286" i="3" s="1"/>
  <c r="CY286" i="3"/>
  <c r="CZ286" i="3"/>
  <c r="DB286" i="3" s="1"/>
  <c r="DA286" i="3"/>
  <c r="DC286" i="3"/>
  <c r="DF286" i="3"/>
  <c r="DJ286" i="3" s="1"/>
  <c r="A287" i="3"/>
  <c r="Y287" i="3"/>
  <c r="CX287" i="3"/>
  <c r="CY287" i="3"/>
  <c r="CZ287" i="3"/>
  <c r="DA287" i="3"/>
  <c r="DB287" i="3"/>
  <c r="DC287" i="3"/>
  <c r="DI287" i="3"/>
  <c r="A288" i="3"/>
  <c r="Y288" i="3"/>
  <c r="CX288" i="3"/>
  <c r="DF288" i="3" s="1"/>
  <c r="DJ288" i="3" s="1"/>
  <c r="CY288" i="3"/>
  <c r="CZ288" i="3"/>
  <c r="DA288" i="3"/>
  <c r="DB288" i="3"/>
  <c r="DC288" i="3"/>
  <c r="DG288" i="3"/>
  <c r="DI288" i="3"/>
  <c r="A289" i="3"/>
  <c r="Y289" i="3"/>
  <c r="CX289" i="3" s="1"/>
  <c r="DI289" i="3" s="1"/>
  <c r="CY289" i="3"/>
  <c r="CZ289" i="3"/>
  <c r="DB289" i="3" s="1"/>
  <c r="DA289" i="3"/>
  <c r="DC289" i="3"/>
  <c r="DF289" i="3"/>
  <c r="DH289" i="3"/>
  <c r="DJ289" i="3"/>
  <c r="A290" i="3"/>
  <c r="Y290" i="3"/>
  <c r="CX290" i="3"/>
  <c r="DH290" i="3" s="1"/>
  <c r="CY290" i="3"/>
  <c r="CZ290" i="3"/>
  <c r="DB290" i="3" s="1"/>
  <c r="DA290" i="3"/>
  <c r="DC290" i="3"/>
  <c r="DF290" i="3"/>
  <c r="DG290" i="3"/>
  <c r="DI290" i="3"/>
  <c r="DJ290" i="3"/>
  <c r="A291" i="3"/>
  <c r="Y291" i="3"/>
  <c r="CX291" i="3"/>
  <c r="DG291" i="3" s="1"/>
  <c r="CY291" i="3"/>
  <c r="CZ291" i="3"/>
  <c r="DA291" i="3"/>
  <c r="DB291" i="3"/>
  <c r="DC291" i="3"/>
  <c r="A292" i="3"/>
  <c r="Y292" i="3"/>
  <c r="CX292" i="3" s="1"/>
  <c r="CY292" i="3"/>
  <c r="CZ292" i="3"/>
  <c r="DA292" i="3"/>
  <c r="DB292" i="3"/>
  <c r="DC292" i="3"/>
  <c r="A293" i="3"/>
  <c r="Y293" i="3"/>
  <c r="CX293" i="3" s="1"/>
  <c r="CY293" i="3"/>
  <c r="CZ293" i="3"/>
  <c r="DB293" i="3" s="1"/>
  <c r="DA293" i="3"/>
  <c r="DC293" i="3"/>
  <c r="DF293" i="3"/>
  <c r="DJ293" i="3"/>
  <c r="A294" i="3"/>
  <c r="Y294" i="3"/>
  <c r="CU294" i="3"/>
  <c r="CV294" i="3"/>
  <c r="CX294" i="3"/>
  <c r="CY294" i="3"/>
  <c r="CZ294" i="3"/>
  <c r="DA294" i="3"/>
  <c r="DB294" i="3"/>
  <c r="DC294" i="3"/>
  <c r="A295" i="3"/>
  <c r="Y295" i="3"/>
  <c r="CX295" i="3"/>
  <c r="CY295" i="3"/>
  <c r="CZ295" i="3"/>
  <c r="DB295" i="3" s="1"/>
  <c r="DA295" i="3"/>
  <c r="DC295" i="3"/>
  <c r="DF295" i="3"/>
  <c r="DJ295" i="3" s="1"/>
  <c r="A296" i="3"/>
  <c r="Y296" i="3"/>
  <c r="CX296" i="3" s="1"/>
  <c r="CY296" i="3"/>
  <c r="CZ296" i="3"/>
  <c r="DB296" i="3" s="1"/>
  <c r="DA296" i="3"/>
  <c r="DC296" i="3"/>
  <c r="DF296" i="3"/>
  <c r="DJ296" i="3" s="1"/>
  <c r="DI296" i="3"/>
  <c r="A297" i="3"/>
  <c r="Y297" i="3"/>
  <c r="CX297" i="3"/>
  <c r="CY297" i="3"/>
  <c r="CZ297" i="3"/>
  <c r="DA297" i="3"/>
  <c r="DB297" i="3"/>
  <c r="DC297" i="3"/>
  <c r="DH297" i="3"/>
  <c r="DI297" i="3"/>
  <c r="A298" i="3"/>
  <c r="Y298" i="3"/>
  <c r="CX298" i="3" s="1"/>
  <c r="CY298" i="3"/>
  <c r="CZ298" i="3"/>
  <c r="DA298" i="3"/>
  <c r="DB298" i="3"/>
  <c r="DC298" i="3"/>
  <c r="A299" i="3"/>
  <c r="Y299" i="3"/>
  <c r="CX299" i="3" s="1"/>
  <c r="DI299" i="3" s="1"/>
  <c r="CY299" i="3"/>
  <c r="CZ299" i="3"/>
  <c r="DB299" i="3" s="1"/>
  <c r="DA299" i="3"/>
  <c r="DC299" i="3"/>
  <c r="DF299" i="3"/>
  <c r="DJ299" i="3" s="1"/>
  <c r="DG299" i="3"/>
  <c r="DH299" i="3"/>
  <c r="A300" i="3"/>
  <c r="Y300" i="3"/>
  <c r="CX300" i="3"/>
  <c r="DH300" i="3" s="1"/>
  <c r="CY300" i="3"/>
  <c r="CZ300" i="3"/>
  <c r="DB300" i="3" s="1"/>
  <c r="DA300" i="3"/>
  <c r="DC300" i="3"/>
  <c r="DF300" i="3"/>
  <c r="DG300" i="3"/>
  <c r="DI300" i="3"/>
  <c r="DJ300" i="3"/>
  <c r="A301" i="3"/>
  <c r="Y301" i="3"/>
  <c r="CX301" i="3"/>
  <c r="CY301" i="3"/>
  <c r="CZ301" i="3"/>
  <c r="DA301" i="3"/>
  <c r="DB301" i="3"/>
  <c r="DC301" i="3"/>
  <c r="A302" i="3"/>
  <c r="Y302" i="3"/>
  <c r="CX302" i="3"/>
  <c r="CY302" i="3"/>
  <c r="CZ302" i="3"/>
  <c r="DA302" i="3"/>
  <c r="DB302" i="3"/>
  <c r="DC302" i="3"/>
  <c r="A303" i="3"/>
  <c r="Y303" i="3"/>
  <c r="CX303" i="3" s="1"/>
  <c r="CY303" i="3"/>
  <c r="CZ303" i="3"/>
  <c r="DA303" i="3"/>
  <c r="DB303" i="3"/>
  <c r="DC303" i="3"/>
  <c r="DG303" i="3"/>
  <c r="A304" i="3"/>
  <c r="Y304" i="3"/>
  <c r="CX304" i="3" s="1"/>
  <c r="CY304" i="3"/>
  <c r="CZ304" i="3"/>
  <c r="DB304" i="3" s="1"/>
  <c r="DA304" i="3"/>
  <c r="DC304" i="3"/>
  <c r="DF304" i="3"/>
  <c r="DI304" i="3"/>
  <c r="DJ304" i="3"/>
  <c r="A305" i="3"/>
  <c r="Y305" i="3"/>
  <c r="CX305" i="3"/>
  <c r="CY305" i="3"/>
  <c r="CZ305" i="3"/>
  <c r="DA305" i="3"/>
  <c r="DB305" i="3"/>
  <c r="DC305" i="3"/>
  <c r="DH305" i="3"/>
  <c r="DI305" i="3"/>
  <c r="A306" i="3"/>
  <c r="Y306" i="3"/>
  <c r="CX306" i="3" s="1"/>
  <c r="CY306" i="3"/>
  <c r="CZ306" i="3"/>
  <c r="DA306" i="3"/>
  <c r="DB306" i="3"/>
  <c r="DC306" i="3"/>
  <c r="A307" i="3"/>
  <c r="Y307" i="3"/>
  <c r="CX307" i="3"/>
  <c r="CY307" i="3"/>
  <c r="CZ307" i="3"/>
  <c r="DB307" i="3" s="1"/>
  <c r="DA307" i="3"/>
  <c r="DC307" i="3"/>
  <c r="A308" i="3"/>
  <c r="Y308" i="3"/>
  <c r="CX308" i="3" s="1"/>
  <c r="CY308" i="3"/>
  <c r="CZ308" i="3"/>
  <c r="DB308" i="3" s="1"/>
  <c r="DA308" i="3"/>
  <c r="DC308" i="3"/>
  <c r="DI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A311" i="3"/>
  <c r="DB311" i="3"/>
  <c r="DC311" i="3"/>
  <c r="A312" i="3"/>
  <c r="Y312" i="3"/>
  <c r="CY312" i="3"/>
  <c r="CZ312" i="3"/>
  <c r="DA312" i="3"/>
  <c r="DB312" i="3"/>
  <c r="DC312" i="3"/>
  <c r="A313" i="3"/>
  <c r="Y313" i="3"/>
  <c r="CY313" i="3"/>
  <c r="CZ313" i="3"/>
  <c r="DA313" i="3"/>
  <c r="DB313" i="3"/>
  <c r="DC313" i="3"/>
  <c r="A314" i="3"/>
  <c r="Y314" i="3"/>
  <c r="CY314" i="3"/>
  <c r="CZ314" i="3"/>
  <c r="DB314" i="3" s="1"/>
  <c r="DA314" i="3"/>
  <c r="DC314" i="3"/>
  <c r="A315" i="3"/>
  <c r="Y315" i="3"/>
  <c r="CY315" i="3"/>
  <c r="CZ315" i="3"/>
  <c r="DA315" i="3"/>
  <c r="DB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B318" i="3" s="1"/>
  <c r="DA318" i="3"/>
  <c r="DC318" i="3"/>
  <c r="A319" i="3"/>
  <c r="Y319" i="3"/>
  <c r="CY319" i="3"/>
  <c r="CZ319" i="3"/>
  <c r="DA319" i="3"/>
  <c r="DB319" i="3"/>
  <c r="DC319" i="3"/>
  <c r="A320" i="3"/>
  <c r="Y320" i="3"/>
  <c r="CY320" i="3"/>
  <c r="CZ320" i="3"/>
  <c r="DA320" i="3"/>
  <c r="DB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A323" i="3"/>
  <c r="DB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B325" i="3" s="1"/>
  <c r="DA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A329" i="3"/>
  <c r="DB329" i="3"/>
  <c r="DC329" i="3"/>
  <c r="A330" i="3"/>
  <c r="Y330" i="3"/>
  <c r="CY330" i="3"/>
  <c r="CZ330" i="3"/>
  <c r="DB330" i="3" s="1"/>
  <c r="DA330" i="3"/>
  <c r="DC330" i="3"/>
  <c r="A331" i="3"/>
  <c r="Y331" i="3"/>
  <c r="CY331" i="3"/>
  <c r="CZ331" i="3"/>
  <c r="DA331" i="3"/>
  <c r="DB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A333" i="3"/>
  <c r="DB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A335" i="3"/>
  <c r="DB335" i="3"/>
  <c r="DC335" i="3"/>
  <c r="A336" i="3"/>
  <c r="Y336" i="3"/>
  <c r="CY336" i="3"/>
  <c r="CZ336" i="3"/>
  <c r="DB336" i="3" s="1"/>
  <c r="DA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A338" i="3"/>
  <c r="DB338" i="3"/>
  <c r="DC338" i="3"/>
  <c r="A339" i="3"/>
  <c r="Y339" i="3"/>
  <c r="CY339" i="3"/>
  <c r="CZ339" i="3"/>
  <c r="DA339" i="3"/>
  <c r="DB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B342" i="3" s="1"/>
  <c r="DA342" i="3"/>
  <c r="DC342" i="3"/>
  <c r="A343" i="3"/>
  <c r="Y343" i="3"/>
  <c r="CY343" i="3"/>
  <c r="CZ343" i="3"/>
  <c r="DB343" i="3" s="1"/>
  <c r="DA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A346" i="3"/>
  <c r="DB346" i="3"/>
  <c r="DC346" i="3"/>
  <c r="A347" i="3"/>
  <c r="Y347" i="3"/>
  <c r="CY347" i="3"/>
  <c r="CZ347" i="3"/>
  <c r="DA347" i="3"/>
  <c r="DB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B352" i="3" s="1"/>
  <c r="DA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B355" i="3" s="1"/>
  <c r="DA355" i="3"/>
  <c r="DC355" i="3"/>
  <c r="A356" i="3"/>
  <c r="Y356" i="3"/>
  <c r="CY356" i="3"/>
  <c r="CZ356" i="3"/>
  <c r="DB356" i="3" s="1"/>
  <c r="DA356" i="3"/>
  <c r="DC35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S28" i="1"/>
  <c r="AC28" i="1"/>
  <c r="CQ28" i="1" s="1"/>
  <c r="AD28" i="1"/>
  <c r="AE28" i="1"/>
  <c r="R28" i="1" s="1"/>
  <c r="AF28" i="1"/>
  <c r="AG28" i="1"/>
  <c r="CU28" i="1" s="1"/>
  <c r="T28" i="1" s="1"/>
  <c r="AH28" i="1"/>
  <c r="AI28" i="1"/>
  <c r="CW28" i="1" s="1"/>
  <c r="V28" i="1" s="1"/>
  <c r="AJ28" i="1"/>
  <c r="CT28" i="1"/>
  <c r="CV28" i="1"/>
  <c r="U28" i="1" s="1"/>
  <c r="CX28" i="1"/>
  <c r="W28" i="1" s="1"/>
  <c r="GL28" i="1"/>
  <c r="GN28" i="1"/>
  <c r="GP28" i="1"/>
  <c r="GV28" i="1"/>
  <c r="HC28" i="1" s="1"/>
  <c r="GX28" i="1" s="1"/>
  <c r="C29" i="1"/>
  <c r="D29" i="1"/>
  <c r="R29" i="1"/>
  <c r="T29" i="1"/>
  <c r="U29" i="1"/>
  <c r="AC29" i="1"/>
  <c r="P29" i="1" s="1"/>
  <c r="AD29" i="1"/>
  <c r="AE29" i="1"/>
  <c r="CR29" i="1" s="1"/>
  <c r="AF29" i="1"/>
  <c r="CT29" i="1" s="1"/>
  <c r="AG29" i="1"/>
  <c r="CU29" i="1" s="1"/>
  <c r="AH29" i="1"/>
  <c r="CV29" i="1" s="1"/>
  <c r="AI29" i="1"/>
  <c r="CW29" i="1" s="1"/>
  <c r="V29" i="1" s="1"/>
  <c r="AJ29" i="1"/>
  <c r="CX29" i="1" s="1"/>
  <c r="W29" i="1" s="1"/>
  <c r="CQ29" i="1"/>
  <c r="CS29" i="1"/>
  <c r="GL29" i="1"/>
  <c r="GN29" i="1"/>
  <c r="GP29" i="1"/>
  <c r="GV29" i="1"/>
  <c r="HC29" i="1" s="1"/>
  <c r="GX29" i="1" s="1"/>
  <c r="C30" i="1"/>
  <c r="D30" i="1"/>
  <c r="S30" i="1"/>
  <c r="Y30" i="1" s="1"/>
  <c r="AC30" i="1"/>
  <c r="AD30" i="1"/>
  <c r="AE30" i="1"/>
  <c r="Q30" i="1" s="1"/>
  <c r="AF30" i="1"/>
  <c r="AG30" i="1"/>
  <c r="AH30" i="1"/>
  <c r="AI30" i="1"/>
  <c r="AJ30" i="1"/>
  <c r="CR30" i="1"/>
  <c r="CS30" i="1"/>
  <c r="CT30" i="1"/>
  <c r="CU30" i="1"/>
  <c r="T30" i="1" s="1"/>
  <c r="CV30" i="1"/>
  <c r="U30" i="1" s="1"/>
  <c r="CW30" i="1"/>
  <c r="V30" i="1" s="1"/>
  <c r="CX30" i="1"/>
  <c r="W30" i="1" s="1"/>
  <c r="GL30" i="1"/>
  <c r="GN30" i="1"/>
  <c r="GP30" i="1"/>
  <c r="GV30" i="1"/>
  <c r="HC30" i="1"/>
  <c r="GX30" i="1" s="1"/>
  <c r="C31" i="1"/>
  <c r="D31" i="1"/>
  <c r="P31" i="1"/>
  <c r="Q31" i="1"/>
  <c r="R31" i="1"/>
  <c r="V31" i="1"/>
  <c r="W31" i="1"/>
  <c r="AB31" i="1"/>
  <c r="AC31" i="1"/>
  <c r="AD31" i="1"/>
  <c r="AE31" i="1"/>
  <c r="AF31" i="1"/>
  <c r="AG31" i="1"/>
  <c r="AH31" i="1"/>
  <c r="AI31" i="1"/>
  <c r="AJ31" i="1"/>
  <c r="CX31" i="1" s="1"/>
  <c r="CQ31" i="1"/>
  <c r="CR31" i="1"/>
  <c r="CS31" i="1"/>
  <c r="CU31" i="1"/>
  <c r="T31" i="1" s="1"/>
  <c r="CV31" i="1"/>
  <c r="U31" i="1" s="1"/>
  <c r="CW31" i="1"/>
  <c r="GL31" i="1"/>
  <c r="GN31" i="1"/>
  <c r="GP31" i="1"/>
  <c r="GV31" i="1"/>
  <c r="GX31" i="1"/>
  <c r="HC31" i="1"/>
  <c r="C32" i="1"/>
  <c r="D32" i="1"/>
  <c r="P32" i="1"/>
  <c r="S32" i="1"/>
  <c r="T32" i="1"/>
  <c r="U32" i="1"/>
  <c r="X32" i="1"/>
  <c r="Y32" i="1"/>
  <c r="AC32" i="1"/>
  <c r="AE32" i="1"/>
  <c r="CR32" i="1" s="1"/>
  <c r="AF32" i="1"/>
  <c r="AG32" i="1"/>
  <c r="AH32" i="1"/>
  <c r="AI32" i="1"/>
  <c r="AJ32" i="1"/>
  <c r="CQ32" i="1"/>
  <c r="CT32" i="1"/>
  <c r="CU32" i="1"/>
  <c r="CV32" i="1"/>
  <c r="CW32" i="1"/>
  <c r="V32" i="1" s="1"/>
  <c r="CX32" i="1"/>
  <c r="W32" i="1" s="1"/>
  <c r="GL32" i="1"/>
  <c r="GN32" i="1"/>
  <c r="GP32" i="1"/>
  <c r="GV32" i="1"/>
  <c r="HC32" i="1" s="1"/>
  <c r="GX32" i="1" s="1"/>
  <c r="C33" i="1"/>
  <c r="D33" i="1"/>
  <c r="R33" i="1"/>
  <c r="S33" i="1"/>
  <c r="CZ33" i="1" s="1"/>
  <c r="V33" i="1"/>
  <c r="W33" i="1"/>
  <c r="X33" i="1"/>
  <c r="AC33" i="1"/>
  <c r="AD33" i="1"/>
  <c r="AE33" i="1"/>
  <c r="Q33" i="1" s="1"/>
  <c r="AF33" i="1"/>
  <c r="AG33" i="1"/>
  <c r="CU33" i="1" s="1"/>
  <c r="T33" i="1" s="1"/>
  <c r="AH33" i="1"/>
  <c r="CV33" i="1" s="1"/>
  <c r="U33" i="1" s="1"/>
  <c r="AI33" i="1"/>
  <c r="AJ33" i="1"/>
  <c r="CX33" i="1" s="1"/>
  <c r="CQ33" i="1"/>
  <c r="CR33" i="1"/>
  <c r="CS33" i="1"/>
  <c r="CT33" i="1"/>
  <c r="CW33" i="1"/>
  <c r="GL33" i="1"/>
  <c r="GN33" i="1"/>
  <c r="GP33" i="1"/>
  <c r="GV33" i="1"/>
  <c r="HC33" i="1" s="1"/>
  <c r="GX33" i="1" s="1"/>
  <c r="C34" i="1"/>
  <c r="D34" i="1"/>
  <c r="R34" i="1"/>
  <c r="S34" i="1"/>
  <c r="T34" i="1"/>
  <c r="AC34" i="1"/>
  <c r="AE34" i="1"/>
  <c r="AD34" i="1" s="1"/>
  <c r="AF34" i="1"/>
  <c r="AG34" i="1"/>
  <c r="CU34" i="1" s="1"/>
  <c r="AH34" i="1"/>
  <c r="CV34" i="1" s="1"/>
  <c r="U34" i="1" s="1"/>
  <c r="AI34" i="1"/>
  <c r="AJ34" i="1"/>
  <c r="CX34" i="1" s="1"/>
  <c r="W34" i="1" s="1"/>
  <c r="CR34" i="1"/>
  <c r="CS34" i="1"/>
  <c r="CT34" i="1"/>
  <c r="CW34" i="1"/>
  <c r="V34" i="1" s="1"/>
  <c r="GL34" i="1"/>
  <c r="GN34" i="1"/>
  <c r="GP34" i="1"/>
  <c r="GV34" i="1"/>
  <c r="HC34" i="1" s="1"/>
  <c r="GX34" i="1" s="1"/>
  <c r="C35" i="1"/>
  <c r="D35" i="1"/>
  <c r="R35" i="1"/>
  <c r="T35" i="1"/>
  <c r="W35" i="1"/>
  <c r="X35" i="1"/>
  <c r="Y35" i="1"/>
  <c r="AC35" i="1"/>
  <c r="AD35" i="1"/>
  <c r="AE35" i="1"/>
  <c r="CS35" i="1" s="1"/>
  <c r="AF35" i="1"/>
  <c r="S35" i="1" s="1"/>
  <c r="AG35" i="1"/>
  <c r="AH35" i="1"/>
  <c r="CV35" i="1" s="1"/>
  <c r="U35" i="1" s="1"/>
  <c r="AI35" i="1"/>
  <c r="CW35" i="1" s="1"/>
  <c r="V35" i="1" s="1"/>
  <c r="AJ35" i="1"/>
  <c r="CX35" i="1" s="1"/>
  <c r="CQ35" i="1"/>
  <c r="CR35" i="1"/>
  <c r="CT35" i="1"/>
  <c r="CU35" i="1"/>
  <c r="CY35" i="1"/>
  <c r="CZ35" i="1"/>
  <c r="GL35" i="1"/>
  <c r="GN35" i="1"/>
  <c r="GP35" i="1"/>
  <c r="GV35" i="1"/>
  <c r="GX35" i="1"/>
  <c r="HC35" i="1"/>
  <c r="C36" i="1"/>
  <c r="D36" i="1"/>
  <c r="I36" i="1"/>
  <c r="K36" i="1"/>
  <c r="Q36" i="1"/>
  <c r="R36" i="1"/>
  <c r="U36" i="1"/>
  <c r="AC36" i="1"/>
  <c r="AD36" i="1"/>
  <c r="AE36" i="1"/>
  <c r="CR36" i="1" s="1"/>
  <c r="AF36" i="1"/>
  <c r="S36" i="1" s="1"/>
  <c r="AG36" i="1"/>
  <c r="CU36" i="1" s="1"/>
  <c r="AH36" i="1"/>
  <c r="AI36" i="1"/>
  <c r="AJ36" i="1"/>
  <c r="CS36" i="1"/>
  <c r="CV36" i="1"/>
  <c r="CW36" i="1"/>
  <c r="V36" i="1" s="1"/>
  <c r="CX36" i="1"/>
  <c r="W36" i="1" s="1"/>
  <c r="GL36" i="1"/>
  <c r="GN36" i="1"/>
  <c r="GP36" i="1"/>
  <c r="GV36" i="1"/>
  <c r="HC36" i="1" s="1"/>
  <c r="C37" i="1"/>
  <c r="D37" i="1"/>
  <c r="I37" i="1"/>
  <c r="Q37" i="1" s="1"/>
  <c r="K37" i="1"/>
  <c r="S37" i="1"/>
  <c r="X37" i="1" s="1"/>
  <c r="T37" i="1"/>
  <c r="AC37" i="1"/>
  <c r="AD37" i="1"/>
  <c r="AE37" i="1"/>
  <c r="CS37" i="1" s="1"/>
  <c r="AF37" i="1"/>
  <c r="AG37" i="1"/>
  <c r="CU37" i="1" s="1"/>
  <c r="AH37" i="1"/>
  <c r="CV37" i="1" s="1"/>
  <c r="U37" i="1" s="1"/>
  <c r="AI37" i="1"/>
  <c r="CW37" i="1" s="1"/>
  <c r="V37" i="1" s="1"/>
  <c r="AJ37" i="1"/>
  <c r="CR37" i="1"/>
  <c r="CT37" i="1"/>
  <c r="CX37" i="1"/>
  <c r="W37" i="1" s="1"/>
  <c r="CY37" i="1"/>
  <c r="GL37" i="1"/>
  <c r="GN37" i="1"/>
  <c r="GP37" i="1"/>
  <c r="GV37" i="1"/>
  <c r="HC37" i="1" s="1"/>
  <c r="GX37" i="1" s="1"/>
  <c r="C38" i="1"/>
  <c r="D38" i="1"/>
  <c r="I38" i="1"/>
  <c r="P38" i="1" s="1"/>
  <c r="K38" i="1"/>
  <c r="Q38" i="1"/>
  <c r="T38" i="1"/>
  <c r="AC38" i="1"/>
  <c r="AE38" i="1"/>
  <c r="CS38" i="1" s="1"/>
  <c r="AF38" i="1"/>
  <c r="AG38" i="1"/>
  <c r="AH38" i="1"/>
  <c r="AI38" i="1"/>
  <c r="AJ38" i="1"/>
  <c r="CX38" i="1" s="1"/>
  <c r="CQ38" i="1"/>
  <c r="CR38" i="1"/>
  <c r="CU38" i="1"/>
  <c r="CV38" i="1"/>
  <c r="U38" i="1" s="1"/>
  <c r="CW38" i="1"/>
  <c r="GL38" i="1"/>
  <c r="GO38" i="1"/>
  <c r="GP38" i="1"/>
  <c r="GV38" i="1"/>
  <c r="HC38" i="1"/>
  <c r="GX38" i="1" s="1"/>
  <c r="C39" i="1"/>
  <c r="D39" i="1"/>
  <c r="I39" i="1"/>
  <c r="CU72" i="3" s="1"/>
  <c r="K39" i="1"/>
  <c r="R39" i="1"/>
  <c r="AC39" i="1"/>
  <c r="CQ39" i="1" s="1"/>
  <c r="AE39" i="1"/>
  <c r="AF39" i="1"/>
  <c r="AG39" i="1"/>
  <c r="CU39" i="1" s="1"/>
  <c r="T39" i="1" s="1"/>
  <c r="AH39" i="1"/>
  <c r="AI39" i="1"/>
  <c r="CW39" i="1" s="1"/>
  <c r="V39" i="1" s="1"/>
  <c r="AJ39" i="1"/>
  <c r="CX39" i="1" s="1"/>
  <c r="CV39" i="1"/>
  <c r="U39" i="1" s="1"/>
  <c r="GL39" i="1"/>
  <c r="GO39" i="1"/>
  <c r="GP39" i="1"/>
  <c r="GV39" i="1"/>
  <c r="HC39" i="1"/>
  <c r="GX39" i="1" s="1"/>
  <c r="C40" i="1"/>
  <c r="D40" i="1"/>
  <c r="P40" i="1"/>
  <c r="T40" i="1"/>
  <c r="AC40" i="1"/>
  <c r="AE40" i="1"/>
  <c r="AF40" i="1"/>
  <c r="S40" i="1" s="1"/>
  <c r="CZ40" i="1" s="1"/>
  <c r="AG40" i="1"/>
  <c r="AH40" i="1"/>
  <c r="AI40" i="1"/>
  <c r="AJ40" i="1"/>
  <c r="CX40" i="1" s="1"/>
  <c r="W40" i="1" s="1"/>
  <c r="CQ40" i="1"/>
  <c r="CR40" i="1"/>
  <c r="CU40" i="1"/>
  <c r="CV40" i="1"/>
  <c r="U40" i="1" s="1"/>
  <c r="CW40" i="1"/>
  <c r="V40" i="1" s="1"/>
  <c r="GL40" i="1"/>
  <c r="GN40" i="1"/>
  <c r="GP40" i="1"/>
  <c r="GV40" i="1"/>
  <c r="GX40" i="1"/>
  <c r="HC40" i="1"/>
  <c r="C41" i="1"/>
  <c r="D41" i="1"/>
  <c r="S41" i="1"/>
  <c r="Y41" i="1" s="1"/>
  <c r="W41" i="1"/>
  <c r="X41" i="1"/>
  <c r="AC41" i="1"/>
  <c r="AD41" i="1"/>
  <c r="AE41" i="1"/>
  <c r="CS41" i="1" s="1"/>
  <c r="AF41" i="1"/>
  <c r="AG41" i="1"/>
  <c r="CU41" i="1" s="1"/>
  <c r="T41" i="1" s="1"/>
  <c r="AH41" i="1"/>
  <c r="CV41" i="1" s="1"/>
  <c r="U41" i="1" s="1"/>
  <c r="AI41" i="1"/>
  <c r="CW41" i="1" s="1"/>
  <c r="V41" i="1" s="1"/>
  <c r="AJ41" i="1"/>
  <c r="CQ41" i="1"/>
  <c r="CR41" i="1"/>
  <c r="CT41" i="1"/>
  <c r="CX41" i="1"/>
  <c r="CY41" i="1"/>
  <c r="GL41" i="1"/>
  <c r="GN41" i="1"/>
  <c r="GP41" i="1"/>
  <c r="GV41" i="1"/>
  <c r="HC41" i="1" s="1"/>
  <c r="GX41" i="1" s="1"/>
  <c r="C42" i="1"/>
  <c r="D42" i="1"/>
  <c r="P42" i="1"/>
  <c r="R42" i="1"/>
  <c r="S42" i="1"/>
  <c r="V42" i="1"/>
  <c r="AC42" i="1"/>
  <c r="CQ42" i="1" s="1"/>
  <c r="AD42" i="1"/>
  <c r="AE42" i="1"/>
  <c r="CR42" i="1" s="1"/>
  <c r="AF42" i="1"/>
  <c r="AG42" i="1"/>
  <c r="AH42" i="1"/>
  <c r="CV42" i="1" s="1"/>
  <c r="U42" i="1" s="1"/>
  <c r="AI42" i="1"/>
  <c r="AJ42" i="1"/>
  <c r="CX42" i="1" s="1"/>
  <c r="W42" i="1" s="1"/>
  <c r="CS42" i="1"/>
  <c r="CT42" i="1"/>
  <c r="CU42" i="1"/>
  <c r="T42" i="1" s="1"/>
  <c r="CW42" i="1"/>
  <c r="GL42" i="1"/>
  <c r="GN42" i="1"/>
  <c r="GP42" i="1"/>
  <c r="GV42" i="1"/>
  <c r="HC42" i="1" s="1"/>
  <c r="GX42" i="1"/>
  <c r="C43" i="1"/>
  <c r="D43" i="1"/>
  <c r="U43" i="1"/>
  <c r="Y43" i="1"/>
  <c r="AC43" i="1"/>
  <c r="P43" i="1" s="1"/>
  <c r="AE43" i="1"/>
  <c r="AF43" i="1"/>
  <c r="S43" i="1" s="1"/>
  <c r="AG43" i="1"/>
  <c r="CU43" i="1" s="1"/>
  <c r="T43" i="1" s="1"/>
  <c r="AH43" i="1"/>
  <c r="AI43" i="1"/>
  <c r="CW43" i="1" s="1"/>
  <c r="V43" i="1" s="1"/>
  <c r="AJ43" i="1"/>
  <c r="CX43" i="1" s="1"/>
  <c r="W43" i="1" s="1"/>
  <c r="CT43" i="1"/>
  <c r="CV43" i="1"/>
  <c r="CZ43" i="1"/>
  <c r="GL43" i="1"/>
  <c r="GN43" i="1"/>
  <c r="GP43" i="1"/>
  <c r="GV43" i="1"/>
  <c r="HC43" i="1"/>
  <c r="GX43" i="1" s="1"/>
  <c r="C44" i="1"/>
  <c r="D44" i="1"/>
  <c r="P44" i="1"/>
  <c r="Q44" i="1"/>
  <c r="R44" i="1"/>
  <c r="AC44" i="1"/>
  <c r="AD44" i="1"/>
  <c r="AB44" i="1" s="1"/>
  <c r="AE44" i="1"/>
  <c r="AF44" i="1"/>
  <c r="AG44" i="1"/>
  <c r="AH44" i="1"/>
  <c r="AI44" i="1"/>
  <c r="CW44" i="1" s="1"/>
  <c r="V44" i="1" s="1"/>
  <c r="AJ44" i="1"/>
  <c r="CX44" i="1" s="1"/>
  <c r="W44" i="1" s="1"/>
  <c r="CQ44" i="1"/>
  <c r="CU44" i="1"/>
  <c r="T44" i="1" s="1"/>
  <c r="CV44" i="1"/>
  <c r="U44" i="1" s="1"/>
  <c r="GL44" i="1"/>
  <c r="GN44" i="1"/>
  <c r="GP44" i="1"/>
  <c r="GV44" i="1"/>
  <c r="GX44" i="1"/>
  <c r="HC44" i="1"/>
  <c r="C45" i="1"/>
  <c r="D45" i="1"/>
  <c r="P45" i="1"/>
  <c r="S45" i="1"/>
  <c r="W45" i="1"/>
  <c r="AC45" i="1"/>
  <c r="AB45" i="1" s="1"/>
  <c r="AD45" i="1"/>
  <c r="AE45" i="1"/>
  <c r="Q45" i="1" s="1"/>
  <c r="AF45" i="1"/>
  <c r="AG45" i="1"/>
  <c r="CU45" i="1" s="1"/>
  <c r="T45" i="1" s="1"/>
  <c r="AH45" i="1"/>
  <c r="AI45" i="1"/>
  <c r="CW45" i="1" s="1"/>
  <c r="V45" i="1" s="1"/>
  <c r="AJ45" i="1"/>
  <c r="CP45" i="1"/>
  <c r="O45" i="1" s="1"/>
  <c r="CQ45" i="1"/>
  <c r="CR45" i="1"/>
  <c r="CT45" i="1"/>
  <c r="CV45" i="1"/>
  <c r="U45" i="1" s="1"/>
  <c r="CX45" i="1"/>
  <c r="GL45" i="1"/>
  <c r="GN45" i="1"/>
  <c r="GP45" i="1"/>
  <c r="GV45" i="1"/>
  <c r="HC45" i="1" s="1"/>
  <c r="GX45" i="1"/>
  <c r="C46" i="1"/>
  <c r="D46" i="1"/>
  <c r="R46" i="1"/>
  <c r="T46" i="1"/>
  <c r="V46" i="1"/>
  <c r="W46" i="1"/>
  <c r="AC46" i="1"/>
  <c r="P46" i="1" s="1"/>
  <c r="AD46" i="1"/>
  <c r="AE46" i="1"/>
  <c r="Q46" i="1" s="1"/>
  <c r="AF46" i="1"/>
  <c r="CT46" i="1" s="1"/>
  <c r="AG46" i="1"/>
  <c r="CU46" i="1" s="1"/>
  <c r="AH46" i="1"/>
  <c r="CV46" i="1" s="1"/>
  <c r="U46" i="1" s="1"/>
  <c r="AI46" i="1"/>
  <c r="AJ46" i="1"/>
  <c r="CQ46" i="1"/>
  <c r="CR46" i="1"/>
  <c r="CS46" i="1"/>
  <c r="CW46" i="1"/>
  <c r="CX46" i="1"/>
  <c r="GL46" i="1"/>
  <c r="GN46" i="1"/>
  <c r="GP46" i="1"/>
  <c r="GV46" i="1"/>
  <c r="HC46" i="1" s="1"/>
  <c r="GX46" i="1" s="1"/>
  <c r="C47" i="1"/>
  <c r="D47" i="1"/>
  <c r="Q47" i="1"/>
  <c r="R47" i="1"/>
  <c r="S47" i="1"/>
  <c r="Y47" i="1"/>
  <c r="AC47" i="1"/>
  <c r="AE47" i="1"/>
  <c r="AD47" i="1" s="1"/>
  <c r="AF47" i="1"/>
  <c r="AG47" i="1"/>
  <c r="CU47" i="1" s="1"/>
  <c r="T47" i="1" s="1"/>
  <c r="AH47" i="1"/>
  <c r="AI47" i="1"/>
  <c r="CW47" i="1" s="1"/>
  <c r="V47" i="1" s="1"/>
  <c r="AJ47" i="1"/>
  <c r="CR47" i="1"/>
  <c r="CS47" i="1"/>
  <c r="CT47" i="1"/>
  <c r="CV47" i="1"/>
  <c r="U47" i="1" s="1"/>
  <c r="CX47" i="1"/>
  <c r="W47" i="1" s="1"/>
  <c r="CZ47" i="1"/>
  <c r="GL47" i="1"/>
  <c r="GN47" i="1"/>
  <c r="GP47" i="1"/>
  <c r="GV47" i="1"/>
  <c r="HC47" i="1" s="1"/>
  <c r="GX47" i="1" s="1"/>
  <c r="C48" i="1"/>
  <c r="D48" i="1"/>
  <c r="P48" i="1"/>
  <c r="V48" i="1"/>
  <c r="AC48" i="1"/>
  <c r="AD48" i="1"/>
  <c r="AB48" i="1" s="1"/>
  <c r="AE48" i="1"/>
  <c r="AF48" i="1"/>
  <c r="CT48" i="1" s="1"/>
  <c r="AG48" i="1"/>
  <c r="AH48" i="1"/>
  <c r="CV48" i="1" s="1"/>
  <c r="U48" i="1" s="1"/>
  <c r="AI48" i="1"/>
  <c r="CW48" i="1" s="1"/>
  <c r="AJ48" i="1"/>
  <c r="CX48" i="1" s="1"/>
  <c r="W48" i="1" s="1"/>
  <c r="CQ48" i="1"/>
  <c r="CS48" i="1"/>
  <c r="CU48" i="1"/>
  <c r="T48" i="1" s="1"/>
  <c r="GL48" i="1"/>
  <c r="GN48" i="1"/>
  <c r="GP48" i="1"/>
  <c r="GV48" i="1"/>
  <c r="GX48" i="1"/>
  <c r="HC48" i="1"/>
  <c r="C49" i="1"/>
  <c r="D49" i="1"/>
  <c r="P49" i="1"/>
  <c r="S49" i="1"/>
  <c r="Y49" i="1" s="1"/>
  <c r="W49" i="1"/>
  <c r="AC49" i="1"/>
  <c r="AD49" i="1"/>
  <c r="AE49" i="1"/>
  <c r="Q49" i="1" s="1"/>
  <c r="CP49" i="1" s="1"/>
  <c r="O49" i="1" s="1"/>
  <c r="AF49" i="1"/>
  <c r="AG49" i="1"/>
  <c r="CU49" i="1" s="1"/>
  <c r="T49" i="1" s="1"/>
  <c r="AH49" i="1"/>
  <c r="CV49" i="1" s="1"/>
  <c r="U49" i="1" s="1"/>
  <c r="AI49" i="1"/>
  <c r="AJ49" i="1"/>
  <c r="CQ49" i="1"/>
  <c r="CT49" i="1"/>
  <c r="CW49" i="1"/>
  <c r="V49" i="1" s="1"/>
  <c r="CX49" i="1"/>
  <c r="GL49" i="1"/>
  <c r="GN49" i="1"/>
  <c r="GP49" i="1"/>
  <c r="GV49" i="1"/>
  <c r="GX49" i="1"/>
  <c r="HC49" i="1"/>
  <c r="C50" i="1"/>
  <c r="D50" i="1"/>
  <c r="I50" i="1"/>
  <c r="Q50" i="1" s="1"/>
  <c r="K50" i="1"/>
  <c r="P50" i="1"/>
  <c r="U50" i="1"/>
  <c r="AC50" i="1"/>
  <c r="AE50" i="1"/>
  <c r="CR50" i="1" s="1"/>
  <c r="AF50" i="1"/>
  <c r="CT50" i="1" s="1"/>
  <c r="AG50" i="1"/>
  <c r="AH50" i="1"/>
  <c r="AI50" i="1"/>
  <c r="CW50" i="1" s="1"/>
  <c r="V50" i="1" s="1"/>
  <c r="AJ50" i="1"/>
  <c r="CX50" i="1" s="1"/>
  <c r="W50" i="1" s="1"/>
  <c r="CQ50" i="1"/>
  <c r="CU50" i="1"/>
  <c r="T50" i="1" s="1"/>
  <c r="CV50" i="1"/>
  <c r="GL50" i="1"/>
  <c r="GN50" i="1"/>
  <c r="GP50" i="1"/>
  <c r="GV50" i="1"/>
  <c r="HC50" i="1"/>
  <c r="C51" i="1"/>
  <c r="D51" i="1"/>
  <c r="I51" i="1"/>
  <c r="K51" i="1"/>
  <c r="Q51" i="1"/>
  <c r="R51" i="1"/>
  <c r="U51" i="1"/>
  <c r="AC51" i="1"/>
  <c r="CQ51" i="1" s="1"/>
  <c r="AD51" i="1"/>
  <c r="AE51" i="1"/>
  <c r="CR51" i="1" s="1"/>
  <c r="AF51" i="1"/>
  <c r="S51" i="1" s="1"/>
  <c r="AG51" i="1"/>
  <c r="CU51" i="1" s="1"/>
  <c r="T51" i="1" s="1"/>
  <c r="AH51" i="1"/>
  <c r="AI51" i="1"/>
  <c r="AJ51" i="1"/>
  <c r="CX51" i="1" s="1"/>
  <c r="W51" i="1" s="1"/>
  <c r="CS51" i="1"/>
  <c r="CT51" i="1"/>
  <c r="CV51" i="1"/>
  <c r="CW51" i="1"/>
  <c r="V51" i="1" s="1"/>
  <c r="GL51" i="1"/>
  <c r="GN51" i="1"/>
  <c r="GP51" i="1"/>
  <c r="GV51" i="1"/>
  <c r="HC51" i="1" s="1"/>
  <c r="GX51" i="1" s="1"/>
  <c r="GB55" i="1" s="1"/>
  <c r="C52" i="1"/>
  <c r="D52" i="1"/>
  <c r="I52" i="1"/>
  <c r="Q52" i="1" s="1"/>
  <c r="K52" i="1"/>
  <c r="R52" i="1"/>
  <c r="S52" i="1"/>
  <c r="Y52" i="1" s="1"/>
  <c r="U52" i="1"/>
  <c r="X52" i="1"/>
  <c r="AC52" i="1"/>
  <c r="P52" i="1" s="1"/>
  <c r="CP52" i="1" s="1"/>
  <c r="O52" i="1" s="1"/>
  <c r="GM52" i="1" s="1"/>
  <c r="GN52" i="1" s="1"/>
  <c r="AD52" i="1"/>
  <c r="AB52" i="1" s="1"/>
  <c r="AE52" i="1"/>
  <c r="AF52" i="1"/>
  <c r="AG52" i="1"/>
  <c r="AH52" i="1"/>
  <c r="CV52" i="1" s="1"/>
  <c r="AI52" i="1"/>
  <c r="AJ52" i="1"/>
  <c r="CX52" i="1" s="1"/>
  <c r="W52" i="1" s="1"/>
  <c r="CQ52" i="1"/>
  <c r="CR52" i="1"/>
  <c r="CS52" i="1"/>
  <c r="CT52" i="1"/>
  <c r="CU52" i="1"/>
  <c r="T52" i="1" s="1"/>
  <c r="CW52" i="1"/>
  <c r="V52" i="1" s="1"/>
  <c r="CY52" i="1"/>
  <c r="CZ52" i="1"/>
  <c r="GL52" i="1"/>
  <c r="GO52" i="1"/>
  <c r="GP52" i="1"/>
  <c r="GV52" i="1"/>
  <c r="HC52" i="1" s="1"/>
  <c r="GX52" i="1" s="1"/>
  <c r="C53" i="1"/>
  <c r="D53" i="1"/>
  <c r="I53" i="1"/>
  <c r="K53" i="1"/>
  <c r="S53" i="1"/>
  <c r="Y53" i="1" s="1"/>
  <c r="W53" i="1"/>
  <c r="X53" i="1"/>
  <c r="AC53" i="1"/>
  <c r="P53" i="1" s="1"/>
  <c r="AE53" i="1"/>
  <c r="CR53" i="1" s="1"/>
  <c r="AF53" i="1"/>
  <c r="AG53" i="1"/>
  <c r="CU53" i="1" s="1"/>
  <c r="T53" i="1" s="1"/>
  <c r="AH53" i="1"/>
  <c r="AI53" i="1"/>
  <c r="CW53" i="1" s="1"/>
  <c r="V53" i="1" s="1"/>
  <c r="AJ53" i="1"/>
  <c r="CQ53" i="1"/>
  <c r="CS53" i="1"/>
  <c r="CT53" i="1"/>
  <c r="CV53" i="1"/>
  <c r="U53" i="1" s="1"/>
  <c r="CX53" i="1"/>
  <c r="GL53" i="1"/>
  <c r="GO53" i="1"/>
  <c r="GP53" i="1"/>
  <c r="GV53" i="1"/>
  <c r="HC53" i="1"/>
  <c r="GX53" i="1" s="1"/>
  <c r="B55" i="1"/>
  <c r="B26" i="1" s="1"/>
  <c r="C55" i="1"/>
  <c r="C26" i="1" s="1"/>
  <c r="D55" i="1"/>
  <c r="D26" i="1" s="1"/>
  <c r="F55" i="1"/>
  <c r="F26" i="1" s="1"/>
  <c r="G55" i="1"/>
  <c r="G26" i="1" s="1"/>
  <c r="BX55" i="1"/>
  <c r="BY55" i="1"/>
  <c r="BZ55" i="1"/>
  <c r="BZ26" i="1" s="1"/>
  <c r="CD55" i="1"/>
  <c r="CK55" i="1"/>
  <c r="CL55" i="1"/>
  <c r="CL26" i="1" s="1"/>
  <c r="CM55" i="1"/>
  <c r="EH55" i="1"/>
  <c r="EV55" i="1"/>
  <c r="FP55" i="1"/>
  <c r="FQ55" i="1"/>
  <c r="FR55" i="1"/>
  <c r="FR26" i="1" s="1"/>
  <c r="FV55" i="1"/>
  <c r="FY55" i="1"/>
  <c r="GC55" i="1"/>
  <c r="GC26" i="1" s="1"/>
  <c r="GD55" i="1"/>
  <c r="GD26" i="1" s="1"/>
  <c r="GE55" i="1"/>
  <c r="GE26" i="1" s="1"/>
  <c r="D85" i="1"/>
  <c r="C87" i="1"/>
  <c r="E87" i="1"/>
  <c r="Z87" i="1"/>
  <c r="AA87" i="1"/>
  <c r="AM87" i="1"/>
  <c r="AN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R87" i="1"/>
  <c r="DS87" i="1"/>
  <c r="EE87" i="1"/>
  <c r="EF87" i="1"/>
  <c r="EW87" i="1"/>
  <c r="EX87" i="1"/>
  <c r="EY87" i="1"/>
  <c r="EZ87" i="1"/>
  <c r="FA87" i="1"/>
  <c r="FB87" i="1"/>
  <c r="FC87" i="1"/>
  <c r="FD87" i="1"/>
  <c r="FE87" i="1"/>
  <c r="FF87" i="1"/>
  <c r="FG87" i="1"/>
  <c r="FH87" i="1"/>
  <c r="FI87" i="1"/>
  <c r="FJ87" i="1"/>
  <c r="FK87" i="1"/>
  <c r="FL87" i="1"/>
  <c r="FM87" i="1"/>
  <c r="FN87" i="1"/>
  <c r="FO87" i="1"/>
  <c r="GC87" i="1"/>
  <c r="GF87" i="1"/>
  <c r="GG87" i="1"/>
  <c r="GH87" i="1"/>
  <c r="GI87" i="1"/>
  <c r="GJ87" i="1"/>
  <c r="GK87" i="1"/>
  <c r="GL87" i="1"/>
  <c r="GM87" i="1"/>
  <c r="GN87" i="1"/>
  <c r="GO87" i="1"/>
  <c r="GP87" i="1"/>
  <c r="GQ87" i="1"/>
  <c r="GR87" i="1"/>
  <c r="GS87" i="1"/>
  <c r="GT87" i="1"/>
  <c r="GU87" i="1"/>
  <c r="GV87" i="1"/>
  <c r="GW87" i="1"/>
  <c r="GX87" i="1"/>
  <c r="C89" i="1"/>
  <c r="D89" i="1"/>
  <c r="P89" i="1"/>
  <c r="S89" i="1"/>
  <c r="AC89" i="1"/>
  <c r="CQ89" i="1" s="1"/>
  <c r="AE89" i="1"/>
  <c r="AF89" i="1"/>
  <c r="AG89" i="1"/>
  <c r="CU89" i="1" s="1"/>
  <c r="T89" i="1" s="1"/>
  <c r="AH89" i="1"/>
  <c r="AI89" i="1"/>
  <c r="CW89" i="1" s="1"/>
  <c r="V89" i="1" s="1"/>
  <c r="AJ89" i="1"/>
  <c r="CX89" i="1" s="1"/>
  <c r="W89" i="1" s="1"/>
  <c r="CT89" i="1"/>
  <c r="CV89" i="1"/>
  <c r="U89" i="1" s="1"/>
  <c r="GL89" i="1"/>
  <c r="GN89" i="1"/>
  <c r="GP89" i="1"/>
  <c r="GV89" i="1"/>
  <c r="GX89" i="1"/>
  <c r="HC89" i="1"/>
  <c r="C90" i="1"/>
  <c r="D90" i="1"/>
  <c r="Q90" i="1"/>
  <c r="S90" i="1"/>
  <c r="Y90" i="1" s="1"/>
  <c r="U90" i="1"/>
  <c r="V90" i="1"/>
  <c r="AC90" i="1"/>
  <c r="CQ90" i="1" s="1"/>
  <c r="AE90" i="1"/>
  <c r="AF90" i="1"/>
  <c r="AG90" i="1"/>
  <c r="AH90" i="1"/>
  <c r="AI90" i="1"/>
  <c r="CW90" i="1" s="1"/>
  <c r="AJ90" i="1"/>
  <c r="CX90" i="1" s="1"/>
  <c r="W90" i="1" s="1"/>
  <c r="CT90" i="1"/>
  <c r="CU90" i="1"/>
  <c r="T90" i="1" s="1"/>
  <c r="CV90" i="1"/>
  <c r="CZ90" i="1"/>
  <c r="GL90" i="1"/>
  <c r="GN90" i="1"/>
  <c r="GP90" i="1"/>
  <c r="GV90" i="1"/>
  <c r="HC90" i="1" s="1"/>
  <c r="GX90" i="1"/>
  <c r="P91" i="1"/>
  <c r="FR91" i="1" s="1"/>
  <c r="R91" i="1"/>
  <c r="S91" i="1"/>
  <c r="X91" i="1" s="1"/>
  <c r="W91" i="1"/>
  <c r="Y91" i="1"/>
  <c r="AC91" i="1"/>
  <c r="AD91" i="1"/>
  <c r="AB91" i="1" s="1"/>
  <c r="AE91" i="1"/>
  <c r="Q91" i="1" s="1"/>
  <c r="AF91" i="1"/>
  <c r="CT91" i="1" s="1"/>
  <c r="AG91" i="1"/>
  <c r="AH91" i="1"/>
  <c r="AI91" i="1"/>
  <c r="AJ91" i="1"/>
  <c r="CP91" i="1"/>
  <c r="O91" i="1" s="1"/>
  <c r="CQ91" i="1"/>
  <c r="CR91" i="1"/>
  <c r="CS91" i="1"/>
  <c r="CU91" i="1"/>
  <c r="T91" i="1" s="1"/>
  <c r="CV91" i="1"/>
  <c r="U91" i="1" s="1"/>
  <c r="CW91" i="1"/>
  <c r="V91" i="1" s="1"/>
  <c r="CX91" i="1"/>
  <c r="CY91" i="1"/>
  <c r="CZ91" i="1"/>
  <c r="GL91" i="1"/>
  <c r="GN91" i="1"/>
  <c r="GO91" i="1"/>
  <c r="GP91" i="1"/>
  <c r="GV91" i="1"/>
  <c r="HC91" i="1" s="1"/>
  <c r="GX91" i="1" s="1"/>
  <c r="Q92" i="1"/>
  <c r="S92" i="1"/>
  <c r="CY92" i="1" s="1"/>
  <c r="V92" i="1"/>
  <c r="Y92" i="1"/>
  <c r="AB92" i="1"/>
  <c r="AC92" i="1"/>
  <c r="AD92" i="1"/>
  <c r="AE92" i="1"/>
  <c r="R92" i="1" s="1"/>
  <c r="AF92" i="1"/>
  <c r="AG92" i="1"/>
  <c r="AH92" i="1"/>
  <c r="AI92" i="1"/>
  <c r="CW92" i="1" s="1"/>
  <c r="AJ92" i="1"/>
  <c r="CS92" i="1"/>
  <c r="CT92" i="1"/>
  <c r="CU92" i="1"/>
  <c r="T92" i="1" s="1"/>
  <c r="CV92" i="1"/>
  <c r="U92" i="1" s="1"/>
  <c r="CX92" i="1"/>
  <c r="W92" i="1" s="1"/>
  <c r="CZ92" i="1"/>
  <c r="GL92" i="1"/>
  <c r="GN92" i="1"/>
  <c r="GO92" i="1"/>
  <c r="GP92" i="1"/>
  <c r="GV92" i="1"/>
  <c r="HC92" i="1" s="1"/>
  <c r="GX92" i="1"/>
  <c r="C93" i="1"/>
  <c r="D93" i="1"/>
  <c r="R93" i="1"/>
  <c r="U93" i="1"/>
  <c r="Y93" i="1"/>
  <c r="AC93" i="1"/>
  <c r="AD93" i="1"/>
  <c r="AE93" i="1"/>
  <c r="Q93" i="1" s="1"/>
  <c r="AF93" i="1"/>
  <c r="S93" i="1" s="1"/>
  <c r="AG93" i="1"/>
  <c r="AH93" i="1"/>
  <c r="CV93" i="1" s="1"/>
  <c r="AI93" i="1"/>
  <c r="AJ93" i="1"/>
  <c r="CX93" i="1" s="1"/>
  <c r="W93" i="1" s="1"/>
  <c r="CR93" i="1"/>
  <c r="CS93" i="1"/>
  <c r="CT93" i="1"/>
  <c r="CU93" i="1"/>
  <c r="T93" i="1" s="1"/>
  <c r="CW93" i="1"/>
  <c r="V93" i="1" s="1"/>
  <c r="GL93" i="1"/>
  <c r="GN93" i="1"/>
  <c r="GP93" i="1"/>
  <c r="GV93" i="1"/>
  <c r="HC93" i="1" s="1"/>
  <c r="GX93" i="1"/>
  <c r="C94" i="1"/>
  <c r="D94" i="1"/>
  <c r="Q94" i="1"/>
  <c r="R94" i="1"/>
  <c r="U94" i="1"/>
  <c r="W94" i="1"/>
  <c r="Y94" i="1"/>
  <c r="AB94" i="1"/>
  <c r="AC94" i="1"/>
  <c r="AD94" i="1"/>
  <c r="AE94" i="1"/>
  <c r="AF94" i="1"/>
  <c r="S94" i="1" s="1"/>
  <c r="X94" i="1" s="1"/>
  <c r="AG94" i="1"/>
  <c r="AH94" i="1"/>
  <c r="AI94" i="1"/>
  <c r="CW94" i="1" s="1"/>
  <c r="V94" i="1" s="1"/>
  <c r="AJ94" i="1"/>
  <c r="CX94" i="1" s="1"/>
  <c r="CR94" i="1"/>
  <c r="CS94" i="1"/>
  <c r="CT94" i="1"/>
  <c r="CU94" i="1"/>
  <c r="T94" i="1" s="1"/>
  <c r="CV94" i="1"/>
  <c r="CY94" i="1"/>
  <c r="GL94" i="1"/>
  <c r="GN94" i="1"/>
  <c r="GP94" i="1"/>
  <c r="GV94" i="1"/>
  <c r="HC94" i="1" s="1"/>
  <c r="GX94" i="1" s="1"/>
  <c r="S95" i="1"/>
  <c r="T95" i="1"/>
  <c r="W95" i="1"/>
  <c r="AC95" i="1"/>
  <c r="AE95" i="1"/>
  <c r="AF95" i="1"/>
  <c r="AG95" i="1"/>
  <c r="CU95" i="1" s="1"/>
  <c r="AH95" i="1"/>
  <c r="CV95" i="1" s="1"/>
  <c r="U95" i="1" s="1"/>
  <c r="AI95" i="1"/>
  <c r="AJ95" i="1"/>
  <c r="CT95" i="1"/>
  <c r="CW95" i="1"/>
  <c r="V95" i="1" s="1"/>
  <c r="CX95" i="1"/>
  <c r="GL95" i="1"/>
  <c r="GN95" i="1"/>
  <c r="GO95" i="1"/>
  <c r="GP95" i="1"/>
  <c r="GV95" i="1"/>
  <c r="GX95" i="1"/>
  <c r="HC95" i="1"/>
  <c r="R96" i="1"/>
  <c r="S96" i="1"/>
  <c r="AC96" i="1"/>
  <c r="AD96" i="1"/>
  <c r="AE96" i="1"/>
  <c r="Q96" i="1" s="1"/>
  <c r="AF96" i="1"/>
  <c r="AG96" i="1"/>
  <c r="AH96" i="1"/>
  <c r="CV96" i="1" s="1"/>
  <c r="U96" i="1" s="1"/>
  <c r="AI96" i="1"/>
  <c r="AJ96" i="1"/>
  <c r="CR96" i="1"/>
  <c r="CS96" i="1"/>
  <c r="CT96" i="1"/>
  <c r="CU96" i="1"/>
  <c r="T96" i="1" s="1"/>
  <c r="CW96" i="1"/>
  <c r="V96" i="1" s="1"/>
  <c r="CX96" i="1"/>
  <c r="W96" i="1" s="1"/>
  <c r="GL96" i="1"/>
  <c r="GN96" i="1"/>
  <c r="GO96" i="1"/>
  <c r="GP96" i="1"/>
  <c r="GV96" i="1"/>
  <c r="HC96" i="1"/>
  <c r="GX96" i="1" s="1"/>
  <c r="C97" i="1"/>
  <c r="D97" i="1"/>
  <c r="S97" i="1"/>
  <c r="AC97" i="1"/>
  <c r="AE97" i="1"/>
  <c r="AF97" i="1"/>
  <c r="AG97" i="1"/>
  <c r="AH97" i="1"/>
  <c r="AI97" i="1"/>
  <c r="CW97" i="1" s="1"/>
  <c r="V97" i="1" s="1"/>
  <c r="AJ97" i="1"/>
  <c r="CT97" i="1"/>
  <c r="CU97" i="1"/>
  <c r="T97" i="1" s="1"/>
  <c r="CV97" i="1"/>
  <c r="U97" i="1" s="1"/>
  <c r="CX97" i="1"/>
  <c r="W97" i="1" s="1"/>
  <c r="GL97" i="1"/>
  <c r="BZ120" i="1" s="1"/>
  <c r="BZ87" i="1" s="1"/>
  <c r="GN97" i="1"/>
  <c r="GP97" i="1"/>
  <c r="GV97" i="1"/>
  <c r="HC97" i="1"/>
  <c r="GX97" i="1" s="1"/>
  <c r="C98" i="1"/>
  <c r="D98" i="1"/>
  <c r="S98" i="1"/>
  <c r="AC98" i="1"/>
  <c r="AD98" i="1"/>
  <c r="AE98" i="1"/>
  <c r="AF98" i="1"/>
  <c r="AG98" i="1"/>
  <c r="AH98" i="1"/>
  <c r="AI98" i="1"/>
  <c r="CW98" i="1" s="1"/>
  <c r="V98" i="1" s="1"/>
  <c r="AJ98" i="1"/>
  <c r="CT98" i="1"/>
  <c r="CU98" i="1"/>
  <c r="T98" i="1" s="1"/>
  <c r="CV98" i="1"/>
  <c r="U98" i="1" s="1"/>
  <c r="CX98" i="1"/>
  <c r="W98" i="1" s="1"/>
  <c r="GL98" i="1"/>
  <c r="GN98" i="1"/>
  <c r="GP98" i="1"/>
  <c r="GV98" i="1"/>
  <c r="HC98" i="1"/>
  <c r="GX98" i="1" s="1"/>
  <c r="P99" i="1"/>
  <c r="Q99" i="1"/>
  <c r="U99" i="1"/>
  <c r="AC99" i="1"/>
  <c r="AE99" i="1"/>
  <c r="AF99" i="1"/>
  <c r="AG99" i="1"/>
  <c r="CU99" i="1" s="1"/>
  <c r="T99" i="1" s="1"/>
  <c r="AH99" i="1"/>
  <c r="AI99" i="1"/>
  <c r="AJ99" i="1"/>
  <c r="CQ99" i="1"/>
  <c r="CV99" i="1"/>
  <c r="CW99" i="1"/>
  <c r="V99" i="1" s="1"/>
  <c r="CX99" i="1"/>
  <c r="W99" i="1" s="1"/>
  <c r="GL99" i="1"/>
  <c r="GN99" i="1"/>
  <c r="GO99" i="1"/>
  <c r="GP99" i="1"/>
  <c r="GV99" i="1"/>
  <c r="HC99" i="1"/>
  <c r="GX99" i="1" s="1"/>
  <c r="P100" i="1"/>
  <c r="S100" i="1"/>
  <c r="V100" i="1"/>
  <c r="AC100" i="1"/>
  <c r="AD100" i="1"/>
  <c r="AB100" i="1" s="1"/>
  <c r="AE100" i="1"/>
  <c r="AF100" i="1"/>
  <c r="AG100" i="1"/>
  <c r="CU100" i="1" s="1"/>
  <c r="T100" i="1" s="1"/>
  <c r="AH100" i="1"/>
  <c r="AI100" i="1"/>
  <c r="CW100" i="1" s="1"/>
  <c r="AJ100" i="1"/>
  <c r="CX100" i="1" s="1"/>
  <c r="W100" i="1" s="1"/>
  <c r="CQ100" i="1"/>
  <c r="CT100" i="1"/>
  <c r="CV100" i="1"/>
  <c r="U100" i="1" s="1"/>
  <c r="CZ100" i="1"/>
  <c r="GL100" i="1"/>
  <c r="GN100" i="1"/>
  <c r="GO100" i="1"/>
  <c r="GP100" i="1"/>
  <c r="GV100" i="1"/>
  <c r="HC100" i="1" s="1"/>
  <c r="GX100" i="1" s="1"/>
  <c r="C101" i="1"/>
  <c r="D101" i="1"/>
  <c r="R101" i="1"/>
  <c r="U101" i="1"/>
  <c r="AC101" i="1"/>
  <c r="AD101" i="1"/>
  <c r="AE101" i="1"/>
  <c r="Q101" i="1" s="1"/>
  <c r="AF101" i="1"/>
  <c r="AG101" i="1"/>
  <c r="AH101" i="1"/>
  <c r="CV101" i="1" s="1"/>
  <c r="AI101" i="1"/>
  <c r="AJ101" i="1"/>
  <c r="CR101" i="1"/>
  <c r="CS101" i="1"/>
  <c r="CU101" i="1"/>
  <c r="T101" i="1" s="1"/>
  <c r="CW101" i="1"/>
  <c r="V101" i="1" s="1"/>
  <c r="AI120" i="1" s="1"/>
  <c r="CX101" i="1"/>
  <c r="W101" i="1" s="1"/>
  <c r="GL101" i="1"/>
  <c r="GN101" i="1"/>
  <c r="GP101" i="1"/>
  <c r="GV101" i="1"/>
  <c r="HC101" i="1" s="1"/>
  <c r="GX101" i="1" s="1"/>
  <c r="C102" i="1"/>
  <c r="D102" i="1"/>
  <c r="T102" i="1"/>
  <c r="AC102" i="1"/>
  <c r="AE102" i="1"/>
  <c r="AF102" i="1"/>
  <c r="AG102" i="1"/>
  <c r="AH102" i="1"/>
  <c r="AI102" i="1"/>
  <c r="AJ102" i="1"/>
  <c r="CX102" i="1" s="1"/>
  <c r="W102" i="1" s="1"/>
  <c r="CU102" i="1"/>
  <c r="CV102" i="1"/>
  <c r="U102" i="1" s="1"/>
  <c r="CW102" i="1"/>
  <c r="V102" i="1" s="1"/>
  <c r="GL102" i="1"/>
  <c r="GN102" i="1"/>
  <c r="GP102" i="1"/>
  <c r="GV102" i="1"/>
  <c r="HC102" i="1"/>
  <c r="GX102" i="1" s="1"/>
  <c r="AC103" i="1"/>
  <c r="P103" i="1" s="1"/>
  <c r="AE103" i="1"/>
  <c r="AF103" i="1"/>
  <c r="AG103" i="1"/>
  <c r="CU103" i="1" s="1"/>
  <c r="T103" i="1" s="1"/>
  <c r="AH103" i="1"/>
  <c r="CV103" i="1" s="1"/>
  <c r="U103" i="1" s="1"/>
  <c r="AI103" i="1"/>
  <c r="AJ103" i="1"/>
  <c r="CQ103" i="1"/>
  <c r="CW103" i="1"/>
  <c r="V103" i="1" s="1"/>
  <c r="CX103" i="1"/>
  <c r="W103" i="1" s="1"/>
  <c r="FR103" i="1"/>
  <c r="GL103" i="1"/>
  <c r="GN103" i="1"/>
  <c r="CB120" i="1" s="1"/>
  <c r="GO103" i="1"/>
  <c r="GP103" i="1"/>
  <c r="GV103" i="1"/>
  <c r="GX103" i="1"/>
  <c r="HC103" i="1"/>
  <c r="P104" i="1"/>
  <c r="FR104" i="1" s="1"/>
  <c r="R104" i="1"/>
  <c r="V104" i="1"/>
  <c r="AC104" i="1"/>
  <c r="CQ104" i="1" s="1"/>
  <c r="AD104" i="1"/>
  <c r="AE104" i="1"/>
  <c r="Q104" i="1" s="1"/>
  <c r="AF104" i="1"/>
  <c r="CT104" i="1" s="1"/>
  <c r="AG104" i="1"/>
  <c r="CU104" i="1" s="1"/>
  <c r="T104" i="1" s="1"/>
  <c r="AH104" i="1"/>
  <c r="CV104" i="1" s="1"/>
  <c r="U104" i="1" s="1"/>
  <c r="AI104" i="1"/>
  <c r="CW104" i="1" s="1"/>
  <c r="AJ104" i="1"/>
  <c r="CR104" i="1"/>
  <c r="CS104" i="1"/>
  <c r="CX104" i="1"/>
  <c r="W104" i="1" s="1"/>
  <c r="GL104" i="1"/>
  <c r="GN104" i="1"/>
  <c r="GO104" i="1"/>
  <c r="GP104" i="1"/>
  <c r="GV104" i="1"/>
  <c r="HC104" i="1" s="1"/>
  <c r="GX104" i="1" s="1"/>
  <c r="Q105" i="1"/>
  <c r="R105" i="1"/>
  <c r="S105" i="1"/>
  <c r="U105" i="1"/>
  <c r="X105" i="1"/>
  <c r="AC105" i="1"/>
  <c r="CQ105" i="1" s="1"/>
  <c r="AE105" i="1"/>
  <c r="CR105" i="1" s="1"/>
  <c r="AF105" i="1"/>
  <c r="AG105" i="1"/>
  <c r="CU105" i="1" s="1"/>
  <c r="T105" i="1" s="1"/>
  <c r="AH105" i="1"/>
  <c r="AI105" i="1"/>
  <c r="AJ105" i="1"/>
  <c r="CX105" i="1" s="1"/>
  <c r="W105" i="1" s="1"/>
  <c r="CS105" i="1"/>
  <c r="CT105" i="1"/>
  <c r="CV105" i="1"/>
  <c r="CW105" i="1"/>
  <c r="V105" i="1" s="1"/>
  <c r="CZ105" i="1"/>
  <c r="GL105" i="1"/>
  <c r="GN105" i="1"/>
  <c r="GP105" i="1"/>
  <c r="GV105" i="1"/>
  <c r="GX105" i="1"/>
  <c r="HC105" i="1"/>
  <c r="R106" i="1"/>
  <c r="U106" i="1"/>
  <c r="W106" i="1"/>
  <c r="X106" i="1"/>
  <c r="AC106" i="1"/>
  <c r="AD106" i="1"/>
  <c r="AE106" i="1"/>
  <c r="Q106" i="1" s="1"/>
  <c r="AF106" i="1"/>
  <c r="S106" i="1" s="1"/>
  <c r="AG106" i="1"/>
  <c r="CU106" i="1" s="1"/>
  <c r="T106" i="1" s="1"/>
  <c r="AH106" i="1"/>
  <c r="CV106" i="1" s="1"/>
  <c r="AI106" i="1"/>
  <c r="CW106" i="1" s="1"/>
  <c r="V106" i="1" s="1"/>
  <c r="AJ106" i="1"/>
  <c r="CR106" i="1"/>
  <c r="CS106" i="1"/>
  <c r="CT106" i="1"/>
  <c r="CX106" i="1"/>
  <c r="CY106" i="1"/>
  <c r="GL106" i="1"/>
  <c r="GN106" i="1"/>
  <c r="GP106" i="1"/>
  <c r="GV106" i="1"/>
  <c r="HC106" i="1" s="1"/>
  <c r="GX106" i="1"/>
  <c r="C107" i="1"/>
  <c r="D107" i="1"/>
  <c r="I107" i="1"/>
  <c r="P107" i="1" s="1"/>
  <c r="K107" i="1"/>
  <c r="Q107" i="1"/>
  <c r="R107" i="1"/>
  <c r="T107" i="1"/>
  <c r="AC107" i="1"/>
  <c r="AD107" i="1"/>
  <c r="AE107" i="1"/>
  <c r="AF107" i="1"/>
  <c r="AG107" i="1"/>
  <c r="CU107" i="1" s="1"/>
  <c r="AH107" i="1"/>
  <c r="CV107" i="1" s="1"/>
  <c r="U107" i="1" s="1"/>
  <c r="AI107" i="1"/>
  <c r="CW107" i="1" s="1"/>
  <c r="V107" i="1" s="1"/>
  <c r="AJ107" i="1"/>
  <c r="CQ107" i="1"/>
  <c r="CR107" i="1"/>
  <c r="CS107" i="1"/>
  <c r="CX107" i="1"/>
  <c r="W107" i="1" s="1"/>
  <c r="GL107" i="1"/>
  <c r="GN107" i="1"/>
  <c r="GP107" i="1"/>
  <c r="GV107" i="1"/>
  <c r="HC107" i="1"/>
  <c r="GX107" i="1" s="1"/>
  <c r="C108" i="1"/>
  <c r="D108" i="1"/>
  <c r="I108" i="1"/>
  <c r="K108" i="1"/>
  <c r="P108" i="1"/>
  <c r="S108" i="1"/>
  <c r="V108" i="1"/>
  <c r="AB108" i="1"/>
  <c r="AC108" i="1"/>
  <c r="AD108" i="1"/>
  <c r="AE108" i="1"/>
  <c r="CR108" i="1" s="1"/>
  <c r="AF108" i="1"/>
  <c r="CT108" i="1" s="1"/>
  <c r="AG108" i="1"/>
  <c r="AH108" i="1"/>
  <c r="AI108" i="1"/>
  <c r="AJ108" i="1"/>
  <c r="CX108" i="1" s="1"/>
  <c r="W108" i="1" s="1"/>
  <c r="CQ108" i="1"/>
  <c r="CS108" i="1"/>
  <c r="CU108" i="1"/>
  <c r="CV108" i="1"/>
  <c r="U108" i="1" s="1"/>
  <c r="CW108" i="1"/>
  <c r="GL108" i="1"/>
  <c r="GN108" i="1"/>
  <c r="GP108" i="1"/>
  <c r="GV108" i="1"/>
  <c r="GX108" i="1"/>
  <c r="HC108" i="1"/>
  <c r="I109" i="1"/>
  <c r="S109" i="1" s="1"/>
  <c r="U109" i="1"/>
  <c r="AC109" i="1"/>
  <c r="P109" i="1" s="1"/>
  <c r="AE109" i="1"/>
  <c r="AF109" i="1"/>
  <c r="CT109" i="1" s="1"/>
  <c r="AG109" i="1"/>
  <c r="CU109" i="1" s="1"/>
  <c r="T109" i="1" s="1"/>
  <c r="AH109" i="1"/>
  <c r="AI109" i="1"/>
  <c r="CW109" i="1" s="1"/>
  <c r="V109" i="1" s="1"/>
  <c r="AJ109" i="1"/>
  <c r="CQ109" i="1"/>
  <c r="CV109" i="1"/>
  <c r="CX109" i="1"/>
  <c r="W109" i="1" s="1"/>
  <c r="CZ109" i="1"/>
  <c r="GL109" i="1"/>
  <c r="GN109" i="1"/>
  <c r="GP109" i="1"/>
  <c r="GV109" i="1"/>
  <c r="HC109" i="1"/>
  <c r="AC110" i="1"/>
  <c r="AE110" i="1"/>
  <c r="CR110" i="1" s="1"/>
  <c r="AF110" i="1"/>
  <c r="AG110" i="1"/>
  <c r="CU110" i="1" s="1"/>
  <c r="AH110" i="1"/>
  <c r="AI110" i="1"/>
  <c r="CW110" i="1" s="1"/>
  <c r="AJ110" i="1"/>
  <c r="CT110" i="1"/>
  <c r="CV110" i="1"/>
  <c r="CX110" i="1"/>
  <c r="GL110" i="1"/>
  <c r="GN110" i="1"/>
  <c r="GP110" i="1"/>
  <c r="GV110" i="1"/>
  <c r="HC110" i="1" s="1"/>
  <c r="C111" i="1"/>
  <c r="D111" i="1"/>
  <c r="I111" i="1"/>
  <c r="K111" i="1"/>
  <c r="AC111" i="1"/>
  <c r="AD111" i="1"/>
  <c r="AE111" i="1"/>
  <c r="AF111" i="1"/>
  <c r="S111" i="1" s="1"/>
  <c r="AG111" i="1"/>
  <c r="CU111" i="1" s="1"/>
  <c r="AH111" i="1"/>
  <c r="CV111" i="1" s="1"/>
  <c r="U111" i="1" s="1"/>
  <c r="AI111" i="1"/>
  <c r="AJ111" i="1"/>
  <c r="CX111" i="1" s="1"/>
  <c r="CR111" i="1"/>
  <c r="CS111" i="1"/>
  <c r="CT111" i="1"/>
  <c r="CW111" i="1"/>
  <c r="V111" i="1" s="1"/>
  <c r="GL111" i="1"/>
  <c r="GN111" i="1"/>
  <c r="GP111" i="1"/>
  <c r="GV111" i="1"/>
  <c r="HC111" i="1" s="1"/>
  <c r="C112" i="1"/>
  <c r="D112" i="1"/>
  <c r="I112" i="1"/>
  <c r="R112" i="1" s="1"/>
  <c r="K112" i="1"/>
  <c r="T112" i="1"/>
  <c r="W112" i="1"/>
  <c r="AC112" i="1"/>
  <c r="AE112" i="1"/>
  <c r="Q112" i="1" s="1"/>
  <c r="AF112" i="1"/>
  <c r="AG112" i="1"/>
  <c r="CU112" i="1" s="1"/>
  <c r="AH112" i="1"/>
  <c r="AI112" i="1"/>
  <c r="AJ112" i="1"/>
  <c r="CT112" i="1"/>
  <c r="CV112" i="1"/>
  <c r="U112" i="1" s="1"/>
  <c r="CW112" i="1"/>
  <c r="V112" i="1" s="1"/>
  <c r="CX112" i="1"/>
  <c r="GL112" i="1"/>
  <c r="GN112" i="1"/>
  <c r="GP112" i="1"/>
  <c r="GV112" i="1"/>
  <c r="HC112" i="1"/>
  <c r="I113" i="1"/>
  <c r="P113" i="1"/>
  <c r="U113" i="1"/>
  <c r="AC113" i="1"/>
  <c r="AD113" i="1"/>
  <c r="AE113" i="1"/>
  <c r="AF113" i="1"/>
  <c r="AG113" i="1"/>
  <c r="CU113" i="1" s="1"/>
  <c r="T113" i="1" s="1"/>
  <c r="AH113" i="1"/>
  <c r="CV113" i="1" s="1"/>
  <c r="AI113" i="1"/>
  <c r="CW113" i="1" s="1"/>
  <c r="V113" i="1" s="1"/>
  <c r="AJ113" i="1"/>
  <c r="CR113" i="1"/>
  <c r="CS113" i="1"/>
  <c r="CT113" i="1"/>
  <c r="CX113" i="1"/>
  <c r="W113" i="1" s="1"/>
  <c r="GL113" i="1"/>
  <c r="GN113" i="1"/>
  <c r="GP113" i="1"/>
  <c r="GV113" i="1"/>
  <c r="HC113" i="1" s="1"/>
  <c r="AC114" i="1"/>
  <c r="AE114" i="1"/>
  <c r="AF114" i="1"/>
  <c r="AG114" i="1"/>
  <c r="CU114" i="1" s="1"/>
  <c r="AH114" i="1"/>
  <c r="AI114" i="1"/>
  <c r="CW114" i="1" s="1"/>
  <c r="AJ114" i="1"/>
  <c r="CT114" i="1"/>
  <c r="CV114" i="1"/>
  <c r="CX114" i="1"/>
  <c r="GL114" i="1"/>
  <c r="GN114" i="1"/>
  <c r="GP114" i="1"/>
  <c r="GV114" i="1"/>
  <c r="HC114" i="1" s="1"/>
  <c r="C115" i="1"/>
  <c r="D115" i="1"/>
  <c r="P115" i="1"/>
  <c r="Q115" i="1"/>
  <c r="R115" i="1"/>
  <c r="V115" i="1"/>
  <c r="AC115" i="1"/>
  <c r="AD115" i="1"/>
  <c r="AE115" i="1"/>
  <c r="CR115" i="1" s="1"/>
  <c r="AF115" i="1"/>
  <c r="AG115" i="1"/>
  <c r="CU115" i="1" s="1"/>
  <c r="T115" i="1" s="1"/>
  <c r="AH115" i="1"/>
  <c r="AI115" i="1"/>
  <c r="AJ115" i="1"/>
  <c r="CX115" i="1" s="1"/>
  <c r="W115" i="1" s="1"/>
  <c r="CQ115" i="1"/>
  <c r="CS115" i="1"/>
  <c r="CV115" i="1"/>
  <c r="U115" i="1" s="1"/>
  <c r="CW115" i="1"/>
  <c r="GL115" i="1"/>
  <c r="GN115" i="1"/>
  <c r="GP115" i="1"/>
  <c r="GV115" i="1"/>
  <c r="HC115" i="1"/>
  <c r="GX115" i="1" s="1"/>
  <c r="C116" i="1"/>
  <c r="D116" i="1"/>
  <c r="S116" i="1"/>
  <c r="Y116" i="1" s="1"/>
  <c r="W116" i="1"/>
  <c r="AC116" i="1"/>
  <c r="P116" i="1" s="1"/>
  <c r="AE116" i="1"/>
  <c r="AF116" i="1"/>
  <c r="CT116" i="1" s="1"/>
  <c r="AG116" i="1"/>
  <c r="CU116" i="1" s="1"/>
  <c r="T116" i="1" s="1"/>
  <c r="AH116" i="1"/>
  <c r="AI116" i="1"/>
  <c r="CW116" i="1" s="1"/>
  <c r="V116" i="1" s="1"/>
  <c r="AJ116" i="1"/>
  <c r="CQ116" i="1"/>
  <c r="CS116" i="1"/>
  <c r="CV116" i="1"/>
  <c r="U116" i="1" s="1"/>
  <c r="CX116" i="1"/>
  <c r="GL116" i="1"/>
  <c r="GN116" i="1"/>
  <c r="GP116" i="1"/>
  <c r="GV116" i="1"/>
  <c r="HC116" i="1"/>
  <c r="GX116" i="1" s="1"/>
  <c r="P117" i="1"/>
  <c r="R117" i="1"/>
  <c r="U117" i="1"/>
  <c r="W117" i="1"/>
  <c r="AB117" i="1"/>
  <c r="AC117" i="1"/>
  <c r="CQ117" i="1" s="1"/>
  <c r="AD117" i="1"/>
  <c r="AE117" i="1"/>
  <c r="CR117" i="1" s="1"/>
  <c r="AF117" i="1"/>
  <c r="AG117" i="1"/>
  <c r="AH117" i="1"/>
  <c r="CV117" i="1" s="1"/>
  <c r="AI117" i="1"/>
  <c r="AJ117" i="1"/>
  <c r="CX117" i="1" s="1"/>
  <c r="CS117" i="1"/>
  <c r="CU117" i="1"/>
  <c r="T117" i="1" s="1"/>
  <c r="CW117" i="1"/>
  <c r="V117" i="1" s="1"/>
  <c r="FR117" i="1"/>
  <c r="GL117" i="1"/>
  <c r="GN117" i="1"/>
  <c r="GO117" i="1"/>
  <c r="GP117" i="1"/>
  <c r="GV117" i="1"/>
  <c r="HC117" i="1" s="1"/>
  <c r="GX117" i="1" s="1"/>
  <c r="P118" i="1"/>
  <c r="Q118" i="1"/>
  <c r="R118" i="1"/>
  <c r="S118" i="1"/>
  <c r="W118" i="1"/>
  <c r="AC118" i="1"/>
  <c r="AD118" i="1"/>
  <c r="AB118" i="1" s="1"/>
  <c r="AE118" i="1"/>
  <c r="CR118" i="1" s="1"/>
  <c r="AF118" i="1"/>
  <c r="CT118" i="1" s="1"/>
  <c r="AG118" i="1"/>
  <c r="CU118" i="1" s="1"/>
  <c r="T118" i="1" s="1"/>
  <c r="AH118" i="1"/>
  <c r="AI118" i="1"/>
  <c r="AJ118" i="1"/>
  <c r="CX118" i="1" s="1"/>
  <c r="CQ118" i="1"/>
  <c r="CV118" i="1"/>
  <c r="U118" i="1" s="1"/>
  <c r="CW118" i="1"/>
  <c r="V118" i="1" s="1"/>
  <c r="GL118" i="1"/>
  <c r="GN118" i="1"/>
  <c r="GO118" i="1"/>
  <c r="GP118" i="1"/>
  <c r="GV118" i="1"/>
  <c r="HC118" i="1" s="1"/>
  <c r="GX118" i="1" s="1"/>
  <c r="B120" i="1"/>
  <c r="B87" i="1" s="1"/>
  <c r="C120" i="1"/>
  <c r="D120" i="1"/>
  <c r="D87" i="1" s="1"/>
  <c r="F120" i="1"/>
  <c r="F87" i="1" s="1"/>
  <c r="G120" i="1"/>
  <c r="G87" i="1" s="1"/>
  <c r="AO120" i="1"/>
  <c r="BB120" i="1"/>
  <c r="BB87" i="1" s="1"/>
  <c r="BC120" i="1"/>
  <c r="BX120" i="1"/>
  <c r="CK120" i="1"/>
  <c r="CK87" i="1" s="1"/>
  <c r="CL120" i="1"/>
  <c r="CL87" i="1" s="1"/>
  <c r="CM120" i="1"/>
  <c r="ET120" i="1"/>
  <c r="ET87" i="1" s="1"/>
  <c r="EU120" i="1"/>
  <c r="FP120" i="1"/>
  <c r="FP87" i="1" s="1"/>
  <c r="GC120" i="1"/>
  <c r="GD120" i="1"/>
  <c r="GD87" i="1" s="1"/>
  <c r="GE120" i="1"/>
  <c r="GE87" i="1" s="1"/>
  <c r="F133" i="1"/>
  <c r="P133" i="1"/>
  <c r="D150" i="1"/>
  <c r="E152" i="1"/>
  <c r="Z152" i="1"/>
  <c r="AA152" i="1"/>
  <c r="AM152" i="1"/>
  <c r="AN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CL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R152" i="1"/>
  <c r="DS152" i="1"/>
  <c r="EE152" i="1"/>
  <c r="EF152" i="1"/>
  <c r="EW152" i="1"/>
  <c r="EX152" i="1"/>
  <c r="EY152" i="1"/>
  <c r="EZ152" i="1"/>
  <c r="FA152" i="1"/>
  <c r="FB152" i="1"/>
  <c r="FC152" i="1"/>
  <c r="FD152" i="1"/>
  <c r="FE152" i="1"/>
  <c r="FF152" i="1"/>
  <c r="FG152" i="1"/>
  <c r="FH152" i="1"/>
  <c r="FI152" i="1"/>
  <c r="FJ152" i="1"/>
  <c r="FK152" i="1"/>
  <c r="FL152" i="1"/>
  <c r="FM152" i="1"/>
  <c r="FN152" i="1"/>
  <c r="FO152" i="1"/>
  <c r="GF152" i="1"/>
  <c r="GG152" i="1"/>
  <c r="GH152" i="1"/>
  <c r="GI152" i="1"/>
  <c r="GJ152" i="1"/>
  <c r="GK152" i="1"/>
  <c r="GL152" i="1"/>
  <c r="GM152" i="1"/>
  <c r="GN152" i="1"/>
  <c r="GO152" i="1"/>
  <c r="GP152" i="1"/>
  <c r="GQ152" i="1"/>
  <c r="GR152" i="1"/>
  <c r="GS152" i="1"/>
  <c r="GT152" i="1"/>
  <c r="GU152" i="1"/>
  <c r="GV152" i="1"/>
  <c r="GW152" i="1"/>
  <c r="GX152" i="1"/>
  <c r="C154" i="1"/>
  <c r="D154" i="1"/>
  <c r="P154" i="1"/>
  <c r="T154" i="1"/>
  <c r="AC154" i="1"/>
  <c r="AE154" i="1"/>
  <c r="AF154" i="1"/>
  <c r="AG154" i="1"/>
  <c r="AH154" i="1"/>
  <c r="AI154" i="1"/>
  <c r="AJ154" i="1"/>
  <c r="CX154" i="1" s="1"/>
  <c r="W154" i="1" s="1"/>
  <c r="CQ154" i="1"/>
  <c r="CU154" i="1"/>
  <c r="CV154" i="1"/>
  <c r="U154" i="1" s="1"/>
  <c r="CW154" i="1"/>
  <c r="V154" i="1" s="1"/>
  <c r="GL154" i="1"/>
  <c r="GN154" i="1"/>
  <c r="GP154" i="1"/>
  <c r="GV154" i="1"/>
  <c r="GX154" i="1"/>
  <c r="HC154" i="1"/>
  <c r="C155" i="1"/>
  <c r="D155" i="1"/>
  <c r="S155" i="1"/>
  <c r="T155" i="1"/>
  <c r="W155" i="1"/>
  <c r="AC155" i="1"/>
  <c r="CQ155" i="1" s="1"/>
  <c r="AE155" i="1"/>
  <c r="CS155" i="1" s="1"/>
  <c r="AF155" i="1"/>
  <c r="AG155" i="1"/>
  <c r="CU155" i="1" s="1"/>
  <c r="AH155" i="1"/>
  <c r="CV155" i="1" s="1"/>
  <c r="U155" i="1" s="1"/>
  <c r="AI155" i="1"/>
  <c r="CW155" i="1" s="1"/>
  <c r="V155" i="1" s="1"/>
  <c r="AJ155" i="1"/>
  <c r="CR155" i="1"/>
  <c r="CT155" i="1"/>
  <c r="CX155" i="1"/>
  <c r="GL155" i="1"/>
  <c r="GN155" i="1"/>
  <c r="GP155" i="1"/>
  <c r="GV155" i="1"/>
  <c r="HC155" i="1" s="1"/>
  <c r="GX155" i="1" s="1"/>
  <c r="P156" i="1"/>
  <c r="S156" i="1"/>
  <c r="V156" i="1"/>
  <c r="AC156" i="1"/>
  <c r="AE156" i="1"/>
  <c r="Q156" i="1" s="1"/>
  <c r="AF156" i="1"/>
  <c r="CT156" i="1" s="1"/>
  <c r="AG156" i="1"/>
  <c r="CU156" i="1" s="1"/>
  <c r="T156" i="1" s="1"/>
  <c r="AH156" i="1"/>
  <c r="CV156" i="1" s="1"/>
  <c r="U156" i="1" s="1"/>
  <c r="AI156" i="1"/>
  <c r="CW156" i="1" s="1"/>
  <c r="AJ156" i="1"/>
  <c r="CX156" i="1" s="1"/>
  <c r="W156" i="1" s="1"/>
  <c r="CQ156" i="1"/>
  <c r="GL156" i="1"/>
  <c r="GN156" i="1"/>
  <c r="GO156" i="1"/>
  <c r="GP156" i="1"/>
  <c r="GV156" i="1"/>
  <c r="HC156" i="1" s="1"/>
  <c r="GX156" i="1" s="1"/>
  <c r="AC157" i="1"/>
  <c r="AE157" i="1"/>
  <c r="AF157" i="1"/>
  <c r="S157" i="1" s="1"/>
  <c r="AG157" i="1"/>
  <c r="AH157" i="1"/>
  <c r="AI157" i="1"/>
  <c r="AJ157" i="1"/>
  <c r="CX157" i="1" s="1"/>
  <c r="W157" i="1" s="1"/>
  <c r="CT157" i="1"/>
  <c r="CU157" i="1"/>
  <c r="T157" i="1" s="1"/>
  <c r="CV157" i="1"/>
  <c r="U157" i="1" s="1"/>
  <c r="CW157" i="1"/>
  <c r="V157" i="1" s="1"/>
  <c r="GL157" i="1"/>
  <c r="GN157" i="1"/>
  <c r="GO157" i="1"/>
  <c r="GP157" i="1"/>
  <c r="GV157" i="1"/>
  <c r="GX157" i="1"/>
  <c r="HC157" i="1"/>
  <c r="C158" i="1"/>
  <c r="D158" i="1"/>
  <c r="P158" i="1"/>
  <c r="R158" i="1"/>
  <c r="V158" i="1"/>
  <c r="AC158" i="1"/>
  <c r="AD158" i="1"/>
  <c r="AE158" i="1"/>
  <c r="Q158" i="1" s="1"/>
  <c r="AF158" i="1"/>
  <c r="AG158" i="1"/>
  <c r="CU158" i="1" s="1"/>
  <c r="T158" i="1" s="1"/>
  <c r="AH158" i="1"/>
  <c r="CV158" i="1" s="1"/>
  <c r="U158" i="1" s="1"/>
  <c r="AH175" i="1" s="1"/>
  <c r="AI158" i="1"/>
  <c r="AJ158" i="1"/>
  <c r="CQ158" i="1"/>
  <c r="CR158" i="1"/>
  <c r="CS158" i="1"/>
  <c r="CW158" i="1"/>
  <c r="CX158" i="1"/>
  <c r="W158" i="1" s="1"/>
  <c r="GL158" i="1"/>
  <c r="BZ175" i="1" s="1"/>
  <c r="BZ152" i="1" s="1"/>
  <c r="GN158" i="1"/>
  <c r="GP158" i="1"/>
  <c r="GV158" i="1"/>
  <c r="GX158" i="1"/>
  <c r="HC158" i="1"/>
  <c r="C159" i="1"/>
  <c r="D159" i="1"/>
  <c r="P159" i="1"/>
  <c r="Q159" i="1"/>
  <c r="R159" i="1"/>
  <c r="S159" i="1"/>
  <c r="U159" i="1"/>
  <c r="Y159" i="1"/>
  <c r="AC159" i="1"/>
  <c r="CQ159" i="1" s="1"/>
  <c r="AD159" i="1"/>
  <c r="AB159" i="1" s="1"/>
  <c r="AE159" i="1"/>
  <c r="AF159" i="1"/>
  <c r="CT159" i="1" s="1"/>
  <c r="AG159" i="1"/>
  <c r="AH159" i="1"/>
  <c r="AI159" i="1"/>
  <c r="CW159" i="1" s="1"/>
  <c r="V159" i="1" s="1"/>
  <c r="AJ159" i="1"/>
  <c r="CR159" i="1"/>
  <c r="CS159" i="1"/>
  <c r="CU159" i="1"/>
  <c r="T159" i="1" s="1"/>
  <c r="CV159" i="1"/>
  <c r="CX159" i="1"/>
  <c r="W159" i="1" s="1"/>
  <c r="GL159" i="1"/>
  <c r="GN159" i="1"/>
  <c r="GP159" i="1"/>
  <c r="GV159" i="1"/>
  <c r="GX159" i="1"/>
  <c r="HC159" i="1"/>
  <c r="R160" i="1"/>
  <c r="V160" i="1"/>
  <c r="W160" i="1"/>
  <c r="AC160" i="1"/>
  <c r="CQ160" i="1" s="1"/>
  <c r="AD160" i="1"/>
  <c r="AE160" i="1"/>
  <c r="Q160" i="1" s="1"/>
  <c r="AF160" i="1"/>
  <c r="AG160" i="1"/>
  <c r="AH160" i="1"/>
  <c r="CV160" i="1" s="1"/>
  <c r="U160" i="1" s="1"/>
  <c r="AI160" i="1"/>
  <c r="AJ160" i="1"/>
  <c r="CX160" i="1" s="1"/>
  <c r="CR160" i="1"/>
  <c r="CS160" i="1"/>
  <c r="CU160" i="1"/>
  <c r="T160" i="1" s="1"/>
  <c r="CW160" i="1"/>
  <c r="GL160" i="1"/>
  <c r="GN160" i="1"/>
  <c r="GO160" i="1"/>
  <c r="GP160" i="1"/>
  <c r="GV160" i="1"/>
  <c r="HC160" i="1"/>
  <c r="GX160" i="1" s="1"/>
  <c r="P161" i="1"/>
  <c r="R161" i="1"/>
  <c r="V161" i="1"/>
  <c r="AC161" i="1"/>
  <c r="AD161" i="1"/>
  <c r="AE161" i="1"/>
  <c r="Q161" i="1" s="1"/>
  <c r="AF161" i="1"/>
  <c r="CT161" i="1" s="1"/>
  <c r="AG161" i="1"/>
  <c r="AH161" i="1"/>
  <c r="CV161" i="1" s="1"/>
  <c r="U161" i="1" s="1"/>
  <c r="AI161" i="1"/>
  <c r="AJ161" i="1"/>
  <c r="CX161" i="1" s="1"/>
  <c r="W161" i="1" s="1"/>
  <c r="CQ161" i="1"/>
  <c r="CR161" i="1"/>
  <c r="CS161" i="1"/>
  <c r="CU161" i="1"/>
  <c r="T161" i="1" s="1"/>
  <c r="CW161" i="1"/>
  <c r="FR161" i="1"/>
  <c r="GL161" i="1"/>
  <c r="GN161" i="1"/>
  <c r="GO161" i="1"/>
  <c r="GP161" i="1"/>
  <c r="GV161" i="1"/>
  <c r="HC161" i="1" s="1"/>
  <c r="GX161" i="1" s="1"/>
  <c r="C162" i="1"/>
  <c r="D162" i="1"/>
  <c r="V162" i="1"/>
  <c r="AC162" i="1"/>
  <c r="AE162" i="1"/>
  <c r="AF162" i="1"/>
  <c r="S162" i="1" s="1"/>
  <c r="AG162" i="1"/>
  <c r="AH162" i="1"/>
  <c r="AI162" i="1"/>
  <c r="AJ162" i="1"/>
  <c r="CX162" i="1" s="1"/>
  <c r="W162" i="1" s="1"/>
  <c r="CT162" i="1"/>
  <c r="CU162" i="1"/>
  <c r="T162" i="1" s="1"/>
  <c r="CV162" i="1"/>
  <c r="U162" i="1" s="1"/>
  <c r="CW162" i="1"/>
  <c r="GL162" i="1"/>
  <c r="GN162" i="1"/>
  <c r="GP162" i="1"/>
  <c r="GV162" i="1"/>
  <c r="HC162" i="1" s="1"/>
  <c r="GX162" i="1" s="1"/>
  <c r="C163" i="1"/>
  <c r="D163" i="1"/>
  <c r="S163" i="1"/>
  <c r="AC163" i="1"/>
  <c r="AE163" i="1"/>
  <c r="Q163" i="1" s="1"/>
  <c r="AF163" i="1"/>
  <c r="AG163" i="1"/>
  <c r="CU163" i="1" s="1"/>
  <c r="T163" i="1" s="1"/>
  <c r="AH163" i="1"/>
  <c r="CV163" i="1" s="1"/>
  <c r="U163" i="1" s="1"/>
  <c r="AI163" i="1"/>
  <c r="CW163" i="1" s="1"/>
  <c r="V163" i="1" s="1"/>
  <c r="EA175" i="1" s="1"/>
  <c r="AJ163" i="1"/>
  <c r="CX163" i="1" s="1"/>
  <c r="W163" i="1" s="1"/>
  <c r="CQ163" i="1"/>
  <c r="CR163" i="1"/>
  <c r="CT163" i="1"/>
  <c r="GL163" i="1"/>
  <c r="GN163" i="1"/>
  <c r="GP163" i="1"/>
  <c r="GV163" i="1"/>
  <c r="HC163" i="1" s="1"/>
  <c r="GX163" i="1" s="1"/>
  <c r="P164" i="1"/>
  <c r="S164" i="1"/>
  <c r="Y164" i="1" s="1"/>
  <c r="X164" i="1"/>
  <c r="AC164" i="1"/>
  <c r="AD164" i="1"/>
  <c r="AB164" i="1" s="1"/>
  <c r="AE164" i="1"/>
  <c r="Q164" i="1" s="1"/>
  <c r="AF164" i="1"/>
  <c r="CT164" i="1" s="1"/>
  <c r="AG164" i="1"/>
  <c r="AH164" i="1"/>
  <c r="AI164" i="1"/>
  <c r="CW164" i="1" s="1"/>
  <c r="V164" i="1" s="1"/>
  <c r="AJ164" i="1"/>
  <c r="CQ164" i="1"/>
  <c r="CS164" i="1"/>
  <c r="CU164" i="1"/>
  <c r="T164" i="1" s="1"/>
  <c r="CV164" i="1"/>
  <c r="U164" i="1" s="1"/>
  <c r="CX164" i="1"/>
  <c r="W164" i="1" s="1"/>
  <c r="CY164" i="1"/>
  <c r="GL164" i="1"/>
  <c r="GN164" i="1"/>
  <c r="GO164" i="1"/>
  <c r="GP164" i="1"/>
  <c r="GV164" i="1"/>
  <c r="HC164" i="1" s="1"/>
  <c r="GX164" i="1"/>
  <c r="P165" i="1"/>
  <c r="Q165" i="1"/>
  <c r="V165" i="1"/>
  <c r="AC165" i="1"/>
  <c r="AD165" i="1"/>
  <c r="AE165" i="1"/>
  <c r="CS165" i="1" s="1"/>
  <c r="AF165" i="1"/>
  <c r="AG165" i="1"/>
  <c r="AH165" i="1"/>
  <c r="CV165" i="1" s="1"/>
  <c r="U165" i="1" s="1"/>
  <c r="AI165" i="1"/>
  <c r="AJ165" i="1"/>
  <c r="CX165" i="1" s="1"/>
  <c r="W165" i="1" s="1"/>
  <c r="CQ165" i="1"/>
  <c r="CR165" i="1"/>
  <c r="CU165" i="1"/>
  <c r="T165" i="1" s="1"/>
  <c r="CW165" i="1"/>
  <c r="FR165" i="1"/>
  <c r="GL165" i="1"/>
  <c r="GN165" i="1"/>
  <c r="GO165" i="1"/>
  <c r="GP165" i="1"/>
  <c r="GV165" i="1"/>
  <c r="HC165" i="1" s="1"/>
  <c r="GX165" i="1" s="1"/>
  <c r="C166" i="1"/>
  <c r="D166" i="1"/>
  <c r="P166" i="1"/>
  <c r="R166" i="1"/>
  <c r="S166" i="1"/>
  <c r="AB166" i="1"/>
  <c r="AC166" i="1"/>
  <c r="AD166" i="1"/>
  <c r="AE166" i="1"/>
  <c r="Q166" i="1" s="1"/>
  <c r="AF166" i="1"/>
  <c r="CT166" i="1" s="1"/>
  <c r="AG166" i="1"/>
  <c r="CU166" i="1" s="1"/>
  <c r="T166" i="1" s="1"/>
  <c r="AH166" i="1"/>
  <c r="CV166" i="1" s="1"/>
  <c r="U166" i="1" s="1"/>
  <c r="AI166" i="1"/>
  <c r="CW166" i="1" s="1"/>
  <c r="V166" i="1" s="1"/>
  <c r="AJ166" i="1"/>
  <c r="CX166" i="1" s="1"/>
  <c r="W166" i="1" s="1"/>
  <c r="CQ166" i="1"/>
  <c r="CR166" i="1"/>
  <c r="CS166" i="1"/>
  <c r="GL166" i="1"/>
  <c r="GN166" i="1"/>
  <c r="GP166" i="1"/>
  <c r="GV166" i="1"/>
  <c r="GX166" i="1"/>
  <c r="HC166" i="1"/>
  <c r="C167" i="1"/>
  <c r="D167" i="1"/>
  <c r="P167" i="1"/>
  <c r="S167" i="1"/>
  <c r="U167" i="1"/>
  <c r="W167" i="1"/>
  <c r="AC167" i="1"/>
  <c r="CQ167" i="1" s="1"/>
  <c r="AE167" i="1"/>
  <c r="CR167" i="1" s="1"/>
  <c r="AF167" i="1"/>
  <c r="CT167" i="1" s="1"/>
  <c r="AG167" i="1"/>
  <c r="AH167" i="1"/>
  <c r="AI167" i="1"/>
  <c r="CW167" i="1" s="1"/>
  <c r="V167" i="1" s="1"/>
  <c r="AJ167" i="1"/>
  <c r="CU167" i="1"/>
  <c r="T167" i="1" s="1"/>
  <c r="DY175" i="1" s="1"/>
  <c r="CV167" i="1"/>
  <c r="CX167" i="1"/>
  <c r="GL167" i="1"/>
  <c r="GN167" i="1"/>
  <c r="GP167" i="1"/>
  <c r="GV167" i="1"/>
  <c r="HC167" i="1"/>
  <c r="GX167" i="1" s="1"/>
  <c r="R168" i="1"/>
  <c r="AC168" i="1"/>
  <c r="AD168" i="1"/>
  <c r="AE168" i="1"/>
  <c r="Q168" i="1" s="1"/>
  <c r="AF168" i="1"/>
  <c r="AG168" i="1"/>
  <c r="AH168" i="1"/>
  <c r="CV168" i="1" s="1"/>
  <c r="U168" i="1" s="1"/>
  <c r="AI168" i="1"/>
  <c r="AJ168" i="1"/>
  <c r="CX168" i="1" s="1"/>
  <c r="W168" i="1" s="1"/>
  <c r="CR168" i="1"/>
  <c r="CS168" i="1"/>
  <c r="CU168" i="1"/>
  <c r="T168" i="1" s="1"/>
  <c r="CW168" i="1"/>
  <c r="V168" i="1" s="1"/>
  <c r="GL168" i="1"/>
  <c r="GN168" i="1"/>
  <c r="GO168" i="1"/>
  <c r="GP168" i="1"/>
  <c r="GV168" i="1"/>
  <c r="HC168" i="1" s="1"/>
  <c r="GX168" i="1" s="1"/>
  <c r="P169" i="1"/>
  <c r="R169" i="1"/>
  <c r="S169" i="1"/>
  <c r="U169" i="1"/>
  <c r="AC169" i="1"/>
  <c r="AD169" i="1"/>
  <c r="AB169" i="1" s="1"/>
  <c r="AE169" i="1"/>
  <c r="Q169" i="1" s="1"/>
  <c r="AF169" i="1"/>
  <c r="CT169" i="1" s="1"/>
  <c r="AG169" i="1"/>
  <c r="AH169" i="1"/>
  <c r="CV169" i="1" s="1"/>
  <c r="AI169" i="1"/>
  <c r="CW169" i="1" s="1"/>
  <c r="V169" i="1" s="1"/>
  <c r="AJ169" i="1"/>
  <c r="CQ169" i="1"/>
  <c r="CR169" i="1"/>
  <c r="CS169" i="1"/>
  <c r="CU169" i="1"/>
  <c r="T169" i="1" s="1"/>
  <c r="CX169" i="1"/>
  <c r="W169" i="1" s="1"/>
  <c r="FR169" i="1"/>
  <c r="GL169" i="1"/>
  <c r="GN169" i="1"/>
  <c r="GO169" i="1"/>
  <c r="GP169" i="1"/>
  <c r="GV169" i="1"/>
  <c r="HC169" i="1" s="1"/>
  <c r="GX169" i="1" s="1"/>
  <c r="R170" i="1"/>
  <c r="AC170" i="1"/>
  <c r="AE170" i="1"/>
  <c r="Q170" i="1" s="1"/>
  <c r="AF170" i="1"/>
  <c r="S170" i="1" s="1"/>
  <c r="AG170" i="1"/>
  <c r="CU170" i="1" s="1"/>
  <c r="T170" i="1" s="1"/>
  <c r="AH170" i="1"/>
  <c r="AI170" i="1"/>
  <c r="AJ170" i="1"/>
  <c r="CS170" i="1"/>
  <c r="CT170" i="1"/>
  <c r="CV170" i="1"/>
  <c r="U170" i="1" s="1"/>
  <c r="CW170" i="1"/>
  <c r="V170" i="1" s="1"/>
  <c r="CX170" i="1"/>
  <c r="W170" i="1" s="1"/>
  <c r="GL170" i="1"/>
  <c r="GN170" i="1"/>
  <c r="GP170" i="1"/>
  <c r="GV170" i="1"/>
  <c r="HC170" i="1"/>
  <c r="GX170" i="1" s="1"/>
  <c r="P171" i="1"/>
  <c r="AC171" i="1"/>
  <c r="AE171" i="1"/>
  <c r="AF171" i="1"/>
  <c r="S171" i="1" s="1"/>
  <c r="AG171" i="1"/>
  <c r="AH171" i="1"/>
  <c r="AI171" i="1"/>
  <c r="AJ171" i="1"/>
  <c r="CQ171" i="1"/>
  <c r="CU171" i="1"/>
  <c r="T171" i="1" s="1"/>
  <c r="CV171" i="1"/>
  <c r="U171" i="1" s="1"/>
  <c r="CW171" i="1"/>
  <c r="V171" i="1" s="1"/>
  <c r="CX171" i="1"/>
  <c r="W171" i="1" s="1"/>
  <c r="GL171" i="1"/>
  <c r="GN171" i="1"/>
  <c r="GP171" i="1"/>
  <c r="GV171" i="1"/>
  <c r="HC171" i="1"/>
  <c r="GX171" i="1" s="1"/>
  <c r="P172" i="1"/>
  <c r="R172" i="1"/>
  <c r="V172" i="1"/>
  <c r="X172" i="1"/>
  <c r="AC172" i="1"/>
  <c r="AD172" i="1"/>
  <c r="AB172" i="1" s="1"/>
  <c r="AE172" i="1"/>
  <c r="Q172" i="1" s="1"/>
  <c r="AF172" i="1"/>
  <c r="S172" i="1" s="1"/>
  <c r="CY172" i="1" s="1"/>
  <c r="AG172" i="1"/>
  <c r="AH172" i="1"/>
  <c r="AI172" i="1"/>
  <c r="AJ172" i="1"/>
  <c r="CQ172" i="1"/>
  <c r="CR172" i="1"/>
  <c r="CS172" i="1"/>
  <c r="CU172" i="1"/>
  <c r="T172" i="1" s="1"/>
  <c r="CV172" i="1"/>
  <c r="U172" i="1" s="1"/>
  <c r="CW172" i="1"/>
  <c r="CX172" i="1"/>
  <c r="W172" i="1" s="1"/>
  <c r="GL172" i="1"/>
  <c r="GN172" i="1"/>
  <c r="GP172" i="1"/>
  <c r="GV172" i="1"/>
  <c r="HC172" i="1"/>
  <c r="GX172" i="1" s="1"/>
  <c r="P173" i="1"/>
  <c r="S173" i="1"/>
  <c r="Y173" i="1" s="1"/>
  <c r="U173" i="1"/>
  <c r="AB173" i="1"/>
  <c r="AC173" i="1"/>
  <c r="CQ173" i="1" s="1"/>
  <c r="AD173" i="1"/>
  <c r="AE173" i="1"/>
  <c r="Q173" i="1" s="1"/>
  <c r="AF173" i="1"/>
  <c r="AG173" i="1"/>
  <c r="AH173" i="1"/>
  <c r="CV173" i="1" s="1"/>
  <c r="AI173" i="1"/>
  <c r="CW173" i="1" s="1"/>
  <c r="V173" i="1" s="1"/>
  <c r="AJ173" i="1"/>
  <c r="CR173" i="1"/>
  <c r="CS173" i="1"/>
  <c r="CT173" i="1"/>
  <c r="CU173" i="1"/>
  <c r="T173" i="1" s="1"/>
  <c r="CX173" i="1"/>
  <c r="W173" i="1" s="1"/>
  <c r="GL173" i="1"/>
  <c r="GN173" i="1"/>
  <c r="GP173" i="1"/>
  <c r="GV173" i="1"/>
  <c r="HC173" i="1" s="1"/>
  <c r="GX173" i="1" s="1"/>
  <c r="B175" i="1"/>
  <c r="B152" i="1" s="1"/>
  <c r="C175" i="1"/>
  <c r="C152" i="1" s="1"/>
  <c r="D175" i="1"/>
  <c r="D152" i="1" s="1"/>
  <c r="F175" i="1"/>
  <c r="F152" i="1" s="1"/>
  <c r="G175" i="1"/>
  <c r="G152" i="1" s="1"/>
  <c r="AQ175" i="1"/>
  <c r="BC175" i="1"/>
  <c r="BC152" i="1" s="1"/>
  <c r="BX175" i="1"/>
  <c r="AO175" i="1" s="1"/>
  <c r="CD175" i="1"/>
  <c r="CJ175" i="1"/>
  <c r="CK175" i="1"/>
  <c r="CL175" i="1"/>
  <c r="CM175" i="1"/>
  <c r="EG175" i="1"/>
  <c r="EG152" i="1" s="1"/>
  <c r="EK175" i="1"/>
  <c r="EM175" i="1"/>
  <c r="ET175" i="1"/>
  <c r="FP175" i="1"/>
  <c r="FP152" i="1" s="1"/>
  <c r="FR175" i="1"/>
  <c r="FT175" i="1"/>
  <c r="FT152" i="1" s="1"/>
  <c r="FV175" i="1"/>
  <c r="FV152" i="1" s="1"/>
  <c r="FY175" i="1"/>
  <c r="GC175" i="1"/>
  <c r="GC152" i="1" s="1"/>
  <c r="GD175" i="1"/>
  <c r="GE175" i="1"/>
  <c r="EV175" i="1" s="1"/>
  <c r="P179" i="1"/>
  <c r="F191" i="1"/>
  <c r="D205" i="1"/>
  <c r="E207" i="1"/>
  <c r="G207" i="1"/>
  <c r="Z207" i="1"/>
  <c r="AA207" i="1"/>
  <c r="AM207" i="1"/>
  <c r="AN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CL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R207" i="1"/>
  <c r="DS207" i="1"/>
  <c r="EE207" i="1"/>
  <c r="EF207" i="1"/>
  <c r="EW207" i="1"/>
  <c r="EX207" i="1"/>
  <c r="EY207" i="1"/>
  <c r="EZ207" i="1"/>
  <c r="FA207" i="1"/>
  <c r="FB207" i="1"/>
  <c r="FC207" i="1"/>
  <c r="FD207" i="1"/>
  <c r="FE207" i="1"/>
  <c r="FF207" i="1"/>
  <c r="FG207" i="1"/>
  <c r="FH207" i="1"/>
  <c r="FI207" i="1"/>
  <c r="FJ207" i="1"/>
  <c r="FK207" i="1"/>
  <c r="FL207" i="1"/>
  <c r="FM207" i="1"/>
  <c r="FN207" i="1"/>
  <c r="FO207" i="1"/>
  <c r="GC207" i="1"/>
  <c r="GF207" i="1"/>
  <c r="GG207" i="1"/>
  <c r="GH207" i="1"/>
  <c r="GI207" i="1"/>
  <c r="GJ207" i="1"/>
  <c r="GK207" i="1"/>
  <c r="GL207" i="1"/>
  <c r="GM207" i="1"/>
  <c r="GN207" i="1"/>
  <c r="GO207" i="1"/>
  <c r="GP207" i="1"/>
  <c r="GQ207" i="1"/>
  <c r="GR207" i="1"/>
  <c r="GS207" i="1"/>
  <c r="GT207" i="1"/>
  <c r="GU207" i="1"/>
  <c r="GV207" i="1"/>
  <c r="GW207" i="1"/>
  <c r="GX207" i="1"/>
  <c r="C209" i="1"/>
  <c r="D209" i="1"/>
  <c r="I209" i="1"/>
  <c r="K209" i="1"/>
  <c r="AC209" i="1"/>
  <c r="AD209" i="1"/>
  <c r="AE209" i="1"/>
  <c r="AF209" i="1"/>
  <c r="AG209" i="1"/>
  <c r="CU209" i="1" s="1"/>
  <c r="AH209" i="1"/>
  <c r="CV209" i="1" s="1"/>
  <c r="AI209" i="1"/>
  <c r="AJ209" i="1"/>
  <c r="CX209" i="1" s="1"/>
  <c r="CR209" i="1"/>
  <c r="CS209" i="1"/>
  <c r="CW209" i="1"/>
  <c r="V209" i="1" s="1"/>
  <c r="AI218" i="1" s="1"/>
  <c r="GL209" i="1"/>
  <c r="GN209" i="1"/>
  <c r="GP209" i="1"/>
  <c r="GV209" i="1"/>
  <c r="HC209" i="1" s="1"/>
  <c r="C210" i="1"/>
  <c r="D210" i="1"/>
  <c r="I210" i="1"/>
  <c r="P210" i="1" s="1"/>
  <c r="K210" i="1"/>
  <c r="R210" i="1"/>
  <c r="S210" i="1"/>
  <c r="AC210" i="1"/>
  <c r="AE210" i="1"/>
  <c r="CS210" i="1" s="1"/>
  <c r="AF210" i="1"/>
  <c r="CT210" i="1" s="1"/>
  <c r="AG210" i="1"/>
  <c r="AH210" i="1"/>
  <c r="CV210" i="1" s="1"/>
  <c r="U210" i="1" s="1"/>
  <c r="AI210" i="1"/>
  <c r="AJ210" i="1"/>
  <c r="CU210" i="1"/>
  <c r="T210" i="1" s="1"/>
  <c r="CW210" i="1"/>
  <c r="CX210" i="1"/>
  <c r="W210" i="1" s="1"/>
  <c r="GL210" i="1"/>
  <c r="GN210" i="1"/>
  <c r="GP210" i="1"/>
  <c r="GV210" i="1"/>
  <c r="HC210" i="1"/>
  <c r="GX210" i="1" s="1"/>
  <c r="GB218" i="1" s="1"/>
  <c r="Q211" i="1"/>
  <c r="AC211" i="1"/>
  <c r="AB211" i="1" s="1"/>
  <c r="AD211" i="1"/>
  <c r="AE211" i="1"/>
  <c r="R211" i="1" s="1"/>
  <c r="AF211" i="1"/>
  <c r="S211" i="1" s="1"/>
  <c r="CZ211" i="1" s="1"/>
  <c r="AG211" i="1"/>
  <c r="AH211" i="1"/>
  <c r="AI211" i="1"/>
  <c r="CW211" i="1" s="1"/>
  <c r="V211" i="1" s="1"/>
  <c r="AJ211" i="1"/>
  <c r="CX211" i="1" s="1"/>
  <c r="W211" i="1" s="1"/>
  <c r="CR211" i="1"/>
  <c r="CS211" i="1"/>
  <c r="CT211" i="1"/>
  <c r="CU211" i="1"/>
  <c r="T211" i="1" s="1"/>
  <c r="CV211" i="1"/>
  <c r="U211" i="1" s="1"/>
  <c r="GL211" i="1"/>
  <c r="GN211" i="1"/>
  <c r="GO211" i="1"/>
  <c r="GP211" i="1"/>
  <c r="GV211" i="1"/>
  <c r="HC211" i="1" s="1"/>
  <c r="GX211" i="1" s="1"/>
  <c r="P212" i="1"/>
  <c r="R212" i="1"/>
  <c r="V212" i="1"/>
  <c r="W212" i="1"/>
  <c r="AC212" i="1"/>
  <c r="AD212" i="1"/>
  <c r="AB212" i="1" s="1"/>
  <c r="AE212" i="1"/>
  <c r="CS212" i="1" s="1"/>
  <c r="AF212" i="1"/>
  <c r="AG212" i="1"/>
  <c r="AH212" i="1"/>
  <c r="CV212" i="1" s="1"/>
  <c r="U212" i="1" s="1"/>
  <c r="AI212" i="1"/>
  <c r="AJ212" i="1"/>
  <c r="CX212" i="1" s="1"/>
  <c r="CQ212" i="1"/>
  <c r="CR212" i="1"/>
  <c r="CU212" i="1"/>
  <c r="T212" i="1" s="1"/>
  <c r="CW212" i="1"/>
  <c r="GL212" i="1"/>
  <c r="GN212" i="1"/>
  <c r="GO212" i="1"/>
  <c r="GP212" i="1"/>
  <c r="GV212" i="1"/>
  <c r="HC212" i="1" s="1"/>
  <c r="GX212" i="1" s="1"/>
  <c r="P213" i="1"/>
  <c r="CP213" i="1" s="1"/>
  <c r="O213" i="1" s="1"/>
  <c r="GM213" i="1" s="1"/>
  <c r="GO213" i="1" s="1"/>
  <c r="Q213" i="1"/>
  <c r="R213" i="1"/>
  <c r="S213" i="1"/>
  <c r="Y213" i="1" s="1"/>
  <c r="U213" i="1"/>
  <c r="X213" i="1"/>
  <c r="AC213" i="1"/>
  <c r="AD213" i="1"/>
  <c r="AB213" i="1" s="1"/>
  <c r="AE213" i="1"/>
  <c r="CR213" i="1" s="1"/>
  <c r="AF213" i="1"/>
  <c r="CT213" i="1" s="1"/>
  <c r="AG213" i="1"/>
  <c r="AH213" i="1"/>
  <c r="CV213" i="1" s="1"/>
  <c r="AI213" i="1"/>
  <c r="CW213" i="1" s="1"/>
  <c r="V213" i="1" s="1"/>
  <c r="AJ213" i="1"/>
  <c r="CQ213" i="1"/>
  <c r="CS213" i="1"/>
  <c r="CU213" i="1"/>
  <c r="T213" i="1" s="1"/>
  <c r="CX213" i="1"/>
  <c r="W213" i="1" s="1"/>
  <c r="GL213" i="1"/>
  <c r="GN213" i="1"/>
  <c r="GP213" i="1"/>
  <c r="GV213" i="1"/>
  <c r="HC213" i="1"/>
  <c r="GX213" i="1" s="1"/>
  <c r="R214" i="1"/>
  <c r="AC214" i="1"/>
  <c r="CQ214" i="1" s="1"/>
  <c r="AD214" i="1"/>
  <c r="AE214" i="1"/>
  <c r="Q214" i="1" s="1"/>
  <c r="AF214" i="1"/>
  <c r="AG214" i="1"/>
  <c r="AH214" i="1"/>
  <c r="AI214" i="1"/>
  <c r="AJ214" i="1"/>
  <c r="CX214" i="1" s="1"/>
  <c r="W214" i="1" s="1"/>
  <c r="CS214" i="1"/>
  <c r="CU214" i="1"/>
  <c r="T214" i="1" s="1"/>
  <c r="CV214" i="1"/>
  <c r="U214" i="1" s="1"/>
  <c r="CW214" i="1"/>
  <c r="V214" i="1" s="1"/>
  <c r="GL214" i="1"/>
  <c r="GN214" i="1"/>
  <c r="GP214" i="1"/>
  <c r="GV214" i="1"/>
  <c r="GX214" i="1"/>
  <c r="HC214" i="1"/>
  <c r="R215" i="1"/>
  <c r="V215" i="1"/>
  <c r="AC215" i="1"/>
  <c r="P215" i="1" s="1"/>
  <c r="AD215" i="1"/>
  <c r="AB215" i="1" s="1"/>
  <c r="AE215" i="1"/>
  <c r="Q215" i="1" s="1"/>
  <c r="AF215" i="1"/>
  <c r="CT215" i="1" s="1"/>
  <c r="AG215" i="1"/>
  <c r="AH215" i="1"/>
  <c r="CV215" i="1" s="1"/>
  <c r="U215" i="1" s="1"/>
  <c r="AI215" i="1"/>
  <c r="AJ215" i="1"/>
  <c r="CX215" i="1" s="1"/>
  <c r="W215" i="1" s="1"/>
  <c r="CR215" i="1"/>
  <c r="CS215" i="1"/>
  <c r="CU215" i="1"/>
  <c r="T215" i="1" s="1"/>
  <c r="CW215" i="1"/>
  <c r="GL215" i="1"/>
  <c r="GN215" i="1"/>
  <c r="GP215" i="1"/>
  <c r="GV215" i="1"/>
  <c r="HC215" i="1" s="1"/>
  <c r="GX215" i="1" s="1"/>
  <c r="P216" i="1"/>
  <c r="CP216" i="1" s="1"/>
  <c r="O216" i="1" s="1"/>
  <c r="Q216" i="1"/>
  <c r="S216" i="1"/>
  <c r="X216" i="1" s="1"/>
  <c r="V216" i="1"/>
  <c r="AC216" i="1"/>
  <c r="AB216" i="1" s="1"/>
  <c r="AD216" i="1"/>
  <c r="AE216" i="1"/>
  <c r="AF216" i="1"/>
  <c r="AG216" i="1"/>
  <c r="AH216" i="1"/>
  <c r="CV216" i="1" s="1"/>
  <c r="U216" i="1" s="1"/>
  <c r="AI216" i="1"/>
  <c r="CW216" i="1" s="1"/>
  <c r="AJ216" i="1"/>
  <c r="CX216" i="1" s="1"/>
  <c r="W216" i="1" s="1"/>
  <c r="CR216" i="1"/>
  <c r="CT216" i="1"/>
  <c r="CU216" i="1"/>
  <c r="T216" i="1" s="1"/>
  <c r="DY218" i="1" s="1"/>
  <c r="CY216" i="1"/>
  <c r="GL216" i="1"/>
  <c r="GN216" i="1"/>
  <c r="GP216" i="1"/>
  <c r="GV216" i="1"/>
  <c r="HC216" i="1"/>
  <c r="GX216" i="1" s="1"/>
  <c r="B218" i="1"/>
  <c r="B207" i="1" s="1"/>
  <c r="C218" i="1"/>
  <c r="C207" i="1" s="1"/>
  <c r="D218" i="1"/>
  <c r="D207" i="1" s="1"/>
  <c r="F218" i="1"/>
  <c r="F207" i="1" s="1"/>
  <c r="G218" i="1"/>
  <c r="AO218" i="1"/>
  <c r="BC218" i="1"/>
  <c r="BX218" i="1"/>
  <c r="BZ218" i="1"/>
  <c r="CD218" i="1"/>
  <c r="CG218" i="1"/>
  <c r="CK218" i="1"/>
  <c r="BB218" i="1" s="1"/>
  <c r="BB207" i="1" s="1"/>
  <c r="CL218" i="1"/>
  <c r="CM218" i="1"/>
  <c r="DZ218" i="1"/>
  <c r="EK218" i="1"/>
  <c r="ET218" i="1"/>
  <c r="ET207" i="1" s="1"/>
  <c r="FP218" i="1"/>
  <c r="FR218" i="1"/>
  <c r="FT218" i="1"/>
  <c r="FT207" i="1" s="1"/>
  <c r="FV218" i="1"/>
  <c r="FV207" i="1" s="1"/>
  <c r="GC218" i="1"/>
  <c r="GD218" i="1"/>
  <c r="EU218" i="1" s="1"/>
  <c r="EU207" i="1" s="1"/>
  <c r="GE218" i="1"/>
  <c r="F231" i="1"/>
  <c r="P231" i="1"/>
  <c r="P234" i="1"/>
  <c r="D248" i="1"/>
  <c r="E250" i="1"/>
  <c r="Z250" i="1"/>
  <c r="AA250" i="1"/>
  <c r="AM250" i="1"/>
  <c r="AN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R250" i="1"/>
  <c r="DS250" i="1"/>
  <c r="EE250" i="1"/>
  <c r="EF250" i="1"/>
  <c r="EW250" i="1"/>
  <c r="EX250" i="1"/>
  <c r="EY250" i="1"/>
  <c r="EZ250" i="1"/>
  <c r="FA250" i="1"/>
  <c r="FB250" i="1"/>
  <c r="FC250" i="1"/>
  <c r="FD250" i="1"/>
  <c r="FE250" i="1"/>
  <c r="FF250" i="1"/>
  <c r="FG250" i="1"/>
  <c r="FH250" i="1"/>
  <c r="FI250" i="1"/>
  <c r="FJ250" i="1"/>
  <c r="FK250" i="1"/>
  <c r="FL250" i="1"/>
  <c r="FM250" i="1"/>
  <c r="FN250" i="1"/>
  <c r="FO250" i="1"/>
  <c r="GF250" i="1"/>
  <c r="GG250" i="1"/>
  <c r="GH250" i="1"/>
  <c r="GI250" i="1"/>
  <c r="GJ250" i="1"/>
  <c r="GK250" i="1"/>
  <c r="GL250" i="1"/>
  <c r="GM250" i="1"/>
  <c r="GN250" i="1"/>
  <c r="GO250" i="1"/>
  <c r="GP250" i="1"/>
  <c r="GQ250" i="1"/>
  <c r="GR250" i="1"/>
  <c r="GS250" i="1"/>
  <c r="GT250" i="1"/>
  <c r="GU250" i="1"/>
  <c r="GV250" i="1"/>
  <c r="GW250" i="1"/>
  <c r="GX250" i="1"/>
  <c r="C252" i="1"/>
  <c r="D252" i="1"/>
  <c r="I252" i="1"/>
  <c r="K252" i="1"/>
  <c r="T252" i="1"/>
  <c r="AC252" i="1"/>
  <c r="AE252" i="1"/>
  <c r="R252" i="1" s="1"/>
  <c r="AF252" i="1"/>
  <c r="S252" i="1" s="1"/>
  <c r="AG252" i="1"/>
  <c r="AH252" i="1"/>
  <c r="CV252" i="1" s="1"/>
  <c r="U252" i="1" s="1"/>
  <c r="AI252" i="1"/>
  <c r="AJ252" i="1"/>
  <c r="CU252" i="1"/>
  <c r="CW252" i="1"/>
  <c r="V252" i="1" s="1"/>
  <c r="CX252" i="1"/>
  <c r="W252" i="1" s="1"/>
  <c r="GL252" i="1"/>
  <c r="GN252" i="1"/>
  <c r="CB283" i="1" s="1"/>
  <c r="GP252" i="1"/>
  <c r="GV252" i="1"/>
  <c r="HC252" i="1"/>
  <c r="GX252" i="1" s="1"/>
  <c r="C253" i="1"/>
  <c r="D253" i="1"/>
  <c r="I253" i="1"/>
  <c r="K253" i="1"/>
  <c r="Q253" i="1"/>
  <c r="T253" i="1"/>
  <c r="V253" i="1"/>
  <c r="AC253" i="1"/>
  <c r="P253" i="1" s="1"/>
  <c r="AE253" i="1"/>
  <c r="AD253" i="1" s="1"/>
  <c r="AB253" i="1" s="1"/>
  <c r="AF253" i="1"/>
  <c r="CT253" i="1" s="1"/>
  <c r="AG253" i="1"/>
  <c r="CU253" i="1" s="1"/>
  <c r="AH253" i="1"/>
  <c r="CV253" i="1" s="1"/>
  <c r="U253" i="1" s="1"/>
  <c r="AI253" i="1"/>
  <c r="CW253" i="1" s="1"/>
  <c r="AJ253" i="1"/>
  <c r="CX253" i="1" s="1"/>
  <c r="W253" i="1" s="1"/>
  <c r="CQ253" i="1"/>
  <c r="CR253" i="1"/>
  <c r="CS253" i="1"/>
  <c r="GL253" i="1"/>
  <c r="GN253" i="1"/>
  <c r="GP253" i="1"/>
  <c r="GV253" i="1"/>
  <c r="HC253" i="1"/>
  <c r="GX253" i="1" s="1"/>
  <c r="GB283" i="1" s="1"/>
  <c r="I254" i="1"/>
  <c r="P254" i="1"/>
  <c r="R254" i="1"/>
  <c r="U254" i="1"/>
  <c r="AC254" i="1"/>
  <c r="CQ254" i="1" s="1"/>
  <c r="AD254" i="1"/>
  <c r="AE254" i="1"/>
  <c r="CS254" i="1" s="1"/>
  <c r="AF254" i="1"/>
  <c r="CT254" i="1" s="1"/>
  <c r="AG254" i="1"/>
  <c r="CU254" i="1" s="1"/>
  <c r="T254" i="1" s="1"/>
  <c r="AH254" i="1"/>
  <c r="AI254" i="1"/>
  <c r="CW254" i="1" s="1"/>
  <c r="V254" i="1" s="1"/>
  <c r="AJ254" i="1"/>
  <c r="CX254" i="1" s="1"/>
  <c r="W254" i="1" s="1"/>
  <c r="CR254" i="1"/>
  <c r="CV254" i="1"/>
  <c r="GL254" i="1"/>
  <c r="GN254" i="1"/>
  <c r="GP254" i="1"/>
  <c r="GV254" i="1"/>
  <c r="GX254" i="1"/>
  <c r="HC254" i="1"/>
  <c r="I255" i="1"/>
  <c r="R255" i="1"/>
  <c r="AC255" i="1"/>
  <c r="P255" i="1" s="1"/>
  <c r="AE255" i="1"/>
  <c r="AF255" i="1"/>
  <c r="S255" i="1" s="1"/>
  <c r="AG255" i="1"/>
  <c r="AH255" i="1"/>
  <c r="AI255" i="1"/>
  <c r="AJ255" i="1"/>
  <c r="CX255" i="1" s="1"/>
  <c r="W255" i="1" s="1"/>
  <c r="CS255" i="1"/>
  <c r="CU255" i="1"/>
  <c r="T255" i="1" s="1"/>
  <c r="CV255" i="1"/>
  <c r="U255" i="1" s="1"/>
  <c r="CW255" i="1"/>
  <c r="V255" i="1" s="1"/>
  <c r="CZ255" i="1"/>
  <c r="GL255" i="1"/>
  <c r="GN255" i="1"/>
  <c r="FT283" i="1" s="1"/>
  <c r="GP255" i="1"/>
  <c r="GV255" i="1"/>
  <c r="HC255" i="1"/>
  <c r="GX255" i="1" s="1"/>
  <c r="I256" i="1"/>
  <c r="P256" i="1" s="1"/>
  <c r="K256" i="1"/>
  <c r="AC256" i="1"/>
  <c r="AD256" i="1"/>
  <c r="AB256" i="1" s="1"/>
  <c r="AE256" i="1"/>
  <c r="CS256" i="1" s="1"/>
  <c r="AF256" i="1"/>
  <c r="CT256" i="1" s="1"/>
  <c r="AG256" i="1"/>
  <c r="AH256" i="1"/>
  <c r="CV256" i="1" s="1"/>
  <c r="AI256" i="1"/>
  <c r="CW256" i="1" s="1"/>
  <c r="V256" i="1" s="1"/>
  <c r="AJ256" i="1"/>
  <c r="CX256" i="1" s="1"/>
  <c r="W256" i="1" s="1"/>
  <c r="CQ256" i="1"/>
  <c r="CR256" i="1"/>
  <c r="CU256" i="1"/>
  <c r="T256" i="1" s="1"/>
  <c r="GL256" i="1"/>
  <c r="GN256" i="1"/>
  <c r="GP256" i="1"/>
  <c r="GV256" i="1"/>
  <c r="GX256" i="1"/>
  <c r="HC256" i="1"/>
  <c r="I257" i="1"/>
  <c r="K257" i="1"/>
  <c r="S257" i="1"/>
  <c r="CY257" i="1" s="1"/>
  <c r="AC257" i="1"/>
  <c r="CQ257" i="1" s="1"/>
  <c r="AD257" i="1"/>
  <c r="AE257" i="1"/>
  <c r="AF257" i="1"/>
  <c r="AG257" i="1"/>
  <c r="CU257" i="1" s="1"/>
  <c r="T257" i="1" s="1"/>
  <c r="AH257" i="1"/>
  <c r="AI257" i="1"/>
  <c r="AJ257" i="1"/>
  <c r="CS257" i="1"/>
  <c r="CT257" i="1"/>
  <c r="CV257" i="1"/>
  <c r="U257" i="1" s="1"/>
  <c r="CW257" i="1"/>
  <c r="V257" i="1" s="1"/>
  <c r="CX257" i="1"/>
  <c r="W257" i="1" s="1"/>
  <c r="GL257" i="1"/>
  <c r="GN257" i="1"/>
  <c r="GP257" i="1"/>
  <c r="GV257" i="1"/>
  <c r="HC257" i="1" s="1"/>
  <c r="GX257" i="1" s="1"/>
  <c r="I258" i="1"/>
  <c r="Q258" i="1" s="1"/>
  <c r="K258" i="1"/>
  <c r="R258" i="1"/>
  <c r="V258" i="1"/>
  <c r="AC258" i="1"/>
  <c r="P258" i="1" s="1"/>
  <c r="AD258" i="1"/>
  <c r="AE258" i="1"/>
  <c r="AF258" i="1"/>
  <c r="S258" i="1" s="1"/>
  <c r="AG258" i="1"/>
  <c r="CU258" i="1" s="1"/>
  <c r="T258" i="1" s="1"/>
  <c r="AH258" i="1"/>
  <c r="CV258" i="1" s="1"/>
  <c r="U258" i="1" s="1"/>
  <c r="AI258" i="1"/>
  <c r="AJ258" i="1"/>
  <c r="CX258" i="1" s="1"/>
  <c r="W258" i="1" s="1"/>
  <c r="CP258" i="1"/>
  <c r="O258" i="1" s="1"/>
  <c r="CR258" i="1"/>
  <c r="CS258" i="1"/>
  <c r="CT258" i="1"/>
  <c r="CW258" i="1"/>
  <c r="GL258" i="1"/>
  <c r="GN258" i="1"/>
  <c r="GP258" i="1"/>
  <c r="GV258" i="1"/>
  <c r="HC258" i="1" s="1"/>
  <c r="GX258" i="1" s="1"/>
  <c r="I259" i="1"/>
  <c r="P259" i="1" s="1"/>
  <c r="K259" i="1"/>
  <c r="AC259" i="1"/>
  <c r="CQ259" i="1" s="1"/>
  <c r="AD259" i="1"/>
  <c r="AE259" i="1"/>
  <c r="CS259" i="1" s="1"/>
  <c r="AF259" i="1"/>
  <c r="CT259" i="1" s="1"/>
  <c r="AG259" i="1"/>
  <c r="AH259" i="1"/>
  <c r="AI259" i="1"/>
  <c r="AJ259" i="1"/>
  <c r="CR259" i="1"/>
  <c r="CU259" i="1"/>
  <c r="CV259" i="1"/>
  <c r="U259" i="1" s="1"/>
  <c r="CW259" i="1"/>
  <c r="V259" i="1" s="1"/>
  <c r="CX259" i="1"/>
  <c r="GL259" i="1"/>
  <c r="GN259" i="1"/>
  <c r="GP259" i="1"/>
  <c r="GV259" i="1"/>
  <c r="HC259" i="1"/>
  <c r="GX259" i="1" s="1"/>
  <c r="I260" i="1"/>
  <c r="K260" i="1"/>
  <c r="P260" i="1"/>
  <c r="Q260" i="1"/>
  <c r="CP260" i="1" s="1"/>
  <c r="O260" i="1" s="1"/>
  <c r="T260" i="1"/>
  <c r="X260" i="1"/>
  <c r="AC260" i="1"/>
  <c r="AE260" i="1"/>
  <c r="CR260" i="1" s="1"/>
  <c r="AF260" i="1"/>
  <c r="S260" i="1" s="1"/>
  <c r="AG260" i="1"/>
  <c r="AH260" i="1"/>
  <c r="AI260" i="1"/>
  <c r="CW260" i="1" s="1"/>
  <c r="V260" i="1" s="1"/>
  <c r="AJ260" i="1"/>
  <c r="CX260" i="1" s="1"/>
  <c r="W260" i="1" s="1"/>
  <c r="CQ260" i="1"/>
  <c r="CT260" i="1"/>
  <c r="CU260" i="1"/>
  <c r="CV260" i="1"/>
  <c r="U260" i="1" s="1"/>
  <c r="GL260" i="1"/>
  <c r="GN260" i="1"/>
  <c r="GP260" i="1"/>
  <c r="GV260" i="1"/>
  <c r="HC260" i="1"/>
  <c r="GX260" i="1" s="1"/>
  <c r="I261" i="1"/>
  <c r="Q261" i="1" s="1"/>
  <c r="K261" i="1"/>
  <c r="R261" i="1"/>
  <c r="S261" i="1"/>
  <c r="Y261" i="1" s="1"/>
  <c r="U261" i="1"/>
  <c r="W261" i="1"/>
  <c r="X261" i="1"/>
  <c r="AC261" i="1"/>
  <c r="AD261" i="1"/>
  <c r="AE261" i="1"/>
  <c r="CS261" i="1" s="1"/>
  <c r="AF261" i="1"/>
  <c r="AG261" i="1"/>
  <c r="CU261" i="1" s="1"/>
  <c r="T261" i="1" s="1"/>
  <c r="AH261" i="1"/>
  <c r="CV261" i="1" s="1"/>
  <c r="AI261" i="1"/>
  <c r="AJ261" i="1"/>
  <c r="CR261" i="1"/>
  <c r="CT261" i="1"/>
  <c r="CW261" i="1"/>
  <c r="V261" i="1" s="1"/>
  <c r="CX261" i="1"/>
  <c r="GL261" i="1"/>
  <c r="GN261" i="1"/>
  <c r="GP261" i="1"/>
  <c r="GV261" i="1"/>
  <c r="HC261" i="1" s="1"/>
  <c r="GX261" i="1" s="1"/>
  <c r="I262" i="1"/>
  <c r="Q262" i="1" s="1"/>
  <c r="K262" i="1"/>
  <c r="P262" i="1"/>
  <c r="AC262" i="1"/>
  <c r="CQ262" i="1" s="1"/>
  <c r="AD262" i="1"/>
  <c r="AE262" i="1"/>
  <c r="AF262" i="1"/>
  <c r="S262" i="1" s="1"/>
  <c r="AG262" i="1"/>
  <c r="AH262" i="1"/>
  <c r="AI262" i="1"/>
  <c r="AJ262" i="1"/>
  <c r="CR262" i="1"/>
  <c r="CS262" i="1"/>
  <c r="CU262" i="1"/>
  <c r="CV262" i="1"/>
  <c r="CW262" i="1"/>
  <c r="V262" i="1" s="1"/>
  <c r="CX262" i="1"/>
  <c r="GL262" i="1"/>
  <c r="BZ283" i="1" s="1"/>
  <c r="GN262" i="1"/>
  <c r="GP262" i="1"/>
  <c r="CD283" i="1" s="1"/>
  <c r="GV262" i="1"/>
  <c r="HC262" i="1" s="1"/>
  <c r="I263" i="1"/>
  <c r="R263" i="1" s="1"/>
  <c r="K263" i="1"/>
  <c r="Q263" i="1"/>
  <c r="W263" i="1"/>
  <c r="AB263" i="1"/>
  <c r="AC263" i="1"/>
  <c r="P263" i="1" s="1"/>
  <c r="AE263" i="1"/>
  <c r="AD263" i="1" s="1"/>
  <c r="AF263" i="1"/>
  <c r="CT263" i="1" s="1"/>
  <c r="AG263" i="1"/>
  <c r="CU263" i="1" s="1"/>
  <c r="T263" i="1" s="1"/>
  <c r="AH263" i="1"/>
  <c r="AI263" i="1"/>
  <c r="CW263" i="1" s="1"/>
  <c r="V263" i="1" s="1"/>
  <c r="AJ263" i="1"/>
  <c r="CX263" i="1" s="1"/>
  <c r="CQ263" i="1"/>
  <c r="CR263" i="1"/>
  <c r="CS263" i="1"/>
  <c r="CV263" i="1"/>
  <c r="U263" i="1" s="1"/>
  <c r="GL263" i="1"/>
  <c r="GN263" i="1"/>
  <c r="GP263" i="1"/>
  <c r="GV263" i="1"/>
  <c r="HC263" i="1"/>
  <c r="GX263" i="1" s="1"/>
  <c r="C264" i="1"/>
  <c r="D264" i="1"/>
  <c r="I264" i="1"/>
  <c r="K264" i="1"/>
  <c r="AC264" i="1"/>
  <c r="CQ264" i="1" s="1"/>
  <c r="AD264" i="1"/>
  <c r="AE264" i="1"/>
  <c r="AF264" i="1"/>
  <c r="S264" i="1" s="1"/>
  <c r="AG264" i="1"/>
  <c r="CU264" i="1" s="1"/>
  <c r="T264" i="1" s="1"/>
  <c r="AH264" i="1"/>
  <c r="AI264" i="1"/>
  <c r="AJ264" i="1"/>
  <c r="CR264" i="1"/>
  <c r="CS264" i="1"/>
  <c r="CV264" i="1"/>
  <c r="CW264" i="1"/>
  <c r="V264" i="1" s="1"/>
  <c r="CX264" i="1"/>
  <c r="W264" i="1" s="1"/>
  <c r="GL264" i="1"/>
  <c r="GN264" i="1"/>
  <c r="GP264" i="1"/>
  <c r="GV264" i="1"/>
  <c r="HC264" i="1"/>
  <c r="GX264" i="1" s="1"/>
  <c r="C265" i="1"/>
  <c r="D265" i="1"/>
  <c r="I265" i="1"/>
  <c r="Q265" i="1" s="1"/>
  <c r="K265" i="1"/>
  <c r="R265" i="1"/>
  <c r="S265" i="1"/>
  <c r="Y265" i="1" s="1"/>
  <c r="W265" i="1"/>
  <c r="AC265" i="1"/>
  <c r="AD265" i="1"/>
  <c r="AE265" i="1"/>
  <c r="CS265" i="1" s="1"/>
  <c r="AF265" i="1"/>
  <c r="CT265" i="1" s="1"/>
  <c r="AG265" i="1"/>
  <c r="CU265" i="1" s="1"/>
  <c r="T265" i="1" s="1"/>
  <c r="AH265" i="1"/>
  <c r="CV265" i="1" s="1"/>
  <c r="U265" i="1" s="1"/>
  <c r="AI265" i="1"/>
  <c r="CW265" i="1" s="1"/>
  <c r="V265" i="1" s="1"/>
  <c r="AJ265" i="1"/>
  <c r="CQ265" i="1"/>
  <c r="CR265" i="1"/>
  <c r="CX265" i="1"/>
  <c r="GL265" i="1"/>
  <c r="GN265" i="1"/>
  <c r="GP265" i="1"/>
  <c r="GV265" i="1"/>
  <c r="HC265" i="1" s="1"/>
  <c r="GX265" i="1" s="1"/>
  <c r="AC266" i="1"/>
  <c r="AE266" i="1"/>
  <c r="CR266" i="1" s="1"/>
  <c r="AF266" i="1"/>
  <c r="CT266" i="1" s="1"/>
  <c r="AG266" i="1"/>
  <c r="AH266" i="1"/>
  <c r="CV266" i="1" s="1"/>
  <c r="AI266" i="1"/>
  <c r="CW266" i="1" s="1"/>
  <c r="AJ266" i="1"/>
  <c r="CQ266" i="1"/>
  <c r="CU266" i="1"/>
  <c r="CX266" i="1"/>
  <c r="GL266" i="1"/>
  <c r="GN266" i="1"/>
  <c r="GP266" i="1"/>
  <c r="GV266" i="1"/>
  <c r="HC266" i="1"/>
  <c r="I267" i="1"/>
  <c r="Q267" i="1" s="1"/>
  <c r="S267" i="1"/>
  <c r="T267" i="1"/>
  <c r="V267" i="1"/>
  <c r="X267" i="1"/>
  <c r="AC267" i="1"/>
  <c r="AE267" i="1"/>
  <c r="CR267" i="1" s="1"/>
  <c r="AF267" i="1"/>
  <c r="AG267" i="1"/>
  <c r="AH267" i="1"/>
  <c r="AI267" i="1"/>
  <c r="AJ267" i="1"/>
  <c r="CX267" i="1" s="1"/>
  <c r="W267" i="1" s="1"/>
  <c r="CQ267" i="1"/>
  <c r="CT267" i="1"/>
  <c r="CU267" i="1"/>
  <c r="CV267" i="1"/>
  <c r="U267" i="1" s="1"/>
  <c r="CW267" i="1"/>
  <c r="GL267" i="1"/>
  <c r="GN267" i="1"/>
  <c r="GP267" i="1"/>
  <c r="GV267" i="1"/>
  <c r="HC267" i="1"/>
  <c r="GX267" i="1" s="1"/>
  <c r="I268" i="1"/>
  <c r="K268" i="1"/>
  <c r="Q268" i="1"/>
  <c r="R268" i="1"/>
  <c r="S268" i="1"/>
  <c r="Y268" i="1" s="1"/>
  <c r="T268" i="1"/>
  <c r="AC268" i="1"/>
  <c r="P268" i="1" s="1"/>
  <c r="AE268" i="1"/>
  <c r="AF268" i="1"/>
  <c r="AG268" i="1"/>
  <c r="CU268" i="1" s="1"/>
  <c r="AH268" i="1"/>
  <c r="CV268" i="1" s="1"/>
  <c r="U268" i="1" s="1"/>
  <c r="AI268" i="1"/>
  <c r="AJ268" i="1"/>
  <c r="CX268" i="1" s="1"/>
  <c r="W268" i="1" s="1"/>
  <c r="CP268" i="1"/>
  <c r="O268" i="1" s="1"/>
  <c r="CT268" i="1"/>
  <c r="CW268" i="1"/>
  <c r="V268" i="1" s="1"/>
  <c r="CZ268" i="1"/>
  <c r="GL268" i="1"/>
  <c r="GN268" i="1"/>
  <c r="GP268" i="1"/>
  <c r="GV268" i="1"/>
  <c r="HC268" i="1"/>
  <c r="GX268" i="1" s="1"/>
  <c r="I269" i="1"/>
  <c r="Q269" i="1" s="1"/>
  <c r="K269" i="1"/>
  <c r="S269" i="1"/>
  <c r="CY269" i="1" s="1"/>
  <c r="U269" i="1"/>
  <c r="X269" i="1"/>
  <c r="AC269" i="1"/>
  <c r="AE269" i="1"/>
  <c r="CS269" i="1" s="1"/>
  <c r="AF269" i="1"/>
  <c r="CT269" i="1" s="1"/>
  <c r="AG269" i="1"/>
  <c r="AH269" i="1"/>
  <c r="AI269" i="1"/>
  <c r="CW269" i="1" s="1"/>
  <c r="V269" i="1" s="1"/>
  <c r="AJ269" i="1"/>
  <c r="CX269" i="1" s="1"/>
  <c r="W269" i="1" s="1"/>
  <c r="CQ269" i="1"/>
  <c r="CR269" i="1"/>
  <c r="CU269" i="1"/>
  <c r="T269" i="1" s="1"/>
  <c r="CV269" i="1"/>
  <c r="GL269" i="1"/>
  <c r="GN269" i="1"/>
  <c r="GP269" i="1"/>
  <c r="GV269" i="1"/>
  <c r="HC269" i="1" s="1"/>
  <c r="GX269" i="1" s="1"/>
  <c r="I270" i="1"/>
  <c r="Q270" i="1" s="1"/>
  <c r="K270" i="1"/>
  <c r="P270" i="1"/>
  <c r="T270" i="1"/>
  <c r="U270" i="1"/>
  <c r="AC270" i="1"/>
  <c r="AE270" i="1"/>
  <c r="CR270" i="1" s="1"/>
  <c r="AF270" i="1"/>
  <c r="AG270" i="1"/>
  <c r="AH270" i="1"/>
  <c r="AI270" i="1"/>
  <c r="CW270" i="1" s="1"/>
  <c r="V270" i="1" s="1"/>
  <c r="AJ270" i="1"/>
  <c r="CX270" i="1" s="1"/>
  <c r="W270" i="1" s="1"/>
  <c r="CQ270" i="1"/>
  <c r="CT270" i="1"/>
  <c r="CU270" i="1"/>
  <c r="CV270" i="1"/>
  <c r="GL270" i="1"/>
  <c r="GN270" i="1"/>
  <c r="GP270" i="1"/>
  <c r="GV270" i="1"/>
  <c r="HC270" i="1"/>
  <c r="GX270" i="1" s="1"/>
  <c r="I271" i="1"/>
  <c r="K271" i="1"/>
  <c r="Q271" i="1"/>
  <c r="R271" i="1"/>
  <c r="AC271" i="1"/>
  <c r="CQ271" i="1" s="1"/>
  <c r="AE271" i="1"/>
  <c r="CR271" i="1" s="1"/>
  <c r="AF271" i="1"/>
  <c r="CT271" i="1" s="1"/>
  <c r="AG271" i="1"/>
  <c r="CU271" i="1" s="1"/>
  <c r="T271" i="1" s="1"/>
  <c r="AH271" i="1"/>
  <c r="CV271" i="1" s="1"/>
  <c r="U271" i="1" s="1"/>
  <c r="AI271" i="1"/>
  <c r="CW271" i="1" s="1"/>
  <c r="V271" i="1" s="1"/>
  <c r="AJ271" i="1"/>
  <c r="CS271" i="1"/>
  <c r="CX271" i="1"/>
  <c r="W271" i="1" s="1"/>
  <c r="GL271" i="1"/>
  <c r="GN271" i="1"/>
  <c r="GP271" i="1"/>
  <c r="GV271" i="1"/>
  <c r="HC271" i="1" s="1"/>
  <c r="GX271" i="1" s="1"/>
  <c r="I272" i="1"/>
  <c r="K272" i="1"/>
  <c r="R272" i="1"/>
  <c r="AC272" i="1"/>
  <c r="CQ272" i="1" s="1"/>
  <c r="AE272" i="1"/>
  <c r="CR272" i="1" s="1"/>
  <c r="AF272" i="1"/>
  <c r="S272" i="1" s="1"/>
  <c r="AG272" i="1"/>
  <c r="AH272" i="1"/>
  <c r="AI272" i="1"/>
  <c r="AJ272" i="1"/>
  <c r="CX272" i="1" s="1"/>
  <c r="W272" i="1" s="1"/>
  <c r="CU272" i="1"/>
  <c r="T272" i="1" s="1"/>
  <c r="CV272" i="1"/>
  <c r="U272" i="1" s="1"/>
  <c r="CW272" i="1"/>
  <c r="V272" i="1" s="1"/>
  <c r="GL272" i="1"/>
  <c r="GN272" i="1"/>
  <c r="GP272" i="1"/>
  <c r="GV272" i="1"/>
  <c r="HC272" i="1" s="1"/>
  <c r="GX272" i="1" s="1"/>
  <c r="I273" i="1"/>
  <c r="P273" i="1" s="1"/>
  <c r="K273" i="1"/>
  <c r="AC273" i="1"/>
  <c r="AE273" i="1"/>
  <c r="CS273" i="1" s="1"/>
  <c r="AF273" i="1"/>
  <c r="CT273" i="1" s="1"/>
  <c r="AG273" i="1"/>
  <c r="AH273" i="1"/>
  <c r="AI273" i="1"/>
  <c r="AJ273" i="1"/>
  <c r="CX273" i="1" s="1"/>
  <c r="W273" i="1" s="1"/>
  <c r="CQ273" i="1"/>
  <c r="CR273" i="1"/>
  <c r="CU273" i="1"/>
  <c r="T273" i="1" s="1"/>
  <c r="CV273" i="1"/>
  <c r="CW273" i="1"/>
  <c r="GL273" i="1"/>
  <c r="GN273" i="1"/>
  <c r="GP273" i="1"/>
  <c r="GV273" i="1"/>
  <c r="HC273" i="1"/>
  <c r="GX273" i="1" s="1"/>
  <c r="C274" i="1"/>
  <c r="D274" i="1"/>
  <c r="I274" i="1"/>
  <c r="CU353" i="3" s="1"/>
  <c r="K274" i="1"/>
  <c r="R274" i="1"/>
  <c r="AC274" i="1"/>
  <c r="CQ274" i="1" s="1"/>
  <c r="AE274" i="1"/>
  <c r="CR274" i="1" s="1"/>
  <c r="AF274" i="1"/>
  <c r="S274" i="1" s="1"/>
  <c r="AG274" i="1"/>
  <c r="AH274" i="1"/>
  <c r="AI274" i="1"/>
  <c r="AJ274" i="1"/>
  <c r="CX274" i="1" s="1"/>
  <c r="W274" i="1" s="1"/>
  <c r="CU274" i="1"/>
  <c r="T274" i="1" s="1"/>
  <c r="CV274" i="1"/>
  <c r="U274" i="1" s="1"/>
  <c r="CW274" i="1"/>
  <c r="V274" i="1" s="1"/>
  <c r="GL274" i="1"/>
  <c r="GN274" i="1"/>
  <c r="GP274" i="1"/>
  <c r="GV274" i="1"/>
  <c r="HC274" i="1" s="1"/>
  <c r="GX274" i="1" s="1"/>
  <c r="C275" i="1"/>
  <c r="D275" i="1"/>
  <c r="I275" i="1"/>
  <c r="K275" i="1"/>
  <c r="P275" i="1"/>
  <c r="R275" i="1"/>
  <c r="S275" i="1"/>
  <c r="X275" i="1" s="1"/>
  <c r="T275" i="1"/>
  <c r="AC275" i="1"/>
  <c r="CQ275" i="1" s="1"/>
  <c r="AD275" i="1"/>
  <c r="AE275" i="1"/>
  <c r="CR275" i="1" s="1"/>
  <c r="AF275" i="1"/>
  <c r="CT275" i="1" s="1"/>
  <c r="AG275" i="1"/>
  <c r="AH275" i="1"/>
  <c r="CV275" i="1" s="1"/>
  <c r="U275" i="1" s="1"/>
  <c r="AI275" i="1"/>
  <c r="CW275" i="1" s="1"/>
  <c r="V275" i="1" s="1"/>
  <c r="AJ275" i="1"/>
  <c r="CX275" i="1" s="1"/>
  <c r="W275" i="1" s="1"/>
  <c r="CS275" i="1"/>
  <c r="CU275" i="1"/>
  <c r="CY275" i="1"/>
  <c r="GL275" i="1"/>
  <c r="GN275" i="1"/>
  <c r="GP275" i="1"/>
  <c r="GV275" i="1"/>
  <c r="HC275" i="1" s="1"/>
  <c r="GX275" i="1" s="1"/>
  <c r="P276" i="1"/>
  <c r="S276" i="1"/>
  <c r="CZ276" i="1" s="1"/>
  <c r="AC276" i="1"/>
  <c r="CQ276" i="1" s="1"/>
  <c r="AE276" i="1"/>
  <c r="Y276" i="1" s="1"/>
  <c r="AF276" i="1"/>
  <c r="CT276" i="1" s="1"/>
  <c r="AG276" i="1"/>
  <c r="CU276" i="1" s="1"/>
  <c r="T276" i="1" s="1"/>
  <c r="AH276" i="1"/>
  <c r="CV276" i="1" s="1"/>
  <c r="U276" i="1" s="1"/>
  <c r="AI276" i="1"/>
  <c r="AJ276" i="1"/>
  <c r="CW276" i="1"/>
  <c r="V276" i="1" s="1"/>
  <c r="CX276" i="1"/>
  <c r="W276" i="1" s="1"/>
  <c r="CY276" i="1"/>
  <c r="GL276" i="1"/>
  <c r="GN276" i="1"/>
  <c r="GP276" i="1"/>
  <c r="GV276" i="1"/>
  <c r="HC276" i="1"/>
  <c r="GX276" i="1" s="1"/>
  <c r="P277" i="1"/>
  <c r="S277" i="1"/>
  <c r="AC277" i="1"/>
  <c r="CQ277" i="1" s="1"/>
  <c r="AE277" i="1"/>
  <c r="R277" i="1" s="1"/>
  <c r="AF277" i="1"/>
  <c r="AG277" i="1"/>
  <c r="AH277" i="1"/>
  <c r="AI277" i="1"/>
  <c r="CW277" i="1" s="1"/>
  <c r="V277" i="1" s="1"/>
  <c r="AJ277" i="1"/>
  <c r="CX277" i="1" s="1"/>
  <c r="W277" i="1" s="1"/>
  <c r="CT277" i="1"/>
  <c r="CU277" i="1"/>
  <c r="T277" i="1" s="1"/>
  <c r="CV277" i="1"/>
  <c r="U277" i="1" s="1"/>
  <c r="GL277" i="1"/>
  <c r="GN277" i="1"/>
  <c r="GP277" i="1"/>
  <c r="FV283" i="1" s="1"/>
  <c r="GV277" i="1"/>
  <c r="HC277" i="1"/>
  <c r="GX277" i="1" s="1"/>
  <c r="C278" i="1"/>
  <c r="D278" i="1"/>
  <c r="I278" i="1"/>
  <c r="CU355" i="3" s="1"/>
  <c r="K278" i="1"/>
  <c r="R278" i="1"/>
  <c r="S278" i="1"/>
  <c r="X278" i="1" s="1"/>
  <c r="V278" i="1"/>
  <c r="AC278" i="1"/>
  <c r="CQ278" i="1" s="1"/>
  <c r="AE278" i="1"/>
  <c r="CS278" i="1" s="1"/>
  <c r="AF278" i="1"/>
  <c r="AG278" i="1"/>
  <c r="CU278" i="1" s="1"/>
  <c r="T278" i="1" s="1"/>
  <c r="AH278" i="1"/>
  <c r="CV278" i="1" s="1"/>
  <c r="U278" i="1" s="1"/>
  <c r="AI278" i="1"/>
  <c r="AJ278" i="1"/>
  <c r="CX278" i="1" s="1"/>
  <c r="W278" i="1" s="1"/>
  <c r="CR278" i="1"/>
  <c r="CT278" i="1"/>
  <c r="CW278" i="1"/>
  <c r="GL278" i="1"/>
  <c r="GN278" i="1"/>
  <c r="GP278" i="1"/>
  <c r="GV278" i="1"/>
  <c r="HC278" i="1" s="1"/>
  <c r="GX278" i="1" s="1"/>
  <c r="C279" i="1"/>
  <c r="D279" i="1"/>
  <c r="I279" i="1"/>
  <c r="K279" i="1"/>
  <c r="AC279" i="1"/>
  <c r="P279" i="1" s="1"/>
  <c r="AE279" i="1"/>
  <c r="AD279" i="1" s="1"/>
  <c r="AF279" i="1"/>
  <c r="S279" i="1" s="1"/>
  <c r="AG279" i="1"/>
  <c r="CU279" i="1" s="1"/>
  <c r="T279" i="1" s="1"/>
  <c r="AH279" i="1"/>
  <c r="CV279" i="1" s="1"/>
  <c r="U279" i="1" s="1"/>
  <c r="AI279" i="1"/>
  <c r="AJ279" i="1"/>
  <c r="CX279" i="1" s="1"/>
  <c r="W279" i="1" s="1"/>
  <c r="CR279" i="1"/>
  <c r="CS279" i="1"/>
  <c r="CT279" i="1"/>
  <c r="CW279" i="1"/>
  <c r="V279" i="1" s="1"/>
  <c r="GL279" i="1"/>
  <c r="GN279" i="1"/>
  <c r="GP279" i="1"/>
  <c r="GV279" i="1"/>
  <c r="HC279" i="1" s="1"/>
  <c r="GX279" i="1" s="1"/>
  <c r="S280" i="1"/>
  <c r="Y280" i="1" s="1"/>
  <c r="U280" i="1"/>
  <c r="X280" i="1"/>
  <c r="AC280" i="1"/>
  <c r="AE280" i="1"/>
  <c r="CR280" i="1" s="1"/>
  <c r="AF280" i="1"/>
  <c r="AG280" i="1"/>
  <c r="CU280" i="1" s="1"/>
  <c r="T280" i="1" s="1"/>
  <c r="AH280" i="1"/>
  <c r="AI280" i="1"/>
  <c r="CW280" i="1" s="1"/>
  <c r="V280" i="1" s="1"/>
  <c r="AJ280" i="1"/>
  <c r="CX280" i="1" s="1"/>
  <c r="W280" i="1" s="1"/>
  <c r="CQ280" i="1"/>
  <c r="CT280" i="1"/>
  <c r="CV280" i="1"/>
  <c r="CZ280" i="1"/>
  <c r="GL280" i="1"/>
  <c r="GN280" i="1"/>
  <c r="GP280" i="1"/>
  <c r="GV280" i="1"/>
  <c r="HC280" i="1"/>
  <c r="GX280" i="1" s="1"/>
  <c r="P281" i="1"/>
  <c r="R281" i="1"/>
  <c r="AC281" i="1"/>
  <c r="AE281" i="1"/>
  <c r="CR281" i="1" s="1"/>
  <c r="AF281" i="1"/>
  <c r="CT281" i="1" s="1"/>
  <c r="AG281" i="1"/>
  <c r="CU281" i="1" s="1"/>
  <c r="T281" i="1" s="1"/>
  <c r="AH281" i="1"/>
  <c r="CV281" i="1" s="1"/>
  <c r="U281" i="1" s="1"/>
  <c r="AI281" i="1"/>
  <c r="CW281" i="1" s="1"/>
  <c r="V281" i="1" s="1"/>
  <c r="AJ281" i="1"/>
  <c r="CQ281" i="1"/>
  <c r="CS281" i="1"/>
  <c r="CX281" i="1"/>
  <c r="W281" i="1" s="1"/>
  <c r="GL281" i="1"/>
  <c r="GN281" i="1"/>
  <c r="GP281" i="1"/>
  <c r="GV281" i="1"/>
  <c r="HC281" i="1"/>
  <c r="GX281" i="1" s="1"/>
  <c r="B283" i="1"/>
  <c r="B250" i="1" s="1"/>
  <c r="C283" i="1"/>
  <c r="C250" i="1" s="1"/>
  <c r="D283" i="1"/>
  <c r="D250" i="1" s="1"/>
  <c r="F283" i="1"/>
  <c r="F250" i="1" s="1"/>
  <c r="G283" i="1"/>
  <c r="G250" i="1" s="1"/>
  <c r="AO283" i="1"/>
  <c r="AO250" i="1" s="1"/>
  <c r="BX283" i="1"/>
  <c r="BY283" i="1"/>
  <c r="BY250" i="1" s="1"/>
  <c r="CK283" i="1"/>
  <c r="CK250" i="1" s="1"/>
  <c r="CL283" i="1"/>
  <c r="CL250" i="1" s="1"/>
  <c r="CM283" i="1"/>
  <c r="BD283" i="1" s="1"/>
  <c r="EV283" i="1"/>
  <c r="EV250" i="1" s="1"/>
  <c r="FP283" i="1"/>
  <c r="EG283" i="1" s="1"/>
  <c r="FQ283" i="1"/>
  <c r="FQ250" i="1" s="1"/>
  <c r="FR283" i="1"/>
  <c r="FR250" i="1" s="1"/>
  <c r="GC283" i="1"/>
  <c r="GC250" i="1" s="1"/>
  <c r="GD283" i="1"/>
  <c r="GD250" i="1" s="1"/>
  <c r="GE283" i="1"/>
  <c r="GE250" i="1" s="1"/>
  <c r="B313" i="1"/>
  <c r="B22" i="1" s="1"/>
  <c r="C313" i="1"/>
  <c r="C22" i="1" s="1"/>
  <c r="D313" i="1"/>
  <c r="D22" i="1" s="1"/>
  <c r="F313" i="1"/>
  <c r="F22" i="1" s="1"/>
  <c r="G313" i="1"/>
  <c r="G22" i="1" s="1"/>
  <c r="B343" i="1"/>
  <c r="B18" i="1" s="1"/>
  <c r="C343" i="1"/>
  <c r="C18" i="1" s="1"/>
  <c r="D343" i="1"/>
  <c r="D18" i="1" s="1"/>
  <c r="F343" i="1"/>
  <c r="F18" i="1" s="1"/>
  <c r="G343" i="1"/>
  <c r="G18" i="1" s="1"/>
  <c r="F12" i="6"/>
  <c r="G12" i="6"/>
  <c r="P95" i="7" l="1"/>
  <c r="H113" i="7"/>
  <c r="O115" i="7"/>
  <c r="P124" i="7"/>
  <c r="J454" i="7" s="1"/>
  <c r="H161" i="7"/>
  <c r="O193" i="7"/>
  <c r="H267" i="7" s="1"/>
  <c r="J291" i="7"/>
  <c r="P346" i="7"/>
  <c r="J358" i="7" s="1"/>
  <c r="J64" i="7"/>
  <c r="O95" i="7"/>
  <c r="O142" i="7"/>
  <c r="H219" i="7"/>
  <c r="H235" i="7"/>
  <c r="P250" i="7"/>
  <c r="O124" i="7"/>
  <c r="H124" i="7"/>
  <c r="P193" i="7"/>
  <c r="O306" i="7"/>
  <c r="O404" i="7"/>
  <c r="P142" i="7"/>
  <c r="P219" i="7"/>
  <c r="H259" i="7"/>
  <c r="H317" i="7"/>
  <c r="J426" i="7"/>
  <c r="P426" i="7"/>
  <c r="H142" i="7"/>
  <c r="H140" i="7"/>
  <c r="H75" i="7"/>
  <c r="O219" i="7"/>
  <c r="H440" i="7"/>
  <c r="O440" i="7"/>
  <c r="O46" i="7"/>
  <c r="H153" i="7"/>
  <c r="P293" i="7"/>
  <c r="J331" i="7" s="1"/>
  <c r="P404" i="7"/>
  <c r="P153" i="7"/>
  <c r="J153" i="7"/>
  <c r="J217" i="7"/>
  <c r="J446" i="7"/>
  <c r="H83" i="7"/>
  <c r="O163" i="7"/>
  <c r="J179" i="7"/>
  <c r="P179" i="7"/>
  <c r="J267" i="7" s="1"/>
  <c r="O280" i="7"/>
  <c r="H331" i="7" s="1"/>
  <c r="P306" i="7"/>
  <c r="O426" i="7"/>
  <c r="P57" i="7"/>
  <c r="O75" i="7"/>
  <c r="H73" i="7"/>
  <c r="H95" i="7"/>
  <c r="O106" i="7"/>
  <c r="H122" i="7"/>
  <c r="O133" i="7"/>
  <c r="J344" i="7"/>
  <c r="J304" i="7"/>
  <c r="H46" i="7"/>
  <c r="J66" i="7"/>
  <c r="O85" i="7"/>
  <c r="J106" i="7"/>
  <c r="J142" i="7"/>
  <c r="J193" i="7"/>
  <c r="H206" i="7"/>
  <c r="J222" i="7"/>
  <c r="O250" i="7"/>
  <c r="J259" i="7"/>
  <c r="H264" i="7"/>
  <c r="H280" i="7"/>
  <c r="J296" i="7"/>
  <c r="H319" i="7"/>
  <c r="O346" i="7"/>
  <c r="H358" i="7" s="1"/>
  <c r="O374" i="7"/>
  <c r="J402" i="7"/>
  <c r="J161" i="7"/>
  <c r="J55" i="7"/>
  <c r="J163" i="7"/>
  <c r="H177" i="7"/>
  <c r="H237" i="7"/>
  <c r="J390" i="7"/>
  <c r="J416" i="7"/>
  <c r="H426" i="7"/>
  <c r="H104" i="7"/>
  <c r="H191" i="7"/>
  <c r="O237" i="7"/>
  <c r="H304" i="7"/>
  <c r="J57" i="7"/>
  <c r="J93" i="7"/>
  <c r="H66" i="7"/>
  <c r="H106" i="7"/>
  <c r="J122" i="7"/>
  <c r="H193" i="7"/>
  <c r="J209" i="7"/>
  <c r="J283" i="7"/>
  <c r="H306" i="7"/>
  <c r="J322" i="7"/>
  <c r="J328" i="7"/>
  <c r="H402" i="7"/>
  <c r="J438" i="7"/>
  <c r="H443" i="7"/>
  <c r="H55" i="7"/>
  <c r="J83" i="7"/>
  <c r="J95" i="7"/>
  <c r="H131" i="7"/>
  <c r="H151" i="7"/>
  <c r="H163" i="7"/>
  <c r="J248" i="7"/>
  <c r="J372" i="7"/>
  <c r="J44" i="7"/>
  <c r="J124" i="7"/>
  <c r="J204" i="7"/>
  <c r="H209" i="7"/>
  <c r="H217" i="7"/>
  <c r="J225" i="7"/>
  <c r="H261" i="7"/>
  <c r="J278" i="7"/>
  <c r="H283" i="7"/>
  <c r="H291" i="7"/>
  <c r="J317" i="7"/>
  <c r="H322" i="7"/>
  <c r="H328" i="7"/>
  <c r="H378" i="7"/>
  <c r="H404" i="7"/>
  <c r="J440" i="7"/>
  <c r="H57" i="7"/>
  <c r="J73" i="7"/>
  <c r="J85" i="7"/>
  <c r="H93" i="7"/>
  <c r="H133" i="7"/>
  <c r="J235" i="7"/>
  <c r="J250" i="7"/>
  <c r="J346" i="7"/>
  <c r="J374" i="7"/>
  <c r="H429" i="7"/>
  <c r="J46" i="7"/>
  <c r="H225" i="7"/>
  <c r="J280" i="7"/>
  <c r="H293" i="7"/>
  <c r="J309" i="7"/>
  <c r="J319" i="7"/>
  <c r="H386" i="7"/>
  <c r="H412" i="7"/>
  <c r="EM283" i="1"/>
  <c r="FV250" i="1"/>
  <c r="DY207" i="1"/>
  <c r="DL218" i="1"/>
  <c r="CP277" i="1"/>
  <c r="O277" i="1" s="1"/>
  <c r="GM277" i="1" s="1"/>
  <c r="GO277" i="1" s="1"/>
  <c r="V266" i="1"/>
  <c r="AI283" i="1" s="1"/>
  <c r="CD250" i="1"/>
  <c r="AU283" i="1"/>
  <c r="EG250" i="1"/>
  <c r="P287" i="1"/>
  <c r="X279" i="1"/>
  <c r="CY279" i="1"/>
  <c r="CZ279" i="1"/>
  <c r="Y279" i="1"/>
  <c r="CY274" i="1"/>
  <c r="CZ274" i="1"/>
  <c r="X274" i="1"/>
  <c r="Y274" i="1"/>
  <c r="AB273" i="1"/>
  <c r="CY262" i="1"/>
  <c r="CZ262" i="1"/>
  <c r="X262" i="1"/>
  <c r="Y262" i="1"/>
  <c r="GM260" i="1"/>
  <c r="GO260" i="1" s="1"/>
  <c r="BZ250" i="1"/>
  <c r="AQ283" i="1"/>
  <c r="DY152" i="1"/>
  <c r="DL175" i="1"/>
  <c r="BD250" i="1"/>
  <c r="F308" i="1"/>
  <c r="CY272" i="1"/>
  <c r="CZ272" i="1"/>
  <c r="X272" i="1"/>
  <c r="Y272" i="1"/>
  <c r="FT250" i="1"/>
  <c r="EK283" i="1"/>
  <c r="ES218" i="1"/>
  <c r="GB207" i="1"/>
  <c r="DU283" i="1"/>
  <c r="CB250" i="1"/>
  <c r="AS283" i="1"/>
  <c r="AI207" i="1"/>
  <c r="V218" i="1"/>
  <c r="GB250" i="1"/>
  <c r="ES283" i="1"/>
  <c r="CG283" i="1"/>
  <c r="CY264" i="1"/>
  <c r="CZ264" i="1"/>
  <c r="X264" i="1"/>
  <c r="Y264" i="1"/>
  <c r="AB261" i="1"/>
  <c r="P261" i="1"/>
  <c r="CP261" i="1" s="1"/>
  <c r="O261" i="1" s="1"/>
  <c r="GM261" i="1" s="1"/>
  <c r="GO261" i="1" s="1"/>
  <c r="S168" i="1"/>
  <c r="CT168" i="1"/>
  <c r="AB279" i="1"/>
  <c r="CZ278" i="1"/>
  <c r="AD277" i="1"/>
  <c r="AB277" i="1" s="1"/>
  <c r="Q274" i="1"/>
  <c r="Q272" i="1"/>
  <c r="S271" i="1"/>
  <c r="CX337" i="3"/>
  <c r="CW338" i="3"/>
  <c r="CU335" i="3"/>
  <c r="CV335" i="3"/>
  <c r="CX335" i="3"/>
  <c r="CX339" i="3"/>
  <c r="CW337" i="3"/>
  <c r="CX342" i="3"/>
  <c r="Q264" i="1"/>
  <c r="CY255" i="1"/>
  <c r="Y255" i="1"/>
  <c r="BX250" i="1"/>
  <c r="T209" i="1"/>
  <c r="AG218" i="1" s="1"/>
  <c r="CJ152" i="1"/>
  <c r="BA175" i="1"/>
  <c r="CY171" i="1"/>
  <c r="CZ171" i="1"/>
  <c r="Y171" i="1"/>
  <c r="X171" i="1"/>
  <c r="Q277" i="1"/>
  <c r="S281" i="1"/>
  <c r="CP281" i="1" s="1"/>
  <c r="O281" i="1" s="1"/>
  <c r="CU356" i="3"/>
  <c r="CV356" i="3"/>
  <c r="CX356" i="3"/>
  <c r="CY278" i="1"/>
  <c r="R276" i="1"/>
  <c r="CZ275" i="1"/>
  <c r="AD274" i="1"/>
  <c r="P274" i="1"/>
  <c r="AD272" i="1"/>
  <c r="AB272" i="1" s="1"/>
  <c r="P272" i="1"/>
  <c r="AB259" i="1"/>
  <c r="CR257" i="1"/>
  <c r="R257" i="1"/>
  <c r="U256" i="1"/>
  <c r="CR255" i="1"/>
  <c r="AD255" i="1"/>
  <c r="CZ252" i="1"/>
  <c r="Y252" i="1"/>
  <c r="CD207" i="1"/>
  <c r="AU218" i="1"/>
  <c r="S214" i="1"/>
  <c r="CT214" i="1"/>
  <c r="S209" i="1"/>
  <c r="CT209" i="1"/>
  <c r="R171" i="1"/>
  <c r="CR171" i="1"/>
  <c r="CS171" i="1"/>
  <c r="Q171" i="1"/>
  <c r="AD171" i="1"/>
  <c r="AB171" i="1" s="1"/>
  <c r="ET152" i="1"/>
  <c r="P188" i="1"/>
  <c r="CS154" i="1"/>
  <c r="Q154" i="1"/>
  <c r="R154" i="1"/>
  <c r="CR154" i="1"/>
  <c r="AD154" i="1"/>
  <c r="AB154" i="1" s="1"/>
  <c r="CP262" i="1"/>
  <c r="O262" i="1" s="1"/>
  <c r="CG207" i="1"/>
  <c r="AX218" i="1"/>
  <c r="EU283" i="1"/>
  <c r="EI283" i="1"/>
  <c r="Q281" i="1"/>
  <c r="CY280" i="1"/>
  <c r="CR277" i="1"/>
  <c r="Y277" i="1"/>
  <c r="AD276" i="1"/>
  <c r="CS274" i="1"/>
  <c r="AB274" i="1"/>
  <c r="U273" i="1"/>
  <c r="DZ283" i="1" s="1"/>
  <c r="CS272" i="1"/>
  <c r="P271" i="1"/>
  <c r="CP271" i="1" s="1"/>
  <c r="O271" i="1" s="1"/>
  <c r="R269" i="1"/>
  <c r="CY267" i="1"/>
  <c r="CZ267" i="1"/>
  <c r="CY265" i="1"/>
  <c r="U264" i="1"/>
  <c r="W262" i="1"/>
  <c r="S256" i="1"/>
  <c r="AB255" i="1"/>
  <c r="P252" i="1"/>
  <c r="FP207" i="1"/>
  <c r="EG218" i="1"/>
  <c r="CB218" i="1"/>
  <c r="AO152" i="1"/>
  <c r="F179" i="1"/>
  <c r="CP156" i="1"/>
  <c r="O156" i="1" s="1"/>
  <c r="FR156" i="1"/>
  <c r="W259" i="1"/>
  <c r="EB283" i="1" s="1"/>
  <c r="FR207" i="1"/>
  <c r="EI218" i="1"/>
  <c r="AD281" i="1"/>
  <c r="AB281" i="1" s="1"/>
  <c r="Q278" i="1"/>
  <c r="X277" i="1"/>
  <c r="S270" i="1"/>
  <c r="CZ269" i="1"/>
  <c r="CY268" i="1"/>
  <c r="AB264" i="1"/>
  <c r="CY258" i="1"/>
  <c r="Y258" i="1"/>
  <c r="AB257" i="1"/>
  <c r="X255" i="1"/>
  <c r="X252" i="1"/>
  <c r="FP250" i="1"/>
  <c r="BC207" i="1"/>
  <c r="F234" i="1"/>
  <c r="GD207" i="1"/>
  <c r="EA152" i="1"/>
  <c r="DN175" i="1"/>
  <c r="GB175" i="1"/>
  <c r="Q276" i="1"/>
  <c r="CP276" i="1" s="1"/>
  <c r="O276" i="1" s="1"/>
  <c r="GM276" i="1" s="1"/>
  <c r="GO276" i="1" s="1"/>
  <c r="CZ265" i="1"/>
  <c r="BZ207" i="1"/>
  <c r="AQ218" i="1"/>
  <c r="FY283" i="1"/>
  <c r="ET283" i="1"/>
  <c r="EH283" i="1"/>
  <c r="F287" i="1"/>
  <c r="R280" i="1"/>
  <c r="AD278" i="1"/>
  <c r="P278" i="1"/>
  <c r="CP278" i="1" s="1"/>
  <c r="O278" i="1" s="1"/>
  <c r="CS276" i="1"/>
  <c r="AB276" i="1"/>
  <c r="Q275" i="1"/>
  <c r="CP275" i="1" s="1"/>
  <c r="O275" i="1" s="1"/>
  <c r="S273" i="1"/>
  <c r="AD271" i="1"/>
  <c r="AB271" i="1" s="1"/>
  <c r="P269" i="1"/>
  <c r="CP269" i="1" s="1"/>
  <c r="O269" i="1" s="1"/>
  <c r="CR268" i="1"/>
  <c r="AD268" i="1"/>
  <c r="P267" i="1"/>
  <c r="CP267" i="1" s="1"/>
  <c r="O267" i="1" s="1"/>
  <c r="P266" i="1"/>
  <c r="AB265" i="1"/>
  <c r="P265" i="1"/>
  <c r="CP265" i="1" s="1"/>
  <c r="O265" i="1" s="1"/>
  <c r="CT264" i="1"/>
  <c r="U262" i="1"/>
  <c r="CY260" i="1"/>
  <c r="CZ260" i="1"/>
  <c r="R260" i="1"/>
  <c r="T259" i="1"/>
  <c r="DY283" i="1" s="1"/>
  <c r="CZ258" i="1"/>
  <c r="CT255" i="1"/>
  <c r="AB254" i="1"/>
  <c r="CU326" i="3"/>
  <c r="CV326" i="3"/>
  <c r="CX330" i="3"/>
  <c r="CX326" i="3"/>
  <c r="CX332" i="3"/>
  <c r="R253" i="1"/>
  <c r="FR212" i="1"/>
  <c r="FQ218" i="1" s="1"/>
  <c r="CT272" i="1"/>
  <c r="CQ261" i="1"/>
  <c r="Q280" i="1"/>
  <c r="CR276" i="1"/>
  <c r="R273" i="1"/>
  <c r="X265" i="1"/>
  <c r="T262" i="1"/>
  <c r="AB262" i="1"/>
  <c r="S259" i="1"/>
  <c r="Q256" i="1"/>
  <c r="CP256" i="1" s="1"/>
  <c r="O256" i="1" s="1"/>
  <c r="R256" i="1"/>
  <c r="CM250" i="1"/>
  <c r="GE207" i="1"/>
  <c r="EV218" i="1"/>
  <c r="CW310" i="3"/>
  <c r="CU309" i="3"/>
  <c r="CX310" i="3"/>
  <c r="CV309" i="3"/>
  <c r="Q209" i="1"/>
  <c r="AD218" i="1" s="1"/>
  <c r="R209" i="1"/>
  <c r="AE218" i="1" s="1"/>
  <c r="EV152" i="1"/>
  <c r="P200" i="1"/>
  <c r="AQ152" i="1"/>
  <c r="F185" i="1"/>
  <c r="Y170" i="1"/>
  <c r="CY170" i="1"/>
  <c r="X170" i="1"/>
  <c r="CZ170" i="1"/>
  <c r="AH152" i="1"/>
  <c r="U175" i="1"/>
  <c r="CT107" i="1"/>
  <c r="S107" i="1"/>
  <c r="DM218" i="1"/>
  <c r="DZ207" i="1"/>
  <c r="P211" i="1"/>
  <c r="CQ211" i="1"/>
  <c r="GA283" i="1"/>
  <c r="CS277" i="1"/>
  <c r="CT274" i="1"/>
  <c r="V273" i="1"/>
  <c r="EA283" i="1" s="1"/>
  <c r="CY252" i="1"/>
  <c r="AD280" i="1"/>
  <c r="AB280" i="1" s="1"/>
  <c r="P280" i="1"/>
  <c r="CP280" i="1" s="1"/>
  <c r="O280" i="1" s="1"/>
  <c r="GM280" i="1" s="1"/>
  <c r="GO280" i="1" s="1"/>
  <c r="AB278" i="1"/>
  <c r="CZ277" i="1"/>
  <c r="X276" i="1"/>
  <c r="Q273" i="1"/>
  <c r="CP273" i="1" s="1"/>
  <c r="O273" i="1" s="1"/>
  <c r="AD270" i="1"/>
  <c r="AB270" i="1" s="1"/>
  <c r="AD269" i="1"/>
  <c r="AB269" i="1" s="1"/>
  <c r="AB268" i="1"/>
  <c r="AD267" i="1"/>
  <c r="AB267" i="1" s="1"/>
  <c r="R267" i="1"/>
  <c r="AD266" i="1"/>
  <c r="AB266" i="1" s="1"/>
  <c r="I266" i="1"/>
  <c r="CT262" i="1"/>
  <c r="AD260" i="1"/>
  <c r="AB260" i="1" s="1"/>
  <c r="R259" i="1"/>
  <c r="CZ257" i="1"/>
  <c r="X257" i="1"/>
  <c r="Y257" i="1"/>
  <c r="CQ255" i="1"/>
  <c r="Q255" i="1"/>
  <c r="CP255" i="1" s="1"/>
  <c r="O255" i="1" s="1"/>
  <c r="GM255" i="1" s="1"/>
  <c r="GO255" i="1" s="1"/>
  <c r="CT252" i="1"/>
  <c r="EM218" i="1"/>
  <c r="BD218" i="1"/>
  <c r="CM207" i="1"/>
  <c r="CZ210" i="1"/>
  <c r="X210" i="1"/>
  <c r="Y210" i="1"/>
  <c r="CY210" i="1"/>
  <c r="S160" i="1"/>
  <c r="CT160" i="1"/>
  <c r="CQ279" i="1"/>
  <c r="CR252" i="1"/>
  <c r="CS252" i="1"/>
  <c r="AD252" i="1"/>
  <c r="AB252" i="1" s="1"/>
  <c r="R279" i="1"/>
  <c r="Y278" i="1"/>
  <c r="CY277" i="1"/>
  <c r="AB275" i="1"/>
  <c r="AD273" i="1"/>
  <c r="R270" i="1"/>
  <c r="X268" i="1"/>
  <c r="GM268" i="1" s="1"/>
  <c r="GO268" i="1" s="1"/>
  <c r="R264" i="1"/>
  <c r="CZ261" i="1"/>
  <c r="Q259" i="1"/>
  <c r="CP259" i="1" s="1"/>
  <c r="O259" i="1" s="1"/>
  <c r="AB258" i="1"/>
  <c r="Q257" i="1"/>
  <c r="CQ252" i="1"/>
  <c r="Q252" i="1"/>
  <c r="EK207" i="1"/>
  <c r="P235" i="1"/>
  <c r="EB218" i="1"/>
  <c r="CI283" i="1"/>
  <c r="BC283" i="1"/>
  <c r="CS280" i="1"/>
  <c r="Q279" i="1"/>
  <c r="CP279" i="1" s="1"/>
  <c r="O279" i="1" s="1"/>
  <c r="GM279" i="1" s="1"/>
  <c r="GO279" i="1" s="1"/>
  <c r="Y275" i="1"/>
  <c r="CU354" i="3"/>
  <c r="CX354" i="3"/>
  <c r="CS270" i="1"/>
  <c r="CS268" i="1"/>
  <c r="CS267" i="1"/>
  <c r="P264" i="1"/>
  <c r="CP264" i="1" s="1"/>
  <c r="O264" i="1" s="1"/>
  <c r="GM264" i="1" s="1"/>
  <c r="GO264" i="1" s="1"/>
  <c r="GX262" i="1"/>
  <c r="CY261" i="1"/>
  <c r="CS260" i="1"/>
  <c r="X258" i="1"/>
  <c r="GM258" i="1" s="1"/>
  <c r="GO258" i="1" s="1"/>
  <c r="P257" i="1"/>
  <c r="F222" i="1"/>
  <c r="AO207" i="1"/>
  <c r="CQ216" i="1"/>
  <c r="P308" i="1"/>
  <c r="BB283" i="1"/>
  <c r="AP283" i="1"/>
  <c r="Y269" i="1"/>
  <c r="CQ268" i="1"/>
  <c r="Y267" i="1"/>
  <c r="CS266" i="1"/>
  <c r="R262" i="1"/>
  <c r="Y260" i="1"/>
  <c r="CQ258" i="1"/>
  <c r="S254" i="1"/>
  <c r="FY218" i="1"/>
  <c r="S215" i="1"/>
  <c r="CP215" i="1" s="1"/>
  <c r="O215" i="1" s="1"/>
  <c r="CT212" i="1"/>
  <c r="S212" i="1"/>
  <c r="DX218" i="1" s="1"/>
  <c r="Y211" i="1"/>
  <c r="Q210" i="1"/>
  <c r="EU175" i="1"/>
  <c r="GD152" i="1"/>
  <c r="X211" i="1"/>
  <c r="CD152" i="1"/>
  <c r="AU175" i="1"/>
  <c r="P170" i="1"/>
  <c r="CP170" i="1" s="1"/>
  <c r="O170" i="1" s="1"/>
  <c r="GM170" i="1" s="1"/>
  <c r="GO170" i="1" s="1"/>
  <c r="CQ170" i="1"/>
  <c r="CQ168" i="1"/>
  <c r="P168" i="1"/>
  <c r="AB168" i="1"/>
  <c r="Y166" i="1"/>
  <c r="CY166" i="1"/>
  <c r="X166" i="1"/>
  <c r="CZ166" i="1"/>
  <c r="CS162" i="1"/>
  <c r="Q162" i="1"/>
  <c r="R162" i="1"/>
  <c r="CR162" i="1"/>
  <c r="X162" i="1"/>
  <c r="AD162" i="1"/>
  <c r="CB175" i="1"/>
  <c r="CT158" i="1"/>
  <c r="S158" i="1"/>
  <c r="AB158" i="1"/>
  <c r="P209" i="1"/>
  <c r="CY173" i="1"/>
  <c r="X173" i="1"/>
  <c r="CP166" i="1"/>
  <c r="O166" i="1" s="1"/>
  <c r="GM166" i="1" s="1"/>
  <c r="GO166" i="1" s="1"/>
  <c r="AB162" i="1"/>
  <c r="P162" i="1"/>
  <c r="CP162" i="1" s="1"/>
  <c r="O162" i="1" s="1"/>
  <c r="CQ162" i="1"/>
  <c r="EB175" i="1"/>
  <c r="AI175" i="1"/>
  <c r="CR114" i="1"/>
  <c r="CS114" i="1"/>
  <c r="AD114" i="1"/>
  <c r="Q254" i="1"/>
  <c r="CP254" i="1" s="1"/>
  <c r="O254" i="1" s="1"/>
  <c r="CZ216" i="1"/>
  <c r="AB214" i="1"/>
  <c r="AB209" i="1"/>
  <c r="CK207" i="1"/>
  <c r="FY152" i="1"/>
  <c r="EP175" i="1"/>
  <c r="EM152" i="1"/>
  <c r="P194" i="1"/>
  <c r="CP173" i="1"/>
  <c r="O173" i="1" s="1"/>
  <c r="GM173" i="1" s="1"/>
  <c r="GO173" i="1" s="1"/>
  <c r="CY162" i="1"/>
  <c r="Y162" i="1"/>
  <c r="CY159" i="1"/>
  <c r="X159" i="1"/>
  <c r="CZ159" i="1"/>
  <c r="CS157" i="1"/>
  <c r="Q157" i="1"/>
  <c r="R157" i="1"/>
  <c r="CR157" i="1"/>
  <c r="X157" i="1"/>
  <c r="AD157" i="1"/>
  <c r="AB114" i="1"/>
  <c r="CQ114" i="1"/>
  <c r="CQ96" i="1"/>
  <c r="P96" i="1"/>
  <c r="AB96" i="1"/>
  <c r="CU313" i="3"/>
  <c r="CX315" i="3"/>
  <c r="CV313" i="3"/>
  <c r="CW314" i="3"/>
  <c r="CX313" i="3"/>
  <c r="EK152" i="1"/>
  <c r="P192" i="1"/>
  <c r="BX152" i="1"/>
  <c r="CG175" i="1"/>
  <c r="CP172" i="1"/>
  <c r="O172" i="1" s="1"/>
  <c r="Y169" i="1"/>
  <c r="CY169" i="1"/>
  <c r="X169" i="1"/>
  <c r="CZ169" i="1"/>
  <c r="AB157" i="1"/>
  <c r="P157" i="1"/>
  <c r="CQ157" i="1"/>
  <c r="AG175" i="1"/>
  <c r="CZ155" i="1"/>
  <c r="X155" i="1"/>
  <c r="Y155" i="1"/>
  <c r="CY155" i="1"/>
  <c r="CT115" i="1"/>
  <c r="S115" i="1"/>
  <c r="AB115" i="1"/>
  <c r="S263" i="1"/>
  <c r="S253" i="1"/>
  <c r="CS216" i="1"/>
  <c r="R216" i="1"/>
  <c r="DW218" i="1" s="1"/>
  <c r="CR214" i="1"/>
  <c r="CZ213" i="1"/>
  <c r="V210" i="1"/>
  <c r="EA218" i="1" s="1"/>
  <c r="AD210" i="1"/>
  <c r="AB210" i="1" s="1"/>
  <c r="CP171" i="1"/>
  <c r="O171" i="1" s="1"/>
  <c r="GM171" i="1" s="1"/>
  <c r="GO171" i="1" s="1"/>
  <c r="CY157" i="1"/>
  <c r="Y157" i="1"/>
  <c r="AQ120" i="1"/>
  <c r="AG120" i="1"/>
  <c r="CU317" i="3"/>
  <c r="CX323" i="3"/>
  <c r="CX324" i="3"/>
  <c r="CX321" i="3"/>
  <c r="CX320" i="3"/>
  <c r="CW318" i="3"/>
  <c r="CX318" i="3"/>
  <c r="CX319" i="3"/>
  <c r="CY213" i="1"/>
  <c r="CQ210" i="1"/>
  <c r="CQ209" i="1"/>
  <c r="CP169" i="1"/>
  <c r="O169" i="1" s="1"/>
  <c r="AJ175" i="1"/>
  <c r="EU87" i="1"/>
  <c r="P136" i="1"/>
  <c r="AO87" i="1"/>
  <c r="F124" i="1"/>
  <c r="CR98" i="1"/>
  <c r="R98" i="1"/>
  <c r="Q98" i="1"/>
  <c r="CS98" i="1"/>
  <c r="GX209" i="1"/>
  <c r="CJ218" i="1" s="1"/>
  <c r="W209" i="1"/>
  <c r="AJ218" i="1" s="1"/>
  <c r="BD175" i="1"/>
  <c r="CM152" i="1"/>
  <c r="AD167" i="1"/>
  <c r="AB167" i="1" s="1"/>
  <c r="Q167" i="1"/>
  <c r="CP167" i="1" s="1"/>
  <c r="O167" i="1" s="1"/>
  <c r="R167" i="1"/>
  <c r="Y167" i="1"/>
  <c r="CS167" i="1"/>
  <c r="CZ163" i="1"/>
  <c r="X163" i="1"/>
  <c r="Y163" i="1"/>
  <c r="CY163" i="1"/>
  <c r="DZ175" i="1"/>
  <c r="CB87" i="1"/>
  <c r="AS120" i="1"/>
  <c r="AI87" i="1"/>
  <c r="V120" i="1"/>
  <c r="Y216" i="1"/>
  <c r="GM216" i="1" s="1"/>
  <c r="GO216" i="1" s="1"/>
  <c r="CQ215" i="1"/>
  <c r="CY211" i="1"/>
  <c r="EI175" i="1"/>
  <c r="FR152" i="1"/>
  <c r="S165" i="1"/>
  <c r="CT165" i="1"/>
  <c r="CX345" i="3"/>
  <c r="CW346" i="3"/>
  <c r="CX347" i="3"/>
  <c r="CW345" i="3"/>
  <c r="CU344" i="3"/>
  <c r="CV344" i="3"/>
  <c r="CX349" i="3"/>
  <c r="CX352" i="3"/>
  <c r="CW347" i="3"/>
  <c r="P214" i="1"/>
  <c r="CP214" i="1" s="1"/>
  <c r="O214" i="1" s="1"/>
  <c r="CR210" i="1"/>
  <c r="U209" i="1"/>
  <c r="AH218" i="1" s="1"/>
  <c r="CK152" i="1"/>
  <c r="BB175" i="1"/>
  <c r="CZ173" i="1"/>
  <c r="Y156" i="1"/>
  <c r="X156" i="1"/>
  <c r="CY156" i="1"/>
  <c r="CZ156" i="1"/>
  <c r="AB161" i="1"/>
  <c r="CP118" i="1"/>
  <c r="O118" i="1" s="1"/>
  <c r="CQ113" i="1"/>
  <c r="AB113" i="1"/>
  <c r="AB111" i="1"/>
  <c r="CQ101" i="1"/>
  <c r="AB101" i="1"/>
  <c r="P101" i="1"/>
  <c r="CY97" i="1"/>
  <c r="CZ97" i="1"/>
  <c r="X97" i="1"/>
  <c r="Y97" i="1"/>
  <c r="GB26" i="1"/>
  <c r="ES55" i="1"/>
  <c r="CY51" i="1"/>
  <c r="X51" i="1"/>
  <c r="Y51" i="1"/>
  <c r="CZ51" i="1"/>
  <c r="EB55" i="1"/>
  <c r="CT172" i="1"/>
  <c r="CT171" i="1"/>
  <c r="CY167" i="1"/>
  <c r="X167" i="1"/>
  <c r="CM87" i="1"/>
  <c r="BD120" i="1"/>
  <c r="CX231" i="3"/>
  <c r="CU229" i="3"/>
  <c r="CW230" i="3"/>
  <c r="Q111" i="1"/>
  <c r="R111" i="1"/>
  <c r="AD109" i="1"/>
  <c r="AB109" i="1" s="1"/>
  <c r="Q109" i="1"/>
  <c r="CP109" i="1" s="1"/>
  <c r="O109" i="1" s="1"/>
  <c r="CR109" i="1"/>
  <c r="CS109" i="1"/>
  <c r="AB107" i="1"/>
  <c r="CQ102" i="1"/>
  <c r="AB102" i="1"/>
  <c r="FR120" i="1"/>
  <c r="P98" i="1"/>
  <c r="CP98" i="1" s="1"/>
  <c r="O98" i="1" s="1"/>
  <c r="CQ98" i="1"/>
  <c r="AB98" i="1"/>
  <c r="CS163" i="1"/>
  <c r="AD163" i="1"/>
  <c r="AB163" i="1" s="1"/>
  <c r="R163" i="1"/>
  <c r="CP159" i="1"/>
  <c r="O159" i="1" s="1"/>
  <c r="CR156" i="1"/>
  <c r="CS156" i="1"/>
  <c r="R156" i="1"/>
  <c r="CP116" i="1"/>
  <c r="O116" i="1" s="1"/>
  <c r="GM116" i="1" s="1"/>
  <c r="GO116" i="1" s="1"/>
  <c r="Q113" i="1"/>
  <c r="R113" i="1"/>
  <c r="S113" i="1"/>
  <c r="CY108" i="1"/>
  <c r="Y108" i="1"/>
  <c r="X108" i="1"/>
  <c r="CZ108" i="1"/>
  <c r="R89" i="1"/>
  <c r="CR89" i="1"/>
  <c r="Q89" i="1"/>
  <c r="CS89" i="1"/>
  <c r="CY89" i="1"/>
  <c r="CZ89" i="1"/>
  <c r="Y172" i="1"/>
  <c r="AB165" i="1"/>
  <c r="P163" i="1"/>
  <c r="CP163" i="1" s="1"/>
  <c r="O163" i="1" s="1"/>
  <c r="GM163" i="1" s="1"/>
  <c r="GO163" i="1" s="1"/>
  <c r="S161" i="1"/>
  <c r="AB160" i="1"/>
  <c r="AD156" i="1"/>
  <c r="AB156" i="1" s="1"/>
  <c r="GE152" i="1"/>
  <c r="GX113" i="1"/>
  <c r="AB106" i="1"/>
  <c r="P106" i="1"/>
  <c r="CP106" i="1" s="1"/>
  <c r="O106" i="1" s="1"/>
  <c r="GM106" i="1" s="1"/>
  <c r="GO106" i="1" s="1"/>
  <c r="CQ106" i="1"/>
  <c r="P102" i="1"/>
  <c r="CT99" i="1"/>
  <c r="S99" i="1"/>
  <c r="CP99" i="1" s="1"/>
  <c r="O99" i="1" s="1"/>
  <c r="AD89" i="1"/>
  <c r="AB89" i="1" s="1"/>
  <c r="EH26" i="1"/>
  <c r="P64" i="1"/>
  <c r="CY109" i="1"/>
  <c r="X109" i="1"/>
  <c r="Y109" i="1"/>
  <c r="AD95" i="1"/>
  <c r="Q95" i="1"/>
  <c r="CR95" i="1"/>
  <c r="R95" i="1"/>
  <c r="CS95" i="1"/>
  <c r="Y95" i="1"/>
  <c r="Q212" i="1"/>
  <c r="CP212" i="1" s="1"/>
  <c r="O212" i="1" s="1"/>
  <c r="CZ167" i="1"/>
  <c r="CP154" i="1"/>
  <c r="O154" i="1" s="1"/>
  <c r="CY116" i="1"/>
  <c r="X116" i="1"/>
  <c r="CZ116" i="1"/>
  <c r="T111" i="1"/>
  <c r="P95" i="1"/>
  <c r="CQ95" i="1"/>
  <c r="AB95" i="1"/>
  <c r="FV120" i="1"/>
  <c r="CP164" i="1"/>
  <c r="O164" i="1" s="1"/>
  <c r="GM164" i="1" s="1"/>
  <c r="P155" i="1"/>
  <c r="CZ111" i="1"/>
  <c r="X111" i="1"/>
  <c r="Y111" i="1"/>
  <c r="CY111" i="1"/>
  <c r="FT120" i="1"/>
  <c r="R173" i="1"/>
  <c r="CZ172" i="1"/>
  <c r="FR164" i="1"/>
  <c r="BX87" i="1"/>
  <c r="CG120" i="1"/>
  <c r="CY118" i="1"/>
  <c r="CZ118" i="1"/>
  <c r="Y118" i="1"/>
  <c r="X118" i="1"/>
  <c r="S103" i="1"/>
  <c r="CT103" i="1"/>
  <c r="R100" i="1"/>
  <c r="CR100" i="1"/>
  <c r="CS100" i="1"/>
  <c r="Q100" i="1"/>
  <c r="CY100" i="1"/>
  <c r="CR170" i="1"/>
  <c r="AD170" i="1"/>
  <c r="AB170" i="1" s="1"/>
  <c r="R165" i="1"/>
  <c r="CZ164" i="1"/>
  <c r="CR164" i="1"/>
  <c r="R164" i="1"/>
  <c r="CZ162" i="1"/>
  <c r="P160" i="1"/>
  <c r="CZ157" i="1"/>
  <c r="S154" i="1"/>
  <c r="CT154" i="1"/>
  <c r="BC87" i="1"/>
  <c r="F136" i="1"/>
  <c r="AD103" i="1"/>
  <c r="AB103" i="1" s="1"/>
  <c r="CR103" i="1"/>
  <c r="CS103" i="1"/>
  <c r="Q103" i="1"/>
  <c r="CP103" i="1" s="1"/>
  <c r="O103" i="1" s="1"/>
  <c r="R103" i="1"/>
  <c r="P97" i="1"/>
  <c r="CP97" i="1" s="1"/>
  <c r="O97" i="1" s="1"/>
  <c r="GM97" i="1" s="1"/>
  <c r="GO97" i="1" s="1"/>
  <c r="CQ97" i="1"/>
  <c r="AH120" i="1"/>
  <c r="AD116" i="1"/>
  <c r="AB116" i="1" s="1"/>
  <c r="R116" i="1"/>
  <c r="GX112" i="1"/>
  <c r="CR112" i="1"/>
  <c r="S112" i="1"/>
  <c r="CY105" i="1"/>
  <c r="Y105" i="1"/>
  <c r="S104" i="1"/>
  <c r="CR99" i="1"/>
  <c r="CS99" i="1"/>
  <c r="CD120" i="1"/>
  <c r="X93" i="1"/>
  <c r="CY93" i="1"/>
  <c r="CZ93" i="1"/>
  <c r="FR118" i="1"/>
  <c r="CP115" i="1"/>
  <c r="O115" i="1" s="1"/>
  <c r="CU223" i="3"/>
  <c r="CX224" i="3"/>
  <c r="Q108" i="1"/>
  <c r="CP108" i="1" s="1"/>
  <c r="O108" i="1" s="1"/>
  <c r="GM108" i="1" s="1"/>
  <c r="GO108" i="1" s="1"/>
  <c r="R108" i="1"/>
  <c r="I110" i="1"/>
  <c r="P110" i="1" s="1"/>
  <c r="AD99" i="1"/>
  <c r="AB99" i="1" s="1"/>
  <c r="Y98" i="1"/>
  <c r="CY98" i="1"/>
  <c r="CZ98" i="1"/>
  <c r="X98" i="1"/>
  <c r="X96" i="1"/>
  <c r="CY96" i="1"/>
  <c r="CZ96" i="1"/>
  <c r="Y96" i="1"/>
  <c r="CQ94" i="1"/>
  <c r="P94" i="1"/>
  <c r="CP94" i="1" s="1"/>
  <c r="O94" i="1" s="1"/>
  <c r="GM94" i="1" s="1"/>
  <c r="GO94" i="1" s="1"/>
  <c r="P111" i="1"/>
  <c r="CP111" i="1" s="1"/>
  <c r="O111" i="1" s="1"/>
  <c r="X100" i="1"/>
  <c r="CQ93" i="1"/>
  <c r="P93" i="1"/>
  <c r="CM26" i="1"/>
  <c r="BD55" i="1"/>
  <c r="R155" i="1"/>
  <c r="CR116" i="1"/>
  <c r="GX109" i="1"/>
  <c r="CJ120" i="1" s="1"/>
  <c r="R99" i="1"/>
  <c r="X95" i="1"/>
  <c r="AB93" i="1"/>
  <c r="GM91" i="1"/>
  <c r="Q155" i="1"/>
  <c r="DV175" i="1" s="1"/>
  <c r="CU232" i="3"/>
  <c r="CX234" i="3"/>
  <c r="CX233" i="3"/>
  <c r="I114" i="1"/>
  <c r="GX114" i="1" s="1"/>
  <c r="CP100" i="1"/>
  <c r="O100" i="1" s="1"/>
  <c r="FR100" i="1"/>
  <c r="CK26" i="1"/>
  <c r="BB55" i="1"/>
  <c r="AD155" i="1"/>
  <c r="AB155" i="1" s="1"/>
  <c r="EV120" i="1"/>
  <c r="EG120" i="1"/>
  <c r="CS118" i="1"/>
  <c r="CT117" i="1"/>
  <c r="S117" i="1"/>
  <c r="CQ111" i="1"/>
  <c r="Y106" i="1"/>
  <c r="CZ106" i="1"/>
  <c r="S102" i="1"/>
  <c r="CT102" i="1"/>
  <c r="S101" i="1"/>
  <c r="CT101" i="1"/>
  <c r="FR99" i="1"/>
  <c r="P92" i="1"/>
  <c r="CQ92" i="1"/>
  <c r="FV26" i="1"/>
  <c r="EM55" i="1"/>
  <c r="CS112" i="1"/>
  <c r="AD112" i="1"/>
  <c r="AB112" i="1" s="1"/>
  <c r="W111" i="1"/>
  <c r="AJ120" i="1" s="1"/>
  <c r="CS110" i="1"/>
  <c r="AD110" i="1"/>
  <c r="AB110" i="1" s="1"/>
  <c r="Q102" i="1"/>
  <c r="R102" i="1"/>
  <c r="CR102" i="1"/>
  <c r="CS102" i="1"/>
  <c r="R97" i="1"/>
  <c r="Q97" i="1"/>
  <c r="CR97" i="1"/>
  <c r="CS97" i="1"/>
  <c r="Q116" i="1"/>
  <c r="CQ112" i="1"/>
  <c r="P112" i="1"/>
  <c r="CP112" i="1" s="1"/>
  <c r="O112" i="1" s="1"/>
  <c r="GX111" i="1"/>
  <c r="CQ110" i="1"/>
  <c r="R109" i="1"/>
  <c r="T108" i="1"/>
  <c r="CP107" i="1"/>
  <c r="O107" i="1" s="1"/>
  <c r="AD102" i="1"/>
  <c r="AD97" i="1"/>
  <c r="AB97" i="1" s="1"/>
  <c r="FQ26" i="1"/>
  <c r="GA55" i="1"/>
  <c r="P105" i="1"/>
  <c r="CP105" i="1" s="1"/>
  <c r="O105" i="1" s="1"/>
  <c r="CR92" i="1"/>
  <c r="X92" i="1"/>
  <c r="P90" i="1"/>
  <c r="FP26" i="1"/>
  <c r="EG55" i="1"/>
  <c r="EV26" i="1"/>
  <c r="P80" i="1"/>
  <c r="CD26" i="1"/>
  <c r="AU55" i="1"/>
  <c r="Q117" i="1"/>
  <c r="CP117" i="1" s="1"/>
  <c r="O117" i="1" s="1"/>
  <c r="CX221" i="3"/>
  <c r="CU217" i="3"/>
  <c r="CX222" i="3"/>
  <c r="AD105" i="1"/>
  <c r="AB105" i="1" s="1"/>
  <c r="AB104" i="1"/>
  <c r="Y100" i="1"/>
  <c r="CR90" i="1"/>
  <c r="R90" i="1"/>
  <c r="CY90" i="1"/>
  <c r="ET55" i="1"/>
  <c r="AD90" i="1"/>
  <c r="AB90" i="1" s="1"/>
  <c r="CZ95" i="1"/>
  <c r="CZ94" i="1"/>
  <c r="DY55" i="1"/>
  <c r="CW336" i="3"/>
  <c r="X89" i="1"/>
  <c r="Y89" i="1"/>
  <c r="BY26" i="1"/>
  <c r="AP55" i="1"/>
  <c r="CI55" i="1"/>
  <c r="DZ55" i="1"/>
  <c r="CY95" i="1"/>
  <c r="CS90" i="1"/>
  <c r="X90" i="1"/>
  <c r="BX26" i="1"/>
  <c r="AO55" i="1"/>
  <c r="CG55" i="1"/>
  <c r="AH55" i="1"/>
  <c r="CP89" i="1"/>
  <c r="O89" i="1" s="1"/>
  <c r="FY26" i="1"/>
  <c r="EP55" i="1"/>
  <c r="EA55" i="1"/>
  <c r="CP42" i="1"/>
  <c r="O42" i="1" s="1"/>
  <c r="GM42" i="1" s="1"/>
  <c r="GO42" i="1" s="1"/>
  <c r="X36" i="1"/>
  <c r="CY36" i="1"/>
  <c r="CZ36" i="1"/>
  <c r="Y36" i="1"/>
  <c r="X34" i="1"/>
  <c r="Y34" i="1"/>
  <c r="CY34" i="1"/>
  <c r="CZ34" i="1"/>
  <c r="DF1" i="3"/>
  <c r="DG1" i="3"/>
  <c r="DI1" i="3"/>
  <c r="DJ1" i="3" s="1"/>
  <c r="DH1" i="3"/>
  <c r="BC55" i="1"/>
  <c r="AQ55" i="1"/>
  <c r="CY45" i="1"/>
  <c r="CZ45" i="1"/>
  <c r="CT39" i="1"/>
  <c r="S39" i="1"/>
  <c r="AB37" i="1"/>
  <c r="P37" i="1"/>
  <c r="CP37" i="1" s="1"/>
  <c r="O37" i="1" s="1"/>
  <c r="CX346" i="3"/>
  <c r="DF306" i="3"/>
  <c r="DJ306" i="3" s="1"/>
  <c r="DI306" i="3"/>
  <c r="DG306" i="3"/>
  <c r="DH306" i="3"/>
  <c r="CX220" i="3"/>
  <c r="DF205" i="3"/>
  <c r="DJ205" i="3" s="1"/>
  <c r="DH205" i="3"/>
  <c r="DI205" i="3"/>
  <c r="DG205" i="3"/>
  <c r="DF197" i="3"/>
  <c r="DJ197" i="3" s="1"/>
  <c r="DG197" i="3"/>
  <c r="DH197" i="3"/>
  <c r="DI197" i="3"/>
  <c r="DF137" i="3"/>
  <c r="DJ137" i="3" s="1"/>
  <c r="DH137" i="3"/>
  <c r="DI137" i="3"/>
  <c r="DG137" i="3"/>
  <c r="P51" i="1"/>
  <c r="CP51" i="1" s="1"/>
  <c r="O51" i="1" s="1"/>
  <c r="R49" i="1"/>
  <c r="CY47" i="1"/>
  <c r="X47" i="1"/>
  <c r="R40" i="1"/>
  <c r="CS40" i="1"/>
  <c r="CS39" i="1"/>
  <c r="AD39" i="1"/>
  <c r="AB39" i="1" s="1"/>
  <c r="W38" i="1"/>
  <c r="AJ55" i="1" s="1"/>
  <c r="CV353" i="3"/>
  <c r="CZ53" i="1"/>
  <c r="Q48" i="1"/>
  <c r="CP48" i="1" s="1"/>
  <c r="O48" i="1" s="1"/>
  <c r="R48" i="1"/>
  <c r="CY43" i="1"/>
  <c r="X43" i="1"/>
  <c r="CY40" i="1"/>
  <c r="AD40" i="1"/>
  <c r="AB40" i="1" s="1"/>
  <c r="CQ36" i="1"/>
  <c r="P36" i="1"/>
  <c r="CP36" i="1" s="1"/>
  <c r="O36" i="1" s="1"/>
  <c r="CX351" i="3"/>
  <c r="CX311" i="3"/>
  <c r="CY53" i="1"/>
  <c r="CZ49" i="1"/>
  <c r="AB46" i="1"/>
  <c r="AD43" i="1"/>
  <c r="AB43" i="1" s="1"/>
  <c r="R43" i="1"/>
  <c r="CU71" i="3"/>
  <c r="CV71" i="3"/>
  <c r="CX71" i="3"/>
  <c r="R38" i="1"/>
  <c r="CQ37" i="1"/>
  <c r="AB36" i="1"/>
  <c r="CY32" i="1"/>
  <c r="CV151" i="3"/>
  <c r="CW152" i="3"/>
  <c r="CX152" i="3"/>
  <c r="CU151" i="3"/>
  <c r="CY49" i="1"/>
  <c r="Y40" i="1"/>
  <c r="Y37" i="1"/>
  <c r="CZ37" i="1"/>
  <c r="R53" i="1"/>
  <c r="AB51" i="1"/>
  <c r="AD50" i="1"/>
  <c r="AB50" i="1" s="1"/>
  <c r="CU147" i="3"/>
  <c r="CX148" i="3"/>
  <c r="CW148" i="3"/>
  <c r="CV147" i="3"/>
  <c r="CX150" i="3"/>
  <c r="R50" i="1"/>
  <c r="CR49" i="1"/>
  <c r="CS49" i="1"/>
  <c r="X40" i="1"/>
  <c r="S38" i="1"/>
  <c r="CP38" i="1" s="1"/>
  <c r="O38" i="1" s="1"/>
  <c r="CT36" i="1"/>
  <c r="EU55" i="1"/>
  <c r="EI55" i="1"/>
  <c r="Q53" i="1"/>
  <c r="CP53" i="1" s="1"/>
  <c r="O53" i="1" s="1"/>
  <c r="GM53" i="1" s="1"/>
  <c r="GN53" i="1" s="1"/>
  <c r="CQ30" i="1"/>
  <c r="P30" i="1"/>
  <c r="AB30" i="1"/>
  <c r="DF259" i="3"/>
  <c r="DJ259" i="3" s="1"/>
  <c r="DG259" i="3"/>
  <c r="DH259" i="3"/>
  <c r="DI259" i="3"/>
  <c r="AD53" i="1"/>
  <c r="AB53" i="1" s="1"/>
  <c r="CS50" i="1"/>
  <c r="AB49" i="1"/>
  <c r="CR48" i="1"/>
  <c r="S46" i="1"/>
  <c r="CS43" i="1"/>
  <c r="AB42" i="1"/>
  <c r="Q40" i="1"/>
  <c r="CR39" i="1"/>
  <c r="Q39" i="1"/>
  <c r="AD38" i="1"/>
  <c r="AB38" i="1" s="1"/>
  <c r="CQ34" i="1"/>
  <c r="P34" i="1"/>
  <c r="CP34" i="1" s="1"/>
  <c r="O34" i="1" s="1"/>
  <c r="GM34" i="1" s="1"/>
  <c r="GO34" i="1" s="1"/>
  <c r="AB34" i="1"/>
  <c r="CX328" i="3"/>
  <c r="DF266" i="3"/>
  <c r="DJ266" i="3" s="1"/>
  <c r="DH266" i="3"/>
  <c r="DI266" i="3"/>
  <c r="DG266" i="3"/>
  <c r="CV217" i="3"/>
  <c r="GX50" i="1"/>
  <c r="X49" i="1"/>
  <c r="GM49" i="1" s="1"/>
  <c r="GO49" i="1" s="1"/>
  <c r="CR43" i="1"/>
  <c r="CZ41" i="1"/>
  <c r="CP40" i="1"/>
  <c r="O40" i="1" s="1"/>
  <c r="GM40" i="1" s="1"/>
  <c r="GO40" i="1" s="1"/>
  <c r="W39" i="1"/>
  <c r="V38" i="1"/>
  <c r="AI55" i="1" s="1"/>
  <c r="CU61" i="3"/>
  <c r="CX63" i="3"/>
  <c r="CX62" i="3"/>
  <c r="CX65" i="3"/>
  <c r="CX64" i="3"/>
  <c r="AB35" i="1"/>
  <c r="P35" i="1"/>
  <c r="CP35" i="1" s="1"/>
  <c r="O35" i="1" s="1"/>
  <c r="GM35" i="1" s="1"/>
  <c r="GO35" i="1" s="1"/>
  <c r="CX350" i="3"/>
  <c r="CX343" i="3"/>
  <c r="CQ47" i="1"/>
  <c r="P47" i="1"/>
  <c r="CP47" i="1" s="1"/>
  <c r="O47" i="1" s="1"/>
  <c r="Y45" i="1"/>
  <c r="CT44" i="1"/>
  <c r="S44" i="1"/>
  <c r="CY42" i="1"/>
  <c r="CZ42" i="1"/>
  <c r="X42" i="1"/>
  <c r="Y42" i="1"/>
  <c r="AB33" i="1"/>
  <c r="P33" i="1"/>
  <c r="CS32" i="1"/>
  <c r="AD32" i="1"/>
  <c r="Q32" i="1"/>
  <c r="CP32" i="1" s="1"/>
  <c r="O32" i="1" s="1"/>
  <c r="GM32" i="1" s="1"/>
  <c r="GO32" i="1" s="1"/>
  <c r="R32" i="1"/>
  <c r="CX341" i="3"/>
  <c r="CX336" i="3"/>
  <c r="CX317" i="3"/>
  <c r="CV156" i="3"/>
  <c r="CU156" i="3"/>
  <c r="AB47" i="1"/>
  <c r="X45" i="1"/>
  <c r="GM45" i="1" s="1"/>
  <c r="GO45" i="1" s="1"/>
  <c r="CR44" i="1"/>
  <c r="CS44" i="1"/>
  <c r="Q43" i="1"/>
  <c r="CP43" i="1" s="1"/>
  <c r="O43" i="1" s="1"/>
  <c r="GM43" i="1" s="1"/>
  <c r="GO43" i="1" s="1"/>
  <c r="AB41" i="1"/>
  <c r="P41" i="1"/>
  <c r="CP41" i="1" s="1"/>
  <c r="O41" i="1" s="1"/>
  <c r="GM41" i="1" s="1"/>
  <c r="GO41" i="1" s="1"/>
  <c r="GX36" i="1"/>
  <c r="CJ55" i="1" s="1"/>
  <c r="T36" i="1"/>
  <c r="AG55" i="1" s="1"/>
  <c r="CV355" i="3"/>
  <c r="CX331" i="3"/>
  <c r="DF298" i="3"/>
  <c r="DJ298" i="3" s="1"/>
  <c r="DG298" i="3"/>
  <c r="DH298" i="3"/>
  <c r="DI298" i="3"/>
  <c r="DF278" i="3"/>
  <c r="DJ278" i="3" s="1"/>
  <c r="DG278" i="3"/>
  <c r="DH278" i="3"/>
  <c r="DI278" i="3"/>
  <c r="CS45" i="1"/>
  <c r="CQ43" i="1"/>
  <c r="Q42" i="1"/>
  <c r="CT40" i="1"/>
  <c r="CT38" i="1"/>
  <c r="S29" i="1"/>
  <c r="DG257" i="3"/>
  <c r="DH257" i="3"/>
  <c r="DI257" i="3"/>
  <c r="CV232" i="3"/>
  <c r="CX227" i="3"/>
  <c r="CX333" i="3"/>
  <c r="CW328" i="3"/>
  <c r="CV317" i="3"/>
  <c r="CX312" i="3"/>
  <c r="DF292" i="3"/>
  <c r="DJ292" i="3" s="1"/>
  <c r="DI292" i="3"/>
  <c r="DG292" i="3"/>
  <c r="DH292" i="3"/>
  <c r="DH285" i="3"/>
  <c r="DI285" i="3"/>
  <c r="DF285" i="3"/>
  <c r="DJ285" i="3" s="1"/>
  <c r="DG285" i="3"/>
  <c r="DG279" i="3"/>
  <c r="DF279" i="3"/>
  <c r="DH279" i="3"/>
  <c r="DI279" i="3"/>
  <c r="DJ279" i="3" s="1"/>
  <c r="DG267" i="3"/>
  <c r="DH267" i="3"/>
  <c r="DI267" i="3"/>
  <c r="DF267" i="3"/>
  <c r="DJ267" i="3" s="1"/>
  <c r="DF260" i="3"/>
  <c r="DJ260" i="3" s="1"/>
  <c r="DG260" i="3"/>
  <c r="DH260" i="3"/>
  <c r="DI260" i="3"/>
  <c r="CV223" i="3"/>
  <c r="CX223" i="3"/>
  <c r="DF170" i="3"/>
  <c r="DJ170" i="3" s="1"/>
  <c r="DG170" i="3"/>
  <c r="DI170" i="3"/>
  <c r="DH170" i="3"/>
  <c r="CY33" i="1"/>
  <c r="CY30" i="1"/>
  <c r="X30" i="1"/>
  <c r="CX348" i="3"/>
  <c r="CX338" i="3"/>
  <c r="DH307" i="3"/>
  <c r="DI307" i="3"/>
  <c r="DF307" i="3"/>
  <c r="DJ307" i="3" s="1"/>
  <c r="DG307" i="3"/>
  <c r="DF276" i="3"/>
  <c r="DJ276" i="3" s="1"/>
  <c r="DH276" i="3"/>
  <c r="DI276" i="3"/>
  <c r="DG276" i="3"/>
  <c r="DF248" i="3"/>
  <c r="DJ248" i="3" s="1"/>
  <c r="DG248" i="3"/>
  <c r="DH248" i="3"/>
  <c r="DI248" i="3"/>
  <c r="S50" i="1"/>
  <c r="CP50" i="1" s="1"/>
  <c r="O50" i="1" s="1"/>
  <c r="S48" i="1"/>
  <c r="R41" i="1"/>
  <c r="P39" i="1"/>
  <c r="R37" i="1"/>
  <c r="Q35" i="1"/>
  <c r="Q34" i="1"/>
  <c r="CZ32" i="1"/>
  <c r="R30" i="1"/>
  <c r="AE55" i="1" s="1"/>
  <c r="CS28" i="1"/>
  <c r="AB28" i="1"/>
  <c r="CX355" i="3"/>
  <c r="CX329" i="3"/>
  <c r="DF270" i="3"/>
  <c r="DJ270" i="3" s="1"/>
  <c r="DG270" i="3"/>
  <c r="DH270" i="3"/>
  <c r="DI270" i="3"/>
  <c r="DG243" i="3"/>
  <c r="DF243" i="3"/>
  <c r="DJ243" i="3" s="1"/>
  <c r="DH243" i="3"/>
  <c r="DI243" i="3"/>
  <c r="Q41" i="1"/>
  <c r="CR28" i="1"/>
  <c r="Y28" i="1"/>
  <c r="CV354" i="3"/>
  <c r="CX353" i="3"/>
  <c r="DG301" i="3"/>
  <c r="DF301" i="3"/>
  <c r="DJ301" i="3" s="1"/>
  <c r="DH301" i="3"/>
  <c r="DI301" i="3"/>
  <c r="DF178" i="3"/>
  <c r="DJ178" i="3" s="1"/>
  <c r="DG178" i="3"/>
  <c r="DH178" i="3"/>
  <c r="DI178" i="3"/>
  <c r="AB29" i="1"/>
  <c r="X28" i="1"/>
  <c r="CX334" i="3"/>
  <c r="DF280" i="3"/>
  <c r="DJ280" i="3" s="1"/>
  <c r="DI280" i="3"/>
  <c r="DG280" i="3"/>
  <c r="DH280" i="3"/>
  <c r="CX217" i="3"/>
  <c r="DG196" i="3"/>
  <c r="DH196" i="3"/>
  <c r="DF196" i="3"/>
  <c r="DJ196" i="3" s="1"/>
  <c r="DI196" i="3"/>
  <c r="CT31" i="1"/>
  <c r="S31" i="1"/>
  <c r="CZ30" i="1"/>
  <c r="CX340" i="3"/>
  <c r="CW233" i="3"/>
  <c r="CX226" i="3"/>
  <c r="CX182" i="3"/>
  <c r="CW182" i="3"/>
  <c r="CU155" i="3"/>
  <c r="CV155" i="3"/>
  <c r="CX155" i="3"/>
  <c r="R45" i="1"/>
  <c r="CY28" i="1"/>
  <c r="CZ28" i="1"/>
  <c r="CX327" i="3"/>
  <c r="CW327" i="3"/>
  <c r="DF294" i="3"/>
  <c r="DI294" i="3"/>
  <c r="DJ294" i="3" s="1"/>
  <c r="DG294" i="3"/>
  <c r="DH294" i="3"/>
  <c r="CV277" i="3"/>
  <c r="CX277" i="3"/>
  <c r="DF257" i="3"/>
  <c r="DJ257" i="3" s="1"/>
  <c r="DF256" i="3"/>
  <c r="DJ256" i="3" s="1"/>
  <c r="DH256" i="3"/>
  <c r="DI256" i="3"/>
  <c r="DG256" i="3"/>
  <c r="DF194" i="3"/>
  <c r="DJ194" i="3" s="1"/>
  <c r="DG194" i="3"/>
  <c r="DI194" i="3"/>
  <c r="DH194" i="3"/>
  <c r="CU66" i="3"/>
  <c r="CX69" i="3"/>
  <c r="CX68" i="3"/>
  <c r="CX67" i="3"/>
  <c r="CV66" i="3"/>
  <c r="CX66" i="3"/>
  <c r="CX70" i="3"/>
  <c r="Y33" i="1"/>
  <c r="AB32" i="1"/>
  <c r="Q28" i="1"/>
  <c r="AD55" i="1" s="1"/>
  <c r="CX344" i="3"/>
  <c r="CX316" i="3"/>
  <c r="DI271" i="3"/>
  <c r="DF271" i="3"/>
  <c r="DJ271" i="3" s="1"/>
  <c r="DG271" i="3"/>
  <c r="DH271" i="3"/>
  <c r="DG247" i="3"/>
  <c r="DH247" i="3"/>
  <c r="DI247" i="3"/>
  <c r="DF247" i="3"/>
  <c r="DJ247" i="3" s="1"/>
  <c r="DF240" i="3"/>
  <c r="DJ240" i="3" s="1"/>
  <c r="DG240" i="3"/>
  <c r="DH240" i="3"/>
  <c r="DF207" i="3"/>
  <c r="DJ207" i="3" s="1"/>
  <c r="DG207" i="3"/>
  <c r="DH207" i="3"/>
  <c r="DI207" i="3"/>
  <c r="CW319" i="3"/>
  <c r="DF302" i="3"/>
  <c r="DJ302" i="3" s="1"/>
  <c r="DI302" i="3"/>
  <c r="DH293" i="3"/>
  <c r="DI293" i="3"/>
  <c r="DI291" i="3"/>
  <c r="DG289" i="3"/>
  <c r="DF208" i="3"/>
  <c r="DJ208" i="3" s="1"/>
  <c r="DH208" i="3"/>
  <c r="DI208" i="3"/>
  <c r="DG166" i="3"/>
  <c r="DH166" i="3"/>
  <c r="DI166" i="3"/>
  <c r="DF166" i="3"/>
  <c r="DJ166" i="3" s="1"/>
  <c r="CX153" i="3"/>
  <c r="DH295" i="3"/>
  <c r="DI295" i="3"/>
  <c r="DH291" i="3"/>
  <c r="DG286" i="3"/>
  <c r="DH286" i="3"/>
  <c r="DH284" i="3"/>
  <c r="DI269" i="3"/>
  <c r="DF249" i="3"/>
  <c r="DJ249" i="3" s="1"/>
  <c r="DG249" i="3"/>
  <c r="DF244" i="3"/>
  <c r="DJ244" i="3" s="1"/>
  <c r="DI244" i="3"/>
  <c r="DI191" i="3"/>
  <c r="DF191" i="3"/>
  <c r="DJ191" i="3" s="1"/>
  <c r="DG191" i="3"/>
  <c r="DH191" i="3"/>
  <c r="DG308" i="3"/>
  <c r="DH308" i="3"/>
  <c r="DF291" i="3"/>
  <c r="DJ291" i="3" s="1"/>
  <c r="DH281" i="3"/>
  <c r="DI281" i="3"/>
  <c r="CV235" i="3"/>
  <c r="CX235" i="3"/>
  <c r="CX218" i="3"/>
  <c r="DG215" i="3"/>
  <c r="DH215" i="3"/>
  <c r="DI215" i="3"/>
  <c r="DH175" i="3"/>
  <c r="DI175" i="3"/>
  <c r="DF175" i="3"/>
  <c r="DJ175" i="3" s="1"/>
  <c r="CX149" i="3"/>
  <c r="CX322" i="3"/>
  <c r="DH303" i="3"/>
  <c r="DI303" i="3"/>
  <c r="DF287" i="3"/>
  <c r="DJ287" i="3" s="1"/>
  <c r="DG287" i="3"/>
  <c r="DF274" i="3"/>
  <c r="DJ274" i="3" s="1"/>
  <c r="DI274" i="3"/>
  <c r="DF246" i="3"/>
  <c r="DH246" i="3"/>
  <c r="DI246" i="3"/>
  <c r="DJ246" i="3" s="1"/>
  <c r="CV237" i="3"/>
  <c r="CX237" i="3"/>
  <c r="DH209" i="3"/>
  <c r="DI209" i="3"/>
  <c r="DG206" i="3"/>
  <c r="DH206" i="3"/>
  <c r="DI206" i="3"/>
  <c r="DF195" i="3"/>
  <c r="DJ195" i="3" s="1"/>
  <c r="DH195" i="3"/>
  <c r="DI195" i="3"/>
  <c r="DG195" i="3"/>
  <c r="DG296" i="3"/>
  <c r="DH296" i="3"/>
  <c r="DG282" i="3"/>
  <c r="DH282" i="3"/>
  <c r="DF275" i="3"/>
  <c r="DG275" i="3"/>
  <c r="DI275" i="3"/>
  <c r="DJ275" i="3" s="1"/>
  <c r="DH245" i="3"/>
  <c r="DI245" i="3"/>
  <c r="DF238" i="3"/>
  <c r="DH238" i="3"/>
  <c r="DI238" i="3"/>
  <c r="Q29" i="1"/>
  <c r="CX309" i="3"/>
  <c r="DG304" i="3"/>
  <c r="DH304" i="3"/>
  <c r="DH302" i="3"/>
  <c r="DG293" i="3"/>
  <c r="DI273" i="3"/>
  <c r="DF268" i="3"/>
  <c r="DJ268" i="3" s="1"/>
  <c r="DG268" i="3"/>
  <c r="DH268" i="3"/>
  <c r="CV264" i="3"/>
  <c r="CX264" i="3"/>
  <c r="DI236" i="3"/>
  <c r="CX228" i="3"/>
  <c r="DF198" i="3"/>
  <c r="DJ198" i="3" s="1"/>
  <c r="DH198" i="3"/>
  <c r="DI198" i="3"/>
  <c r="DI183" i="3"/>
  <c r="DJ183" i="3" s="1"/>
  <c r="DF183" i="3"/>
  <c r="DH183" i="3"/>
  <c r="CX156" i="3"/>
  <c r="CX325" i="3"/>
  <c r="DG302" i="3"/>
  <c r="DF297" i="3"/>
  <c r="DJ297" i="3" s="1"/>
  <c r="DG297" i="3"/>
  <c r="DF283" i="3"/>
  <c r="DJ283" i="3" s="1"/>
  <c r="DG283" i="3"/>
  <c r="DH273" i="3"/>
  <c r="DH261" i="3"/>
  <c r="DG254" i="3"/>
  <c r="DH254" i="3"/>
  <c r="DI250" i="3"/>
  <c r="DI249" i="3"/>
  <c r="DH244" i="3"/>
  <c r="CX239" i="3"/>
  <c r="DH236" i="3"/>
  <c r="CX225" i="3"/>
  <c r="CX219" i="3"/>
  <c r="DF216" i="3"/>
  <c r="DJ216" i="3" s="1"/>
  <c r="DG216" i="3"/>
  <c r="DI216" i="3"/>
  <c r="DG208" i="3"/>
  <c r="DH110" i="3"/>
  <c r="DF110" i="3"/>
  <c r="DJ110" i="3" s="1"/>
  <c r="DG110" i="3"/>
  <c r="DI110" i="3"/>
  <c r="DF305" i="3"/>
  <c r="DJ305" i="3" s="1"/>
  <c r="DG305" i="3"/>
  <c r="DG295" i="3"/>
  <c r="DI286" i="3"/>
  <c r="DG281" i="3"/>
  <c r="DF273" i="3"/>
  <c r="DJ273" i="3" s="1"/>
  <c r="DF265" i="3"/>
  <c r="DJ265" i="3" s="1"/>
  <c r="DG265" i="3"/>
  <c r="DI265" i="3"/>
  <c r="DI263" i="3"/>
  <c r="DG261" i="3"/>
  <c r="DF258" i="3"/>
  <c r="DJ258" i="3" s="1"/>
  <c r="DG258" i="3"/>
  <c r="DH258" i="3"/>
  <c r="DH250" i="3"/>
  <c r="DH249" i="3"/>
  <c r="DG244" i="3"/>
  <c r="DF236" i="3"/>
  <c r="DF204" i="3"/>
  <c r="DJ204" i="3" s="1"/>
  <c r="DG204" i="3"/>
  <c r="DI204" i="3"/>
  <c r="DG176" i="3"/>
  <c r="DH176" i="3"/>
  <c r="DI176" i="3"/>
  <c r="DF176" i="3"/>
  <c r="DJ176" i="3" s="1"/>
  <c r="DI104" i="3"/>
  <c r="DG104" i="3"/>
  <c r="DH104" i="3"/>
  <c r="DF104" i="3"/>
  <c r="DJ104" i="3" s="1"/>
  <c r="DF284" i="3"/>
  <c r="DJ284" i="3" s="1"/>
  <c r="DI284" i="3"/>
  <c r="DF269" i="3"/>
  <c r="DJ269" i="3" s="1"/>
  <c r="DG269" i="3"/>
  <c r="CX232" i="3"/>
  <c r="CX314" i="3"/>
  <c r="DF308" i="3"/>
  <c r="DJ308" i="3" s="1"/>
  <c r="DF303" i="3"/>
  <c r="DJ303" i="3" s="1"/>
  <c r="DH288" i="3"/>
  <c r="DH287" i="3"/>
  <c r="DG274" i="3"/>
  <c r="DF263" i="3"/>
  <c r="DJ263" i="3" s="1"/>
  <c r="DF255" i="3"/>
  <c r="DJ255" i="3" s="1"/>
  <c r="DG255" i="3"/>
  <c r="DI255" i="3"/>
  <c r="DH251" i="3"/>
  <c r="DG246" i="3"/>
  <c r="DG245" i="3"/>
  <c r="CV229" i="3"/>
  <c r="CX229" i="3"/>
  <c r="DG209" i="3"/>
  <c r="DF199" i="3"/>
  <c r="DJ199" i="3" s="1"/>
  <c r="DH199" i="3"/>
  <c r="DI199" i="3"/>
  <c r="DG175" i="3"/>
  <c r="DF118" i="3"/>
  <c r="DJ118" i="3" s="1"/>
  <c r="DG118" i="3"/>
  <c r="DH118" i="3"/>
  <c r="DI118" i="3"/>
  <c r="DI32" i="3"/>
  <c r="DF32" i="3"/>
  <c r="DJ32" i="3" s="1"/>
  <c r="DG32" i="3"/>
  <c r="DH32" i="3"/>
  <c r="CX179" i="3"/>
  <c r="DI121" i="3"/>
  <c r="DF121" i="3"/>
  <c r="DJ121" i="3" s="1"/>
  <c r="DG121" i="3"/>
  <c r="DH121" i="3"/>
  <c r="DG78" i="3"/>
  <c r="DH78" i="3"/>
  <c r="DF78" i="3"/>
  <c r="DJ78" i="3" s="1"/>
  <c r="DI78" i="3"/>
  <c r="DG203" i="3"/>
  <c r="DH203" i="3"/>
  <c r="DG165" i="3"/>
  <c r="DG159" i="3"/>
  <c r="DH159" i="3"/>
  <c r="CX154" i="3"/>
  <c r="DI132" i="3"/>
  <c r="DJ132" i="3" s="1"/>
  <c r="DF132" i="3"/>
  <c r="DG132" i="3"/>
  <c r="DH132" i="3"/>
  <c r="DG193" i="3"/>
  <c r="DH193" i="3"/>
  <c r="DH187" i="3"/>
  <c r="DI187" i="3"/>
  <c r="DJ187" i="3" s="1"/>
  <c r="DG186" i="3"/>
  <c r="DH186" i="3"/>
  <c r="DG169" i="3"/>
  <c r="DH169" i="3"/>
  <c r="DG111" i="3"/>
  <c r="DF111" i="3"/>
  <c r="DJ111" i="3" s="1"/>
  <c r="DH111" i="3"/>
  <c r="DI111" i="3"/>
  <c r="DF16" i="3"/>
  <c r="DJ16" i="3" s="1"/>
  <c r="DI16" i="3"/>
  <c r="DG16" i="3"/>
  <c r="DH16" i="3"/>
  <c r="DF174" i="3"/>
  <c r="DJ174" i="3" s="1"/>
  <c r="DI174" i="3"/>
  <c r="DI109" i="3"/>
  <c r="DF109" i="3"/>
  <c r="DJ109" i="3" s="1"/>
  <c r="DG109" i="3"/>
  <c r="DH109" i="3"/>
  <c r="DI54" i="3"/>
  <c r="DG54" i="3"/>
  <c r="DH54" i="3"/>
  <c r="DF54" i="3"/>
  <c r="DJ54" i="3" s="1"/>
  <c r="DI253" i="3"/>
  <c r="DJ253" i="3" s="1"/>
  <c r="DH212" i="3"/>
  <c r="DF181" i="3"/>
  <c r="DI181" i="3"/>
  <c r="DJ181" i="3" s="1"/>
  <c r="DF180" i="3"/>
  <c r="DH180" i="3"/>
  <c r="DI180" i="3"/>
  <c r="DF164" i="3"/>
  <c r="DJ164" i="3" s="1"/>
  <c r="DH164" i="3"/>
  <c r="DI164" i="3"/>
  <c r="DF160" i="3"/>
  <c r="DJ160" i="3" s="1"/>
  <c r="DG160" i="3"/>
  <c r="DI160" i="3"/>
  <c r="DG129" i="3"/>
  <c r="DF129" i="3"/>
  <c r="DJ129" i="3" s="1"/>
  <c r="DH129" i="3"/>
  <c r="DI129" i="3"/>
  <c r="DG36" i="3"/>
  <c r="DH36" i="3"/>
  <c r="DF36" i="3"/>
  <c r="DJ36" i="3" s="1"/>
  <c r="DI36" i="3"/>
  <c r="DH213" i="3"/>
  <c r="DI210" i="3"/>
  <c r="DI23" i="3"/>
  <c r="DJ23" i="3" s="1"/>
  <c r="DH23" i="3"/>
  <c r="DF23" i="3"/>
  <c r="DG23" i="3"/>
  <c r="DG188" i="3"/>
  <c r="DH188" i="3"/>
  <c r="DI188" i="3"/>
  <c r="DH133" i="3"/>
  <c r="DF133" i="3"/>
  <c r="DJ133" i="3" s="1"/>
  <c r="DG133" i="3"/>
  <c r="DI133" i="3"/>
  <c r="DI122" i="3"/>
  <c r="DF122" i="3"/>
  <c r="DJ122" i="3" s="1"/>
  <c r="DG122" i="3"/>
  <c r="DH122" i="3"/>
  <c r="DH60" i="3"/>
  <c r="DG60" i="3"/>
  <c r="DF60" i="3"/>
  <c r="DJ60" i="3" s="1"/>
  <c r="DI60" i="3"/>
  <c r="DH165" i="3"/>
  <c r="DI165" i="3"/>
  <c r="DF136" i="3"/>
  <c r="DJ136" i="3" s="1"/>
  <c r="DG136" i="3"/>
  <c r="DI136" i="3"/>
  <c r="DF112" i="3"/>
  <c r="DJ112" i="3" s="1"/>
  <c r="DG112" i="3"/>
  <c r="DH112" i="3"/>
  <c r="DI112" i="3"/>
  <c r="DG39" i="3"/>
  <c r="DF39" i="3"/>
  <c r="DJ39" i="3" s="1"/>
  <c r="DI39" i="3"/>
  <c r="DH39" i="3"/>
  <c r="CX230" i="3"/>
  <c r="DF193" i="3"/>
  <c r="DJ193" i="3" s="1"/>
  <c r="DF190" i="3"/>
  <c r="DJ190" i="3" s="1"/>
  <c r="DG190" i="3"/>
  <c r="DG187" i="3"/>
  <c r="DI186" i="3"/>
  <c r="DH174" i="3"/>
  <c r="DF171" i="3"/>
  <c r="DJ171" i="3" s="1"/>
  <c r="DH171" i="3"/>
  <c r="DI171" i="3"/>
  <c r="DF169" i="3"/>
  <c r="DJ169" i="3" s="1"/>
  <c r="DF161" i="3"/>
  <c r="DJ161" i="3" s="1"/>
  <c r="DH161" i="3"/>
  <c r="DI161" i="3"/>
  <c r="DF130" i="3"/>
  <c r="DJ130" i="3" s="1"/>
  <c r="DG130" i="3"/>
  <c r="DH130" i="3"/>
  <c r="DI130" i="3"/>
  <c r="DG49" i="3"/>
  <c r="DH49" i="3"/>
  <c r="DI49" i="3"/>
  <c r="DF49" i="3"/>
  <c r="DJ49" i="3" s="1"/>
  <c r="DG126" i="3"/>
  <c r="DH125" i="3"/>
  <c r="DH124" i="3"/>
  <c r="DI103" i="3"/>
  <c r="DH100" i="3"/>
  <c r="DI100" i="3"/>
  <c r="DI89" i="3"/>
  <c r="DH89" i="3"/>
  <c r="DH81" i="3"/>
  <c r="DF50" i="3"/>
  <c r="DJ50" i="3" s="1"/>
  <c r="DH50" i="3"/>
  <c r="DI50" i="3"/>
  <c r="DH45" i="3"/>
  <c r="DF45" i="3"/>
  <c r="DJ45" i="3" s="1"/>
  <c r="DI45" i="3"/>
  <c r="DI20" i="3"/>
  <c r="DH20" i="3"/>
  <c r="DF20" i="3"/>
  <c r="DJ20" i="3" s="1"/>
  <c r="DH11" i="3"/>
  <c r="DI11" i="3"/>
  <c r="DF11" i="3"/>
  <c r="DJ11" i="3" s="1"/>
  <c r="DG11" i="3"/>
  <c r="DH127" i="3"/>
  <c r="DG125" i="3"/>
  <c r="DF124" i="3"/>
  <c r="DJ124" i="3" s="1"/>
  <c r="DH105" i="3"/>
  <c r="DG105" i="3"/>
  <c r="DI105" i="3"/>
  <c r="DF58" i="3"/>
  <c r="DJ58" i="3" s="1"/>
  <c r="DH58" i="3"/>
  <c r="DI58" i="3"/>
  <c r="DH55" i="3"/>
  <c r="DG55" i="3"/>
  <c r="DI55" i="3"/>
  <c r="DI37" i="3"/>
  <c r="DF37" i="3"/>
  <c r="DJ37" i="3" s="1"/>
  <c r="DH37" i="3"/>
  <c r="DH14" i="3"/>
  <c r="DI14" i="3"/>
  <c r="DF14" i="3"/>
  <c r="DJ14" i="3" s="1"/>
  <c r="CV113" i="3"/>
  <c r="DG101" i="3"/>
  <c r="DI101" i="3"/>
  <c r="DI79" i="3"/>
  <c r="DH79" i="3"/>
  <c r="DI73" i="3"/>
  <c r="DJ73" i="3" s="1"/>
  <c r="DH73" i="3"/>
  <c r="CX61" i="3"/>
  <c r="CV61" i="3"/>
  <c r="DF46" i="3"/>
  <c r="DG46" i="3"/>
  <c r="DI46" i="3"/>
  <c r="DJ46" i="3" s="1"/>
  <c r="DG24" i="3"/>
  <c r="DJ24" i="3" s="1"/>
  <c r="DH24" i="3"/>
  <c r="DI24" i="3"/>
  <c r="DI17" i="3"/>
  <c r="DF17" i="3"/>
  <c r="DJ17" i="3" s="1"/>
  <c r="DG17" i="3"/>
  <c r="DF2" i="3"/>
  <c r="DJ2" i="3" s="1"/>
  <c r="DG2" i="3"/>
  <c r="DI2" i="3"/>
  <c r="DH90" i="3"/>
  <c r="DI90" i="3"/>
  <c r="DG74" i="3"/>
  <c r="DJ74" i="3" s="1"/>
  <c r="DH74" i="3"/>
  <c r="CX72" i="3"/>
  <c r="CV72" i="3"/>
  <c r="DF43" i="3"/>
  <c r="DJ43" i="3" s="1"/>
  <c r="DH43" i="3"/>
  <c r="DI43" i="3"/>
  <c r="DF40" i="3"/>
  <c r="DJ40" i="3" s="1"/>
  <c r="DG40" i="3"/>
  <c r="DI40" i="3"/>
  <c r="DH33" i="3"/>
  <c r="DF33" i="3"/>
  <c r="DJ33" i="3" s="1"/>
  <c r="DG33" i="3"/>
  <c r="DG113" i="3"/>
  <c r="DH113" i="3"/>
  <c r="DG106" i="3"/>
  <c r="DI106" i="3"/>
  <c r="DI76" i="3"/>
  <c r="DH76" i="3"/>
  <c r="DH21" i="3"/>
  <c r="DI21" i="3"/>
  <c r="DF21" i="3"/>
  <c r="DJ21" i="3" s="1"/>
  <c r="DI185" i="3"/>
  <c r="DJ185" i="3" s="1"/>
  <c r="DG173" i="3"/>
  <c r="DH172" i="3"/>
  <c r="DG163" i="3"/>
  <c r="DH162" i="3"/>
  <c r="CX151" i="3"/>
  <c r="DH120" i="3"/>
  <c r="DG119" i="3"/>
  <c r="DI114" i="3"/>
  <c r="DG114" i="3"/>
  <c r="DH114" i="3"/>
  <c r="DG100" i="3"/>
  <c r="DH80" i="3"/>
  <c r="DI80" i="3"/>
  <c r="DI47" i="3"/>
  <c r="DG47" i="3"/>
  <c r="DH47" i="3"/>
  <c r="DF30" i="3"/>
  <c r="DJ30" i="3" s="1"/>
  <c r="DG30" i="3"/>
  <c r="DI30" i="3"/>
  <c r="DH185" i="3"/>
  <c r="CX147" i="3"/>
  <c r="DF107" i="3"/>
  <c r="DJ107" i="3" s="1"/>
  <c r="DI107" i="3"/>
  <c r="DF100" i="3"/>
  <c r="DJ100" i="3" s="1"/>
  <c r="DG98" i="3"/>
  <c r="DH98" i="3"/>
  <c r="DG89" i="3"/>
  <c r="DI59" i="3"/>
  <c r="DG59" i="3"/>
  <c r="DF52" i="3"/>
  <c r="DJ52" i="3" s="1"/>
  <c r="DH52" i="3"/>
  <c r="DI52" i="3"/>
  <c r="DG50" i="3"/>
  <c r="DH38" i="3"/>
  <c r="DF38" i="3"/>
  <c r="DJ38" i="3" s="1"/>
  <c r="DI38" i="3"/>
  <c r="DG20" i="3"/>
  <c r="DG15" i="3"/>
  <c r="DI15" i="3"/>
  <c r="DF15" i="3"/>
  <c r="DJ15" i="3" s="1"/>
  <c r="DI127" i="3"/>
  <c r="DF127" i="3"/>
  <c r="DJ127" i="3" s="1"/>
  <c r="DG103" i="3"/>
  <c r="DH103" i="3"/>
  <c r="DG81" i="3"/>
  <c r="DI81" i="3"/>
  <c r="DG34" i="3"/>
  <c r="DH34" i="3"/>
  <c r="DI34" i="3"/>
  <c r="DI3" i="3"/>
  <c r="DF3" i="3"/>
  <c r="DJ3" i="3" s="1"/>
  <c r="DH3" i="3"/>
  <c r="DI214" i="3"/>
  <c r="DI202" i="3"/>
  <c r="DJ202" i="3" s="1"/>
  <c r="DI192" i="3"/>
  <c r="DI184" i="3"/>
  <c r="DI168" i="3"/>
  <c r="DJ168" i="3" s="1"/>
  <c r="DI158" i="3"/>
  <c r="DI146" i="3"/>
  <c r="DI140" i="3"/>
  <c r="DH139" i="3"/>
  <c r="DH138" i="3"/>
  <c r="DH135" i="3"/>
  <c r="DH134" i="3"/>
  <c r="CV115" i="3"/>
  <c r="CX115" i="3"/>
  <c r="DF113" i="3"/>
  <c r="DH108" i="3"/>
  <c r="DI108" i="3"/>
  <c r="DF101" i="3"/>
  <c r="DJ101" i="3" s="1"/>
  <c r="DG90" i="3"/>
  <c r="DG88" i="3"/>
  <c r="DH88" i="3"/>
  <c r="DG79" i="3"/>
  <c r="DI74" i="3"/>
  <c r="DG73" i="3"/>
  <c r="DG58" i="3"/>
  <c r="DH48" i="3"/>
  <c r="DG48" i="3"/>
  <c r="DI48" i="3"/>
  <c r="DH46" i="3"/>
  <c r="DI44" i="3"/>
  <c r="DF44" i="3"/>
  <c r="DJ44" i="3" s="1"/>
  <c r="DH44" i="3"/>
  <c r="DG37" i="3"/>
  <c r="DF24" i="3"/>
  <c r="DG22" i="3"/>
  <c r="DF22" i="3"/>
  <c r="DJ22" i="3" s="1"/>
  <c r="DH22" i="3"/>
  <c r="DH19" i="3"/>
  <c r="DI19" i="3"/>
  <c r="DF19" i="3"/>
  <c r="DJ19" i="3" s="1"/>
  <c r="DG14" i="3"/>
  <c r="DI143" i="3"/>
  <c r="DI142" i="3"/>
  <c r="DI141" i="3"/>
  <c r="DG140" i="3"/>
  <c r="DG139" i="3"/>
  <c r="DG135" i="3"/>
  <c r="DF134" i="3"/>
  <c r="DJ134" i="3" s="1"/>
  <c r="DH128" i="3"/>
  <c r="DF128" i="3"/>
  <c r="DJ128" i="3" s="1"/>
  <c r="DI123" i="3"/>
  <c r="DH106" i="3"/>
  <c r="DI99" i="3"/>
  <c r="DH99" i="3"/>
  <c r="DF90" i="3"/>
  <c r="DJ90" i="3" s="1"/>
  <c r="DF82" i="3"/>
  <c r="DJ82" i="3" s="1"/>
  <c r="DI82" i="3"/>
  <c r="DF79" i="3"/>
  <c r="DJ79" i="3" s="1"/>
  <c r="DG76" i="3"/>
  <c r="DJ76" i="3" s="1"/>
  <c r="DF74" i="3"/>
  <c r="DF73" i="3"/>
  <c r="DG53" i="3"/>
  <c r="DH53" i="3"/>
  <c r="DF35" i="3"/>
  <c r="DJ35" i="3" s="1"/>
  <c r="DH35" i="3"/>
  <c r="DI35" i="3"/>
  <c r="DI33" i="3"/>
  <c r="CW26" i="3"/>
  <c r="CX26" i="3"/>
  <c r="DH17" i="3"/>
  <c r="DI13" i="3"/>
  <c r="DG13" i="3"/>
  <c r="DH13" i="3"/>
  <c r="DH2" i="3"/>
  <c r="DI31" i="3"/>
  <c r="DJ31" i="3" s="1"/>
  <c r="DI51" i="3"/>
  <c r="DG31" i="3"/>
  <c r="CX12" i="3"/>
  <c r="CX102" i="3"/>
  <c r="CV91" i="3"/>
  <c r="CX77" i="3"/>
  <c r="DI57" i="3"/>
  <c r="DI56" i="3"/>
  <c r="DH51" i="3"/>
  <c r="DI42" i="3"/>
  <c r="DI41" i="3"/>
  <c r="DI29" i="3"/>
  <c r="DJ29" i="3" s="1"/>
  <c r="CX25" i="3"/>
  <c r="DG57" i="3"/>
  <c r="DF56" i="3"/>
  <c r="DJ56" i="3" s="1"/>
  <c r="DF29" i="3"/>
  <c r="DH28" i="3"/>
  <c r="DI27" i="3"/>
  <c r="DJ27" i="3" s="1"/>
  <c r="DH91" i="3"/>
  <c r="DG27" i="3"/>
  <c r="DG4" i="3"/>
  <c r="DH97" i="3"/>
  <c r="DH96" i="3"/>
  <c r="DF95" i="3"/>
  <c r="DJ95" i="3" s="1"/>
  <c r="DF94" i="3"/>
  <c r="DJ94" i="3" s="1"/>
  <c r="DH87" i="3"/>
  <c r="DH86" i="3"/>
  <c r="DF85" i="3"/>
  <c r="DJ85" i="3" s="1"/>
  <c r="DF84" i="3"/>
  <c r="DF10" i="3"/>
  <c r="DJ10" i="3" s="1"/>
  <c r="DG6" i="3"/>
  <c r="DF5" i="3"/>
  <c r="DJ5" i="3" s="1"/>
  <c r="DF4" i="3"/>
  <c r="DJ4" i="3" s="1"/>
  <c r="H166" i="7" l="1"/>
  <c r="H454" i="7"/>
  <c r="H450" i="7"/>
  <c r="J450" i="7"/>
  <c r="J166" i="7"/>
  <c r="H446" i="7"/>
  <c r="DX207" i="1"/>
  <c r="DK218" i="1"/>
  <c r="DM283" i="1"/>
  <c r="DZ250" i="1"/>
  <c r="EA250" i="1"/>
  <c r="DN283" i="1"/>
  <c r="GM259" i="1"/>
  <c r="GO259" i="1" s="1"/>
  <c r="DL283" i="1"/>
  <c r="DY250" i="1"/>
  <c r="AJ26" i="1"/>
  <c r="W55" i="1"/>
  <c r="AI250" i="1"/>
  <c r="V283" i="1"/>
  <c r="AI26" i="1"/>
  <c r="V55" i="1"/>
  <c r="EB250" i="1"/>
  <c r="DO283" i="1"/>
  <c r="CJ87" i="1"/>
  <c r="BA120" i="1"/>
  <c r="AJ87" i="1"/>
  <c r="W120" i="1"/>
  <c r="DG25" i="3"/>
  <c r="DH25" i="3"/>
  <c r="DI25" i="3"/>
  <c r="DJ25" i="3" s="1"/>
  <c r="DF25" i="3"/>
  <c r="DF115" i="3"/>
  <c r="DG115" i="3"/>
  <c r="DH115" i="3"/>
  <c r="DI115" i="3"/>
  <c r="DJ115" i="3" s="1"/>
  <c r="DI325" i="3"/>
  <c r="DF325" i="3"/>
  <c r="DJ325" i="3" s="1"/>
  <c r="DG325" i="3"/>
  <c r="DH325" i="3"/>
  <c r="DF70" i="3"/>
  <c r="DJ70" i="3" s="1"/>
  <c r="DH70" i="3"/>
  <c r="DI70" i="3"/>
  <c r="DG70" i="3"/>
  <c r="CY31" i="1"/>
  <c r="CZ31" i="1"/>
  <c r="CP31" i="1"/>
  <c r="O31" i="1" s="1"/>
  <c r="X31" i="1"/>
  <c r="Y31" i="1"/>
  <c r="DF355" i="3"/>
  <c r="DG355" i="3"/>
  <c r="DH355" i="3"/>
  <c r="DI355" i="3"/>
  <c r="DJ355" i="3" s="1"/>
  <c r="DH338" i="3"/>
  <c r="DF338" i="3"/>
  <c r="DG338" i="3"/>
  <c r="DJ338" i="3" s="1"/>
  <c r="DI338" i="3"/>
  <c r="GM47" i="1"/>
  <c r="GO47" i="1" s="1"/>
  <c r="EU26" i="1"/>
  <c r="P71" i="1"/>
  <c r="EU313" i="1"/>
  <c r="DF351" i="3"/>
  <c r="DJ351" i="3" s="1"/>
  <c r="DH351" i="3"/>
  <c r="DI351" i="3"/>
  <c r="DG351" i="3"/>
  <c r="EA26" i="1"/>
  <c r="DN55" i="1"/>
  <c r="DZ26" i="1"/>
  <c r="DM55" i="1"/>
  <c r="GA26" i="1"/>
  <c r="ER55" i="1"/>
  <c r="X104" i="1"/>
  <c r="Y104" i="1"/>
  <c r="CP104" i="1"/>
  <c r="O104" i="1" s="1"/>
  <c r="CY104" i="1"/>
  <c r="CZ104" i="1"/>
  <c r="FT87" i="1"/>
  <c r="EK120" i="1"/>
  <c r="CY113" i="1"/>
  <c r="X113" i="1"/>
  <c r="Y113" i="1"/>
  <c r="CZ113" i="1"/>
  <c r="DI321" i="3"/>
  <c r="DF321" i="3"/>
  <c r="DJ321" i="3" s="1"/>
  <c r="DG321" i="3"/>
  <c r="DH321" i="3"/>
  <c r="P114" i="1"/>
  <c r="FY207" i="1"/>
  <c r="EP218" i="1"/>
  <c r="DG354" i="3"/>
  <c r="DI354" i="3"/>
  <c r="DJ354" i="3" s="1"/>
  <c r="DH354" i="3"/>
  <c r="DF354" i="3"/>
  <c r="S266" i="1"/>
  <c r="Q266" i="1"/>
  <c r="CP266" i="1" s="1"/>
  <c r="O266" i="1" s="1"/>
  <c r="R266" i="1"/>
  <c r="AE283" i="1" s="1"/>
  <c r="W266" i="1"/>
  <c r="AJ283" i="1" s="1"/>
  <c r="T266" i="1"/>
  <c r="AG283" i="1" s="1"/>
  <c r="X259" i="1"/>
  <c r="CY259" i="1"/>
  <c r="Y259" i="1"/>
  <c r="CZ259" i="1"/>
  <c r="DG332" i="3"/>
  <c r="DI332" i="3"/>
  <c r="DF332" i="3"/>
  <c r="DJ332" i="3" s="1"/>
  <c r="DH332" i="3"/>
  <c r="AD175" i="1"/>
  <c r="CY214" i="1"/>
  <c r="X214" i="1"/>
  <c r="Y214" i="1"/>
  <c r="CZ214" i="1"/>
  <c r="DF342" i="3"/>
  <c r="DJ342" i="3" s="1"/>
  <c r="DG342" i="3"/>
  <c r="DH342" i="3"/>
  <c r="DI342" i="3"/>
  <c r="DG147" i="3"/>
  <c r="DH147" i="3"/>
  <c r="DI147" i="3"/>
  <c r="DJ147" i="3" s="1"/>
  <c r="DF147" i="3"/>
  <c r="DF156" i="3"/>
  <c r="DG156" i="3"/>
  <c r="DH156" i="3"/>
  <c r="DI156" i="3"/>
  <c r="DJ156" i="3" s="1"/>
  <c r="DI153" i="3"/>
  <c r="DG153" i="3"/>
  <c r="DH153" i="3"/>
  <c r="DF153" i="3"/>
  <c r="DJ153" i="3" s="1"/>
  <c r="DF66" i="3"/>
  <c r="DG66" i="3"/>
  <c r="DI66" i="3"/>
  <c r="DJ66" i="3" s="1"/>
  <c r="DH66" i="3"/>
  <c r="DG348" i="3"/>
  <c r="DH348" i="3"/>
  <c r="DI348" i="3"/>
  <c r="DF348" i="3"/>
  <c r="DJ348" i="3" s="1"/>
  <c r="GM36" i="1"/>
  <c r="GO36" i="1" s="1"/>
  <c r="DH346" i="3"/>
  <c r="DF346" i="3"/>
  <c r="DG346" i="3"/>
  <c r="DJ346" i="3" s="1"/>
  <c r="DI346" i="3"/>
  <c r="EP26" i="1"/>
  <c r="P62" i="1"/>
  <c r="CI26" i="1"/>
  <c r="AZ55" i="1"/>
  <c r="ET26" i="1"/>
  <c r="P68" i="1"/>
  <c r="ET313" i="1"/>
  <c r="X102" i="1"/>
  <c r="CZ102" i="1"/>
  <c r="Y102" i="1"/>
  <c r="CY102" i="1"/>
  <c r="DF224" i="3"/>
  <c r="DJ224" i="3" s="1"/>
  <c r="DG224" i="3"/>
  <c r="DI224" i="3"/>
  <c r="DH224" i="3"/>
  <c r="GM103" i="1"/>
  <c r="CZ103" i="1"/>
  <c r="X103" i="1"/>
  <c r="Y103" i="1"/>
  <c r="CY103" i="1"/>
  <c r="DF347" i="3"/>
  <c r="DH347" i="3"/>
  <c r="DI347" i="3"/>
  <c r="DG347" i="3"/>
  <c r="DJ347" i="3" s="1"/>
  <c r="F137" i="1"/>
  <c r="AS87" i="1"/>
  <c r="DF324" i="3"/>
  <c r="DJ324" i="3" s="1"/>
  <c r="DH324" i="3"/>
  <c r="DG324" i="3"/>
  <c r="DI324" i="3"/>
  <c r="DW207" i="1"/>
  <c r="DJ218" i="1"/>
  <c r="CP209" i="1"/>
  <c r="O209" i="1" s="1"/>
  <c r="AC218" i="1"/>
  <c r="X254" i="1"/>
  <c r="GM254" i="1" s="1"/>
  <c r="GO254" i="1" s="1"/>
  <c r="CY254" i="1"/>
  <c r="Y254" i="1"/>
  <c r="AF283" i="1"/>
  <c r="CZ254" i="1"/>
  <c r="BD207" i="1"/>
  <c r="F243" i="1"/>
  <c r="Y107" i="1"/>
  <c r="X107" i="1"/>
  <c r="CY107" i="1"/>
  <c r="CZ107" i="1"/>
  <c r="R218" i="1"/>
  <c r="AE207" i="1"/>
  <c r="DF326" i="3"/>
  <c r="DI326" i="3"/>
  <c r="DJ326" i="3" s="1"/>
  <c r="DG326" i="3"/>
  <c r="DH326" i="3"/>
  <c r="GB152" i="1"/>
  <c r="ES175" i="1"/>
  <c r="GM156" i="1"/>
  <c r="AU207" i="1"/>
  <c r="F237" i="1"/>
  <c r="CP274" i="1"/>
  <c r="O274" i="1" s="1"/>
  <c r="GM274" i="1" s="1"/>
  <c r="GO274" i="1" s="1"/>
  <c r="P238" i="1"/>
  <c r="ES207" i="1"/>
  <c r="DF151" i="3"/>
  <c r="DG151" i="3"/>
  <c r="DI151" i="3"/>
  <c r="DJ151" i="3" s="1"/>
  <c r="DH151" i="3"/>
  <c r="DH314" i="3"/>
  <c r="DF314" i="3"/>
  <c r="DG314" i="3"/>
  <c r="DJ314" i="3" s="1"/>
  <c r="DI314" i="3"/>
  <c r="DG72" i="3"/>
  <c r="DF72" i="3"/>
  <c r="DH72" i="3"/>
  <c r="DI72" i="3"/>
  <c r="DJ72" i="3" s="1"/>
  <c r="DH232" i="3"/>
  <c r="DF232" i="3"/>
  <c r="DG232" i="3"/>
  <c r="DI232" i="3"/>
  <c r="DJ232" i="3" s="1"/>
  <c r="DF218" i="3"/>
  <c r="DJ218" i="3" s="1"/>
  <c r="DG218" i="3"/>
  <c r="DH218" i="3"/>
  <c r="DI218" i="3"/>
  <c r="DF343" i="3"/>
  <c r="DJ343" i="3" s="1"/>
  <c r="DG343" i="3"/>
  <c r="DI343" i="3"/>
  <c r="DH343" i="3"/>
  <c r="CZ38" i="1"/>
  <c r="X38" i="1"/>
  <c r="GM38" i="1" s="1"/>
  <c r="GN38" i="1" s="1"/>
  <c r="CB55" i="1" s="1"/>
  <c r="Y38" i="1"/>
  <c r="AL55" i="1" s="1"/>
  <c r="AF55" i="1"/>
  <c r="CY38" i="1"/>
  <c r="GM37" i="1"/>
  <c r="GO37" i="1" s="1"/>
  <c r="AP26" i="1"/>
  <c r="F64" i="1"/>
  <c r="AU26" i="1"/>
  <c r="F74" i="1"/>
  <c r="V114" i="1"/>
  <c r="GM98" i="1"/>
  <c r="GO98" i="1" s="1"/>
  <c r="BB152" i="1"/>
  <c r="F188" i="1"/>
  <c r="F200" i="1"/>
  <c r="BD152" i="1"/>
  <c r="AJ152" i="1"/>
  <c r="W175" i="1"/>
  <c r="DG323" i="3"/>
  <c r="DH323" i="3"/>
  <c r="DF323" i="3"/>
  <c r="DJ323" i="3" s="1"/>
  <c r="DI323" i="3"/>
  <c r="AG152" i="1"/>
  <c r="T175" i="1"/>
  <c r="W110" i="1"/>
  <c r="T114" i="1"/>
  <c r="EM207" i="1"/>
  <c r="P237" i="1"/>
  <c r="AD207" i="1"/>
  <c r="Q218" i="1"/>
  <c r="DI330" i="3"/>
  <c r="DF330" i="3"/>
  <c r="DJ330" i="3" s="1"/>
  <c r="DG330" i="3"/>
  <c r="DH330" i="3"/>
  <c r="GM265" i="1"/>
  <c r="GO265" i="1" s="1"/>
  <c r="GM278" i="1"/>
  <c r="GO278" i="1" s="1"/>
  <c r="P198" i="1"/>
  <c r="DN152" i="1"/>
  <c r="DG339" i="3"/>
  <c r="DI339" i="3"/>
  <c r="DH339" i="3"/>
  <c r="DF339" i="3"/>
  <c r="DJ339" i="3" s="1"/>
  <c r="ES250" i="1"/>
  <c r="P303" i="1"/>
  <c r="P300" i="1"/>
  <c r="EK250" i="1"/>
  <c r="U266" i="1"/>
  <c r="AH283" i="1" s="1"/>
  <c r="DL207" i="1"/>
  <c r="P239" i="1"/>
  <c r="DI235" i="3"/>
  <c r="DJ235" i="3" s="1"/>
  <c r="DF235" i="3"/>
  <c r="DG235" i="3"/>
  <c r="DH235" i="3"/>
  <c r="DI67" i="3"/>
  <c r="DG67" i="3"/>
  <c r="DH67" i="3"/>
  <c r="DF67" i="3"/>
  <c r="DJ67" i="3" s="1"/>
  <c r="DF155" i="3"/>
  <c r="DG155" i="3"/>
  <c r="DI155" i="3"/>
  <c r="DJ155" i="3" s="1"/>
  <c r="DH155" i="3"/>
  <c r="AE26" i="1"/>
  <c r="R55" i="1"/>
  <c r="DU55" i="1"/>
  <c r="CP33" i="1"/>
  <c r="O33" i="1" s="1"/>
  <c r="GM33" i="1" s="1"/>
  <c r="GO33" i="1" s="1"/>
  <c r="DF350" i="3"/>
  <c r="DJ350" i="3" s="1"/>
  <c r="DG350" i="3"/>
  <c r="DI350" i="3"/>
  <c r="DH350" i="3"/>
  <c r="DF71" i="3"/>
  <c r="DG71" i="3"/>
  <c r="DH71" i="3"/>
  <c r="DI71" i="3"/>
  <c r="DJ71" i="3" s="1"/>
  <c r="GM89" i="1"/>
  <c r="GM100" i="1"/>
  <c r="DW175" i="1"/>
  <c r="CZ112" i="1"/>
  <c r="X112" i="1"/>
  <c r="Y112" i="1"/>
  <c r="CY112" i="1"/>
  <c r="W114" i="1"/>
  <c r="FR87" i="1"/>
  <c r="EI120" i="1"/>
  <c r="FY120" i="1"/>
  <c r="DH231" i="3"/>
  <c r="DI231" i="3"/>
  <c r="DG231" i="3"/>
  <c r="DF231" i="3"/>
  <c r="DJ231" i="3" s="1"/>
  <c r="DF345" i="3"/>
  <c r="DG345" i="3"/>
  <c r="DJ345" i="3" s="1"/>
  <c r="DH345" i="3"/>
  <c r="DI345" i="3"/>
  <c r="DZ152" i="1"/>
  <c r="DM175" i="1"/>
  <c r="AJ207" i="1"/>
  <c r="W218" i="1"/>
  <c r="GM169" i="1"/>
  <c r="CZ253" i="1"/>
  <c r="X253" i="1"/>
  <c r="CY253" i="1"/>
  <c r="CP253" i="1"/>
  <c r="O253" i="1" s="1"/>
  <c r="Y253" i="1"/>
  <c r="DX283" i="1"/>
  <c r="DF313" i="3"/>
  <c r="DG313" i="3"/>
  <c r="DH313" i="3"/>
  <c r="DI313" i="3"/>
  <c r="DJ313" i="3" s="1"/>
  <c r="CP257" i="1"/>
  <c r="O257" i="1" s="1"/>
  <c r="GM257" i="1" s="1"/>
  <c r="GO257" i="1" s="1"/>
  <c r="U152" i="1"/>
  <c r="F197" i="1"/>
  <c r="DF335" i="3"/>
  <c r="DH335" i="3"/>
  <c r="DI335" i="3"/>
  <c r="DJ335" i="3" s="1"/>
  <c r="DG335" i="3"/>
  <c r="DL152" i="1"/>
  <c r="P196" i="1"/>
  <c r="DH68" i="3"/>
  <c r="DG68" i="3"/>
  <c r="DI68" i="3"/>
  <c r="DF68" i="3"/>
  <c r="DJ68" i="3" s="1"/>
  <c r="DF277" i="3"/>
  <c r="DG277" i="3"/>
  <c r="DH277" i="3"/>
  <c r="DI277" i="3"/>
  <c r="DJ277" i="3" s="1"/>
  <c r="Y29" i="1"/>
  <c r="ED55" i="1" s="1"/>
  <c r="X29" i="1"/>
  <c r="CY29" i="1"/>
  <c r="CZ29" i="1"/>
  <c r="DX55" i="1"/>
  <c r="X39" i="1"/>
  <c r="CY39" i="1"/>
  <c r="CZ39" i="1"/>
  <c r="Y39" i="1"/>
  <c r="AH26" i="1"/>
  <c r="U55" i="1"/>
  <c r="GM107" i="1"/>
  <c r="GO107" i="1" s="1"/>
  <c r="EM26" i="1"/>
  <c r="P74" i="1"/>
  <c r="R114" i="1"/>
  <c r="Q114" i="1"/>
  <c r="U114" i="1"/>
  <c r="S114" i="1"/>
  <c r="BD26" i="1"/>
  <c r="F80" i="1"/>
  <c r="BD313" i="1"/>
  <c r="GX110" i="1"/>
  <c r="GB120" i="1" s="1"/>
  <c r="T110" i="1"/>
  <c r="DY120" i="1" s="1"/>
  <c r="BD87" i="1"/>
  <c r="F145" i="1"/>
  <c r="ES26" i="1"/>
  <c r="P75" i="1"/>
  <c r="AH207" i="1"/>
  <c r="U218" i="1"/>
  <c r="BA218" i="1"/>
  <c r="CJ207" i="1"/>
  <c r="AG87" i="1"/>
  <c r="T120" i="1"/>
  <c r="X263" i="1"/>
  <c r="CZ263" i="1"/>
  <c r="CY263" i="1"/>
  <c r="Y263" i="1"/>
  <c r="FR157" i="1"/>
  <c r="FQ175" i="1" s="1"/>
  <c r="CP157" i="1"/>
  <c r="O157" i="1" s="1"/>
  <c r="GM157" i="1" s="1"/>
  <c r="P182" i="1"/>
  <c r="EP152" i="1"/>
  <c r="AI152" i="1"/>
  <c r="V175" i="1"/>
  <c r="Y158" i="1"/>
  <c r="CY158" i="1"/>
  <c r="X158" i="1"/>
  <c r="CZ158" i="1"/>
  <c r="DV283" i="1"/>
  <c r="DG310" i="3"/>
  <c r="DJ310" i="3" s="1"/>
  <c r="DH310" i="3"/>
  <c r="DI310" i="3"/>
  <c r="DF310" i="3"/>
  <c r="Y270" i="1"/>
  <c r="CY270" i="1"/>
  <c r="CZ270" i="1"/>
  <c r="X270" i="1"/>
  <c r="CB207" i="1"/>
  <c r="AS218" i="1"/>
  <c r="EI250" i="1"/>
  <c r="P293" i="1"/>
  <c r="BA152" i="1"/>
  <c r="F195" i="1"/>
  <c r="CZ168" i="1"/>
  <c r="X168" i="1"/>
  <c r="Y168" i="1"/>
  <c r="CY168" i="1"/>
  <c r="V207" i="1"/>
  <c r="F241" i="1"/>
  <c r="DI26" i="3"/>
  <c r="DF26" i="3"/>
  <c r="DG26" i="3"/>
  <c r="DJ26" i="3" s="1"/>
  <c r="DH26" i="3"/>
  <c r="DI230" i="3"/>
  <c r="DF230" i="3"/>
  <c r="DG230" i="3"/>
  <c r="DJ230" i="3" s="1"/>
  <c r="DH230" i="3"/>
  <c r="DG69" i="3"/>
  <c r="DH69" i="3"/>
  <c r="DI69" i="3"/>
  <c r="DF69" i="3"/>
  <c r="DJ69" i="3" s="1"/>
  <c r="CG26" i="1"/>
  <c r="AX55" i="1"/>
  <c r="X117" i="1"/>
  <c r="Y117" i="1"/>
  <c r="CZ117" i="1"/>
  <c r="CY117" i="1"/>
  <c r="DF233" i="3"/>
  <c r="DG233" i="3"/>
  <c r="DJ233" i="3" s="1"/>
  <c r="DH233" i="3"/>
  <c r="DI233" i="3"/>
  <c r="AF120" i="1"/>
  <c r="DU175" i="1"/>
  <c r="CP155" i="1"/>
  <c r="O155" i="1" s="1"/>
  <c r="AD120" i="1"/>
  <c r="GM118" i="1"/>
  <c r="CZ165" i="1"/>
  <c r="X165" i="1"/>
  <c r="Y165" i="1"/>
  <c r="CY165" i="1"/>
  <c r="AQ87" i="1"/>
  <c r="F130" i="1"/>
  <c r="EB152" i="1"/>
  <c r="DO175" i="1"/>
  <c r="EU152" i="1"/>
  <c r="P191" i="1"/>
  <c r="BC250" i="1"/>
  <c r="F299" i="1"/>
  <c r="GM267" i="1"/>
  <c r="GO267" i="1" s="1"/>
  <c r="EG207" i="1"/>
  <c r="P222" i="1"/>
  <c r="P299" i="1"/>
  <c r="EU250" i="1"/>
  <c r="GX266" i="1"/>
  <c r="CJ283" i="1" s="1"/>
  <c r="DF77" i="3"/>
  <c r="DH77" i="3"/>
  <c r="DI77" i="3"/>
  <c r="DJ77" i="3" s="1"/>
  <c r="DG77" i="3"/>
  <c r="DH322" i="3"/>
  <c r="DG322" i="3"/>
  <c r="DI322" i="3"/>
  <c r="DF322" i="3"/>
  <c r="DJ322" i="3" s="1"/>
  <c r="DF217" i="3"/>
  <c r="DG217" i="3"/>
  <c r="DH217" i="3"/>
  <c r="DI217" i="3"/>
  <c r="DJ217" i="3" s="1"/>
  <c r="DH331" i="3"/>
  <c r="DF331" i="3"/>
  <c r="DJ331" i="3" s="1"/>
  <c r="DG331" i="3"/>
  <c r="DI331" i="3"/>
  <c r="DI64" i="3"/>
  <c r="DG64" i="3"/>
  <c r="DH64" i="3"/>
  <c r="DF64" i="3"/>
  <c r="DJ64" i="3" s="1"/>
  <c r="AO26" i="1"/>
  <c r="F59" i="1"/>
  <c r="AO313" i="1"/>
  <c r="EG26" i="1"/>
  <c r="P59" i="1"/>
  <c r="EG313" i="1"/>
  <c r="DF234" i="3"/>
  <c r="DJ234" i="3" s="1"/>
  <c r="DG234" i="3"/>
  <c r="DH234" i="3"/>
  <c r="DI234" i="3"/>
  <c r="CP93" i="1"/>
  <c r="O93" i="1" s="1"/>
  <c r="GM93" i="1" s="1"/>
  <c r="GO93" i="1" s="1"/>
  <c r="AC120" i="1"/>
  <c r="GM214" i="1"/>
  <c r="GO214" i="1" s="1"/>
  <c r="DG315" i="3"/>
  <c r="DF315" i="3"/>
  <c r="DJ315" i="3" s="1"/>
  <c r="DH315" i="3"/>
  <c r="DI315" i="3"/>
  <c r="CP158" i="1"/>
  <c r="O158" i="1" s="1"/>
  <c r="CB152" i="1"/>
  <c r="AS175" i="1"/>
  <c r="CP168" i="1"/>
  <c r="O168" i="1" s="1"/>
  <c r="GM168" i="1" s="1"/>
  <c r="FR168" i="1"/>
  <c r="DV218" i="1"/>
  <c r="CP210" i="1"/>
  <c r="O210" i="1" s="1"/>
  <c r="CI250" i="1"/>
  <c r="AZ283" i="1"/>
  <c r="CY160" i="1"/>
  <c r="CZ160" i="1"/>
  <c r="X160" i="1"/>
  <c r="Y160" i="1"/>
  <c r="EH250" i="1"/>
  <c r="P292" i="1"/>
  <c r="F225" i="1"/>
  <c r="AX207" i="1"/>
  <c r="DI356" i="3"/>
  <c r="DJ356" i="3" s="1"/>
  <c r="DF356" i="3"/>
  <c r="DG356" i="3"/>
  <c r="DH356" i="3"/>
  <c r="AG207" i="1"/>
  <c r="T218" i="1"/>
  <c r="AS250" i="1"/>
  <c r="F300" i="1"/>
  <c r="F293" i="1"/>
  <c r="AQ250" i="1"/>
  <c r="DH102" i="3"/>
  <c r="DI102" i="3"/>
  <c r="DJ102" i="3" s="1"/>
  <c r="DF102" i="3"/>
  <c r="DG102" i="3"/>
  <c r="DH154" i="3"/>
  <c r="DG154" i="3"/>
  <c r="DI154" i="3"/>
  <c r="DF154" i="3"/>
  <c r="DJ154" i="3" s="1"/>
  <c r="DG237" i="3"/>
  <c r="DH237" i="3"/>
  <c r="DF237" i="3"/>
  <c r="DI237" i="3"/>
  <c r="DJ237" i="3" s="1"/>
  <c r="DI149" i="3"/>
  <c r="DG149" i="3"/>
  <c r="DH149" i="3"/>
  <c r="DF149" i="3"/>
  <c r="DJ149" i="3" s="1"/>
  <c r="DF316" i="3"/>
  <c r="DJ316" i="3" s="1"/>
  <c r="DG316" i="3"/>
  <c r="DH316" i="3"/>
  <c r="DI316" i="3"/>
  <c r="DG182" i="3"/>
  <c r="DJ182" i="3" s="1"/>
  <c r="DH182" i="3"/>
  <c r="DI182" i="3"/>
  <c r="DF182" i="3"/>
  <c r="DW55" i="1"/>
  <c r="DH312" i="3"/>
  <c r="DI312" i="3"/>
  <c r="DF312" i="3"/>
  <c r="DJ312" i="3" s="1"/>
  <c r="DG312" i="3"/>
  <c r="DH65" i="3"/>
  <c r="DG65" i="3"/>
  <c r="DI65" i="3"/>
  <c r="DF65" i="3"/>
  <c r="DJ65" i="3" s="1"/>
  <c r="CP30" i="1"/>
  <c r="O30" i="1" s="1"/>
  <c r="GM30" i="1" s="1"/>
  <c r="GO30" i="1" s="1"/>
  <c r="AC55" i="1"/>
  <c r="DH150" i="3"/>
  <c r="DG150" i="3"/>
  <c r="DI150" i="3"/>
  <c r="DF150" i="3"/>
  <c r="DJ150" i="3" s="1"/>
  <c r="GM51" i="1"/>
  <c r="GO51" i="1" s="1"/>
  <c r="DY26" i="1"/>
  <c r="DL55" i="1"/>
  <c r="CP92" i="1"/>
  <c r="O92" i="1" s="1"/>
  <c r="GM92" i="1" s="1"/>
  <c r="FR92" i="1"/>
  <c r="CG87" i="1"/>
  <c r="AX120" i="1"/>
  <c r="AE120" i="1"/>
  <c r="CP165" i="1"/>
  <c r="O165" i="1" s="1"/>
  <c r="GM165" i="1" s="1"/>
  <c r="P185" i="1"/>
  <c r="EI152" i="1"/>
  <c r="CY115" i="1"/>
  <c r="CZ115" i="1"/>
  <c r="Y115" i="1"/>
  <c r="X115" i="1"/>
  <c r="GM115" i="1" s="1"/>
  <c r="GO115" i="1" s="1"/>
  <c r="GA250" i="1"/>
  <c r="ER283" i="1"/>
  <c r="EV207" i="1"/>
  <c r="P243" i="1"/>
  <c r="ET250" i="1"/>
  <c r="P296" i="1"/>
  <c r="CP252" i="1"/>
  <c r="O252" i="1" s="1"/>
  <c r="AC283" i="1"/>
  <c r="DF337" i="3"/>
  <c r="DG337" i="3"/>
  <c r="DJ337" i="3" s="1"/>
  <c r="DH337" i="3"/>
  <c r="DI337" i="3"/>
  <c r="AU250" i="1"/>
  <c r="F302" i="1"/>
  <c r="CP270" i="1"/>
  <c r="O270" i="1" s="1"/>
  <c r="GM270" i="1" s="1"/>
  <c r="GO270" i="1" s="1"/>
  <c r="DF12" i="3"/>
  <c r="DG12" i="3"/>
  <c r="DH12" i="3"/>
  <c r="DI12" i="3"/>
  <c r="DJ12" i="3" s="1"/>
  <c r="DF61" i="3"/>
  <c r="DH61" i="3"/>
  <c r="DI61" i="3"/>
  <c r="DJ61" i="3" s="1"/>
  <c r="DG61" i="3"/>
  <c r="DG219" i="3"/>
  <c r="DH219" i="3"/>
  <c r="DI219" i="3"/>
  <c r="DF219" i="3"/>
  <c r="DJ219" i="3" s="1"/>
  <c r="DF228" i="3"/>
  <c r="DJ228" i="3" s="1"/>
  <c r="DG228" i="3"/>
  <c r="DH228" i="3"/>
  <c r="DI228" i="3"/>
  <c r="DI309" i="3"/>
  <c r="DJ309" i="3" s="1"/>
  <c r="DG309" i="3"/>
  <c r="DH309" i="3"/>
  <c r="DF309" i="3"/>
  <c r="DF344" i="3"/>
  <c r="DG344" i="3"/>
  <c r="DH344" i="3"/>
  <c r="DI344" i="3"/>
  <c r="DJ344" i="3" s="1"/>
  <c r="DG226" i="3"/>
  <c r="DH226" i="3"/>
  <c r="DF226" i="3"/>
  <c r="DJ226" i="3" s="1"/>
  <c r="DI226" i="3"/>
  <c r="CP39" i="1"/>
  <c r="O39" i="1" s="1"/>
  <c r="GM39" i="1" s="1"/>
  <c r="GN39" i="1" s="1"/>
  <c r="FT55" i="1" s="1"/>
  <c r="CP28" i="1"/>
  <c r="O28" i="1" s="1"/>
  <c r="DG317" i="3"/>
  <c r="DF317" i="3"/>
  <c r="DH317" i="3"/>
  <c r="DI317" i="3"/>
  <c r="DJ317" i="3" s="1"/>
  <c r="DF62" i="3"/>
  <c r="DJ62" i="3" s="1"/>
  <c r="DH62" i="3"/>
  <c r="DI62" i="3"/>
  <c r="DG62" i="3"/>
  <c r="DG152" i="3"/>
  <c r="DJ152" i="3" s="1"/>
  <c r="DH152" i="3"/>
  <c r="DF152" i="3"/>
  <c r="DI152" i="3"/>
  <c r="DF220" i="3"/>
  <c r="DJ220" i="3" s="1"/>
  <c r="DH220" i="3"/>
  <c r="DI220" i="3"/>
  <c r="DG220" i="3"/>
  <c r="AQ26" i="1"/>
  <c r="F65" i="1"/>
  <c r="AQ313" i="1"/>
  <c r="DG222" i="3"/>
  <c r="DH222" i="3"/>
  <c r="DI222" i="3"/>
  <c r="DF222" i="3"/>
  <c r="DJ222" i="3" s="1"/>
  <c r="CP90" i="1"/>
  <c r="O90" i="1" s="1"/>
  <c r="DU120" i="1"/>
  <c r="EG87" i="1"/>
  <c r="P124" i="1"/>
  <c r="DV152" i="1"/>
  <c r="DI175" i="1"/>
  <c r="AH87" i="1"/>
  <c r="U120" i="1"/>
  <c r="CZ154" i="1"/>
  <c r="X154" i="1"/>
  <c r="AK175" i="1" s="1"/>
  <c r="CY154" i="1"/>
  <c r="AF175" i="1"/>
  <c r="Y154" i="1"/>
  <c r="AL175" i="1" s="1"/>
  <c r="FV87" i="1"/>
  <c r="EM120" i="1"/>
  <c r="EM313" i="1" s="1"/>
  <c r="GM159" i="1"/>
  <c r="GO159" i="1" s="1"/>
  <c r="CP113" i="1"/>
  <c r="O113" i="1" s="1"/>
  <c r="GM113" i="1" s="1"/>
  <c r="GO113" i="1" s="1"/>
  <c r="DG352" i="3"/>
  <c r="DH352" i="3"/>
  <c r="DF352" i="3"/>
  <c r="DJ352" i="3" s="1"/>
  <c r="DI352" i="3"/>
  <c r="DF319" i="3"/>
  <c r="DG319" i="3"/>
  <c r="DJ319" i="3" s="1"/>
  <c r="DH319" i="3"/>
  <c r="DI319" i="3"/>
  <c r="GM162" i="1"/>
  <c r="GO162" i="1" s="1"/>
  <c r="X212" i="1"/>
  <c r="GM212" i="1" s="1"/>
  <c r="CY212" i="1"/>
  <c r="CZ212" i="1"/>
  <c r="Y212" i="1"/>
  <c r="ED218" i="1" s="1"/>
  <c r="EB207" i="1"/>
  <c r="DO218" i="1"/>
  <c r="GM269" i="1"/>
  <c r="GO269" i="1" s="1"/>
  <c r="EP283" i="1"/>
  <c r="FY250" i="1"/>
  <c r="EI207" i="1"/>
  <c r="P228" i="1"/>
  <c r="GM262" i="1"/>
  <c r="GO262" i="1" s="1"/>
  <c r="Y271" i="1"/>
  <c r="X271" i="1"/>
  <c r="GM271" i="1" s="1"/>
  <c r="GO271" i="1" s="1"/>
  <c r="CY271" i="1"/>
  <c r="CZ271" i="1"/>
  <c r="DG179" i="3"/>
  <c r="DH179" i="3"/>
  <c r="DI179" i="3"/>
  <c r="DJ179" i="3" s="1"/>
  <c r="DF179" i="3"/>
  <c r="DF225" i="3"/>
  <c r="DJ225" i="3" s="1"/>
  <c r="DH225" i="3"/>
  <c r="DI225" i="3"/>
  <c r="DG225" i="3"/>
  <c r="CP29" i="1"/>
  <c r="O29" i="1" s="1"/>
  <c r="DV55" i="1"/>
  <c r="AD26" i="1"/>
  <c r="Q55" i="1"/>
  <c r="DG223" i="3"/>
  <c r="DH223" i="3"/>
  <c r="DI223" i="3"/>
  <c r="DJ223" i="3" s="1"/>
  <c r="DF223" i="3"/>
  <c r="AG26" i="1"/>
  <c r="T55" i="1"/>
  <c r="DF336" i="3"/>
  <c r="DG336" i="3"/>
  <c r="DJ336" i="3" s="1"/>
  <c r="DH336" i="3"/>
  <c r="DI336" i="3"/>
  <c r="Y44" i="1"/>
  <c r="X44" i="1"/>
  <c r="CY44" i="1"/>
  <c r="CZ44" i="1"/>
  <c r="DG63" i="3"/>
  <c r="DH63" i="3"/>
  <c r="DF63" i="3"/>
  <c r="DJ63" i="3" s="1"/>
  <c r="DI63" i="3"/>
  <c r="X46" i="1"/>
  <c r="Y46" i="1"/>
  <c r="CZ46" i="1"/>
  <c r="CY46" i="1"/>
  <c r="CP44" i="1"/>
  <c r="O44" i="1" s="1"/>
  <c r="GM44" i="1" s="1"/>
  <c r="GO44" i="1" s="1"/>
  <c r="F71" i="1"/>
  <c r="BC26" i="1"/>
  <c r="BC313" i="1"/>
  <c r="EV87" i="1"/>
  <c r="P145" i="1"/>
  <c r="EV313" i="1"/>
  <c r="CD87" i="1"/>
  <c r="AU120" i="1"/>
  <c r="AU313" i="1" s="1"/>
  <c r="CZ99" i="1"/>
  <c r="X99" i="1"/>
  <c r="AK120" i="1" s="1"/>
  <c r="Y99" i="1"/>
  <c r="AL120" i="1" s="1"/>
  <c r="CY99" i="1"/>
  <c r="Y161" i="1"/>
  <c r="CY161" i="1"/>
  <c r="CZ161" i="1"/>
  <c r="CP161" i="1"/>
  <c r="O161" i="1" s="1"/>
  <c r="GM161" i="1" s="1"/>
  <c r="X161" i="1"/>
  <c r="EC175" i="1" s="1"/>
  <c r="GM109" i="1"/>
  <c r="GO109" i="1" s="1"/>
  <c r="DF349" i="3"/>
  <c r="DJ349" i="3" s="1"/>
  <c r="DG349" i="3"/>
  <c r="DH349" i="3"/>
  <c r="DI349" i="3"/>
  <c r="DH318" i="3"/>
  <c r="DI318" i="3"/>
  <c r="DF318" i="3"/>
  <c r="DG318" i="3"/>
  <c r="DJ318" i="3" s="1"/>
  <c r="DX175" i="1"/>
  <c r="CP96" i="1"/>
  <c r="O96" i="1" s="1"/>
  <c r="GM96" i="1" s="1"/>
  <c r="FR96" i="1"/>
  <c r="AP250" i="1"/>
  <c r="F292" i="1"/>
  <c r="CP211" i="1"/>
  <c r="O211" i="1" s="1"/>
  <c r="GM211" i="1" s="1"/>
  <c r="FR211" i="1"/>
  <c r="BY218" i="1" s="1"/>
  <c r="FQ207" i="1"/>
  <c r="GA218" i="1"/>
  <c r="EH218" i="1"/>
  <c r="F228" i="1"/>
  <c r="AQ207" i="1"/>
  <c r="X281" i="1"/>
  <c r="GM281" i="1" s="1"/>
  <c r="GO281" i="1" s="1"/>
  <c r="CZ281" i="1"/>
  <c r="Y281" i="1"/>
  <c r="CY281" i="1"/>
  <c r="DU250" i="1"/>
  <c r="DH283" i="1"/>
  <c r="FW283" i="1"/>
  <c r="FX283" i="1"/>
  <c r="FZ283" i="1"/>
  <c r="DG264" i="3"/>
  <c r="DH264" i="3"/>
  <c r="DI264" i="3"/>
  <c r="DJ264" i="3" s="1"/>
  <c r="DF264" i="3"/>
  <c r="DF340" i="3"/>
  <c r="DJ340" i="3" s="1"/>
  <c r="DH340" i="3"/>
  <c r="DI340" i="3"/>
  <c r="DG340" i="3"/>
  <c r="DG353" i="3"/>
  <c r="DH353" i="3"/>
  <c r="DI353" i="3"/>
  <c r="DJ353" i="3" s="1"/>
  <c r="DF353" i="3"/>
  <c r="X48" i="1"/>
  <c r="GM48" i="1" s="1"/>
  <c r="GO48" i="1" s="1"/>
  <c r="Y48" i="1"/>
  <c r="CY48" i="1"/>
  <c r="CZ48" i="1"/>
  <c r="DF333" i="3"/>
  <c r="DJ333" i="3" s="1"/>
  <c r="DH333" i="3"/>
  <c r="DI333" i="3"/>
  <c r="DG333" i="3"/>
  <c r="CJ26" i="1"/>
  <c r="BA55" i="1"/>
  <c r="DG341" i="3"/>
  <c r="DH341" i="3"/>
  <c r="DI341" i="3"/>
  <c r="DF341" i="3"/>
  <c r="DJ341" i="3" s="1"/>
  <c r="DF148" i="3"/>
  <c r="DG148" i="3"/>
  <c r="DJ148" i="3" s="1"/>
  <c r="DI148" i="3"/>
  <c r="DH148" i="3"/>
  <c r="CP46" i="1"/>
  <c r="O46" i="1" s="1"/>
  <c r="DF221" i="3"/>
  <c r="DJ221" i="3" s="1"/>
  <c r="DH221" i="3"/>
  <c r="DI221" i="3"/>
  <c r="DG221" i="3"/>
  <c r="GM111" i="1"/>
  <c r="GO111" i="1" s="1"/>
  <c r="R110" i="1"/>
  <c r="DW120" i="1" s="1"/>
  <c r="Q110" i="1"/>
  <c r="DV120" i="1" s="1"/>
  <c r="S110" i="1"/>
  <c r="DX120" i="1" s="1"/>
  <c r="V110" i="1"/>
  <c r="EA120" i="1" s="1"/>
  <c r="U110" i="1"/>
  <c r="DZ120" i="1" s="1"/>
  <c r="CP160" i="1"/>
  <c r="O160" i="1" s="1"/>
  <c r="GM160" i="1" s="1"/>
  <c r="FR160" i="1"/>
  <c r="BY175" i="1" s="1"/>
  <c r="EB26" i="1"/>
  <c r="DO55" i="1"/>
  <c r="EA207" i="1"/>
  <c r="DN218" i="1"/>
  <c r="GM172" i="1"/>
  <c r="GO172" i="1" s="1"/>
  <c r="CZ215" i="1"/>
  <c r="X215" i="1"/>
  <c r="GM215" i="1" s="1"/>
  <c r="GO215" i="1" s="1"/>
  <c r="CY215" i="1"/>
  <c r="Y215" i="1"/>
  <c r="BB250" i="1"/>
  <c r="F296" i="1"/>
  <c r="Y273" i="1"/>
  <c r="CY273" i="1"/>
  <c r="CZ273" i="1"/>
  <c r="X273" i="1"/>
  <c r="GM273" i="1" s="1"/>
  <c r="GO273" i="1" s="1"/>
  <c r="Y256" i="1"/>
  <c r="CY256" i="1"/>
  <c r="CZ256" i="1"/>
  <c r="X256" i="1"/>
  <c r="AF218" i="1"/>
  <c r="CZ209" i="1"/>
  <c r="X209" i="1"/>
  <c r="Y209" i="1"/>
  <c r="CY209" i="1"/>
  <c r="CP263" i="1"/>
  <c r="O263" i="1" s="1"/>
  <c r="GM263" i="1" s="1"/>
  <c r="GO263" i="1" s="1"/>
  <c r="DF229" i="3"/>
  <c r="DG229" i="3"/>
  <c r="DH229" i="3"/>
  <c r="DI229" i="3"/>
  <c r="DJ229" i="3" s="1"/>
  <c r="DF239" i="3"/>
  <c r="DG239" i="3"/>
  <c r="DH239" i="3"/>
  <c r="DI239" i="3"/>
  <c r="DJ239" i="3" s="1"/>
  <c r="DG327" i="3"/>
  <c r="DJ327" i="3" s="1"/>
  <c r="DH327" i="3"/>
  <c r="DF327" i="3"/>
  <c r="DI327" i="3"/>
  <c r="DG334" i="3"/>
  <c r="DH334" i="3"/>
  <c r="DI334" i="3"/>
  <c r="DF334" i="3"/>
  <c r="DJ334" i="3" s="1"/>
  <c r="DF329" i="3"/>
  <c r="DJ329" i="3" s="1"/>
  <c r="DG329" i="3"/>
  <c r="DI329" i="3"/>
  <c r="DH329" i="3"/>
  <c r="X50" i="1"/>
  <c r="GM50" i="1" s="1"/>
  <c r="GO50" i="1" s="1"/>
  <c r="Y50" i="1"/>
  <c r="CY50" i="1"/>
  <c r="CZ50" i="1"/>
  <c r="DF227" i="3"/>
  <c r="DJ227" i="3" s="1"/>
  <c r="DG227" i="3"/>
  <c r="DH227" i="3"/>
  <c r="DI227" i="3"/>
  <c r="DF328" i="3"/>
  <c r="DG328" i="3"/>
  <c r="DJ328" i="3" s="1"/>
  <c r="DH328" i="3"/>
  <c r="DI328" i="3"/>
  <c r="EI26" i="1"/>
  <c r="P65" i="1"/>
  <c r="EI313" i="1"/>
  <c r="DF311" i="3"/>
  <c r="DJ311" i="3" s="1"/>
  <c r="DI311" i="3"/>
  <c r="DG311" i="3"/>
  <c r="DH311" i="3"/>
  <c r="GM117" i="1"/>
  <c r="GM105" i="1"/>
  <c r="GO105" i="1" s="1"/>
  <c r="GM112" i="1"/>
  <c r="GO112" i="1" s="1"/>
  <c r="X101" i="1"/>
  <c r="CZ101" i="1"/>
  <c r="Y101" i="1"/>
  <c r="CY101" i="1"/>
  <c r="BB26" i="1"/>
  <c r="F68" i="1"/>
  <c r="BB313" i="1"/>
  <c r="CP95" i="1"/>
  <c r="O95" i="1" s="1"/>
  <c r="GM95" i="1" s="1"/>
  <c r="FR95" i="1"/>
  <c r="BY120" i="1" s="1"/>
  <c r="CP102" i="1"/>
  <c r="O102" i="1" s="1"/>
  <c r="GM102" i="1" s="1"/>
  <c r="GO102" i="1" s="1"/>
  <c r="CP101" i="1"/>
  <c r="O101" i="1" s="1"/>
  <c r="V87" i="1"/>
  <c r="F143" i="1"/>
  <c r="GM167" i="1"/>
  <c r="GO167" i="1" s="1"/>
  <c r="DF320" i="3"/>
  <c r="DJ320" i="3" s="1"/>
  <c r="DG320" i="3"/>
  <c r="DH320" i="3"/>
  <c r="DI320" i="3"/>
  <c r="ED175" i="1"/>
  <c r="CG152" i="1"/>
  <c r="AX175" i="1"/>
  <c r="AU152" i="1"/>
  <c r="F194" i="1"/>
  <c r="DU218" i="1"/>
  <c r="AD283" i="1"/>
  <c r="DM207" i="1"/>
  <c r="P240" i="1"/>
  <c r="DW283" i="1"/>
  <c r="GM275" i="1"/>
  <c r="GO275" i="1" s="1"/>
  <c r="AC175" i="1"/>
  <c r="AE175" i="1"/>
  <c r="CP272" i="1"/>
  <c r="O272" i="1" s="1"/>
  <c r="GM272" i="1" s="1"/>
  <c r="GO272" i="1" s="1"/>
  <c r="CG250" i="1"/>
  <c r="AX283" i="1"/>
  <c r="EM250" i="1"/>
  <c r="P302" i="1"/>
  <c r="AH250" i="1" l="1"/>
  <c r="U283" i="1"/>
  <c r="U313" i="1" s="1"/>
  <c r="DX87" i="1"/>
  <c r="DK120" i="1"/>
  <c r="DQ218" i="1"/>
  <c r="ED207" i="1"/>
  <c r="DW87" i="1"/>
  <c r="DJ120" i="1"/>
  <c r="DV87" i="1"/>
  <c r="DI120" i="1"/>
  <c r="AL87" i="1"/>
  <c r="Y120" i="1"/>
  <c r="AG250" i="1"/>
  <c r="T283" i="1"/>
  <c r="AJ250" i="1"/>
  <c r="W283" i="1"/>
  <c r="AE250" i="1"/>
  <c r="R283" i="1"/>
  <c r="AK87" i="1"/>
  <c r="X120" i="1"/>
  <c r="EM22" i="1"/>
  <c r="EM343" i="1"/>
  <c r="P332" i="1"/>
  <c r="AU22" i="1"/>
  <c r="F332" i="1"/>
  <c r="AU343" i="1"/>
  <c r="BY152" i="1"/>
  <c r="AP175" i="1"/>
  <c r="CI175" i="1"/>
  <c r="CB26" i="1"/>
  <c r="AS55" i="1"/>
  <c r="DY87" i="1"/>
  <c r="DL120" i="1"/>
  <c r="AL26" i="1"/>
  <c r="Y55" i="1"/>
  <c r="EC152" i="1"/>
  <c r="DP175" i="1"/>
  <c r="DO207" i="1"/>
  <c r="P242" i="1"/>
  <c r="AC26" i="1"/>
  <c r="CF55" i="1"/>
  <c r="CH55" i="1"/>
  <c r="P55" i="1"/>
  <c r="CE55" i="1"/>
  <c r="GM155" i="1"/>
  <c r="DT175" i="1"/>
  <c r="AX26" i="1"/>
  <c r="F62" i="1"/>
  <c r="AX313" i="1"/>
  <c r="AS207" i="1"/>
  <c r="F235" i="1"/>
  <c r="T152" i="1"/>
  <c r="F196" i="1"/>
  <c r="AK55" i="1"/>
  <c r="BA87" i="1"/>
  <c r="F140" i="1"/>
  <c r="V26" i="1"/>
  <c r="F78" i="1"/>
  <c r="V313" i="1"/>
  <c r="EP250" i="1"/>
  <c r="P290" i="1"/>
  <c r="GM252" i="1"/>
  <c r="AB283" i="1"/>
  <c r="AE87" i="1"/>
  <c r="R120" i="1"/>
  <c r="AX152" i="1"/>
  <c r="F182" i="1"/>
  <c r="CI120" i="1"/>
  <c r="AP120" i="1"/>
  <c r="BY87" i="1"/>
  <c r="P227" i="1"/>
  <c r="EH207" i="1"/>
  <c r="Q26" i="1"/>
  <c r="F67" i="1"/>
  <c r="AQ22" i="1"/>
  <c r="AQ343" i="1"/>
  <c r="F323" i="1"/>
  <c r="AX87" i="1"/>
  <c r="F127" i="1"/>
  <c r="GM158" i="1"/>
  <c r="GO158" i="1" s="1"/>
  <c r="EG22" i="1"/>
  <c r="P317" i="1"/>
  <c r="EG343" i="1"/>
  <c r="DU152" i="1"/>
  <c r="FZ175" i="1"/>
  <c r="DH175" i="1"/>
  <c r="FW175" i="1"/>
  <c r="FX175" i="1"/>
  <c r="Y266" i="1"/>
  <c r="AL283" i="1" s="1"/>
  <c r="X266" i="1"/>
  <c r="AK283" i="1" s="1"/>
  <c r="CY266" i="1"/>
  <c r="CZ266" i="1"/>
  <c r="ER26" i="1"/>
  <c r="P66" i="1"/>
  <c r="DN250" i="1"/>
  <c r="P306" i="1"/>
  <c r="DW26" i="1"/>
  <c r="DJ55" i="1"/>
  <c r="GM101" i="1"/>
  <c r="GO101" i="1" s="1"/>
  <c r="AX250" i="1"/>
  <c r="F290" i="1"/>
  <c r="U87" i="1"/>
  <c r="F142" i="1"/>
  <c r="FZ250" i="1"/>
  <c r="EQ283" i="1"/>
  <c r="GA207" i="1"/>
  <c r="ER218" i="1"/>
  <c r="DI152" i="1"/>
  <c r="P187" i="1"/>
  <c r="DO152" i="1"/>
  <c r="P199" i="1"/>
  <c r="AF87" i="1"/>
  <c r="S120" i="1"/>
  <c r="T87" i="1"/>
  <c r="F141" i="1"/>
  <c r="GB87" i="1"/>
  <c r="ES120" i="1"/>
  <c r="EC55" i="1"/>
  <c r="DX250" i="1"/>
  <c r="DK283" i="1"/>
  <c r="F306" i="1"/>
  <c r="V250" i="1"/>
  <c r="AE152" i="1"/>
  <c r="R175" i="1"/>
  <c r="ED152" i="1"/>
  <c r="DQ175" i="1"/>
  <c r="BB22" i="1"/>
  <c r="F326" i="1"/>
  <c r="BB343" i="1"/>
  <c r="P241" i="1"/>
  <c r="DN207" i="1"/>
  <c r="EO283" i="1"/>
  <c r="FX250" i="1"/>
  <c r="DV26" i="1"/>
  <c r="DI55" i="1"/>
  <c r="P294" i="1"/>
  <c r="ER250" i="1"/>
  <c r="FQ120" i="1"/>
  <c r="T207" i="1"/>
  <c r="F239" i="1"/>
  <c r="BA283" i="1"/>
  <c r="CJ250" i="1"/>
  <c r="AB175" i="1"/>
  <c r="ED26" i="1"/>
  <c r="DQ55" i="1"/>
  <c r="ED283" i="1"/>
  <c r="F232" i="1"/>
  <c r="R207" i="1"/>
  <c r="CH218" i="1"/>
  <c r="AC207" i="1"/>
  <c r="P218" i="1"/>
  <c r="CE218" i="1"/>
  <c r="CF218" i="1"/>
  <c r="DM26" i="1"/>
  <c r="P77" i="1"/>
  <c r="GM31" i="1"/>
  <c r="GO31" i="1" s="1"/>
  <c r="GM99" i="1"/>
  <c r="AO22" i="1"/>
  <c r="AO343" i="1"/>
  <c r="F317" i="1"/>
  <c r="F198" i="1"/>
  <c r="V152" i="1"/>
  <c r="GM154" i="1"/>
  <c r="GM253" i="1"/>
  <c r="DT283" i="1"/>
  <c r="GM209" i="1"/>
  <c r="AB218" i="1"/>
  <c r="X175" i="1"/>
  <c r="AK152" i="1"/>
  <c r="CI218" i="1"/>
  <c r="AP218" i="1"/>
  <c r="BY207" i="1"/>
  <c r="DO26" i="1"/>
  <c r="P79" i="1"/>
  <c r="DH250" i="1"/>
  <c r="P286" i="1"/>
  <c r="DL26" i="1"/>
  <c r="P76" i="1"/>
  <c r="DL313" i="1"/>
  <c r="AZ250" i="1"/>
  <c r="F294" i="1"/>
  <c r="BA207" i="1"/>
  <c r="F238" i="1"/>
  <c r="BD22" i="1"/>
  <c r="F338" i="1"/>
  <c r="BD343" i="1"/>
  <c r="F77" i="1"/>
  <c r="U26" i="1"/>
  <c r="P232" i="1"/>
  <c r="DJ207" i="1"/>
  <c r="DN26" i="1"/>
  <c r="P78" i="1"/>
  <c r="GM256" i="1"/>
  <c r="GO256" i="1" s="1"/>
  <c r="DM250" i="1"/>
  <c r="P305" i="1"/>
  <c r="EA87" i="1"/>
  <c r="DN120" i="1"/>
  <c r="DN313" i="1" s="1"/>
  <c r="BA26" i="1"/>
  <c r="F75" i="1"/>
  <c r="BA313" i="1"/>
  <c r="FW250" i="1"/>
  <c r="EN283" i="1"/>
  <c r="EM87" i="1"/>
  <c r="P139" i="1"/>
  <c r="DW250" i="1"/>
  <c r="DJ283" i="1"/>
  <c r="EI22" i="1"/>
  <c r="P323" i="1"/>
  <c r="EI343" i="1"/>
  <c r="AU87" i="1"/>
  <c r="F139" i="1"/>
  <c r="FW120" i="1"/>
  <c r="DU87" i="1"/>
  <c r="FZ120" i="1"/>
  <c r="DH120" i="1"/>
  <c r="U207" i="1"/>
  <c r="F240" i="1"/>
  <c r="EC283" i="1"/>
  <c r="DW152" i="1"/>
  <c r="DJ175" i="1"/>
  <c r="Q207" i="1"/>
  <c r="F230" i="1"/>
  <c r="W152" i="1"/>
  <c r="F199" i="1"/>
  <c r="ET22" i="1"/>
  <c r="P326" i="1"/>
  <c r="ET343" i="1"/>
  <c r="EP207" i="1"/>
  <c r="P225" i="1"/>
  <c r="P137" i="1"/>
  <c r="EK87" i="1"/>
  <c r="W26" i="1"/>
  <c r="F79" i="1"/>
  <c r="W313" i="1"/>
  <c r="DU207" i="1"/>
  <c r="FW218" i="1"/>
  <c r="FX218" i="1"/>
  <c r="FZ218" i="1"/>
  <c r="DH218" i="1"/>
  <c r="AC152" i="1"/>
  <c r="CE175" i="1"/>
  <c r="P175" i="1"/>
  <c r="CF175" i="1"/>
  <c r="CH175" i="1"/>
  <c r="AL218" i="1"/>
  <c r="EC218" i="1"/>
  <c r="GM46" i="1"/>
  <c r="GO46" i="1" s="1"/>
  <c r="T26" i="1"/>
  <c r="F76" i="1"/>
  <c r="T313" i="1"/>
  <c r="AL152" i="1"/>
  <c r="Y175" i="1"/>
  <c r="GM90" i="1"/>
  <c r="GM210" i="1"/>
  <c r="DT218" i="1"/>
  <c r="CE120" i="1"/>
  <c r="P120" i="1"/>
  <c r="AC87" i="1"/>
  <c r="CF120" i="1"/>
  <c r="CH120" i="1"/>
  <c r="GM29" i="1"/>
  <c r="DT55" i="1"/>
  <c r="AK218" i="1"/>
  <c r="EV22" i="1"/>
  <c r="P338" i="1"/>
  <c r="EV343" i="1"/>
  <c r="AF152" i="1"/>
  <c r="S175" i="1"/>
  <c r="GM28" i="1"/>
  <c r="AB55" i="1"/>
  <c r="DV207" i="1"/>
  <c r="DI218" i="1"/>
  <c r="Y114" i="1"/>
  <c r="CY114" i="1"/>
  <c r="X114" i="1"/>
  <c r="CZ114" i="1"/>
  <c r="DU26" i="1"/>
  <c r="FX55" i="1"/>
  <c r="FZ55" i="1"/>
  <c r="DH55" i="1"/>
  <c r="FW55" i="1"/>
  <c r="ES152" i="1"/>
  <c r="P195" i="1"/>
  <c r="CP114" i="1"/>
  <c r="O114" i="1" s="1"/>
  <c r="AD250" i="1"/>
  <c r="Q283" i="1"/>
  <c r="DZ87" i="1"/>
  <c r="DM120" i="1"/>
  <c r="FT26" i="1"/>
  <c r="EK55" i="1"/>
  <c r="AC250" i="1"/>
  <c r="P283" i="1"/>
  <c r="CH283" i="1"/>
  <c r="CF283" i="1"/>
  <c r="CE283" i="1"/>
  <c r="FQ152" i="1"/>
  <c r="GA175" i="1"/>
  <c r="EH175" i="1"/>
  <c r="W207" i="1"/>
  <c r="F242" i="1"/>
  <c r="FY87" i="1"/>
  <c r="EP120" i="1"/>
  <c r="AB120" i="1"/>
  <c r="R26" i="1"/>
  <c r="F69" i="1"/>
  <c r="AZ26" i="1"/>
  <c r="F66" i="1"/>
  <c r="DL250" i="1"/>
  <c r="P304" i="1"/>
  <c r="P233" i="1"/>
  <c r="DK207" i="1"/>
  <c r="P130" i="1"/>
  <c r="EI87" i="1"/>
  <c r="GO89" i="1"/>
  <c r="CC120" i="1" s="1"/>
  <c r="CA120" i="1"/>
  <c r="AF26" i="1"/>
  <c r="S55" i="1"/>
  <c r="GM104" i="1"/>
  <c r="W87" i="1"/>
  <c r="F144" i="1"/>
  <c r="DO250" i="1"/>
  <c r="P307" i="1"/>
  <c r="AF207" i="1"/>
  <c r="S218" i="1"/>
  <c r="X110" i="1"/>
  <c r="EC120" i="1" s="1"/>
  <c r="CZ110" i="1"/>
  <c r="CY110" i="1"/>
  <c r="Y110" i="1"/>
  <c r="ED120" i="1" s="1"/>
  <c r="DX152" i="1"/>
  <c r="DK175" i="1"/>
  <c r="BC22" i="1"/>
  <c r="BC343" i="1"/>
  <c r="F329" i="1"/>
  <c r="AS152" i="1"/>
  <c r="F192" i="1"/>
  <c r="AD87" i="1"/>
  <c r="Q120" i="1"/>
  <c r="Q313" i="1" s="1"/>
  <c r="DV250" i="1"/>
  <c r="DI283" i="1"/>
  <c r="DX26" i="1"/>
  <c r="DK55" i="1"/>
  <c r="DM152" i="1"/>
  <c r="P197" i="1"/>
  <c r="EB120" i="1"/>
  <c r="AF250" i="1"/>
  <c r="S283" i="1"/>
  <c r="AD152" i="1"/>
  <c r="Q175" i="1"/>
  <c r="EU22" i="1"/>
  <c r="P329" i="1"/>
  <c r="EU343" i="1"/>
  <c r="CP110" i="1"/>
  <c r="O110" i="1" s="1"/>
  <c r="AK250" i="1" l="1"/>
  <c r="X283" i="1"/>
  <c r="AL250" i="1"/>
  <c r="Y283" i="1"/>
  <c r="ED87" i="1"/>
  <c r="DQ120" i="1"/>
  <c r="DN22" i="1"/>
  <c r="P336" i="1"/>
  <c r="DN343" i="1"/>
  <c r="U22" i="1"/>
  <c r="U343" i="1"/>
  <c r="F335" i="1"/>
  <c r="Q22" i="1"/>
  <c r="F325" i="1"/>
  <c r="Q343" i="1"/>
  <c r="EC87" i="1"/>
  <c r="DP120" i="1"/>
  <c r="FS283" i="1"/>
  <c r="GO253" i="1"/>
  <c r="FU283" i="1" s="1"/>
  <c r="F298" i="1"/>
  <c r="S250" i="1"/>
  <c r="DM87" i="1"/>
  <c r="P142" i="1"/>
  <c r="GO90" i="1"/>
  <c r="CE152" i="1"/>
  <c r="AV175" i="1"/>
  <c r="DJ250" i="1"/>
  <c r="P297" i="1"/>
  <c r="P207" i="1"/>
  <c r="F221" i="1"/>
  <c r="AP87" i="1"/>
  <c r="F129" i="1"/>
  <c r="AP313" i="1"/>
  <c r="FS175" i="1"/>
  <c r="GO155" i="1"/>
  <c r="FU175" i="1" s="1"/>
  <c r="DL87" i="1"/>
  <c r="P141" i="1"/>
  <c r="AK207" i="1"/>
  <c r="X218" i="1"/>
  <c r="Y152" i="1"/>
  <c r="F202" i="1"/>
  <c r="FQ87" i="1"/>
  <c r="EH120" i="1"/>
  <c r="GA120" i="1"/>
  <c r="DQ152" i="1"/>
  <c r="P202" i="1"/>
  <c r="CI87" i="1"/>
  <c r="AZ120" i="1"/>
  <c r="CE26" i="1"/>
  <c r="AV55" i="1"/>
  <c r="EM18" i="1"/>
  <c r="P362" i="1"/>
  <c r="P132" i="1"/>
  <c r="DI87" i="1"/>
  <c r="EB87" i="1"/>
  <c r="DO120" i="1"/>
  <c r="BC18" i="1"/>
  <c r="F359" i="1"/>
  <c r="EH152" i="1"/>
  <c r="P184" i="1"/>
  <c r="Q250" i="1"/>
  <c r="F295" i="1"/>
  <c r="DG55" i="1"/>
  <c r="DT26" i="1"/>
  <c r="P221" i="1"/>
  <c r="DH207" i="1"/>
  <c r="ET18" i="1"/>
  <c r="P356" i="1"/>
  <c r="DH87" i="1"/>
  <c r="P123" i="1"/>
  <c r="AP207" i="1"/>
  <c r="F227" i="1"/>
  <c r="AO18" i="1"/>
  <c r="F347" i="1"/>
  <c r="CH207" i="1"/>
  <c r="AY218" i="1"/>
  <c r="S87" i="1"/>
  <c r="F135" i="1"/>
  <c r="P26" i="1"/>
  <c r="F58" i="1"/>
  <c r="P313" i="1"/>
  <c r="T22" i="1"/>
  <c r="F334" i="1"/>
  <c r="T343" i="1"/>
  <c r="AK26" i="1"/>
  <c r="X55" i="1"/>
  <c r="AS26" i="1"/>
  <c r="F72" i="1"/>
  <c r="AS313" i="1"/>
  <c r="X87" i="1"/>
  <c r="F146" i="1"/>
  <c r="DJ87" i="1"/>
  <c r="P134" i="1"/>
  <c r="DK152" i="1"/>
  <c r="P190" i="1"/>
  <c r="GM114" i="1"/>
  <c r="GO114" i="1" s="1"/>
  <c r="DI207" i="1"/>
  <c r="P230" i="1"/>
  <c r="CH87" i="1"/>
  <c r="AY120" i="1"/>
  <c r="EO218" i="1"/>
  <c r="FX207" i="1"/>
  <c r="FX120" i="1"/>
  <c r="P288" i="1"/>
  <c r="EN250" i="1"/>
  <c r="DI26" i="1"/>
  <c r="P67" i="1"/>
  <c r="DI313" i="1"/>
  <c r="FX152" i="1"/>
  <c r="EO175" i="1"/>
  <c r="AQ18" i="1"/>
  <c r="F353" i="1"/>
  <c r="R87" i="1"/>
  <c r="F134" i="1"/>
  <c r="CF26" i="1"/>
  <c r="AW55" i="1"/>
  <c r="GA152" i="1"/>
  <c r="ER175" i="1"/>
  <c r="FZ207" i="1"/>
  <c r="EQ218" i="1"/>
  <c r="FZ87" i="1"/>
  <c r="EQ120" i="1"/>
  <c r="CI207" i="1"/>
  <c r="AZ218" i="1"/>
  <c r="R152" i="1"/>
  <c r="F189" i="1"/>
  <c r="CH26" i="1"/>
  <c r="AY55" i="1"/>
  <c r="DK26" i="1"/>
  <c r="P70" i="1"/>
  <c r="DK313" i="1"/>
  <c r="S26" i="1"/>
  <c r="F70" i="1"/>
  <c r="S313" i="1"/>
  <c r="CE250" i="1"/>
  <c r="AV283" i="1"/>
  <c r="CF87" i="1"/>
  <c r="AW120" i="1"/>
  <c r="FW207" i="1"/>
  <c r="EN218" i="1"/>
  <c r="DL22" i="1"/>
  <c r="DL343" i="1"/>
  <c r="P334" i="1"/>
  <c r="X152" i="1"/>
  <c r="F201" i="1"/>
  <c r="ED250" i="1"/>
  <c r="DQ283" i="1"/>
  <c r="DJ26" i="1"/>
  <c r="P69" i="1"/>
  <c r="DJ313" i="1"/>
  <c r="FW152" i="1"/>
  <c r="EN175" i="1"/>
  <c r="CI152" i="1"/>
  <c r="AZ175" i="1"/>
  <c r="R250" i="1"/>
  <c r="F297" i="1"/>
  <c r="GM110" i="1"/>
  <c r="GO110" i="1" s="1"/>
  <c r="R313" i="1"/>
  <c r="CF250" i="1"/>
  <c r="AW283" i="1"/>
  <c r="AB26" i="1"/>
  <c r="O55" i="1"/>
  <c r="FW87" i="1"/>
  <c r="EN120" i="1"/>
  <c r="BA22" i="1"/>
  <c r="BA343" i="1"/>
  <c r="F333" i="1"/>
  <c r="AB207" i="1"/>
  <c r="O218" i="1"/>
  <c r="DM313" i="1"/>
  <c r="DQ26" i="1"/>
  <c r="P82" i="1"/>
  <c r="DQ313" i="1"/>
  <c r="DH152" i="1"/>
  <c r="P178" i="1"/>
  <c r="O283" i="1"/>
  <c r="AB250" i="1"/>
  <c r="AP152" i="1"/>
  <c r="F184" i="1"/>
  <c r="DQ207" i="1"/>
  <c r="P245" i="1"/>
  <c r="EU18" i="1"/>
  <c r="P359" i="1"/>
  <c r="DI250" i="1"/>
  <c r="P295" i="1"/>
  <c r="AR120" i="1"/>
  <c r="CA87" i="1"/>
  <c r="CH250" i="1"/>
  <c r="AY283" i="1"/>
  <c r="FW26" i="1"/>
  <c r="EN55" i="1"/>
  <c r="GO28" i="1"/>
  <c r="CC55" i="1" s="1"/>
  <c r="CA55" i="1"/>
  <c r="P87" i="1"/>
  <c r="F123" i="1"/>
  <c r="EC207" i="1"/>
  <c r="DP218" i="1"/>
  <c r="W22" i="1"/>
  <c r="W343" i="1"/>
  <c r="F337" i="1"/>
  <c r="GO209" i="1"/>
  <c r="CC218" i="1" s="1"/>
  <c r="CA218" i="1"/>
  <c r="EO250" i="1"/>
  <c r="P289" i="1"/>
  <c r="P298" i="1"/>
  <c r="DK250" i="1"/>
  <c r="FZ152" i="1"/>
  <c r="EQ175" i="1"/>
  <c r="GO252" i="1"/>
  <c r="W250" i="1"/>
  <c r="F307" i="1"/>
  <c r="DK87" i="1"/>
  <c r="P135" i="1"/>
  <c r="GO29" i="1"/>
  <c r="FU55" i="1" s="1"/>
  <c r="FS55" i="1"/>
  <c r="CC87" i="1"/>
  <c r="AT120" i="1"/>
  <c r="F286" i="1"/>
  <c r="P250" i="1"/>
  <c r="DH26" i="1"/>
  <c r="P58" i="1"/>
  <c r="DH313" i="1"/>
  <c r="S152" i="1"/>
  <c r="F190" i="1"/>
  <c r="CE87" i="1"/>
  <c r="AV120" i="1"/>
  <c r="AL207" i="1"/>
  <c r="Y218" i="1"/>
  <c r="DT250" i="1"/>
  <c r="DG283" i="1"/>
  <c r="AB152" i="1"/>
  <c r="O175" i="1"/>
  <c r="ER207" i="1"/>
  <c r="P229" i="1"/>
  <c r="AX22" i="1"/>
  <c r="AX343" i="1"/>
  <c r="F320" i="1"/>
  <c r="DP152" i="1"/>
  <c r="P201" i="1"/>
  <c r="GM266" i="1"/>
  <c r="GO266" i="1" s="1"/>
  <c r="Q87" i="1"/>
  <c r="F132" i="1"/>
  <c r="DT207" i="1"/>
  <c r="DG218" i="1"/>
  <c r="DJ152" i="1"/>
  <c r="P189" i="1"/>
  <c r="EC26" i="1"/>
  <c r="DP55" i="1"/>
  <c r="EG18" i="1"/>
  <c r="P347" i="1"/>
  <c r="AU18" i="1"/>
  <c r="F362" i="1"/>
  <c r="T250" i="1"/>
  <c r="F304" i="1"/>
  <c r="U250" i="1"/>
  <c r="F305" i="1"/>
  <c r="Q152" i="1"/>
  <c r="F187" i="1"/>
  <c r="S207" i="1"/>
  <c r="F233" i="1"/>
  <c r="EP87" i="1"/>
  <c r="P127" i="1"/>
  <c r="EP313" i="1"/>
  <c r="EK26" i="1"/>
  <c r="P72" i="1"/>
  <c r="EK313" i="1"/>
  <c r="FX26" i="1"/>
  <c r="EO55" i="1"/>
  <c r="EV18" i="1"/>
  <c r="P368" i="1"/>
  <c r="GO210" i="1"/>
  <c r="FU218" i="1" s="1"/>
  <c r="FS218" i="1"/>
  <c r="CF152" i="1"/>
  <c r="AW175" i="1"/>
  <c r="BD18" i="1"/>
  <c r="F368" i="1"/>
  <c r="GO154" i="1"/>
  <c r="CC175" i="1" s="1"/>
  <c r="CA175" i="1"/>
  <c r="CF207" i="1"/>
  <c r="AW218" i="1"/>
  <c r="BA250" i="1"/>
  <c r="F303" i="1"/>
  <c r="BB18" i="1"/>
  <c r="F356" i="1"/>
  <c r="ES87" i="1"/>
  <c r="P140" i="1"/>
  <c r="ES313" i="1"/>
  <c r="EQ250" i="1"/>
  <c r="P291" i="1"/>
  <c r="V22" i="1"/>
  <c r="F336" i="1"/>
  <c r="V343" i="1"/>
  <c r="Y26" i="1"/>
  <c r="F82" i="1"/>
  <c r="H16" i="2"/>
  <c r="O120" i="1"/>
  <c r="AB87" i="1"/>
  <c r="FZ26" i="1"/>
  <c r="EQ55" i="1"/>
  <c r="AY175" i="1"/>
  <c r="CH152" i="1"/>
  <c r="EI18" i="1"/>
  <c r="P353" i="1"/>
  <c r="DN87" i="1"/>
  <c r="P143" i="1"/>
  <c r="DT120" i="1"/>
  <c r="P152" i="1"/>
  <c r="F178" i="1"/>
  <c r="EC250" i="1"/>
  <c r="DP283" i="1"/>
  <c r="CE207" i="1"/>
  <c r="AV218" i="1"/>
  <c r="DT152" i="1"/>
  <c r="DG175" i="1"/>
  <c r="Y87" i="1"/>
  <c r="F147" i="1"/>
  <c r="O87" i="1" l="1"/>
  <c r="F122" i="1"/>
  <c r="CA207" i="1"/>
  <c r="AR218" i="1"/>
  <c r="BA18" i="1"/>
  <c r="F363" i="1"/>
  <c r="F186" i="1"/>
  <c r="AZ152" i="1"/>
  <c r="DL18" i="1"/>
  <c r="P364" i="1"/>
  <c r="ER152" i="1"/>
  <c r="P186" i="1"/>
  <c r="FU152" i="1"/>
  <c r="EL175" i="1"/>
  <c r="FU120" i="1"/>
  <c r="Y207" i="1"/>
  <c r="F245" i="1"/>
  <c r="FS207" i="1"/>
  <c r="EJ218" i="1"/>
  <c r="DP26" i="1"/>
  <c r="P81" i="1"/>
  <c r="DP313" i="1"/>
  <c r="AX18" i="1"/>
  <c r="F350" i="1"/>
  <c r="CC207" i="1"/>
  <c r="AT218" i="1"/>
  <c r="AY250" i="1"/>
  <c r="F291" i="1"/>
  <c r="P22" i="1"/>
  <c r="F316" i="1"/>
  <c r="P343" i="1"/>
  <c r="EJ175" i="1"/>
  <c r="FS152" i="1"/>
  <c r="U18" i="1"/>
  <c r="F365" i="1"/>
  <c r="DT87" i="1"/>
  <c r="DG120" i="1"/>
  <c r="Y313" i="1"/>
  <c r="FU207" i="1"/>
  <c r="EL218" i="1"/>
  <c r="O250" i="1"/>
  <c r="F285" i="1"/>
  <c r="EN87" i="1"/>
  <c r="P125" i="1"/>
  <c r="EN152" i="1"/>
  <c r="P180" i="1"/>
  <c r="EN207" i="1"/>
  <c r="P223" i="1"/>
  <c r="AY26" i="1"/>
  <c r="F63" i="1"/>
  <c r="AY313" i="1"/>
  <c r="AW26" i="1"/>
  <c r="F61" i="1"/>
  <c r="AW313" i="1"/>
  <c r="P144" i="1"/>
  <c r="DO87" i="1"/>
  <c r="DO313" i="1"/>
  <c r="GA87" i="1"/>
  <c r="ER120" i="1"/>
  <c r="AP22" i="1"/>
  <c r="AP343" i="1"/>
  <c r="F322" i="1"/>
  <c r="G16" i="2" s="1"/>
  <c r="DH22" i="1"/>
  <c r="P316" i="1"/>
  <c r="DH343" i="1"/>
  <c r="W18" i="1"/>
  <c r="F367" i="1"/>
  <c r="FX87" i="1"/>
  <c r="EO120" i="1"/>
  <c r="DN18" i="1"/>
  <c r="P366" i="1"/>
  <c r="CA283" i="1"/>
  <c r="AR87" i="1"/>
  <c r="F148" i="1"/>
  <c r="O26" i="1"/>
  <c r="F57" i="1"/>
  <c r="O313" i="1"/>
  <c r="DJ22" i="1"/>
  <c r="DJ343" i="1"/>
  <c r="P327" i="1"/>
  <c r="AW87" i="1"/>
  <c r="F126" i="1"/>
  <c r="DG207" i="1"/>
  <c r="P220" i="1"/>
  <c r="CC283" i="1"/>
  <c r="P244" i="1"/>
  <c r="DP207" i="1"/>
  <c r="DQ22" i="1"/>
  <c r="DQ343" i="1"/>
  <c r="P340" i="1"/>
  <c r="EO207" i="1"/>
  <c r="P224" i="1"/>
  <c r="AS22" i="1"/>
  <c r="F330" i="1"/>
  <c r="E16" i="2" s="1"/>
  <c r="AS343" i="1"/>
  <c r="FU250" i="1"/>
  <c r="EL283" i="1"/>
  <c r="O152" i="1"/>
  <c r="F177" i="1"/>
  <c r="EQ152" i="1"/>
  <c r="P183" i="1"/>
  <c r="AW250" i="1"/>
  <c r="F289" i="1"/>
  <c r="F288" i="1"/>
  <c r="AV250" i="1"/>
  <c r="F229" i="1"/>
  <c r="AZ207" i="1"/>
  <c r="AY87" i="1"/>
  <c r="F128" i="1"/>
  <c r="AY207" i="1"/>
  <c r="F226" i="1"/>
  <c r="EJ283" i="1"/>
  <c r="FS250" i="1"/>
  <c r="DQ87" i="1"/>
  <c r="P147" i="1"/>
  <c r="AW207" i="1"/>
  <c r="F224" i="1"/>
  <c r="DG152" i="1"/>
  <c r="P177" i="1"/>
  <c r="CA152" i="1"/>
  <c r="AR175" i="1"/>
  <c r="EK22" i="1"/>
  <c r="P330" i="1"/>
  <c r="T16" i="2" s="1"/>
  <c r="EK343" i="1"/>
  <c r="DG250" i="1"/>
  <c r="P285" i="1"/>
  <c r="P310" i="1"/>
  <c r="DQ250" i="1"/>
  <c r="DG26" i="1"/>
  <c r="P57" i="1"/>
  <c r="DG313" i="1"/>
  <c r="F244" i="1"/>
  <c r="X207" i="1"/>
  <c r="DP87" i="1"/>
  <c r="P146" i="1"/>
  <c r="CA26" i="1"/>
  <c r="AR55" i="1"/>
  <c r="P129" i="1"/>
  <c r="EH87" i="1"/>
  <c r="EH313" i="1"/>
  <c r="V18" i="1"/>
  <c r="F366" i="1"/>
  <c r="EO26" i="1"/>
  <c r="P61" i="1"/>
  <c r="F223" i="1"/>
  <c r="AV207" i="1"/>
  <c r="AY152" i="1"/>
  <c r="F183" i="1"/>
  <c r="CC152" i="1"/>
  <c r="AT175" i="1"/>
  <c r="AT87" i="1"/>
  <c r="F138" i="1"/>
  <c r="DM22" i="1"/>
  <c r="DM343" i="1"/>
  <c r="P335" i="1"/>
  <c r="R22" i="1"/>
  <c r="R343" i="1"/>
  <c r="F327" i="1"/>
  <c r="S22" i="1"/>
  <c r="F328" i="1"/>
  <c r="S343" i="1"/>
  <c r="EQ87" i="1"/>
  <c r="P128" i="1"/>
  <c r="EO152" i="1"/>
  <c r="P181" i="1"/>
  <c r="X26" i="1"/>
  <c r="F81" i="1"/>
  <c r="X313" i="1"/>
  <c r="AV26" i="1"/>
  <c r="F60" i="1"/>
  <c r="AV313" i="1"/>
  <c r="F310" i="1"/>
  <c r="Y250" i="1"/>
  <c r="O207" i="1"/>
  <c r="F220" i="1"/>
  <c r="AV152" i="1"/>
  <c r="F180" i="1"/>
  <c r="ES22" i="1"/>
  <c r="ES343" i="1"/>
  <c r="P333" i="1"/>
  <c r="W16" i="2" s="1"/>
  <c r="FS26" i="1"/>
  <c r="EJ55" i="1"/>
  <c r="CC26" i="1"/>
  <c r="AT55" i="1"/>
  <c r="EQ207" i="1"/>
  <c r="P226" i="1"/>
  <c r="DI22" i="1"/>
  <c r="P325" i="1"/>
  <c r="DI343" i="1"/>
  <c r="T18" i="1"/>
  <c r="F364" i="1"/>
  <c r="AZ87" i="1"/>
  <c r="F131" i="1"/>
  <c r="AZ313" i="1"/>
  <c r="F309" i="1"/>
  <c r="X250" i="1"/>
  <c r="EQ26" i="1"/>
  <c r="P63" i="1"/>
  <c r="EQ313" i="1"/>
  <c r="Q18" i="1"/>
  <c r="F355" i="1"/>
  <c r="P309" i="1"/>
  <c r="DP250" i="1"/>
  <c r="EP22" i="1"/>
  <c r="EP343" i="1"/>
  <c r="P320" i="1"/>
  <c r="AW152" i="1"/>
  <c r="F181" i="1"/>
  <c r="AV87" i="1"/>
  <c r="F125" i="1"/>
  <c r="FU26" i="1"/>
  <c r="EL55" i="1"/>
  <c r="EN26" i="1"/>
  <c r="P60" i="1"/>
  <c r="EN313" i="1"/>
  <c r="DK22" i="1"/>
  <c r="DK343" i="1"/>
  <c r="P328" i="1"/>
  <c r="Y16" i="2" s="1"/>
  <c r="FS120" i="1"/>
  <c r="EN22" i="1" l="1"/>
  <c r="P318" i="1"/>
  <c r="EN343" i="1"/>
  <c r="AR283" i="1"/>
  <c r="CA250" i="1"/>
  <c r="DM18" i="1"/>
  <c r="P365" i="1"/>
  <c r="DG22" i="1"/>
  <c r="P315" i="1"/>
  <c r="DG343" i="1"/>
  <c r="AS18" i="1"/>
  <c r="F360" i="1"/>
  <c r="ER87" i="1"/>
  <c r="P131" i="1"/>
  <c r="ER313" i="1"/>
  <c r="DP22" i="1"/>
  <c r="DP343" i="1"/>
  <c r="P339" i="1"/>
  <c r="EL26" i="1"/>
  <c r="P73" i="1"/>
  <c r="EL313" i="1"/>
  <c r="EO87" i="1"/>
  <c r="P126" i="1"/>
  <c r="DO22" i="1"/>
  <c r="P337" i="1"/>
  <c r="DO343" i="1"/>
  <c r="EQ22" i="1"/>
  <c r="EQ343" i="1"/>
  <c r="P321" i="1"/>
  <c r="EH22" i="1"/>
  <c r="EH343" i="1"/>
  <c r="P322" i="1"/>
  <c r="V16" i="2" s="1"/>
  <c r="P203" i="1"/>
  <c r="EJ152" i="1"/>
  <c r="AT152" i="1"/>
  <c r="F193" i="1"/>
  <c r="DJ18" i="1"/>
  <c r="P357" i="1"/>
  <c r="P18" i="1"/>
  <c r="F346" i="1"/>
  <c r="EJ207" i="1"/>
  <c r="P246" i="1"/>
  <c r="S18" i="1"/>
  <c r="F358" i="1"/>
  <c r="AW22" i="1"/>
  <c r="AW343" i="1"/>
  <c r="F319" i="1"/>
  <c r="ES18" i="1"/>
  <c r="P363" i="1"/>
  <c r="AT26" i="1"/>
  <c r="F73" i="1"/>
  <c r="J16" i="2"/>
  <c r="AR26" i="1"/>
  <c r="F83" i="1"/>
  <c r="AR313" i="1"/>
  <c r="DQ18" i="1"/>
  <c r="P370" i="1"/>
  <c r="O22" i="1"/>
  <c r="O343" i="1"/>
  <c r="F315" i="1"/>
  <c r="DH18" i="1"/>
  <c r="P346" i="1"/>
  <c r="DI18" i="1"/>
  <c r="P355" i="1"/>
  <c r="FS87" i="1"/>
  <c r="EJ120" i="1"/>
  <c r="AV22" i="1"/>
  <c r="F318" i="1"/>
  <c r="AV343" i="1"/>
  <c r="EK18" i="1"/>
  <c r="P360" i="1"/>
  <c r="EJ250" i="1"/>
  <c r="P311" i="1"/>
  <c r="EL207" i="1"/>
  <c r="P236" i="1"/>
  <c r="AR207" i="1"/>
  <c r="F246" i="1"/>
  <c r="EJ26" i="1"/>
  <c r="P83" i="1"/>
  <c r="EJ313" i="1"/>
  <c r="AY22" i="1"/>
  <c r="AY343" i="1"/>
  <c r="F321" i="1"/>
  <c r="EL120" i="1"/>
  <c r="FU87" i="1"/>
  <c r="DK18" i="1"/>
  <c r="P358" i="1"/>
  <c r="EP18" i="1"/>
  <c r="P350" i="1"/>
  <c r="R18" i="1"/>
  <c r="F357" i="1"/>
  <c r="Y22" i="1"/>
  <c r="F340" i="1"/>
  <c r="Y343" i="1"/>
  <c r="AT207" i="1"/>
  <c r="F236" i="1"/>
  <c r="P193" i="1"/>
  <c r="EL152" i="1"/>
  <c r="AZ22" i="1"/>
  <c r="F324" i="1"/>
  <c r="AZ343" i="1"/>
  <c r="X22" i="1"/>
  <c r="X343" i="1"/>
  <c r="F339" i="1"/>
  <c r="EO313" i="1"/>
  <c r="AR152" i="1"/>
  <c r="F203" i="1"/>
  <c r="EL250" i="1"/>
  <c r="P301" i="1"/>
  <c r="CC250" i="1"/>
  <c r="AT283" i="1"/>
  <c r="AT313" i="1" s="1"/>
  <c r="AP18" i="1"/>
  <c r="F352" i="1"/>
  <c r="DG87" i="1"/>
  <c r="P122" i="1"/>
  <c r="AT22" i="1" l="1"/>
  <c r="F331" i="1"/>
  <c r="F16" i="2" s="1"/>
  <c r="I16" i="2" s="1"/>
  <c r="N16" i="2" s="1"/>
  <c r="AT343" i="1"/>
  <c r="AW18" i="1"/>
  <c r="F349" i="1"/>
  <c r="DG18" i="1"/>
  <c r="P345" i="1"/>
  <c r="AR22" i="1"/>
  <c r="AR343" i="1"/>
  <c r="F341" i="1"/>
  <c r="EJ87" i="1"/>
  <c r="P148" i="1"/>
  <c r="EH18" i="1"/>
  <c r="P352" i="1"/>
  <c r="EO22" i="1"/>
  <c r="P319" i="1"/>
  <c r="EO343" i="1"/>
  <c r="DP18" i="1"/>
  <c r="P369" i="1"/>
  <c r="EQ18" i="1"/>
  <c r="P351" i="1"/>
  <c r="AV18" i="1"/>
  <c r="F348" i="1"/>
  <c r="AR250" i="1"/>
  <c r="F311" i="1"/>
  <c r="X18" i="1"/>
  <c r="F369" i="1"/>
  <c r="EL87" i="1"/>
  <c r="P138" i="1"/>
  <c r="DO18" i="1"/>
  <c r="P367" i="1"/>
  <c r="ER22" i="1"/>
  <c r="P324" i="1"/>
  <c r="ER343" i="1"/>
  <c r="EN18" i="1"/>
  <c r="P348" i="1"/>
  <c r="EL22" i="1"/>
  <c r="EL343" i="1"/>
  <c r="P331" i="1"/>
  <c r="U16" i="2" s="1"/>
  <c r="X16" i="2" s="1"/>
  <c r="AC16" i="2" s="1"/>
  <c r="AZ18" i="1"/>
  <c r="F354" i="1"/>
  <c r="EJ22" i="1"/>
  <c r="EJ343" i="1"/>
  <c r="P341" i="1"/>
  <c r="F301" i="1"/>
  <c r="AT250" i="1"/>
  <c r="Y18" i="1"/>
  <c r="F370" i="1"/>
  <c r="AY18" i="1"/>
  <c r="F351" i="1"/>
  <c r="O18" i="1"/>
  <c r="F345" i="1"/>
  <c r="AR18" i="1" l="1"/>
  <c r="F371" i="1"/>
  <c r="EO18" i="1"/>
  <c r="P349" i="1"/>
  <c r="EJ18" i="1"/>
  <c r="P371" i="1"/>
  <c r="AT18" i="1"/>
  <c r="F361" i="1"/>
  <c r="ER18" i="1"/>
  <c r="P354" i="1"/>
  <c r="EL18" i="1"/>
  <c r="P361" i="1"/>
</calcChain>
</file>

<file path=xl/sharedStrings.xml><?xml version="1.0" encoding="utf-8"?>
<sst xmlns="http://schemas.openxmlformats.org/spreadsheetml/2006/main" count="15449" uniqueCount="690">
  <si>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</si>
  <si>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</si>
  <si>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</si>
  <si>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</si>
  <si>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</si>
  <si>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02-01-11</t>
  </si>
  <si>
    <t>02-01-11 РТС</t>
  </si>
  <si>
    <t>2024-00375-01-0-ИОС5.4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</si>
  <si>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</si>
  <si>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</si>
  <si>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</si>
  <si>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</si>
  <si>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</si>
  <si>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</si>
  <si>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</si>
  <si>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</si>
  <si>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Радиотрансляционная сеть</t>
  </si>
  <si>
    <t>Новый раздел</t>
  </si>
  <si>
    <t>Демонтажные работы</t>
  </si>
  <si>
    <t>1</t>
  </si>
  <si>
    <t>4.10-73-1</t>
  </si>
  <si>
    <t>Монтаж радиостанции УКВ связи абонентской мощностью до 15 Вт стационарной / демонтаж устройства подачи программ вещания</t>
  </si>
  <si>
    <t>1 комплект</t>
  </si>
  <si>
    <t>ТСН-2001.4 Доп. 80, Сб. 10, т. 73, поз. 1</t>
  </si>
  <si>
    <t>*1)*0</t>
  </si>
  <si>
    <t>*1,2)*0,3</t>
  </si>
  <si>
    <t>Монтаж оборудования</t>
  </si>
  <si>
    <t>ТСН-2001.4-10. Монтаж радиотелевизионного и электронного оборудования</t>
  </si>
  <si>
    <t>ТСН-2001.4-10-2</t>
  </si>
  <si>
    <t>Поправка: Гл.12.Прил.8.п.8. 3_12.00.01.11.001
Поправка: Гл.4.Прил.2.2.п.2.2.29_04.00.01.35.003</t>
  </si>
  <si>
    <t>2</t>
  </si>
  <si>
    <t>4.10-32-4</t>
  </si>
  <si>
    <t>Монтаж платы дополнительной, устанавливаемой на готовом месте стойки / демонтаж модуля для приема интернет вещания радиостанции</t>
  </si>
  <si>
    <t>1  ШТ.</t>
  </si>
  <si>
    <t>ТСН-2001.4 Доп. 68, Сб. 10, т. 32, поз. 4</t>
  </si>
  <si>
    <t>ТСН-2001.4-10. Прокладка и монтаж сетей связи</t>
  </si>
  <si>
    <t>ТСН-2001.4-10-1</t>
  </si>
  <si>
    <t>3</t>
  </si>
  <si>
    <t>4.10-134-4</t>
  </si>
  <si>
    <t>Монтаж антенны коллективной для приема ТВ на антенной опоре высотой до 9 м с одним ярусом оттяжек / демонтаж антенны</t>
  </si>
  <si>
    <t>1 антенна</t>
  </si>
  <si>
    <t>ТСН-2001.4 Доп. 81, Сб. 10, т. 134, поз. 4</t>
  </si>
  <si>
    <t>4</t>
  </si>
  <si>
    <t>4.10-21-5</t>
  </si>
  <si>
    <t>Грозозащита для воздушных абонентских линий / демонтаж грозозащиты</t>
  </si>
  <si>
    <t>ТСН-2001.4 Доп. 79, Сб. 10, т. 21, поз. 5</t>
  </si>
  <si>
    <t>5</t>
  </si>
  <si>
    <t>4.10-118-12</t>
  </si>
  <si>
    <t>Установка для трубных проводок коробки оконечной / демонтаж</t>
  </si>
  <si>
    <t>100 шт.</t>
  </si>
  <si>
    <t>ТСН-2001.4 Доп. 79, Сб. 10, т. 118, поз. 12</t>
  </si>
  <si>
    <t>6</t>
  </si>
  <si>
    <t>6.67-7-1</t>
  </si>
  <si>
    <t>Демонтаж осветительных приборов, выключатели, розетки</t>
  </si>
  <si>
    <t>ТСН-2001.6. Доп. 1-42. Сб. 67, т. 7,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</si>
  <si>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</si>
  <si>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</si>
  <si>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</si>
  <si>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</si>
  <si>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</si>
  <si>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</si>
  <si>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7</t>
  </si>
  <si>
    <t>4.11-7-1</t>
  </si>
  <si>
    <t>Установка аппарата настольного массой до 0,015 т / демонтаж приёмника</t>
  </si>
  <si>
    <t>ТСН-2001.4 Доп. 68, Сб. 11, т. 7, поз. 1</t>
  </si>
  <si>
    <t>ТСН-2001.4-11. Приборы и средства автоматизации и вычислительной техники</t>
  </si>
  <si>
    <t>ТСН-2001.4-11-1</t>
  </si>
  <si>
    <t>8</t>
  </si>
  <si>
    <t>4.10-69-3</t>
  </si>
  <si>
    <t>Монтаж щита распределительного настенного типа / демонтаж шкафа с объектовой станцией</t>
  </si>
  <si>
    <t>ТСН-2001.4 Доп. 67, Сб. 10, т. 69, поз. 3</t>
  </si>
  <si>
    <t>9</t>
  </si>
  <si>
    <t>Монтаж радиостанции УКВ связи абонентской мощностью до 15 Вт стационарной / демонтаж устройства сопряжения с РСО</t>
  </si>
  <si>
    <t>10</t>
  </si>
  <si>
    <t>4.10-134-7</t>
  </si>
  <si>
    <t>Монтаж антенны дополнительной для приема ТВ на ранее установленной опоре, с действующими ТВ антеннами / демонтаж антенны</t>
  </si>
  <si>
    <t>ТСН-2001.4 Доп. 81, Сб. 10, т. 134, поз. 7</t>
  </si>
  <si>
    <t>11</t>
  </si>
  <si>
    <t>12</t>
  </si>
  <si>
    <t>4.10-134-3</t>
  </si>
  <si>
    <t>Монтаж металлоконструкций для телевизионных антенн / демонтаж мачты антенной</t>
  </si>
  <si>
    <t>1 Т</t>
  </si>
  <si>
    <t>ТСН-2001.4 Доп. 81, Сб. 10, т. 134, поз. 3</t>
  </si>
  <si>
    <t>13</t>
  </si>
  <si>
    <t>6.67-6-1</t>
  </si>
  <si>
    <t>Демонтаж кабеля</t>
  </si>
  <si>
    <t>100 м</t>
  </si>
  <si>
    <t>ТСН-2001.6. Доп. 1-42. Сб. 67, т. 6,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</si>
  <si>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</si>
  <si>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</si>
  <si>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</si>
  <si>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</si>
  <si>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</si>
  <si>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</si>
  <si>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</si>
  <si>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</si>
  <si>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</si>
  <si>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</si>
  <si>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</si>
  <si>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</si>
  <si>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</si>
  <si>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</si>
  <si>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</si>
  <si>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</si>
  <si>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</si>
  <si>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</si>
  <si>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</si>
  <si>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</si>
  <si>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</si>
  <si>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</si>
  <si>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</si>
  <si>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</si>
  <si>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</si>
  <si>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</si>
  <si>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</si>
  <si>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</si>
  <si>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</si>
  <si>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</si>
  <si>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</si>
  <si>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</si>
  <si>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</si>
  <si>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</si>
  <si>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</si>
  <si>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</si>
  <si>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</si>
  <si>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</si>
  <si>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</si>
  <si>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</si>
  <si>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</si>
  <si>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</si>
  <si>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</si>
  <si>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</si>
  <si>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</si>
  <si>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</si>
  <si>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</si>
  <si>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</si>
  <si>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</si>
  <si>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</si>
  <si>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</si>
  <si>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</si>
  <si>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</si>
  <si>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</si>
  <si>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Комплект основного оборудования (радиофикация)</t>
  </si>
  <si>
    <t>14</t>
  </si>
  <si>
    <t>Монтаж радиостанции УКВ связи абонентской мощностью до 15 Вт стационарной</t>
  </si>
  <si>
    <t>15</t>
  </si>
  <si>
    <t>КА, п.1</t>
  </si>
  <si>
    <t>Устройство подачи программ вещания УППВ 1918 М1 исп. У</t>
  </si>
  <si>
    <t>ШТ</t>
  </si>
  <si>
    <t>Оборудование, отсутствующие в СНБ</t>
  </si>
  <si>
    <t>Оборуд. КА</t>
  </si>
  <si>
    <t>[516 000 / 1,22 /  7,57] +  3% Трансп +  1,2% Заг.скл</t>
  </si>
  <si>
    <t>1,2</t>
  </si>
  <si>
    <t>16</t>
  </si>
  <si>
    <t>Монтаж платы дополнительной, устанавливаемой на готовом месте стойки</t>
  </si>
  <si>
    <t>17</t>
  </si>
  <si>
    <t>КА, п.2</t>
  </si>
  <si>
    <t>Модуль для приема интернет вещания радиостанции "Радио Москвы" для установки в БИП-03</t>
  </si>
  <si>
    <t>[30 600 / 1,22 /  7,57] +  3% Трансп +  1,2% Заг.скл</t>
  </si>
  <si>
    <t>18</t>
  </si>
  <si>
    <t>Монтаж антенны коллективной для приема ТВ на антенной опоре высотой до 9 м с одним ярусом оттяжек</t>
  </si>
  <si>
    <t>19</t>
  </si>
  <si>
    <t>13.1-2-587</t>
  </si>
  <si>
    <t>Антенна эфирная UNF, частотный диапазон от 470 до 790 MHz, коэффициент усиления антенны от 14 до 16 дБ, каналы от 21 до 60. Габаритные размеры 450х2356x400 мм</t>
  </si>
  <si>
    <t>шт.</t>
  </si>
  <si>
    <t>ТСН-2001.13-2. Доп. 36. 13.1-2-587</t>
  </si>
  <si>
    <t>Сметная стоимость оборудования</t>
  </si>
  <si>
    <t>ТСН-2001.13. Сметная стоимость оборудования</t>
  </si>
  <si>
    <t>ТСН-2001.13</t>
  </si>
  <si>
    <t>20</t>
  </si>
  <si>
    <t>Грозозащита для воздушных абонентских линий</t>
  </si>
  <si>
    <t>21</t>
  </si>
  <si>
    <t>КА, п.3</t>
  </si>
  <si>
    <t>Грозозащита 75 Ом ОВР</t>
  </si>
  <si>
    <t>[2 250 / 1,22 /  7,57] +  3% Трансп +  1,2% Заг.скл</t>
  </si>
  <si>
    <t>22</t>
  </si>
  <si>
    <t>1.14-1-281</t>
  </si>
  <si>
    <t>Разъем телевизионный F для коаксиального кабеля стандарта RG11</t>
  </si>
  <si>
    <t>ТСН-2001.1 Доп. 67, Р. 14, о. 1, поз. 281</t>
  </si>
  <si>
    <t>Материалы монтажные</t>
  </si>
  <si>
    <t>ТСН-2001.1 Материалы монтажные</t>
  </si>
  <si>
    <t>ТСН-2001.1-2</t>
  </si>
  <si>
    <t>23</t>
  </si>
  <si>
    <t>Установка для трубных проводок коробки оконечной</t>
  </si>
  <si>
    <t>23,1</t>
  </si>
  <si>
    <t>1.14-1-13</t>
  </si>
  <si>
    <t>Коробка радиотрансляционная, универсальная, для подключения радиотрансляционной сети, типа РОН</t>
  </si>
  <si>
    <t>ТСН-2001.1 Доп. 67, Р. 14, о. 1, поз. 13</t>
  </si>
  <si>
    <t>24</t>
  </si>
  <si>
    <t>4.8-333-7</t>
  </si>
  <si>
    <t>Монтаж розетки штепсельной скрытого типа</t>
  </si>
  <si>
    <t>ТСН-2001.4 Доп. 80, Сб. 8, т. 333, поз. 7</t>
  </si>
  <si>
    <t>ТСН-2001.4-8. Электротехнические установки</t>
  </si>
  <si>
    <t>ТСН-2001.4-8-1</t>
  </si>
  <si>
    <t>24,1</t>
  </si>
  <si>
    <t>1.14-1-23</t>
  </si>
  <si>
    <t>Розетка радиотрансляционная, скрытой установки, типа РПВ-2</t>
  </si>
  <si>
    <t>ТСН-2001.1 Доп. 79, Р. 14, о. 1, поз. 23</t>
  </si>
  <si>
    <t>25</t>
  </si>
  <si>
    <t>Установка аппарата настольного массой до 0,015 т</t>
  </si>
  <si>
    <t>26</t>
  </si>
  <si>
    <t>КА, п.4</t>
  </si>
  <si>
    <t>Приёмник трёхпрограммный проводного вещания Нейва ПТ-322-1</t>
  </si>
  <si>
    <t>[6 520 / 1,22 /  7,57] +  3% Трансп +  1,2% Заг.скл</t>
  </si>
  <si>
    <t>Комплект основного оборудования (передача сигнала СПС на службу "01" и приём сигнала о ЧС)</t>
  </si>
  <si>
    <t>27</t>
  </si>
  <si>
    <t>Монтаж щита распределительного настенного типа</t>
  </si>
  <si>
    <t>28</t>
  </si>
  <si>
    <t>КА, п.5</t>
  </si>
  <si>
    <t>Объектовая станция "ОСПИ-ТАНДЕМ"</t>
  </si>
  <si>
    <t>[125 000 / 1,22 /  7,57] +  3% Трансп +  1,2% Заг.скл</t>
  </si>
  <si>
    <t>29</t>
  </si>
  <si>
    <t>30</t>
  </si>
  <si>
    <t>КА, п.6</t>
  </si>
  <si>
    <t>Устройство сопряжения с РСО г. Москвы УС-1 (БАО-РСПИ-БСМС)</t>
  </si>
  <si>
    <t>[825 000 / 1,22 /  7,57] +  3% Трансп +  1,2% Заг.скл</t>
  </si>
  <si>
    <t>31</t>
  </si>
  <si>
    <t>Монтаж антенны дополнительной для приема ТВ на ранее установленной опоре, с действующими ТВ антеннами</t>
  </si>
  <si>
    <t>32</t>
  </si>
  <si>
    <t>КА, п.7</t>
  </si>
  <si>
    <t>Базовая всенаправленная антенна UHF комплектно с противовесами, монтажным набором A-200 MU</t>
  </si>
  <si>
    <t>[12 400 / 1,22 /  7,57] +  3% Трансп +  1,2% Заг.скл</t>
  </si>
  <si>
    <t>33</t>
  </si>
  <si>
    <t>34</t>
  </si>
  <si>
    <t>КА, п.8</t>
  </si>
  <si>
    <t>Грозозащита 50 Ом N722-Q</t>
  </si>
  <si>
    <t>[6 380 / 1,22 /  7,57] +  3% Трансп +  1,2% Заг.скл</t>
  </si>
  <si>
    <t>35</t>
  </si>
  <si>
    <t>1.14-1-283</t>
  </si>
  <si>
    <t>Переход телевизионный F-"мама"/IEC-"папа" прямой / разъем T-112/8D</t>
  </si>
  <si>
    <t>ТСН-2001.1 Доп. 48, Р. 14, о. 1, поз. 283</t>
  </si>
  <si>
    <t>36</t>
  </si>
  <si>
    <t>Переход телевизионный F-"мама"/IEC-"папа" прямой  / разъем N-112F/8D</t>
  </si>
  <si>
    <t>Мачта для установки антенн</t>
  </si>
  <si>
    <t>37</t>
  </si>
  <si>
    <t>Монтаж металлоконструкций для телевизионных антенн</t>
  </si>
  <si>
    <t>38</t>
  </si>
  <si>
    <t>13.1-2-575</t>
  </si>
  <si>
    <t>Мачта для телевизионной антенны, высота не более 6 м, без защелок-натяжителей и проволоки для оттяжек. Максимальное количество устанавливаемых антенн не более 3 шт.</t>
  </si>
  <si>
    <t>ТСН-2001.13-2. Доп. 36. 13.1-2-575</t>
  </si>
  <si>
    <t>39</t>
  </si>
  <si>
    <t>КА, п.9</t>
  </si>
  <si>
    <t>Комплект крепления для антенной мачты МА50 МА20</t>
  </si>
  <si>
    <t>Материалы, отсутствующие в СНБ (Строительные)</t>
  </si>
  <si>
    <t>МР КА Строительные</t>
  </si>
  <si>
    <t>[3 490 / 1,22 /  9,84] +  2% Заг.скл</t>
  </si>
  <si>
    <t>0</t>
  </si>
  <si>
    <t>40</t>
  </si>
  <si>
    <t>1.21-5-707</t>
  </si>
  <si>
    <t>Сжим, типа У859М для проводников магистральных сечением от 50 до 70 мм2 и ответвительных от 4 до 35 мм2</t>
  </si>
  <si>
    <t>ТСН-2001.1 Доп. 73, Р. 21, о. 5, поз. 707</t>
  </si>
  <si>
    <t>Кабели и провода</t>
  </si>
  <si>
    <t>41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</si>
  <si>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</si>
  <si>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</si>
  <si>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ТСН-2001.4 Доп. 79, Сб. 10, т. 186, поз. 5</t>
  </si>
  <si>
    <t>41,1</t>
  </si>
  <si>
    <t>1.21-5-1136</t>
  </si>
  <si>
    <t>Держатель пластиковый с защелкой для крепления труб, рукавов и гибких вводов диаметром 20 мм</t>
  </si>
  <si>
    <t>ТСН-2001.1 Доп. 73, Р. 21, о. 5, поз. 1136</t>
  </si>
  <si>
    <t>42</t>
  </si>
  <si>
    <t>КА, п.10</t>
  </si>
  <si>
    <t>Гибкая гофрированная ПЛЛ труба без содержания галогенов, ДУ20, O 19.7 / 14.8 мм, протяжка, цвет белый</t>
  </si>
  <si>
    <t>м</t>
  </si>
  <si>
    <t>Материалы, отсутствующие в СНБ (Монтажные)</t>
  </si>
  <si>
    <t>МР КА Монтажные</t>
  </si>
  <si>
    <t>[133,33 / 1,22 /  9,84] +  2% Заг.скл</t>
  </si>
  <si>
    <t>43</t>
  </si>
  <si>
    <t>КА, п.11</t>
  </si>
  <si>
    <t>Коаксиальный кабель РК50-7-313нг(А)-HF</t>
  </si>
  <si>
    <t>[402,8 / 1,22 /  9,84] +  2% Заг.скл</t>
  </si>
  <si>
    <t>44</t>
  </si>
  <si>
    <t>КА, п.12</t>
  </si>
  <si>
    <t>Коаксиальный кабель  РК75-4,8-319нг(А)-LSLTx</t>
  </si>
  <si>
    <t>[172,99 / 1,22 /  9,84] +  2% Заг.скл</t>
  </si>
  <si>
    <t>45</t>
  </si>
  <si>
    <t>КА, п.13</t>
  </si>
  <si>
    <t>Кабель сигнальный низкотоксичный КСВВнг(А)-LSLTx 1x2x1,38</t>
  </si>
  <si>
    <t>[131 / 1,22 /  9,84] +  2% Заг.скл</t>
  </si>
  <si>
    <t>46</t>
  </si>
  <si>
    <t>4.8-168-1</t>
  </si>
  <si>
    <t>Прокладка по стальным конструкциям и панелям провода сечением до 16 мм2</t>
  </si>
  <si>
    <t>100 М ТРАССЫ</t>
  </si>
  <si>
    <t>ТСН-2001.4 Доп. 80, Сб. 8, т. 168, поз. 1</t>
  </si>
  <si>
    <t>46,1</t>
  </si>
  <si>
    <t>1.14-1-555</t>
  </si>
  <si>
    <t>Скобы крепежные для радиочастотного коаксиального кабеля с номинальным диаметром по изоляции от 4 до 6 мм</t>
  </si>
  <si>
    <t>ТСН-2001.1 Доп. 73, Р. 14, о. 1, поз. 555</t>
  </si>
  <si>
    <t>47</t>
  </si>
  <si>
    <t>КА, п.14</t>
  </si>
  <si>
    <t>Кабель сигнальный низкотоксичный КСВВнг(А)-LSLTx 1x2x0,8</t>
  </si>
  <si>
    <t>[51,6 / 1,22 /  9,84] +  2% Заг.скл</t>
  </si>
  <si>
    <t>48</t>
  </si>
  <si>
    <t>КА, п.15</t>
  </si>
  <si>
    <t>Кабель сигнальный огнестойкий низкотоксичный КСРВнг(А)-FRLSLTx2x2x0,80</t>
  </si>
  <si>
    <t>[165 / 1,22 /  9,84] +  2% Заг.скл</t>
  </si>
  <si>
    <t>49</t>
  </si>
  <si>
    <t>КА, п.16</t>
  </si>
  <si>
    <t>Кабель симметричный парной скрутки КПСВЭВнг(А)-LSLTx2x2x0,75</t>
  </si>
  <si>
    <t>[98,95 / 1,22 /  9,84] +  2% Заг.скл</t>
  </si>
  <si>
    <t>50</t>
  </si>
  <si>
    <t>4.11-14-1</t>
  </si>
  <si>
    <t>Включение штепсельных разъемов в аппаратуру, количество контактов в разъеме до 14</t>
  </si>
  <si>
    <t>1 разъем</t>
  </si>
  <si>
    <t>ТСН-2001.4 Доп. 67, Сб. 11, т. 14, поз. 1</t>
  </si>
  <si>
    <t>51</t>
  </si>
  <si>
    <t>КА, п.17</t>
  </si>
  <si>
    <t>Патч-корд U/UTP, категория 5е, 2xRJ45/8p8c, неэкранированный, белый, LSZH, 2м PC-UTP-RJ45-Cat.5e-2m-WH-LSZH</t>
  </si>
  <si>
    <t>[268,34 / 1,22 /  9,84] +  2% Заг.скл</t>
  </si>
  <si>
    <t>52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</si>
  <si>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</si>
  <si>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</si>
  <si>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</si>
  <si>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</si>
  <si>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53</t>
  </si>
  <si>
    <t>1.1-1-3828</t>
  </si>
  <si>
    <t>кг</t>
  </si>
  <si>
    <t>ТСН-2001.1 Доп. 79, Р. 1, о. 1, поз. 3828</t>
  </si>
  <si>
    <t>Материалы строительные</t>
  </si>
  <si>
    <t>ТСН-2001.1 Материалы строительные</t>
  </si>
  <si>
    <t>ТСН-2001.1-1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</si>
  <si>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</si>
  <si>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</si>
  <si>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</si>
  <si>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</si>
  <si>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</si>
  <si>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</si>
  <si>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</si>
  <si>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</si>
  <si>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</si>
  <si>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</si>
  <si>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Базовый уровень цен</t>
  </si>
  <si>
    <t>Сборник индексов</t>
  </si>
  <si>
    <t>Коэффициенты к ТСН-2001 МГЭ Дополнение 81, строительство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</si>
  <si>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</si>
  <si>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</si>
  <si>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</si>
  <si>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</si>
  <si>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</si>
  <si>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</si>
  <si>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</si>
  <si>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</si>
  <si>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1.1-1-1866</t>
  </si>
  <si>
    <t>ТСН-2001.1 Доп. 79, Р. 1, о. 1, поз. 1866</t>
  </si>
  <si>
    <t>Жесть белая, толщина 0,22 мм</t>
  </si>
  <si>
    <t>т</t>
  </si>
  <si>
    <t>1.1-1-1919</t>
  </si>
  <si>
    <t>ТСН-2001.1 Доп. 79, Р. 1, о. 1, поз. 1919</t>
  </si>
  <si>
    <t>Кислота соляная синтетическая техническая</t>
  </si>
  <si>
    <t>1.1-1-2911</t>
  </si>
  <si>
    <t>ТСН-2001.1 Доп. 67, Р. 1, о. 1, поз. 2911</t>
  </si>
  <si>
    <t>Лак электроизоляционный меламиноалкидный, типа МЛ-92</t>
  </si>
  <si>
    <t>1.1-1-3164</t>
  </si>
  <si>
    <t>ТСН-2001.1 Доп. 67, Р. 1, о. 1, поз. 3164</t>
  </si>
  <si>
    <t>Эмаль нитроцеллюлозная, цветная, типа НЦ-132</t>
  </si>
  <si>
    <t>1.1-1-330</t>
  </si>
  <si>
    <t>ТСН-2001.1 Доп. 79, Р. 1, о. 1, поз. 330</t>
  </si>
  <si>
    <t>Канифоль</t>
  </si>
  <si>
    <t>1.1-1-335</t>
  </si>
  <si>
    <t>ТСН-2001.1 Доп. 79, Р. 1, о. 1, поз. 335</t>
  </si>
  <si>
    <t>Картон электроизоляционный, типа ЭВ-05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</si>
  <si>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</si>
  <si>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</si>
  <si>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</si>
  <si>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1.1-2-63</t>
  </si>
  <si>
    <t>ТСН-2001.1. Доп. 1-42. Р. 1, о. 2, поз. 63</t>
  </si>
  <si>
    <t>Нитки суровые</t>
  </si>
  <si>
    <t>г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</si>
  <si>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</si>
  <si>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</si>
  <si>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</si>
  <si>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9999990002</t>
  </si>
  <si>
    <t>Масса оборудования</t>
  </si>
  <si>
    <t>2.1-4-12</t>
  </si>
  <si>
    <t>ТСН-2001.2. Доп. 68. п.1-4-12 (040205)</t>
  </si>
  <si>
    <t>Автопогрузчики вилочные, грузоподъемность до 5 т</t>
  </si>
  <si>
    <t>маш.-ч</t>
  </si>
  <si>
    <t>9999990009</t>
  </si>
  <si>
    <t>1.1-1-1051</t>
  </si>
  <si>
    <t>ТСН-2001.1 Доп. 79, Р. 1, о. 1, поз. 1051</t>
  </si>
  <si>
    <t>Солидол жировой</t>
  </si>
  <si>
    <t>1.1-1-1079</t>
  </si>
  <si>
    <t>ТСН-2001.1 Доп. 79, Р. 1, о. 1, поз. 1079</t>
  </si>
  <si>
    <t>Лист стальной, оцинкованный, толщина 0,5 мм</t>
  </si>
  <si>
    <t>1.1-1-146</t>
  </si>
  <si>
    <t>ТСН-2001.1 Доп. 79, Р. 1, о. 1, поз. 146</t>
  </si>
  <si>
    <t>Гипс строительный</t>
  </si>
  <si>
    <t>1.1-1-1600</t>
  </si>
  <si>
    <t>ТСН-2001.1 Доп. 73, Р. 1, о. 1, поз. 1600</t>
  </si>
  <si>
    <t>Лента полиэтиленовая с липким слоем, ширина 30 мм</t>
  </si>
  <si>
    <t>1.1-1-207</t>
  </si>
  <si>
    <t>ТСН-2001.1 Доп. 79, Р. 1, о. 1, поз. 207</t>
  </si>
  <si>
    <t>Пиломатериал (доска) необрезной хвойных пород естественной влажности, сорт III, толщина 50 мм, ширина от 100 до 200 мм</t>
  </si>
  <si>
    <t>м3</t>
  </si>
  <si>
    <t>1.1-1-3607</t>
  </si>
  <si>
    <t>ТСН-2001.1 Доп. 79, Р. 1, о. 1, поз. 3607</t>
  </si>
  <si>
    <t>Шурупы с полукруглой головкой, диаметр 4 мм, длина 40 мм</t>
  </si>
  <si>
    <t>1.1-1-8007</t>
  </si>
  <si>
    <t>ТСН-2001.1 Доп. 80, Р. 1, о. 1, поз. 8007</t>
  </si>
  <si>
    <t>Дюбель пластмассовый с шурупом, диаметр 12 мм, длина 70 мм, диаметр шурупа 8 мм, длина шурупа 70 мм</t>
  </si>
  <si>
    <t>1.1-1-962</t>
  </si>
  <si>
    <t>ТСН-2001.1 Доп. 79, Р. 1, о. 1, поз. 962</t>
  </si>
  <si>
    <t>Проволока стальная низкоуглеродистая общего назначения, диаметр 1,1 мм</t>
  </si>
  <si>
    <t>1.21-5-1141</t>
  </si>
  <si>
    <t>ТСН-2001.1 Доп. 67, Р. 21, о. 5, поз. 1141</t>
  </si>
  <si>
    <t>Трубка (кембрик) изоляционная из ПВХ пластиката, диаметр 5 мм</t>
  </si>
  <si>
    <t>1.21-5-1466</t>
  </si>
  <si>
    <t>ТСН-2001.1 Доп. 79, Р. 21, о. 5, поз. 1466</t>
  </si>
  <si>
    <t>Скоба двухлапковая стальная оцинкованная, для кабелей диаметром от 8 до 9 мм</t>
  </si>
  <si>
    <t>1000 шт.</t>
  </si>
  <si>
    <t>1.21-5-194</t>
  </si>
  <si>
    <t>ТСН-2001.1 Доп. 73, Р. 21, о. 5, поз. 194</t>
  </si>
  <si>
    <t>Коробка для установки выключателей, переключателей, штепсельных розеток в сборных гипсовых перегородках</t>
  </si>
  <si>
    <t>1.1-1-1092</t>
  </si>
  <si>
    <t>ТСН-2001.1 Доп. 79, Р. 1, о. 1, поз. 1092</t>
  </si>
  <si>
    <t>Полоса из стали углеродистой обыкновенного качества, спокойной</t>
  </si>
  <si>
    <t>1.1-1-1583</t>
  </si>
  <si>
    <t>ТСН-2001.1 Доп. 79, Р. 1, о. 1, поз. 1583</t>
  </si>
  <si>
    <t>Эмаль эпоксидная, белая или цветная, типа ЭП-140</t>
  </si>
  <si>
    <t>1.1-1-3693</t>
  </si>
  <si>
    <t>ТСН-2001.1 Доп. 80, Р. 1, о. 1, поз. 3693</t>
  </si>
  <si>
    <t>Дюбель распорный пластмассовый, диаметр 6 мм, длина 40 мм</t>
  </si>
  <si>
    <t>2.1-18-7</t>
  </si>
  <si>
    <t>ТСН-2001.2. Доп. 68. п.1-18-7 (183001)</t>
  </si>
  <si>
    <t>Автомобили грузовые бортовые, грузоподъемность до 5 т</t>
  </si>
  <si>
    <t>1.1-1-1920</t>
  </si>
  <si>
    <t>ТСН-2001.1. Доп. 1-42. Р. 1, о. 1, поз. 1920</t>
  </si>
  <si>
    <t>Электроэнергия</t>
  </si>
  <si>
    <t>квт.-ч.</t>
  </si>
  <si>
    <t>1.1-1-944</t>
  </si>
  <si>
    <t>ТСН-2001.1 Доп. 79, Р. 1, о. 1, поз. 944</t>
  </si>
  <si>
    <t>Припой оловянно-свинцовый, в прутках, диаметр 8 мм, типа ПОС-30</t>
  </si>
  <si>
    <t>1.21-5-1180</t>
  </si>
  <si>
    <t>ТСН-2001.1 Доп. 79, Р. 21, о. 5, поз. 1180</t>
  </si>
  <si>
    <t>Бирка маркировочная для кабелей и проводов, типа У134 У3,5</t>
  </si>
  <si>
    <t>2.1-4-34</t>
  </si>
  <si>
    <t>ТСН-2001.2. Доп. 68. п.1-4-34 (042906)</t>
  </si>
  <si>
    <t>Лебедки электрические, тяговое усилие до 49,05 кН (5 тс)</t>
  </si>
  <si>
    <t>1.1-1-78</t>
  </si>
  <si>
    <t>ТСН-2001.1 Доп. 79, Р. 1, о. 1, поз. 78</t>
  </si>
  <si>
    <t>Пиломатериал (брусок) обрезной хвойных пород естественной влажности, сорт II, толщина 75 мм, ширина 75 мм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</si>
  <si>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</si>
  <si>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</si>
  <si>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</si>
  <si>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</si>
  <si>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</si>
  <si>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</si>
  <si>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1.1-1-2494</t>
  </si>
  <si>
    <t>ТСН-2001.1 Доп. 79, Р. 1, о. 1, поз. 2494</t>
  </si>
  <si>
    <t>Шурупы-саморезы, диаметр 3,5 мм, длина 45 мм</t>
  </si>
  <si>
    <t>1.21-5-926</t>
  </si>
  <si>
    <t>ТСН-2001.1 Доп. 67, Р. 21, о. 5, поз. 926</t>
  </si>
  <si>
    <t>Хомут (стяжка) кабельный из полиамида, размеры 3,6х200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</si>
  <si>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</si>
  <si>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</si>
  <si>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</si>
  <si>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</si>
  <si>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</si>
  <si>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</si>
  <si>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2.1-30-102</t>
  </si>
  <si>
    <t>ТСН-2001.2. Доп. 68. п.1-30-102 (303704)</t>
  </si>
  <si>
    <t>Дрели, мощность до 800 Вт</t>
  </si>
  <si>
    <t>1.1-1-1669</t>
  </si>
  <si>
    <t>ТСН-2001.1 Доп. 79, Р. 1, о. 1, поз. 1669</t>
  </si>
  <si>
    <t>Электроды, типа Э-42А, диаметр от 4 до 6 мм</t>
  </si>
  <si>
    <t>1.1-1-2381</t>
  </si>
  <si>
    <t>ТСН-2001.1 Доп. 79, Р. 1, о. 1, поз. 2381</t>
  </si>
  <si>
    <t>Винты с полукруглой головкой, М6х10</t>
  </si>
  <si>
    <t>1.21-5-1652</t>
  </si>
  <si>
    <t>ТСН-2001.1 Доп. 66, Р. 21, о. 5, поз. 1652</t>
  </si>
  <si>
    <t>Полоска типа К-405 с пряжкой типа К-407, стальные, для крепления проводов</t>
  </si>
  <si>
    <t>6571000000</t>
  </si>
  <si>
    <t>Радиостанции цветного телевидения однопрограммная мощностью 5/1 кВт</t>
  </si>
  <si>
    <t>КОМПЛЕКТ</t>
  </si>
  <si>
    <t>4041900000</t>
  </si>
  <si>
    <t>Платы, устанавливаемые на готовом месте стойки</t>
  </si>
  <si>
    <t>1297020000</t>
  </si>
  <si>
    <t>Болты строительные с гайками и шайбами (1297030000, 1610000000, 1620000000, 1680000000)</t>
  </si>
  <si>
    <t>6677000000</t>
  </si>
  <si>
    <t>Комплекты грозозащиты для воздушных абонентских линий</t>
  </si>
  <si>
    <t>5296220000</t>
  </si>
  <si>
    <t>Коробки оконечные</t>
  </si>
  <si>
    <t>4200000000</t>
  </si>
  <si>
    <t>Аппараты настольные (4000000000, 4300000000)</t>
  </si>
  <si>
    <t>6573000000</t>
  </si>
  <si>
    <t>Щиты распределительные настенного типа (6574200000)</t>
  </si>
  <si>
    <t>3464430000</t>
  </si>
  <si>
    <t>Розетки штепсельные скрытого типа (3464010000)</t>
  </si>
  <si>
    <t>2248200000</t>
  </si>
  <si>
    <t>Трубы электротехнические гофрированные (2248100000)</t>
  </si>
  <si>
    <t>3449651000</t>
  </si>
  <si>
    <t>Держатели пластиковые для крепления труб</t>
  </si>
  <si>
    <t>3574100000</t>
  </si>
  <si>
    <t>Кабели связи симметричные (3573110000)</t>
  </si>
  <si>
    <t>км</t>
  </si>
  <si>
    <t>3449953000</t>
  </si>
  <si>
    <t>Скобы для крепления кабеля</t>
  </si>
  <si>
    <t>3500000000</t>
  </si>
  <si>
    <t>Провода (марка и сечение по проекту)</t>
  </si>
  <si>
    <t>4594300000</t>
  </si>
  <si>
    <t>Винты с полукруглой головкой</t>
  </si>
  <si>
    <t>1.1-1-7994</t>
  </si>
  <si>
    <t>ТСН-2001.1 Доп. 79, Р. 1, о. 1, поз. 7994</t>
  </si>
  <si>
    <t>Шнур асбестовый, общего назначения, типа ШАОН, диаметр от 3 до 5 мм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</si>
  <si>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</si>
  <si>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</si>
  <si>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</si>
  <si>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</si>
  <si>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</si>
  <si>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</si>
  <si>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</si>
  <si>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</si>
  <si>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1.1</t>
  </si>
  <si>
    <t>КА</t>
  </si>
  <si>
    <t>ИП Иванников Вячеслав Петрович</t>
  </si>
  <si>
    <t>621401462596</t>
  </si>
  <si>
    <t>стр. п.</t>
  </si>
  <si>
    <t>1.2</t>
  </si>
  <si>
    <t>ООО "АРГО"</t>
  </si>
  <si>
    <t>7804628380</t>
  </si>
  <si>
    <t>1.3</t>
  </si>
  <si>
    <t>ИП Трифонова Любовь Владимировна</t>
  </si>
  <si>
    <t>772861067947</t>
  </si>
  <si>
    <t>2.1</t>
  </si>
  <si>
    <t>2.2</t>
  </si>
  <si>
    <t>2.3</t>
  </si>
  <si>
    <t>ООО «МСБ»</t>
  </si>
  <si>
    <t>9717003989</t>
  </si>
  <si>
    <t>3.1</t>
  </si>
  <si>
    <t>3.2</t>
  </si>
  <si>
    <t>ООО "Планетасвета"</t>
  </si>
  <si>
    <t>7841035886</t>
  </si>
  <si>
    <t>3.3</t>
  </si>
  <si>
    <t>ООО "Интеллектуальная Техника"</t>
  </si>
  <si>
    <t>7811174392</t>
  </si>
  <si>
    <t>4.1</t>
  </si>
  <si>
    <t>ООО «Формула Защиты»</t>
  </si>
  <si>
    <t>7806523834</t>
  </si>
  <si>
    <t>4.2</t>
  </si>
  <si>
    <t>ООО «ТД «РРК»</t>
  </si>
  <si>
    <t>7802835600</t>
  </si>
  <si>
    <t>4.3</t>
  </si>
  <si>
    <t>АО "ЧИП и ДИП"</t>
  </si>
  <si>
    <t>7729108750</t>
  </si>
  <si>
    <t>5.1</t>
  </si>
  <si>
    <t>5.2</t>
  </si>
  <si>
    <t>ООО «Радио Точка»</t>
  </si>
  <si>
    <t>9723169037</t>
  </si>
  <si>
    <t>5.3</t>
  </si>
  <si>
    <t>ООО "Корпорация Информтелесеть"</t>
  </si>
  <si>
    <t>7702584039</t>
  </si>
  <si>
    <t>6.1</t>
  </si>
  <si>
    <t>6.2</t>
  </si>
  <si>
    <t>6.3</t>
  </si>
  <si>
    <t>7.1</t>
  </si>
  <si>
    <t>ООО "Эквивалент"</t>
  </si>
  <si>
    <t>7805754500</t>
  </si>
  <si>
    <t>7.2</t>
  </si>
  <si>
    <t>7.3</t>
  </si>
  <si>
    <t>8.1</t>
  </si>
  <si>
    <t>ООО "Олмитек"</t>
  </si>
  <si>
    <t>9715407270</t>
  </si>
  <si>
    <t>8.2</t>
  </si>
  <si>
    <t>ООО "Радио-Дуплекс"</t>
  </si>
  <si>
    <t>7718933750</t>
  </si>
  <si>
    <t>8.3</t>
  </si>
  <si>
    <t>9.1</t>
  </si>
  <si>
    <t>ООО «ПФ АКТ»</t>
  </si>
  <si>
    <t>7702459140</t>
  </si>
  <si>
    <t>9.2</t>
  </si>
  <si>
    <t>ООО "ЛАНМАРК"</t>
  </si>
  <si>
    <t>5018131860</t>
  </si>
  <si>
    <t>9.3</t>
  </si>
  <si>
    <t>10.1</t>
  </si>
  <si>
    <t>ООО "ТД Тинко"</t>
  </si>
  <si>
    <t>7702680818</t>
  </si>
  <si>
    <t>10.2</t>
  </si>
  <si>
    <t>АО «ТД Электротехмонтаж»</t>
  </si>
  <si>
    <t>7842224734</t>
  </si>
  <si>
    <t>10.3</t>
  </si>
  <si>
    <t>ООО «ВсеИнструменты.ру»</t>
  </si>
  <si>
    <t>7722753969</t>
  </si>
  <si>
    <t>11.1</t>
  </si>
  <si>
    <t>11.2</t>
  </si>
  <si>
    <t>ООО "Русский Свет"</t>
  </si>
  <si>
    <t>7704844420</t>
  </si>
  <si>
    <t>11.3</t>
  </si>
  <si>
    <t>ООО "Электроточка"</t>
  </si>
  <si>
    <t>7708364047</t>
  </si>
  <si>
    <t>12.1</t>
  </si>
  <si>
    <t>12.2</t>
  </si>
  <si>
    <t>12.3</t>
  </si>
  <si>
    <t>ООО "Тантос"</t>
  </si>
  <si>
    <t>9721058155</t>
  </si>
  <si>
    <t>13.1</t>
  </si>
  <si>
    <t>13.2</t>
  </si>
  <si>
    <t>ООО «ВИДЕОГЛАЗ ЦЕНТР»</t>
  </si>
  <si>
    <t>7719840097</t>
  </si>
  <si>
    <t>13.3</t>
  </si>
  <si>
    <t>ООО "ТПД Паритет"</t>
  </si>
  <si>
    <t>5074008028</t>
  </si>
  <si>
    <t>14.1</t>
  </si>
  <si>
    <t>14.2</t>
  </si>
  <si>
    <t>14.3</t>
  </si>
  <si>
    <t>15.1</t>
  </si>
  <si>
    <t>15.2</t>
  </si>
  <si>
    <t>15.3</t>
  </si>
  <si>
    <t>16.1</t>
  </si>
  <si>
    <t>16.2</t>
  </si>
  <si>
    <t>16.3</t>
  </si>
  <si>
    <t>17.1</t>
  </si>
  <si>
    <t>ООО "Ситилинк"</t>
  </si>
  <si>
    <t>7718979307</t>
  </si>
  <si>
    <t>17.2</t>
  </si>
  <si>
    <t>17.3</t>
  </si>
  <si>
    <t>ООО «ОЛМИ»</t>
  </si>
  <si>
    <t>5029156850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</si>
  <si>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</si>
  <si>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</si>
  <si>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</si>
  <si>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Герметик силиконовый однокомпонентный, огнезащитный, нейтральный, диапазон температур применения от -60 до +260°С, условная прочность при растяжении не менее 1,5 МПа, относительное удлинение при растяжении не менее 100%, для огнестойкого уплотнения и герметизации кабелей и кабельной продукции, деформационных швов в строительных конструкциях, фиксации дверей и стеклопакетов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</si>
  <si>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</si>
  <si>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</si>
  <si>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</si>
  <si>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</si>
  <si>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</si>
  <si>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</si>
  <si>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</si>
  <si>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</si>
  <si>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</si>
  <si>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</si>
  <si>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</si>
  <si>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</si>
  <si>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</si>
  <si>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</si>
  <si>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</si>
  <si>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</si>
  <si>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</si>
  <si>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</si>
  <si>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</si>
  <si>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</si>
  <si>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</si>
  <si>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</si>
  <si>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</si>
  <si>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</si>
  <si>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</si>
  <si>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</si>
  <si>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02-01-11 РТС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</si>
  <si>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</si>
  <si>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</si>
  <si>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</si>
  <si>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</si>
  <si>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</si>
  <si>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</si>
  <si>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</si>
  <si>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</si>
  <si>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</si>
  <si>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</si>
  <si>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</si>
  <si>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</si>
  <si>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</si>
  <si>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ЭМ</t>
  </si>
  <si>
    <t>в т.ч. ЗПМ</t>
  </si>
  <si>
    <t xml:space="preserve">   Итого по ТСН-2001.16</t>
  </si>
  <si>
    <t xml:space="preserve">   Итого возвратных сумм</t>
  </si>
  <si>
    <t>МР</t>
  </si>
  <si>
    <r>
      <t>ОБОРУДОВАНИЕ:_x000D_
Устройство подачи программ вещания УППВ 1918 М1 исп. У</t>
    </r>
    <r>
      <rPr>
        <i/>
        <sz val="10"/>
        <color rgb="FF821E82"/>
        <rFont val="Arial"/>
        <family val="2"/>
        <charset val="204"/>
      </rPr>
      <t xml:space="preserve">
58 238,71 = [516 000 / 1,22 /  7,57] +  3% Трансп +  1,2% Заг.скл</t>
    </r>
  </si>
  <si>
    <r>
      <t>ОБОРУДОВАНИЕ:_x000D_
Модуль для приема интернет вещания радиостанции "Радио Москвы" для установки в БИП-03</t>
    </r>
    <r>
      <rPr>
        <i/>
        <sz val="10"/>
        <color rgb="FF821E82"/>
        <rFont val="Arial"/>
        <family val="2"/>
        <charset val="204"/>
      </rPr>
      <t xml:space="preserve">
3 453,69 = [30 600 / 1,22 /  7,57] +  3% Трансп +  1,2% Заг.скл</t>
    </r>
  </si>
  <si>
    <t>ОБОРУДОВАНИЕ:_x000D_
Антенна эфирная UNF, частотный диапазон от 470 до 790 MHz, коэффициент усиления антенны от 14 до 16 дБ, каналы от 21 до 60. Габаритные размеры 450х2356x400 мм</t>
  </si>
  <si>
    <r>
      <t>ОБОРУДОВАНИЕ:_x000D_
Грозозащита 75 Ом ОВР</t>
    </r>
    <r>
      <rPr>
        <i/>
        <sz val="10"/>
        <color rgb="FF821E82"/>
        <rFont val="Arial"/>
        <family val="2"/>
        <charset val="204"/>
      </rPr>
      <t xml:space="preserve">
253,95 = [2 250 / 1,22 /  7,57] +  3% Трансп +  1,2% Заг.скл</t>
    </r>
  </si>
  <si>
    <r>
      <t>ОБОРУДОВАНИЕ:_x000D_
Приёмник трёхпрограммный проводного вещания Нейва ПТ-322-1</t>
    </r>
    <r>
      <rPr>
        <i/>
        <sz val="10"/>
        <color rgb="FF821E82"/>
        <rFont val="Arial"/>
        <family val="2"/>
        <charset val="204"/>
      </rPr>
      <t xml:space="preserve">
735,89 = [6 520 / 1,22 /  7,57] +  3% Трансп +  1,2% Заг.скл</t>
    </r>
  </si>
  <si>
    <r>
      <t>ОБОРУДОВАНИЕ:_x000D_
Объектовая станция "ОСПИ-ТАНДЕМ"</t>
    </r>
    <r>
      <rPr>
        <i/>
        <sz val="10"/>
        <color rgb="FF821E82"/>
        <rFont val="Arial"/>
        <family val="2"/>
        <charset val="204"/>
      </rPr>
      <t xml:space="preserve">
14 108,22 = [125 000 / 1,22 /  7,57] +  3% Трансп +  1,2% Заг.скл</t>
    </r>
  </si>
  <si>
    <r>
      <t>ОБОРУДОВАНИЕ:_x000D_
Устройство сопряжения с РСО г. Москвы УС-1 (БАО-РСПИ-БСМС)</t>
    </r>
    <r>
      <rPr>
        <i/>
        <sz val="10"/>
        <color rgb="FF821E82"/>
        <rFont val="Arial"/>
        <family val="2"/>
        <charset val="204"/>
      </rPr>
      <t xml:space="preserve">
93 114,22 = [825 000 / 1,22 /  7,57] +  3% Трансп +  1,2% Заг.скл</t>
    </r>
  </si>
  <si>
    <r>
      <t>ОБОРУДОВАНИЕ:_x000D_
Базовая всенаправленная антенна UHF комплектно с противовесами, монтажным набором A-200 MU</t>
    </r>
    <r>
      <rPr>
        <i/>
        <sz val="10"/>
        <color rgb="FF821E82"/>
        <rFont val="Arial"/>
        <family val="2"/>
        <charset val="204"/>
      </rPr>
      <t xml:space="preserve">
1 399,54 = [12 400 / 1,22 /  7,57] +  3% Трансп +  1,2% Заг.скл</t>
    </r>
  </si>
  <si>
    <r>
      <t>ОБОРУДОВАНИЕ:_x000D_
Грозозащита 50 Ом N722-Q</t>
    </r>
    <r>
      <rPr>
        <i/>
        <sz val="10"/>
        <color rgb="FF821E82"/>
        <rFont val="Arial"/>
        <family val="2"/>
        <charset val="204"/>
      </rPr>
      <t xml:space="preserve">
720,08 = [6 380 / 1,22 /  7,57] +  3% Трансп +  1,2% Заг.скл</t>
    </r>
  </si>
  <si>
    <t>ОБОРУДОВАНИЕ:_x000D_
Мачта для телевизионной антенны, высота не более 6 м, без защелок-натяжителей и проволоки для оттяжек. Максимальное количество устанавливаемых антенн не более 3 шт.</t>
  </si>
  <si>
    <r>
      <t>Комплект крепления для антенной мачты МА50 МА20</t>
    </r>
    <r>
      <rPr>
        <i/>
        <sz val="10"/>
        <rFont val="Arial"/>
        <family val="2"/>
        <charset val="204"/>
      </rPr>
      <t xml:space="preserve">
296,53 = [3 490 / 1,22 /  9,84] +  2% Заг.скл</t>
    </r>
  </si>
  <si>
    <r>
      <t>Гибкая гофрированная ПЛЛ труба без содержания галогенов, ДУ20, O 19.7 / 14.8 мм, протяжка, цвет белый</t>
    </r>
    <r>
      <rPr>
        <i/>
        <sz val="10"/>
        <rFont val="Arial"/>
        <family val="2"/>
        <charset val="204"/>
      </rPr>
      <t xml:space="preserve">
11,33 = [133,33 / 1,22 /  9,84] +  2% Заг.скл</t>
    </r>
  </si>
  <si>
    <r>
      <t>Коаксиальный кабель РК50-7-313нг(А)-HF</t>
    </r>
    <r>
      <rPr>
        <i/>
        <sz val="10"/>
        <rFont val="Arial"/>
        <family val="2"/>
        <charset val="204"/>
      </rPr>
      <t xml:space="preserve">
34,22 = [402,8 / 1,22 /  9,84] +  2% Заг.скл</t>
    </r>
  </si>
  <si>
    <r>
      <t>Коаксиальный кабель  РК75-4,8-319нг(А)-LSLTx</t>
    </r>
    <r>
      <rPr>
        <i/>
        <sz val="10"/>
        <rFont val="Arial"/>
        <family val="2"/>
        <charset val="204"/>
      </rPr>
      <t xml:space="preserve">
14,70 = [172,99 / 1,22 /  9,84] +  2% Заг.скл</t>
    </r>
  </si>
  <si>
    <r>
      <t>Кабель сигнальный низкотоксичный КСВВнг(А)-LSLTx 1x2x1,38</t>
    </r>
    <r>
      <rPr>
        <i/>
        <sz val="10"/>
        <rFont val="Arial"/>
        <family val="2"/>
        <charset val="204"/>
      </rPr>
      <t xml:space="preserve">
11,13 = [131 / 1,22 /  9,84] +  2% Заг.скл</t>
    </r>
  </si>
  <si>
    <r>
      <t>Кабель сигнальный низкотоксичный КСВВнг(А)-LSLTx 1x2x0,8</t>
    </r>
    <r>
      <rPr>
        <i/>
        <sz val="10"/>
        <rFont val="Arial"/>
        <family val="2"/>
        <charset val="204"/>
      </rPr>
      <t xml:space="preserve">
4,39 = [51,6 / 1,22 /  9,84] +  2% Заг.скл</t>
    </r>
  </si>
  <si>
    <r>
      <t>Кабель сигнальный огнестойкий низкотоксичный КСРВнг(А)-FRLSLTx2x2x0,80</t>
    </r>
    <r>
      <rPr>
        <i/>
        <sz val="10"/>
        <rFont val="Arial"/>
        <family val="2"/>
        <charset val="204"/>
      </rPr>
      <t xml:space="preserve">
14,01 = [165 / 1,22 /  9,84] +  2% Заг.скл</t>
    </r>
  </si>
  <si>
    <r>
      <t>Кабель симметричный парной скрутки КПСВЭВнг(А)-LSLTx2x2x0,75</t>
    </r>
    <r>
      <rPr>
        <i/>
        <sz val="10"/>
        <rFont val="Arial"/>
        <family val="2"/>
        <charset val="204"/>
      </rPr>
      <t xml:space="preserve">
8,40 = [98,95 / 1,22 /  9,84] +  2% Заг.скл</t>
    </r>
  </si>
  <si>
    <r>
      <t>Патч-корд U/UTP, категория 5е, 2xRJ45/8p8c, неэкранированный, белый, LSZH, 2м PC-UTP-RJ45-Cat.5e-2m-WH-LSZH</t>
    </r>
    <r>
      <rPr>
        <i/>
        <sz val="10"/>
        <rFont val="Arial"/>
        <family val="2"/>
        <charset val="204"/>
      </rPr>
      <t xml:space="preserve">
22,80 = [268,34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</si>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</sst>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17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right" vertical="top"/>
    </xf>
    <xf numFmtId="164" fontId="17" fillId="0" borderId="0" xfId="0" applyNumberFormat="1" applyFont="1" applyAlignment="1">
      <alignment horizontal="right"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7" fillId="0" borderId="0" xfId="0" applyFont="1" applyAlignment="1">
      <alignment horizontal="left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2" fillId="0" borderId="0" xfId="0" applyFont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</cellXfs>
  <cellStyles count="2">
    <cellStyle name="Обычный" xfId="0" builtinId="0"/>
    <cellStyle name="Обычный 4" xfId="1" xr:uid="{C5785A92-2887-4EB9-9F52-4D1261109E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1952-EB14-45F2-A93B-3A9706224863}">
  <sheetPr>
    <pageSetUpPr fitToPage="1"/>
  </sheetPr>
  <dimension ref="A1:AQ463"/>
  <sheetViews>
    <sheetView tabSelected="1" view="pageBreakPreview" topLeftCell="A420" zoomScaleNormal="100" zoomScaleSheetLayoutView="100" workbookViewId="0">
      <selection activeCell="C26" sqref="C26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5" width="7.7265625" bestFit="1" customWidth="1"/>
    <col min="6" max="6" width="9.6328125" bestFit="1" customWidth="1"/>
    <col min="7" max="7" width="8.453125" bestFit="1" customWidth="1"/>
    <col min="9" max="9" width="9.90625" bestFit="1" customWidth="1"/>
    <col min="10" max="10" width="9.81640625" bestFit="1" customWidth="1"/>
    <col min="11" max="11" width="10.7265625" bestFit="1" customWidth="1"/>
    <col min="15" max="41" width="0" hidden="1" customWidth="1"/>
    <col min="42" max="42" width="129.08984375" hidden="1" customWidth="1"/>
    <col min="43" max="43" width="94.9062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24" t="s">
        <v>623</v>
      </c>
      <c r="K2" s="24"/>
    </row>
    <row r="3" spans="1:42" ht="16.5" hidden="1" x14ac:dyDescent="0.35">
      <c r="A3" s="18"/>
      <c r="B3" s="19" t="s">
        <v>621</v>
      </c>
      <c r="C3" s="19"/>
      <c r="D3" s="19"/>
      <c r="E3" s="19"/>
      <c r="F3" s="17"/>
      <c r="G3" s="19" t="s">
        <v>622</v>
      </c>
      <c r="H3" s="19"/>
      <c r="I3" s="19"/>
      <c r="J3" s="19"/>
      <c r="K3" s="19"/>
    </row>
    <row r="4" spans="1:42" ht="14" hidden="1" x14ac:dyDescent="0.3">
      <c r="A4" s="17"/>
      <c r="B4" s="20"/>
      <c r="C4" s="20"/>
      <c r="D4" s="20"/>
      <c r="E4" s="20"/>
      <c r="F4" s="17"/>
      <c r="G4" s="20"/>
      <c r="H4" s="20"/>
      <c r="I4" s="20"/>
      <c r="J4" s="20"/>
      <c r="K4" s="20"/>
    </row>
    <row r="5" spans="1:42" ht="14" hidden="1" x14ac:dyDescent="0.3">
      <c r="A5" s="17"/>
      <c r="B5" s="17"/>
      <c r="C5" s="21"/>
      <c r="D5" s="21"/>
      <c r="E5" s="21"/>
      <c r="F5" s="17"/>
      <c r="G5" s="21"/>
      <c r="H5" s="21"/>
      <c r="I5" s="21"/>
      <c r="J5" s="21"/>
      <c r="K5" s="21"/>
    </row>
    <row r="6" spans="1:42" ht="14" hidden="1" x14ac:dyDescent="0.3">
      <c r="A6" s="21"/>
      <c r="B6" s="20" t="str">
        <f>CONCATENATE("______________________ ", IF(Source!AL12&lt;&gt;"", Source!AL12, ""))</f>
        <v xml:space="preserve">______________________ </v>
      </c>
      <c r="C6" s="20"/>
      <c r="D6" s="20"/>
      <c r="E6" s="20"/>
      <c r="F6" s="17"/>
      <c r="G6" s="20" t="str">
        <f>CONCATENATE("______________________ ", IF(Source!AH12&lt;&gt;"", Source!AH12, ""))</f>
        <v xml:space="preserve">______________________ </v>
      </c>
      <c r="H6" s="20"/>
      <c r="I6" s="20"/>
      <c r="J6" s="20"/>
      <c r="K6" s="20"/>
    </row>
    <row r="7" spans="1:42" ht="14" hidden="1" x14ac:dyDescent="0.3">
      <c r="A7" s="22"/>
      <c r="B7" s="23" t="s">
        <v>624</v>
      </c>
      <c r="C7" s="23"/>
      <c r="D7" s="23"/>
      <c r="E7" s="23"/>
      <c r="F7" s="17"/>
      <c r="G7" s="23" t="s">
        <v>624</v>
      </c>
      <c r="H7" s="23"/>
      <c r="I7" s="23"/>
      <c r="J7" s="23"/>
      <c r="K7" s="23"/>
    </row>
    <row r="8" spans="1:42" hidden="1" x14ac:dyDescent="0.25"/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25" t="s">
        <v>689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AP10" s="40" t="s">
        <v>647</v>
      </c>
    </row>
    <row r="11" spans="1:42" x14ac:dyDescent="0.25">
      <c r="A11" s="26" t="s">
        <v>625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25" t="str">
        <f>CONCATENATE( "ЛОКАЛЬНАЯ СМЕТА № ",IF(Source!F12&lt;&gt;"Новый объект", Source!F12, ""))</f>
        <v>ЛОКАЛЬНАЯ СМЕТА № 02-01-11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28" t="str">
        <f>Source!G20</f>
        <v>Радиотрансляционная сеть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42" x14ac:dyDescent="0.25">
      <c r="A16" s="29" t="s">
        <v>626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31" t="str">
        <f>CONCATENATE( "Основание: чертежи № ", Source!J12)</f>
        <v>Основание: чертежи № 2024-00375-01-0-ИОС5.4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42" ht="14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42" ht="56" x14ac:dyDescent="0.3">
      <c r="A20" s="17"/>
      <c r="B20" s="17"/>
      <c r="C20" s="17"/>
      <c r="D20" s="17"/>
      <c r="E20" s="17"/>
      <c r="F20" s="17"/>
      <c r="G20" s="17"/>
      <c r="H20" s="17"/>
      <c r="I20" s="76" t="s">
        <v>627</v>
      </c>
      <c r="J20" s="76" t="s">
        <v>628</v>
      </c>
      <c r="K20" s="17"/>
    </row>
    <row r="21" spans="1:42" ht="14" x14ac:dyDescent="0.3">
      <c r="A21" s="17"/>
      <c r="B21" s="17"/>
      <c r="C21" s="17"/>
      <c r="D21" s="17"/>
      <c r="E21" s="33" t="s">
        <v>629</v>
      </c>
      <c r="F21" s="33"/>
      <c r="G21" s="33"/>
      <c r="H21" s="33"/>
      <c r="I21" s="34">
        <f>I22+I23+I24+I25</f>
        <v>243.21</v>
      </c>
      <c r="J21" s="34">
        <f>J22+J23+J24+J25</f>
        <v>2138.84</v>
      </c>
      <c r="K21" s="35" t="s">
        <v>685</v>
      </c>
    </row>
    <row r="22" spans="1:42" ht="14" x14ac:dyDescent="0.3">
      <c r="A22" s="17"/>
      <c r="B22" s="17"/>
      <c r="C22" s="17"/>
      <c r="D22" s="17"/>
      <c r="E22" s="20" t="s">
        <v>630</v>
      </c>
      <c r="F22" s="20"/>
      <c r="G22" s="20"/>
      <c r="H22" s="20"/>
      <c r="I22" s="36">
        <f>ROUND((Source!F360)/1000, 2)</f>
        <v>1.45</v>
      </c>
      <c r="J22" s="36">
        <f>ROUND((Source!P360)/1000, 2)</f>
        <v>81.459999999999994</v>
      </c>
      <c r="K22" s="17" t="s">
        <v>685</v>
      </c>
    </row>
    <row r="23" spans="1:42" ht="14" x14ac:dyDescent="0.3">
      <c r="A23" s="17"/>
      <c r="B23" s="17"/>
      <c r="C23" s="17"/>
      <c r="D23" s="17"/>
      <c r="E23" s="20" t="s">
        <v>631</v>
      </c>
      <c r="F23" s="20"/>
      <c r="G23" s="20"/>
      <c r="H23" s="20"/>
      <c r="I23" s="36">
        <f>ROUND((Source!F361)/1000, 2)</f>
        <v>65.010000000000005</v>
      </c>
      <c r="J23" s="36">
        <f>ROUND((Source!P361)/1000, 2)</f>
        <v>715.11</v>
      </c>
      <c r="K23" s="17" t="s">
        <v>685</v>
      </c>
    </row>
    <row r="24" spans="1:42" ht="14" x14ac:dyDescent="0.3">
      <c r="A24" s="17"/>
      <c r="B24" s="17"/>
      <c r="C24" s="17"/>
      <c r="D24" s="17"/>
      <c r="E24" s="20" t="s">
        <v>632</v>
      </c>
      <c r="F24" s="20"/>
      <c r="G24" s="20"/>
      <c r="H24" s="20"/>
      <c r="I24" s="36">
        <f>ROUND((Source!F352)/1000, 2)</f>
        <v>176.75</v>
      </c>
      <c r="J24" s="36">
        <f>ROUND((Source!P352)/1000, 2)</f>
        <v>1342.27</v>
      </c>
      <c r="K24" s="17" t="s">
        <v>685</v>
      </c>
    </row>
    <row r="25" spans="1:42" ht="14" x14ac:dyDescent="0.3">
      <c r="A25" s="17"/>
      <c r="B25" s="17"/>
      <c r="C25" s="17"/>
      <c r="D25" s="17"/>
      <c r="E25" s="20" t="s">
        <v>633</v>
      </c>
      <c r="F25" s="20"/>
      <c r="G25" s="20"/>
      <c r="H25" s="20"/>
      <c r="I25" s="36">
        <f>ROUND((Source!F362+Source!F363)/1000, 2)</f>
        <v>0</v>
      </c>
      <c r="J25" s="36">
        <f>ROUND((Source!P362+Source!P363)/1000, 2)</f>
        <v>0</v>
      </c>
      <c r="K25" s="17" t="s">
        <v>685</v>
      </c>
    </row>
    <row r="26" spans="1:42" ht="14" x14ac:dyDescent="0.3">
      <c r="A26" s="17"/>
      <c r="B26" s="17"/>
      <c r="C26" s="17"/>
      <c r="D26" s="17"/>
      <c r="E26" s="20" t="s">
        <v>634</v>
      </c>
      <c r="F26" s="20"/>
      <c r="G26" s="20"/>
      <c r="H26" s="20"/>
      <c r="I26" s="36">
        <f>(Source!F358+ Source!F357)/1000</f>
        <v>4.4972300000000001</v>
      </c>
      <c r="J26" s="36">
        <f>((Source!P358 + Source!P357)/1000)</f>
        <v>253.41891000000001</v>
      </c>
      <c r="K26" s="17" t="s">
        <v>685</v>
      </c>
    </row>
    <row r="27" spans="1:42" ht="14" x14ac:dyDescent="0.3">
      <c r="A27" s="17"/>
      <c r="B27" s="17"/>
      <c r="C27" s="17"/>
      <c r="D27" s="17"/>
      <c r="E27" s="20" t="s">
        <v>635</v>
      </c>
      <c r="F27" s="20"/>
      <c r="G27" s="20"/>
      <c r="H27" s="20"/>
      <c r="I27" s="36">
        <f>Source!F365</f>
        <v>366.44694004799999</v>
      </c>
      <c r="J27" s="36"/>
      <c r="K27" s="17" t="s">
        <v>341</v>
      </c>
    </row>
    <row r="28" spans="1:42" ht="14" hidden="1" x14ac:dyDescent="0.3">
      <c r="A28" s="17"/>
      <c r="B28" s="17"/>
      <c r="C28" s="17"/>
      <c r="D28" s="17"/>
      <c r="E28" s="20" t="s">
        <v>636</v>
      </c>
      <c r="F28" s="20"/>
      <c r="G28" s="20"/>
      <c r="H28" s="20"/>
      <c r="I28" s="36"/>
      <c r="J28" s="36"/>
      <c r="K28" s="17"/>
    </row>
    <row r="29" spans="1:42" ht="14" hidden="1" x14ac:dyDescent="0.3">
      <c r="A29" s="17"/>
      <c r="B29" s="17"/>
      <c r="C29" s="17"/>
      <c r="D29" s="17"/>
      <c r="E29" s="37" t="s">
        <v>127</v>
      </c>
      <c r="F29" s="37"/>
      <c r="G29" s="37"/>
      <c r="H29" s="37"/>
      <c r="I29" s="36">
        <f>SUM(Y1:Y456)/1000</f>
        <v>0</v>
      </c>
      <c r="J29" s="36">
        <f>SUM(Z1:Z456)/1000</f>
        <v>0</v>
      </c>
      <c r="K29" s="17" t="s">
        <v>685</v>
      </c>
    </row>
    <row r="30" spans="1:42" ht="14" x14ac:dyDescent="0.3">
      <c r="A30" s="17"/>
      <c r="B30" s="17"/>
      <c r="C30" s="17"/>
      <c r="D30" s="17"/>
      <c r="E30" s="17"/>
      <c r="F30" s="21"/>
      <c r="G30" s="21"/>
      <c r="H30" s="21"/>
      <c r="I30" s="36"/>
      <c r="J30" s="36"/>
      <c r="K30" s="17"/>
    </row>
    <row r="31" spans="1:42" ht="14" x14ac:dyDescent="0.3">
      <c r="A31" s="17" t="s">
        <v>648</v>
      </c>
      <c r="B31" s="17"/>
      <c r="C31" s="17"/>
      <c r="D31" s="17"/>
      <c r="E31" s="17"/>
      <c r="F31" s="21"/>
      <c r="G31" s="21"/>
      <c r="H31" s="21"/>
      <c r="I31" s="36"/>
      <c r="J31" s="36"/>
      <c r="K31" s="17"/>
    </row>
    <row r="32" spans="1:42" ht="28" x14ac:dyDescent="0.3">
      <c r="A32" s="31" t="s">
        <v>649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P32" s="41" t="s">
        <v>649</v>
      </c>
    </row>
    <row r="33" spans="1:29" ht="98" x14ac:dyDescent="0.25">
      <c r="A33" s="38" t="s">
        <v>637</v>
      </c>
      <c r="B33" s="38" t="s">
        <v>638</v>
      </c>
      <c r="C33" s="38" t="s">
        <v>639</v>
      </c>
      <c r="D33" s="38" t="s">
        <v>640</v>
      </c>
      <c r="E33" s="38" t="s">
        <v>641</v>
      </c>
      <c r="F33" s="38" t="s">
        <v>642</v>
      </c>
      <c r="G33" s="39" t="s">
        <v>643</v>
      </c>
      <c r="H33" s="39" t="s">
        <v>644</v>
      </c>
      <c r="I33" s="38" t="s">
        <v>650</v>
      </c>
      <c r="J33" s="77" t="s">
        <v>645</v>
      </c>
      <c r="K33" s="38" t="s">
        <v>646</v>
      </c>
    </row>
    <row r="34" spans="1:29" ht="14" x14ac:dyDescent="0.25">
      <c r="A34" s="38">
        <v>1</v>
      </c>
      <c r="B34" s="38">
        <v>2</v>
      </c>
      <c r="C34" s="38">
        <v>3</v>
      </c>
      <c r="D34" s="38">
        <v>4</v>
      </c>
      <c r="E34" s="38">
        <v>5</v>
      </c>
      <c r="F34" s="38">
        <v>6</v>
      </c>
      <c r="G34" s="38">
        <v>7</v>
      </c>
      <c r="H34" s="38">
        <v>8</v>
      </c>
      <c r="I34" s="38">
        <v>9</v>
      </c>
      <c r="J34" s="38">
        <v>10</v>
      </c>
      <c r="K34" s="38">
        <v>11</v>
      </c>
    </row>
    <row r="36" spans="1:29" ht="16.5" x14ac:dyDescent="0.25">
      <c r="A36" s="42" t="str">
        <f>CONCATENATE("Локальная смета: ",IF(Source!G20&lt;&gt;"Новая локальная смета", Source!G20, ""))</f>
        <v>Локальная смета: Радиотрансляционная сеть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8" spans="1:29" ht="16.5" x14ac:dyDescent="0.25">
      <c r="A38" s="42" t="str">
        <f>CONCATENATE("Раздел: ",IF(Source!G24&lt;&gt;"Новый раздел", Source!G24, ""))</f>
        <v>Раздел: Демонтажные работы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</row>
    <row r="39" spans="1:29" ht="56" x14ac:dyDescent="0.25">
      <c r="A39" s="43">
        <v>1</v>
      </c>
      <c r="B39" s="43" t="str">
        <f>Source!F28</f>
        <v>4.10-73-1</v>
      </c>
      <c r="C39" s="43" t="s">
        <v>21</v>
      </c>
      <c r="D39" s="45" t="str">
        <f>Source!H28</f>
        <v>1 комплект</v>
      </c>
      <c r="E39" s="44">
        <f>Source!I28</f>
        <v>1</v>
      </c>
      <c r="F39" s="47"/>
      <c r="G39" s="46"/>
      <c r="H39" s="44"/>
      <c r="I39" s="47"/>
      <c r="J39" s="44"/>
      <c r="K39" s="47"/>
      <c r="Q39">
        <f>Source!X28</f>
        <v>45.19</v>
      </c>
      <c r="R39">
        <f>Source!X29</f>
        <v>2546.54</v>
      </c>
      <c r="S39">
        <f>Source!Y28</f>
        <v>25.21</v>
      </c>
      <c r="T39">
        <f>Source!Y29</f>
        <v>1420.7</v>
      </c>
      <c r="U39">
        <f>ROUND((175/100)*ROUND(Source!R28, 2), 2)</f>
        <v>0</v>
      </c>
      <c r="V39">
        <f>ROUND((0/100)*ROUND(Source!R29, 2), 2)</f>
        <v>0</v>
      </c>
      <c r="AC39">
        <v>0</v>
      </c>
    </row>
    <row r="40" spans="1:29" ht="14.5" x14ac:dyDescent="0.25">
      <c r="A40" s="43"/>
      <c r="B40" s="43"/>
      <c r="C40" s="43" t="s">
        <v>651</v>
      </c>
      <c r="D40" s="45"/>
      <c r="E40" s="44"/>
      <c r="F40" s="47">
        <f>Source!AO28</f>
        <v>126.2</v>
      </c>
      <c r="G40" s="48" t="s">
        <v>652</v>
      </c>
      <c r="H40" s="44">
        <f>Source!AV29</f>
        <v>1.0469999999999999</v>
      </c>
      <c r="I40" s="47">
        <f>Source!S28</f>
        <v>47.57</v>
      </c>
      <c r="J40" s="44">
        <f>IF(Source!BA29&lt;&gt; 0, Source!BA29, 1)</f>
        <v>56.35</v>
      </c>
      <c r="K40" s="47">
        <f>Source!S29</f>
        <v>2680.57</v>
      </c>
    </row>
    <row r="41" spans="1:29" ht="14.5" x14ac:dyDescent="0.25">
      <c r="A41" s="43"/>
      <c r="B41" s="43"/>
      <c r="C41" s="43" t="s">
        <v>653</v>
      </c>
      <c r="D41" s="45" t="s">
        <v>654</v>
      </c>
      <c r="E41" s="44">
        <f>Source!BZ29</f>
        <v>95</v>
      </c>
      <c r="F41" s="47"/>
      <c r="G41" s="46"/>
      <c r="H41" s="44"/>
      <c r="I41" s="47">
        <f>SUM(Q39:Q40)</f>
        <v>45.19</v>
      </c>
      <c r="J41" s="44">
        <f>Source!AT29</f>
        <v>95</v>
      </c>
      <c r="K41" s="47">
        <f>SUM(R39:R40)</f>
        <v>2546.54</v>
      </c>
    </row>
    <row r="42" spans="1:29" ht="14.5" x14ac:dyDescent="0.25">
      <c r="A42" s="43"/>
      <c r="B42" s="43"/>
      <c r="C42" s="43" t="s">
        <v>655</v>
      </c>
      <c r="D42" s="45" t="s">
        <v>654</v>
      </c>
      <c r="E42" s="44">
        <f>Source!CA29</f>
        <v>53</v>
      </c>
      <c r="F42" s="47"/>
      <c r="G42" s="46"/>
      <c r="H42" s="44"/>
      <c r="I42" s="47">
        <f>SUM(S39:S41)</f>
        <v>25.21</v>
      </c>
      <c r="J42" s="44">
        <f>Source!AU29</f>
        <v>53</v>
      </c>
      <c r="K42" s="47">
        <f>SUM(T39:T41)</f>
        <v>1420.7</v>
      </c>
    </row>
    <row r="43" spans="1:29" ht="14.5" x14ac:dyDescent="0.25">
      <c r="A43" s="49"/>
      <c r="B43" s="49"/>
      <c r="C43" s="49" t="s">
        <v>656</v>
      </c>
      <c r="D43" s="50" t="s">
        <v>657</v>
      </c>
      <c r="E43" s="51">
        <f>Source!AQ28</f>
        <v>10</v>
      </c>
      <c r="F43" s="52"/>
      <c r="G43" s="53" t="s">
        <v>652</v>
      </c>
      <c r="H43" s="51">
        <f>Source!AV29</f>
        <v>1.0469999999999999</v>
      </c>
      <c r="I43" s="52">
        <f>Source!U28</f>
        <v>3.7691999999999992</v>
      </c>
      <c r="J43" s="51"/>
      <c r="K43" s="52"/>
    </row>
    <row r="44" spans="1:29" ht="14" x14ac:dyDescent="0.25">
      <c r="C44" s="54" t="s">
        <v>658</v>
      </c>
      <c r="H44" s="55">
        <f>I40+I41+I42+0-0-0</f>
        <v>117.97</v>
      </c>
      <c r="I44" s="55"/>
      <c r="J44" s="55">
        <f>K40+K41+K42+0-0-0</f>
        <v>6647.81</v>
      </c>
      <c r="K44" s="55"/>
    </row>
    <row r="45" spans="1:29" ht="14" hidden="1" x14ac:dyDescent="0.25">
      <c r="C45" s="54" t="s">
        <v>659</v>
      </c>
      <c r="H45" s="57">
        <f>0+0</f>
        <v>0</v>
      </c>
      <c r="I45" s="57"/>
      <c r="J45" s="57">
        <f>0+0</f>
        <v>0</v>
      </c>
      <c r="K45" s="57"/>
    </row>
    <row r="46" spans="1:29" ht="14" x14ac:dyDescent="0.25">
      <c r="C46" s="54" t="s">
        <v>660</v>
      </c>
      <c r="H46" s="57">
        <f>I40+I41+I42+0</f>
        <v>117.97</v>
      </c>
      <c r="I46" s="57"/>
      <c r="J46" s="57">
        <f>K40+K41+K42+0</f>
        <v>6647.81</v>
      </c>
      <c r="K46" s="57"/>
      <c r="O46" s="58">
        <f>I40+I41+I42+0</f>
        <v>117.97</v>
      </c>
      <c r="P46" s="58">
        <f>K40+K41+K42+0</f>
        <v>6647.81</v>
      </c>
    </row>
    <row r="48" spans="1:29" ht="56" x14ac:dyDescent="0.25">
      <c r="A48" s="43">
        <v>2</v>
      </c>
      <c r="B48" s="43" t="str">
        <f>Source!F30</f>
        <v>4.10-32-4</v>
      </c>
      <c r="C48" s="43" t="s">
        <v>32</v>
      </c>
      <c r="D48" s="45" t="str">
        <f>Source!H30</f>
        <v>1  ШТ.</v>
      </c>
      <c r="E48" s="44">
        <f>Source!I30</f>
        <v>1</v>
      </c>
      <c r="F48" s="47"/>
      <c r="G48" s="46"/>
      <c r="H48" s="44"/>
      <c r="I48" s="47"/>
      <c r="J48" s="44"/>
      <c r="K48" s="47"/>
      <c r="Q48">
        <f>Source!X30</f>
        <v>8.31</v>
      </c>
      <c r="R48">
        <f>Source!X31</f>
        <v>468.1</v>
      </c>
      <c r="S48">
        <f>Source!Y30</f>
        <v>4.25</v>
      </c>
      <c r="T48">
        <f>Source!Y31</f>
        <v>239.25</v>
      </c>
      <c r="U48">
        <f>ROUND((175/100)*ROUND(Source!R30, 2), 2)</f>
        <v>0.67</v>
      </c>
      <c r="V48">
        <f>ROUND((0/100)*ROUND(Source!R31, 2), 2)</f>
        <v>0</v>
      </c>
      <c r="AC48">
        <v>0</v>
      </c>
    </row>
    <row r="49" spans="1:29" ht="14.5" x14ac:dyDescent="0.25">
      <c r="A49" s="43"/>
      <c r="B49" s="43"/>
      <c r="C49" s="43" t="s">
        <v>651</v>
      </c>
      <c r="D49" s="45"/>
      <c r="E49" s="44"/>
      <c r="F49" s="47">
        <f>Source!AO30</f>
        <v>23.48</v>
      </c>
      <c r="G49" s="48" t="s">
        <v>652</v>
      </c>
      <c r="H49" s="44">
        <f>Source!AV31</f>
        <v>1.0469999999999999</v>
      </c>
      <c r="I49" s="47">
        <f>Source!S30</f>
        <v>8.85</v>
      </c>
      <c r="J49" s="44">
        <f>IF(Source!BA31&lt;&gt; 0, Source!BA31, 1)</f>
        <v>56.35</v>
      </c>
      <c r="K49" s="47">
        <f>Source!S31</f>
        <v>498.7</v>
      </c>
    </row>
    <row r="50" spans="1:29" ht="14.5" x14ac:dyDescent="0.25">
      <c r="A50" s="43"/>
      <c r="B50" s="43"/>
      <c r="C50" s="43" t="s">
        <v>661</v>
      </c>
      <c r="D50" s="45"/>
      <c r="E50" s="44"/>
      <c r="F50" s="47">
        <f>Source!AM30</f>
        <v>9.19</v>
      </c>
      <c r="G50" s="48" t="s">
        <v>652</v>
      </c>
      <c r="H50" s="44">
        <f>Source!AV31</f>
        <v>1.0469999999999999</v>
      </c>
      <c r="I50" s="47">
        <f>Source!Q30</f>
        <v>3.46</v>
      </c>
      <c r="J50" s="44">
        <f>IF(Source!BB31&lt;&gt; 0, Source!BB31, 1)</f>
        <v>16.149999999999999</v>
      </c>
      <c r="K50" s="47">
        <f>Source!Q31</f>
        <v>55.88</v>
      </c>
    </row>
    <row r="51" spans="1:29" ht="14.5" x14ac:dyDescent="0.25">
      <c r="A51" s="43"/>
      <c r="B51" s="43"/>
      <c r="C51" s="43" t="s">
        <v>662</v>
      </c>
      <c r="D51" s="45"/>
      <c r="E51" s="44"/>
      <c r="F51" s="47">
        <f>Source!AN30</f>
        <v>1.01</v>
      </c>
      <c r="G51" s="48" t="s">
        <v>652</v>
      </c>
      <c r="H51" s="44">
        <f>Source!AV31</f>
        <v>1.0469999999999999</v>
      </c>
      <c r="I51" s="59">
        <f>Source!R30</f>
        <v>0.38</v>
      </c>
      <c r="J51" s="44">
        <f>IF(Source!BS31&lt;&gt; 0, Source!BS31, 1)</f>
        <v>56.35</v>
      </c>
      <c r="K51" s="59">
        <f>Source!R31</f>
        <v>21.41</v>
      </c>
    </row>
    <row r="52" spans="1:29" ht="14.5" x14ac:dyDescent="0.25">
      <c r="A52" s="43"/>
      <c r="B52" s="43"/>
      <c r="C52" s="43" t="s">
        <v>653</v>
      </c>
      <c r="D52" s="45" t="s">
        <v>654</v>
      </c>
      <c r="E52" s="44">
        <f>Source!BZ31</f>
        <v>90</v>
      </c>
      <c r="F52" s="47"/>
      <c r="G52" s="46"/>
      <c r="H52" s="44"/>
      <c r="I52" s="47">
        <f>SUM(Q48:Q51)</f>
        <v>8.31</v>
      </c>
      <c r="J52" s="44">
        <f>Source!AT31</f>
        <v>90</v>
      </c>
      <c r="K52" s="47">
        <f>SUM(R48:R51)</f>
        <v>468.1</v>
      </c>
    </row>
    <row r="53" spans="1:29" ht="14.5" x14ac:dyDescent="0.25">
      <c r="A53" s="43"/>
      <c r="B53" s="43"/>
      <c r="C53" s="43" t="s">
        <v>655</v>
      </c>
      <c r="D53" s="45" t="s">
        <v>654</v>
      </c>
      <c r="E53" s="44">
        <f>Source!CA31</f>
        <v>46</v>
      </c>
      <c r="F53" s="47"/>
      <c r="G53" s="46"/>
      <c r="H53" s="44"/>
      <c r="I53" s="47">
        <f>SUM(S48:S52)</f>
        <v>4.25</v>
      </c>
      <c r="J53" s="44">
        <f>Source!AU31</f>
        <v>46</v>
      </c>
      <c r="K53" s="47">
        <f>SUM(T48:T52)</f>
        <v>239.25</v>
      </c>
    </row>
    <row r="54" spans="1:29" ht="14.5" x14ac:dyDescent="0.25">
      <c r="A54" s="49"/>
      <c r="B54" s="49"/>
      <c r="C54" s="49" t="s">
        <v>656</v>
      </c>
      <c r="D54" s="50" t="s">
        <v>657</v>
      </c>
      <c r="E54" s="51">
        <f>Source!AQ30</f>
        <v>2.1</v>
      </c>
      <c r="F54" s="52"/>
      <c r="G54" s="53" t="s">
        <v>652</v>
      </c>
      <c r="H54" s="51">
        <f>Source!AV31</f>
        <v>1.0469999999999999</v>
      </c>
      <c r="I54" s="52">
        <f>Source!U30</f>
        <v>0.7915319999999999</v>
      </c>
      <c r="J54" s="51"/>
      <c r="K54" s="52"/>
    </row>
    <row r="55" spans="1:29" ht="14" x14ac:dyDescent="0.25">
      <c r="C55" s="54" t="s">
        <v>658</v>
      </c>
      <c r="H55" s="55">
        <f>I49+I50+I52+I53+0-0-0</f>
        <v>24.869999999999997</v>
      </c>
      <c r="I55" s="55"/>
      <c r="J55" s="55">
        <f>K49+K50+K52+K53+0-0-0</f>
        <v>1261.93</v>
      </c>
      <c r="K55" s="55"/>
    </row>
    <row r="56" spans="1:29" ht="14" hidden="1" x14ac:dyDescent="0.25">
      <c r="C56" s="54" t="s">
        <v>659</v>
      </c>
      <c r="H56" s="57">
        <f>0+0</f>
        <v>0</v>
      </c>
      <c r="I56" s="57"/>
      <c r="J56" s="57">
        <f>0+0</f>
        <v>0</v>
      </c>
      <c r="K56" s="57"/>
    </row>
    <row r="57" spans="1:29" ht="14" x14ac:dyDescent="0.25">
      <c r="C57" s="54" t="s">
        <v>660</v>
      </c>
      <c r="H57" s="57">
        <f>I49+I50+I52+I53+0</f>
        <v>24.869999999999997</v>
      </c>
      <c r="I57" s="57"/>
      <c r="J57" s="57">
        <f>K49+K50+K52+K53+0</f>
        <v>1261.93</v>
      </c>
      <c r="K57" s="57"/>
      <c r="O57" s="58">
        <f>I49+I50+I52+I53+0</f>
        <v>24.869999999999997</v>
      </c>
      <c r="P57" s="58">
        <f>K49+K50+K52+K53+0</f>
        <v>1261.93</v>
      </c>
    </row>
    <row r="59" spans="1:29" ht="56" x14ac:dyDescent="0.25">
      <c r="A59" s="43">
        <v>3</v>
      </c>
      <c r="B59" s="43" t="str">
        <f>Source!F32</f>
        <v>4.10-134-4</v>
      </c>
      <c r="C59" s="43" t="s">
        <v>39</v>
      </c>
      <c r="D59" s="45" t="str">
        <f>Source!H32</f>
        <v>1 антенна</v>
      </c>
      <c r="E59" s="44">
        <f>Source!I32</f>
        <v>1</v>
      </c>
      <c r="F59" s="47"/>
      <c r="G59" s="46"/>
      <c r="H59" s="44"/>
      <c r="I59" s="47"/>
      <c r="J59" s="44"/>
      <c r="K59" s="47"/>
      <c r="Q59">
        <f>Source!X32</f>
        <v>28.31</v>
      </c>
      <c r="R59">
        <f>Source!X33</f>
        <v>1595.27</v>
      </c>
      <c r="S59">
        <f>Source!Y32</f>
        <v>15.79</v>
      </c>
      <c r="T59">
        <f>Source!Y33</f>
        <v>889.99</v>
      </c>
      <c r="U59">
        <f>ROUND((175/100)*ROUND(Source!R32, 2), 2)</f>
        <v>0</v>
      </c>
      <c r="V59">
        <f>ROUND((0/100)*ROUND(Source!R33, 2), 2)</f>
        <v>0</v>
      </c>
      <c r="AC59">
        <v>0</v>
      </c>
    </row>
    <row r="60" spans="1:29" ht="14.5" x14ac:dyDescent="0.25">
      <c r="A60" s="43"/>
      <c r="B60" s="43"/>
      <c r="C60" s="43" t="s">
        <v>651</v>
      </c>
      <c r="D60" s="45"/>
      <c r="E60" s="44"/>
      <c r="F60" s="47">
        <f>Source!AO32</f>
        <v>76.150000000000006</v>
      </c>
      <c r="G60" s="48" t="s">
        <v>652</v>
      </c>
      <c r="H60" s="44">
        <f>Source!AV33</f>
        <v>1.087</v>
      </c>
      <c r="I60" s="47">
        <f>Source!S32</f>
        <v>29.8</v>
      </c>
      <c r="J60" s="44">
        <f>IF(Source!BA33&lt;&gt; 0, Source!BA33, 1)</f>
        <v>56.35</v>
      </c>
      <c r="K60" s="47">
        <f>Source!S33</f>
        <v>1679.23</v>
      </c>
    </row>
    <row r="61" spans="1:29" ht="14.5" x14ac:dyDescent="0.25">
      <c r="A61" s="43"/>
      <c r="B61" s="43"/>
      <c r="C61" s="43" t="s">
        <v>653</v>
      </c>
      <c r="D61" s="45" t="s">
        <v>654</v>
      </c>
      <c r="E61" s="44">
        <f>Source!BZ33</f>
        <v>95</v>
      </c>
      <c r="F61" s="47"/>
      <c r="G61" s="46"/>
      <c r="H61" s="44"/>
      <c r="I61" s="47">
        <f>SUM(Q59:Q60)</f>
        <v>28.31</v>
      </c>
      <c r="J61" s="44">
        <f>Source!AT33</f>
        <v>95</v>
      </c>
      <c r="K61" s="47">
        <f>SUM(R59:R60)</f>
        <v>1595.27</v>
      </c>
    </row>
    <row r="62" spans="1:29" ht="14.5" x14ac:dyDescent="0.25">
      <c r="A62" s="43"/>
      <c r="B62" s="43"/>
      <c r="C62" s="43" t="s">
        <v>655</v>
      </c>
      <c r="D62" s="45" t="s">
        <v>654</v>
      </c>
      <c r="E62" s="44">
        <f>Source!CA33</f>
        <v>53</v>
      </c>
      <c r="F62" s="47"/>
      <c r="G62" s="46"/>
      <c r="H62" s="44"/>
      <c r="I62" s="47">
        <f>SUM(S59:S61)</f>
        <v>15.79</v>
      </c>
      <c r="J62" s="44">
        <f>Source!AU33</f>
        <v>53</v>
      </c>
      <c r="K62" s="47">
        <f>SUM(T59:T61)</f>
        <v>889.99</v>
      </c>
    </row>
    <row r="63" spans="1:29" ht="14.5" x14ac:dyDescent="0.25">
      <c r="A63" s="49"/>
      <c r="B63" s="49"/>
      <c r="C63" s="49" t="s">
        <v>656</v>
      </c>
      <c r="D63" s="50" t="s">
        <v>657</v>
      </c>
      <c r="E63" s="51">
        <f>Source!AQ32</f>
        <v>5.37</v>
      </c>
      <c r="F63" s="52"/>
      <c r="G63" s="53" t="s">
        <v>652</v>
      </c>
      <c r="H63" s="51">
        <f>Source!AV33</f>
        <v>1.087</v>
      </c>
      <c r="I63" s="52">
        <f>Source!U32</f>
        <v>2.1013883999999998</v>
      </c>
      <c r="J63" s="51"/>
      <c r="K63" s="52"/>
    </row>
    <row r="64" spans="1:29" ht="14" x14ac:dyDescent="0.25">
      <c r="C64" s="54" t="s">
        <v>658</v>
      </c>
      <c r="H64" s="55">
        <f>I60+I61+I62+0-0-0</f>
        <v>73.900000000000006</v>
      </c>
      <c r="I64" s="55"/>
      <c r="J64" s="55">
        <f>K60+K61+K62+0-0-0</f>
        <v>4164.49</v>
      </c>
      <c r="K64" s="55"/>
    </row>
    <row r="65" spans="1:29" ht="14" hidden="1" x14ac:dyDescent="0.25">
      <c r="C65" s="54" t="s">
        <v>659</v>
      </c>
      <c r="H65" s="57">
        <f>0+0</f>
        <v>0</v>
      </c>
      <c r="I65" s="57"/>
      <c r="J65" s="57">
        <f>0+0</f>
        <v>0</v>
      </c>
      <c r="K65" s="57"/>
    </row>
    <row r="66" spans="1:29" ht="14" x14ac:dyDescent="0.25">
      <c r="C66" s="54" t="s">
        <v>660</v>
      </c>
      <c r="H66" s="57">
        <f>I60+I61+I62+0</f>
        <v>73.900000000000006</v>
      </c>
      <c r="I66" s="57"/>
      <c r="J66" s="57">
        <f>K60+K61+K62+0</f>
        <v>4164.49</v>
      </c>
      <c r="K66" s="57"/>
      <c r="O66" s="58">
        <f>I60+I61+I62+0</f>
        <v>73.900000000000006</v>
      </c>
      <c r="P66" s="58">
        <f>K60+K61+K62+0</f>
        <v>4164.49</v>
      </c>
    </row>
    <row r="68" spans="1:29" ht="42" x14ac:dyDescent="0.25">
      <c r="A68" s="43">
        <v>4</v>
      </c>
      <c r="B68" s="43" t="str">
        <f>Source!F34</f>
        <v>4.10-21-5</v>
      </c>
      <c r="C68" s="43" t="s">
        <v>44</v>
      </c>
      <c r="D68" s="45" t="str">
        <f>Source!H34</f>
        <v>1 комплект</v>
      </c>
      <c r="E68" s="44">
        <f>Source!I34</f>
        <v>1</v>
      </c>
      <c r="F68" s="47"/>
      <c r="G68" s="46"/>
      <c r="H68" s="44"/>
      <c r="I68" s="47"/>
      <c r="J68" s="44"/>
      <c r="K68" s="47"/>
      <c r="Q68">
        <f>Source!X34</f>
        <v>12.84</v>
      </c>
      <c r="R68">
        <f>Source!X35</f>
        <v>723.7</v>
      </c>
      <c r="S68">
        <f>Source!Y34</f>
        <v>6.56</v>
      </c>
      <c r="T68">
        <f>Source!Y35</f>
        <v>369.89</v>
      </c>
      <c r="U68">
        <f>ROUND((175/100)*ROUND(Source!R34, 2), 2)</f>
        <v>0</v>
      </c>
      <c r="V68">
        <f>ROUND((0/100)*ROUND(Source!R35, 2), 2)</f>
        <v>0</v>
      </c>
      <c r="AC68">
        <v>0</v>
      </c>
    </row>
    <row r="69" spans="1:29" ht="14.5" x14ac:dyDescent="0.25">
      <c r="A69" s="43"/>
      <c r="B69" s="43"/>
      <c r="C69" s="43" t="s">
        <v>651</v>
      </c>
      <c r="D69" s="45"/>
      <c r="E69" s="44"/>
      <c r="F69" s="47">
        <f>Source!AO34</f>
        <v>37.86</v>
      </c>
      <c r="G69" s="48" t="s">
        <v>652</v>
      </c>
      <c r="H69" s="44">
        <f>Source!AV35</f>
        <v>1.0469999999999999</v>
      </c>
      <c r="I69" s="47">
        <f>Source!S34</f>
        <v>14.27</v>
      </c>
      <c r="J69" s="44">
        <f>IF(Source!BA35&lt;&gt; 0, Source!BA35, 1)</f>
        <v>56.35</v>
      </c>
      <c r="K69" s="47">
        <f>Source!S35</f>
        <v>804.11</v>
      </c>
    </row>
    <row r="70" spans="1:29" ht="14.5" x14ac:dyDescent="0.25">
      <c r="A70" s="43"/>
      <c r="B70" s="43"/>
      <c r="C70" s="43" t="s">
        <v>653</v>
      </c>
      <c r="D70" s="45" t="s">
        <v>654</v>
      </c>
      <c r="E70" s="44">
        <f>Source!BZ35</f>
        <v>90</v>
      </c>
      <c r="F70" s="47"/>
      <c r="G70" s="46"/>
      <c r="H70" s="44"/>
      <c r="I70" s="47">
        <f>SUM(Q68:Q69)</f>
        <v>12.84</v>
      </c>
      <c r="J70" s="44">
        <f>Source!AT35</f>
        <v>90</v>
      </c>
      <c r="K70" s="47">
        <f>SUM(R68:R69)</f>
        <v>723.7</v>
      </c>
    </row>
    <row r="71" spans="1:29" ht="14.5" x14ac:dyDescent="0.25">
      <c r="A71" s="43"/>
      <c r="B71" s="43"/>
      <c r="C71" s="43" t="s">
        <v>655</v>
      </c>
      <c r="D71" s="45" t="s">
        <v>654</v>
      </c>
      <c r="E71" s="44">
        <f>Source!CA35</f>
        <v>46</v>
      </c>
      <c r="F71" s="47"/>
      <c r="G71" s="46"/>
      <c r="H71" s="44"/>
      <c r="I71" s="47">
        <f>SUM(S68:S70)</f>
        <v>6.56</v>
      </c>
      <c r="J71" s="44">
        <f>Source!AU35</f>
        <v>46</v>
      </c>
      <c r="K71" s="47">
        <f>SUM(T68:T70)</f>
        <v>369.89</v>
      </c>
    </row>
    <row r="72" spans="1:29" ht="14.5" x14ac:dyDescent="0.25">
      <c r="A72" s="49"/>
      <c r="B72" s="49"/>
      <c r="C72" s="49" t="s">
        <v>656</v>
      </c>
      <c r="D72" s="50" t="s">
        <v>657</v>
      </c>
      <c r="E72" s="51">
        <f>Source!AQ34</f>
        <v>3</v>
      </c>
      <c r="F72" s="52"/>
      <c r="G72" s="53" t="s">
        <v>652</v>
      </c>
      <c r="H72" s="51">
        <f>Source!AV35</f>
        <v>1.0469999999999999</v>
      </c>
      <c r="I72" s="52">
        <f>Source!U34</f>
        <v>1.1307599999999998</v>
      </c>
      <c r="J72" s="51"/>
      <c r="K72" s="52"/>
    </row>
    <row r="73" spans="1:29" ht="14" x14ac:dyDescent="0.25">
      <c r="C73" s="54" t="s">
        <v>658</v>
      </c>
      <c r="H73" s="55">
        <f>I69+I70+I71+0-0-0</f>
        <v>33.67</v>
      </c>
      <c r="I73" s="55"/>
      <c r="J73" s="55">
        <f>K69+K70+K71+0-0-0</f>
        <v>1897.6999999999998</v>
      </c>
      <c r="K73" s="55"/>
    </row>
    <row r="74" spans="1:29" ht="14" hidden="1" x14ac:dyDescent="0.25">
      <c r="C74" s="54" t="s">
        <v>659</v>
      </c>
      <c r="H74" s="57">
        <f>0+0</f>
        <v>0</v>
      </c>
      <c r="I74" s="57"/>
      <c r="J74" s="57">
        <f>0+0</f>
        <v>0</v>
      </c>
      <c r="K74" s="57"/>
    </row>
    <row r="75" spans="1:29" ht="14" x14ac:dyDescent="0.25">
      <c r="C75" s="54" t="s">
        <v>660</v>
      </c>
      <c r="H75" s="57">
        <f>I69+I70+I71+0</f>
        <v>33.67</v>
      </c>
      <c r="I75" s="57"/>
      <c r="J75" s="57">
        <f>K69+K70+K71+0</f>
        <v>1897.6999999999998</v>
      </c>
      <c r="K75" s="57"/>
      <c r="O75" s="58">
        <f>I69+I70+I71+0</f>
        <v>33.67</v>
      </c>
      <c r="P75" s="58">
        <f>K69+K70+K71+0</f>
        <v>1897.6999999999998</v>
      </c>
    </row>
    <row r="77" spans="1:29" ht="28" x14ac:dyDescent="0.25">
      <c r="A77" s="43">
        <v>5</v>
      </c>
      <c r="B77" s="43" t="str">
        <f>Source!F36</f>
        <v>4.10-118-12</v>
      </c>
      <c r="C77" s="43" t="s">
        <v>48</v>
      </c>
      <c r="D77" s="45" t="str">
        <f>Source!H36</f>
        <v>100 шт.</v>
      </c>
      <c r="E77" s="44">
        <f>Source!I36</f>
        <v>7.0000000000000007E-2</v>
      </c>
      <c r="F77" s="47"/>
      <c r="G77" s="46"/>
      <c r="H77" s="44"/>
      <c r="I77" s="47"/>
      <c r="J77" s="44"/>
      <c r="K77" s="47"/>
      <c r="Q77">
        <f>Source!X36</f>
        <v>6.62</v>
      </c>
      <c r="R77">
        <f>Source!X37</f>
        <v>372.75</v>
      </c>
      <c r="S77">
        <f>Source!Y36</f>
        <v>3.38</v>
      </c>
      <c r="T77">
        <f>Source!Y37</f>
        <v>190.52</v>
      </c>
      <c r="U77">
        <f>ROUND((175/100)*ROUND(Source!R36, 2), 2)</f>
        <v>0</v>
      </c>
      <c r="V77">
        <f>ROUND((0/100)*ROUND(Source!R37, 2), 2)</f>
        <v>0</v>
      </c>
      <c r="AC77">
        <v>0</v>
      </c>
    </row>
    <row r="78" spans="1:29" x14ac:dyDescent="0.25">
      <c r="C78" s="60" t="str">
        <f>"Объем: "&amp;Source!I36&amp;"=7/"&amp;"100"</f>
        <v>Объем: 0,07=7/100</v>
      </c>
    </row>
    <row r="79" spans="1:29" ht="14.5" x14ac:dyDescent="0.25">
      <c r="A79" s="43"/>
      <c r="B79" s="43"/>
      <c r="C79" s="43" t="s">
        <v>651</v>
      </c>
      <c r="D79" s="45"/>
      <c r="E79" s="44"/>
      <c r="F79" s="47">
        <f>Source!AO36</f>
        <v>278.64</v>
      </c>
      <c r="G79" s="48" t="s">
        <v>652</v>
      </c>
      <c r="H79" s="44">
        <f>Source!AV37</f>
        <v>1.0469999999999999</v>
      </c>
      <c r="I79" s="47">
        <f>Source!S36</f>
        <v>7.35</v>
      </c>
      <c r="J79" s="44">
        <f>IF(Source!BA37&lt;&gt; 0, Source!BA37, 1)</f>
        <v>56.35</v>
      </c>
      <c r="K79" s="47">
        <f>Source!S37</f>
        <v>414.17</v>
      </c>
    </row>
    <row r="80" spans="1:29" ht="14.5" x14ac:dyDescent="0.25">
      <c r="A80" s="43"/>
      <c r="B80" s="43"/>
      <c r="C80" s="43" t="s">
        <v>653</v>
      </c>
      <c r="D80" s="45" t="s">
        <v>654</v>
      </c>
      <c r="E80" s="44">
        <f>Source!BZ37</f>
        <v>90</v>
      </c>
      <c r="F80" s="47"/>
      <c r="G80" s="46"/>
      <c r="H80" s="44"/>
      <c r="I80" s="47">
        <f>SUM(Q77:Q79)</f>
        <v>6.62</v>
      </c>
      <c r="J80" s="44">
        <f>Source!AT37</f>
        <v>90</v>
      </c>
      <c r="K80" s="47">
        <f>SUM(R77:R79)</f>
        <v>372.75</v>
      </c>
    </row>
    <row r="81" spans="1:29" ht="14.5" x14ac:dyDescent="0.25">
      <c r="A81" s="43"/>
      <c r="B81" s="43"/>
      <c r="C81" s="43" t="s">
        <v>655</v>
      </c>
      <c r="D81" s="45" t="s">
        <v>654</v>
      </c>
      <c r="E81" s="44">
        <f>Source!CA37</f>
        <v>46</v>
      </c>
      <c r="F81" s="47"/>
      <c r="G81" s="46"/>
      <c r="H81" s="44"/>
      <c r="I81" s="47">
        <f>SUM(S77:S80)</f>
        <v>3.38</v>
      </c>
      <c r="J81" s="44">
        <f>Source!AU37</f>
        <v>46</v>
      </c>
      <c r="K81" s="47">
        <f>SUM(T77:T80)</f>
        <v>190.52</v>
      </c>
    </row>
    <row r="82" spans="1:29" ht="14.5" x14ac:dyDescent="0.25">
      <c r="A82" s="49"/>
      <c r="B82" s="49"/>
      <c r="C82" s="49" t="s">
        <v>656</v>
      </c>
      <c r="D82" s="50" t="s">
        <v>657</v>
      </c>
      <c r="E82" s="51">
        <f>Source!AQ36</f>
        <v>24</v>
      </c>
      <c r="F82" s="52"/>
      <c r="G82" s="53" t="s">
        <v>652</v>
      </c>
      <c r="H82" s="51">
        <f>Source!AV37</f>
        <v>1.0469999999999999</v>
      </c>
      <c r="I82" s="52">
        <f>Source!U36</f>
        <v>0.63322559999999994</v>
      </c>
      <c r="J82" s="51"/>
      <c r="K82" s="52"/>
    </row>
    <row r="83" spans="1:29" ht="14" x14ac:dyDescent="0.25">
      <c r="C83" s="54" t="s">
        <v>658</v>
      </c>
      <c r="H83" s="55">
        <f>I79+I80+I81+0-0-0</f>
        <v>17.349999999999998</v>
      </c>
      <c r="I83" s="55"/>
      <c r="J83" s="55">
        <f>K79+K80+K81+0-0-0</f>
        <v>977.44</v>
      </c>
      <c r="K83" s="55"/>
    </row>
    <row r="84" spans="1:29" ht="14" hidden="1" x14ac:dyDescent="0.25">
      <c r="C84" s="54" t="s">
        <v>659</v>
      </c>
      <c r="H84" s="57">
        <f>0+0</f>
        <v>0</v>
      </c>
      <c r="I84" s="57"/>
      <c r="J84" s="57">
        <f>0+0</f>
        <v>0</v>
      </c>
      <c r="K84" s="57"/>
    </row>
    <row r="85" spans="1:29" ht="14" x14ac:dyDescent="0.25">
      <c r="C85" s="54" t="s">
        <v>660</v>
      </c>
      <c r="H85" s="57">
        <f>I79+I80+I81+0</f>
        <v>17.349999999999998</v>
      </c>
      <c r="I85" s="57"/>
      <c r="J85" s="57">
        <f>K79+K80+K81+0</f>
        <v>977.44</v>
      </c>
      <c r="K85" s="57"/>
      <c r="O85" s="58">
        <f>I79+I80+I81+0</f>
        <v>17.349999999999998</v>
      </c>
      <c r="P85" s="58">
        <f>K79+K80+K81+0</f>
        <v>977.44</v>
      </c>
    </row>
    <row r="87" spans="1:29" ht="28" x14ac:dyDescent="0.25">
      <c r="A87" s="43">
        <v>6</v>
      </c>
      <c r="B87" s="43" t="str">
        <f>Source!F38</f>
        <v>6.67-7-1</v>
      </c>
      <c r="C87" s="43" t="s">
        <v>53</v>
      </c>
      <c r="D87" s="45" t="str">
        <f>Source!H38</f>
        <v>100 шт.</v>
      </c>
      <c r="E87" s="44">
        <f>Source!I38</f>
        <v>0.06</v>
      </c>
      <c r="F87" s="47"/>
      <c r="G87" s="46"/>
      <c r="H87" s="44"/>
      <c r="I87" s="47"/>
      <c r="J87" s="44"/>
      <c r="K87" s="47"/>
      <c r="Q87">
        <f>Source!X38</f>
        <v>4.0999999999999996</v>
      </c>
      <c r="R87">
        <f>Source!X39</f>
        <v>230.76</v>
      </c>
      <c r="S87">
        <f>Source!Y38</f>
        <v>2.16</v>
      </c>
      <c r="T87">
        <f>Source!Y39</f>
        <v>121.72</v>
      </c>
      <c r="U87">
        <f>ROUND((175/100)*ROUND(Source!R38, 2), 2)</f>
        <v>0</v>
      </c>
      <c r="V87">
        <f>ROUND((0/100)*ROUND(Source!R39, 2), 2)</f>
        <v>0</v>
      </c>
      <c r="AC87">
        <v>0</v>
      </c>
    </row>
    <row r="88" spans="1:29" x14ac:dyDescent="0.25">
      <c r="C88" s="60" t="str">
        <f>"Объем: "&amp;Source!I38&amp;"=6/"&amp;"100"</f>
        <v>Объем: 0,06=6/100</v>
      </c>
    </row>
    <row r="89" spans="1:29" ht="14.5" x14ac:dyDescent="0.25">
      <c r="A89" s="43"/>
      <c r="B89" s="43"/>
      <c r="C89" s="43" t="s">
        <v>651</v>
      </c>
      <c r="D89" s="45"/>
      <c r="E89" s="44"/>
      <c r="F89" s="47">
        <f>Source!AO38</f>
        <v>59.68</v>
      </c>
      <c r="G89" s="48" t="s">
        <v>152</v>
      </c>
      <c r="H89" s="44">
        <f>Source!AV39</f>
        <v>1.0469999999999999</v>
      </c>
      <c r="I89" s="47">
        <f>Source!S38</f>
        <v>4.5</v>
      </c>
      <c r="J89" s="44">
        <f>IF(Source!BA39&lt;&gt; 0, Source!BA39, 1)</f>
        <v>56.35</v>
      </c>
      <c r="K89" s="47">
        <f>Source!S39</f>
        <v>253.58</v>
      </c>
    </row>
    <row r="90" spans="1:29" ht="14.5" x14ac:dyDescent="0.25">
      <c r="A90" s="43"/>
      <c r="B90" s="43"/>
      <c r="C90" s="43" t="s">
        <v>653</v>
      </c>
      <c r="D90" s="45" t="s">
        <v>654</v>
      </c>
      <c r="E90" s="44">
        <f>Source!BZ39</f>
        <v>91</v>
      </c>
      <c r="F90" s="47"/>
      <c r="G90" s="46"/>
      <c r="H90" s="44"/>
      <c r="I90" s="47">
        <f>SUM(Q87:Q89)</f>
        <v>4.0999999999999996</v>
      </c>
      <c r="J90" s="44">
        <f>Source!AT39</f>
        <v>91</v>
      </c>
      <c r="K90" s="47">
        <f>SUM(R87:R89)</f>
        <v>230.76</v>
      </c>
    </row>
    <row r="91" spans="1:29" ht="14.5" x14ac:dyDescent="0.25">
      <c r="A91" s="43"/>
      <c r="B91" s="43"/>
      <c r="C91" s="43" t="s">
        <v>655</v>
      </c>
      <c r="D91" s="45" t="s">
        <v>654</v>
      </c>
      <c r="E91" s="44">
        <f>Source!CA39</f>
        <v>48</v>
      </c>
      <c r="F91" s="47"/>
      <c r="G91" s="46"/>
      <c r="H91" s="44"/>
      <c r="I91" s="47">
        <f>SUM(S87:S90)</f>
        <v>2.16</v>
      </c>
      <c r="J91" s="44">
        <f>Source!AU39</f>
        <v>48</v>
      </c>
      <c r="K91" s="47">
        <f>SUM(T87:T90)</f>
        <v>121.72</v>
      </c>
    </row>
    <row r="92" spans="1:29" ht="14.5" x14ac:dyDescent="0.25">
      <c r="A92" s="49"/>
      <c r="B92" s="49"/>
      <c r="C92" s="49" t="s">
        <v>656</v>
      </c>
      <c r="D92" s="50" t="s">
        <v>657</v>
      </c>
      <c r="E92" s="51">
        <f>Source!AQ38</f>
        <v>5.84</v>
      </c>
      <c r="F92" s="52"/>
      <c r="G92" s="53" t="s">
        <v>152</v>
      </c>
      <c r="H92" s="51">
        <f>Source!AV39</f>
        <v>1.0469999999999999</v>
      </c>
      <c r="I92" s="52">
        <f>Source!U38</f>
        <v>0.44024256</v>
      </c>
      <c r="J92" s="51"/>
      <c r="K92" s="52"/>
    </row>
    <row r="93" spans="1:29" ht="14" x14ac:dyDescent="0.25">
      <c r="C93" s="54" t="s">
        <v>658</v>
      </c>
      <c r="H93" s="55">
        <f>I89+I90+I91+0-0-0</f>
        <v>10.76</v>
      </c>
      <c r="I93" s="55"/>
      <c r="J93" s="55">
        <f>K89+K90+K91+0-0-0</f>
        <v>606.06000000000006</v>
      </c>
      <c r="K93" s="55"/>
    </row>
    <row r="94" spans="1:29" ht="14" hidden="1" x14ac:dyDescent="0.25">
      <c r="C94" s="54" t="s">
        <v>659</v>
      </c>
      <c r="H94" s="57">
        <f>0+0</f>
        <v>0</v>
      </c>
      <c r="I94" s="57"/>
      <c r="J94" s="57">
        <f>0+0</f>
        <v>0</v>
      </c>
      <c r="K94" s="57"/>
    </row>
    <row r="95" spans="1:29" ht="14" x14ac:dyDescent="0.25">
      <c r="C95" s="54" t="s">
        <v>660</v>
      </c>
      <c r="H95" s="57">
        <f>I89+I90+I91+0</f>
        <v>10.76</v>
      </c>
      <c r="I95" s="57"/>
      <c r="J95" s="57">
        <f>K89+K90+K91+0</f>
        <v>606.06000000000006</v>
      </c>
      <c r="K95" s="57"/>
      <c r="O95" s="58">
        <f>I89+I90+I91+0</f>
        <v>10.76</v>
      </c>
      <c r="P95" s="58">
        <f>K89+K90+K91+0</f>
        <v>606.06000000000006</v>
      </c>
    </row>
    <row r="97" spans="1:29" ht="28" x14ac:dyDescent="0.25">
      <c r="A97" s="43">
        <v>7</v>
      </c>
      <c r="B97" s="43" t="str">
        <f>Source!F40</f>
        <v>4.11-7-1</v>
      </c>
      <c r="C97" s="43" t="s">
        <v>63</v>
      </c>
      <c r="D97" s="45" t="str">
        <f>Source!H40</f>
        <v>1  ШТ.</v>
      </c>
      <c r="E97" s="44">
        <f>Source!I40</f>
        <v>6</v>
      </c>
      <c r="F97" s="47"/>
      <c r="G97" s="46"/>
      <c r="H97" s="44"/>
      <c r="I97" s="47"/>
      <c r="J97" s="44"/>
      <c r="K97" s="47"/>
      <c r="Q97">
        <f>Source!X40</f>
        <v>27.56</v>
      </c>
      <c r="R97">
        <f>Source!X41</f>
        <v>1552.9</v>
      </c>
      <c r="S97">
        <f>Source!Y40</f>
        <v>14.09</v>
      </c>
      <c r="T97">
        <f>Source!Y41</f>
        <v>793.7</v>
      </c>
      <c r="U97">
        <f>ROUND((175/100)*ROUND(Source!R40, 2), 2)</f>
        <v>8</v>
      </c>
      <c r="V97">
        <f>ROUND((0/100)*ROUND(Source!R41, 2), 2)</f>
        <v>0</v>
      </c>
      <c r="AC97">
        <v>0</v>
      </c>
    </row>
    <row r="98" spans="1:29" ht="14.5" x14ac:dyDescent="0.25">
      <c r="A98" s="43"/>
      <c r="B98" s="43"/>
      <c r="C98" s="43" t="s">
        <v>651</v>
      </c>
      <c r="D98" s="45"/>
      <c r="E98" s="44"/>
      <c r="F98" s="47">
        <f>Source!AO40</f>
        <v>11.52</v>
      </c>
      <c r="G98" s="48" t="s">
        <v>652</v>
      </c>
      <c r="H98" s="44">
        <f>Source!AV41</f>
        <v>1.0469999999999999</v>
      </c>
      <c r="I98" s="47">
        <f>Source!S40</f>
        <v>26.05</v>
      </c>
      <c r="J98" s="44">
        <f>IF(Source!BA41&lt;&gt; 0, Source!BA41, 1)</f>
        <v>56.35</v>
      </c>
      <c r="K98" s="47">
        <f>Source!S41</f>
        <v>1467.92</v>
      </c>
    </row>
    <row r="99" spans="1:29" ht="14.5" x14ac:dyDescent="0.25">
      <c r="A99" s="43"/>
      <c r="B99" s="43"/>
      <c r="C99" s="43" t="s">
        <v>661</v>
      </c>
      <c r="D99" s="45"/>
      <c r="E99" s="44"/>
      <c r="F99" s="47">
        <f>Source!AM40</f>
        <v>13.3</v>
      </c>
      <c r="G99" s="48" t="s">
        <v>652</v>
      </c>
      <c r="H99" s="44">
        <f>Source!AV41</f>
        <v>1.0469999999999999</v>
      </c>
      <c r="I99" s="47">
        <f>Source!Q40</f>
        <v>30.08</v>
      </c>
      <c r="J99" s="44">
        <f>IF(Source!BB41&lt;&gt; 0, Source!BB41, 1)</f>
        <v>17.059999999999999</v>
      </c>
      <c r="K99" s="47">
        <f>Source!Q41</f>
        <v>513.16</v>
      </c>
    </row>
    <row r="100" spans="1:29" ht="14.5" x14ac:dyDescent="0.25">
      <c r="A100" s="43"/>
      <c r="B100" s="43"/>
      <c r="C100" s="43" t="s">
        <v>662</v>
      </c>
      <c r="D100" s="45"/>
      <c r="E100" s="44"/>
      <c r="F100" s="47">
        <f>Source!AN40</f>
        <v>2.02</v>
      </c>
      <c r="G100" s="48" t="s">
        <v>652</v>
      </c>
      <c r="H100" s="44">
        <f>Source!AV41</f>
        <v>1.0469999999999999</v>
      </c>
      <c r="I100" s="59">
        <f>Source!R40</f>
        <v>4.57</v>
      </c>
      <c r="J100" s="44">
        <f>IF(Source!BS41&lt;&gt; 0, Source!BS41, 1)</f>
        <v>56.35</v>
      </c>
      <c r="K100" s="59">
        <f>Source!R41</f>
        <v>257.52</v>
      </c>
    </row>
    <row r="101" spans="1:29" ht="14.5" x14ac:dyDescent="0.25">
      <c r="A101" s="43"/>
      <c r="B101" s="43"/>
      <c r="C101" s="43" t="s">
        <v>653</v>
      </c>
      <c r="D101" s="45" t="s">
        <v>654</v>
      </c>
      <c r="E101" s="44">
        <f>Source!BZ41</f>
        <v>90</v>
      </c>
      <c r="F101" s="47"/>
      <c r="G101" s="46"/>
      <c r="H101" s="44"/>
      <c r="I101" s="47">
        <f>SUM(Q97:Q100)</f>
        <v>27.56</v>
      </c>
      <c r="J101" s="44">
        <f>Source!AT41</f>
        <v>90</v>
      </c>
      <c r="K101" s="47">
        <f>SUM(R97:R100)</f>
        <v>1552.9</v>
      </c>
    </row>
    <row r="102" spans="1:29" ht="14.5" x14ac:dyDescent="0.25">
      <c r="A102" s="43"/>
      <c r="B102" s="43"/>
      <c r="C102" s="43" t="s">
        <v>655</v>
      </c>
      <c r="D102" s="45" t="s">
        <v>654</v>
      </c>
      <c r="E102" s="44">
        <f>Source!CA41</f>
        <v>46</v>
      </c>
      <c r="F102" s="47"/>
      <c r="G102" s="46"/>
      <c r="H102" s="44"/>
      <c r="I102" s="47">
        <f>SUM(S97:S101)</f>
        <v>14.09</v>
      </c>
      <c r="J102" s="44">
        <f>Source!AU41</f>
        <v>46</v>
      </c>
      <c r="K102" s="47">
        <f>SUM(T97:T101)</f>
        <v>793.7</v>
      </c>
    </row>
    <row r="103" spans="1:29" ht="14.5" x14ac:dyDescent="0.25">
      <c r="A103" s="49"/>
      <c r="B103" s="49"/>
      <c r="C103" s="49" t="s">
        <v>656</v>
      </c>
      <c r="D103" s="50" t="s">
        <v>657</v>
      </c>
      <c r="E103" s="51">
        <f>Source!AQ40</f>
        <v>1.03</v>
      </c>
      <c r="F103" s="52"/>
      <c r="G103" s="53" t="s">
        <v>652</v>
      </c>
      <c r="H103" s="51">
        <f>Source!AV41</f>
        <v>1.0469999999999999</v>
      </c>
      <c r="I103" s="52">
        <f>Source!U40</f>
        <v>2.3293655999999996</v>
      </c>
      <c r="J103" s="51"/>
      <c r="K103" s="52"/>
    </row>
    <row r="104" spans="1:29" ht="14" x14ac:dyDescent="0.25">
      <c r="C104" s="54" t="s">
        <v>658</v>
      </c>
      <c r="H104" s="55">
        <f>I98+I99+I101+I102+0-0-0</f>
        <v>97.78</v>
      </c>
      <c r="I104" s="55"/>
      <c r="J104" s="55">
        <f>K98+K99+K101+K102+0-0-0</f>
        <v>4327.68</v>
      </c>
      <c r="K104" s="55"/>
    </row>
    <row r="105" spans="1:29" ht="14" hidden="1" x14ac:dyDescent="0.25">
      <c r="C105" s="54" t="s">
        <v>659</v>
      </c>
      <c r="H105" s="57">
        <f>0+0</f>
        <v>0</v>
      </c>
      <c r="I105" s="57"/>
      <c r="J105" s="57">
        <f>0+0</f>
        <v>0</v>
      </c>
      <c r="K105" s="57"/>
    </row>
    <row r="106" spans="1:29" ht="14" x14ac:dyDescent="0.25">
      <c r="C106" s="54" t="s">
        <v>660</v>
      </c>
      <c r="H106" s="57">
        <f>I98+I99+I101+I102+0</f>
        <v>97.78</v>
      </c>
      <c r="I106" s="57"/>
      <c r="J106" s="57">
        <f>K98+K99+K101+K102+0</f>
        <v>4327.68</v>
      </c>
      <c r="K106" s="57"/>
      <c r="O106" s="58">
        <f>I98+I99+I101+I102+0</f>
        <v>97.78</v>
      </c>
      <c r="P106" s="58">
        <f>K98+K99+K101+K102+0</f>
        <v>4327.68</v>
      </c>
    </row>
    <row r="108" spans="1:29" ht="42" x14ac:dyDescent="0.25">
      <c r="A108" s="43">
        <v>8</v>
      </c>
      <c r="B108" s="43" t="str">
        <f>Source!F42</f>
        <v>4.10-69-3</v>
      </c>
      <c r="C108" s="43" t="s">
        <v>69</v>
      </c>
      <c r="D108" s="45" t="str">
        <f>Source!H42</f>
        <v>1  ШТ.</v>
      </c>
      <c r="E108" s="44">
        <f>Source!I42</f>
        <v>1</v>
      </c>
      <c r="F108" s="47"/>
      <c r="G108" s="46"/>
      <c r="H108" s="44"/>
      <c r="I108" s="47"/>
      <c r="J108" s="44"/>
      <c r="K108" s="47"/>
      <c r="Q108">
        <f>Source!X42</f>
        <v>160.22999999999999</v>
      </c>
      <c r="R108">
        <f>Source!X43</f>
        <v>9028.7900000000009</v>
      </c>
      <c r="S108">
        <f>Source!Y42</f>
        <v>89.39</v>
      </c>
      <c r="T108">
        <f>Source!Y43</f>
        <v>5037.1099999999997</v>
      </c>
      <c r="U108">
        <f>ROUND((175/100)*ROUND(Source!R42, 2), 2)</f>
        <v>0</v>
      </c>
      <c r="V108">
        <f>ROUND((0/100)*ROUND(Source!R43, 2), 2)</f>
        <v>0</v>
      </c>
      <c r="AC108">
        <v>0</v>
      </c>
    </row>
    <row r="109" spans="1:29" ht="14.5" x14ac:dyDescent="0.25">
      <c r="A109" s="43"/>
      <c r="B109" s="43"/>
      <c r="C109" s="43" t="s">
        <v>651</v>
      </c>
      <c r="D109" s="45"/>
      <c r="E109" s="44"/>
      <c r="F109" s="47">
        <f>Source!AO42</f>
        <v>447.48</v>
      </c>
      <c r="G109" s="48" t="s">
        <v>652</v>
      </c>
      <c r="H109" s="44">
        <f>Source!AV43</f>
        <v>1.0469999999999999</v>
      </c>
      <c r="I109" s="47">
        <f>Source!S42</f>
        <v>168.66</v>
      </c>
      <c r="J109" s="44">
        <f>IF(Source!BA43&lt;&gt; 0, Source!BA43, 1)</f>
        <v>56.35</v>
      </c>
      <c r="K109" s="47">
        <f>Source!S43</f>
        <v>9503.99</v>
      </c>
    </row>
    <row r="110" spans="1:29" ht="14.5" x14ac:dyDescent="0.25">
      <c r="A110" s="43"/>
      <c r="B110" s="43"/>
      <c r="C110" s="43" t="s">
        <v>653</v>
      </c>
      <c r="D110" s="45" t="s">
        <v>654</v>
      </c>
      <c r="E110" s="44">
        <f>Source!BZ43</f>
        <v>95</v>
      </c>
      <c r="F110" s="47"/>
      <c r="G110" s="46"/>
      <c r="H110" s="44"/>
      <c r="I110" s="47">
        <f>SUM(Q108:Q109)</f>
        <v>160.22999999999999</v>
      </c>
      <c r="J110" s="44">
        <f>Source!AT43</f>
        <v>95</v>
      </c>
      <c r="K110" s="47">
        <f>SUM(R108:R109)</f>
        <v>9028.7900000000009</v>
      </c>
    </row>
    <row r="111" spans="1:29" ht="14.5" x14ac:dyDescent="0.25">
      <c r="A111" s="43"/>
      <c r="B111" s="43"/>
      <c r="C111" s="43" t="s">
        <v>655</v>
      </c>
      <c r="D111" s="45" t="s">
        <v>654</v>
      </c>
      <c r="E111" s="44">
        <f>Source!CA43</f>
        <v>53</v>
      </c>
      <c r="F111" s="47"/>
      <c r="G111" s="46"/>
      <c r="H111" s="44"/>
      <c r="I111" s="47">
        <f>SUM(S108:S110)</f>
        <v>89.39</v>
      </c>
      <c r="J111" s="44">
        <f>Source!AU43</f>
        <v>53</v>
      </c>
      <c r="K111" s="47">
        <f>SUM(T108:T110)</f>
        <v>5037.1099999999997</v>
      </c>
    </row>
    <row r="112" spans="1:29" ht="14.5" x14ac:dyDescent="0.25">
      <c r="A112" s="49"/>
      <c r="B112" s="49"/>
      <c r="C112" s="49" t="s">
        <v>656</v>
      </c>
      <c r="D112" s="50" t="s">
        <v>657</v>
      </c>
      <c r="E112" s="51">
        <f>Source!AQ42</f>
        <v>33</v>
      </c>
      <c r="F112" s="52"/>
      <c r="G112" s="53" t="s">
        <v>652</v>
      </c>
      <c r="H112" s="51">
        <f>Source!AV43</f>
        <v>1.0469999999999999</v>
      </c>
      <c r="I112" s="52">
        <f>Source!U42</f>
        <v>12.438359999999999</v>
      </c>
      <c r="J112" s="51"/>
      <c r="K112" s="52"/>
    </row>
    <row r="113" spans="1:29" ht="14" x14ac:dyDescent="0.25">
      <c r="C113" s="54" t="s">
        <v>658</v>
      </c>
      <c r="H113" s="55">
        <f>I109+I110+I111+0-0-0</f>
        <v>418.28</v>
      </c>
      <c r="I113" s="55"/>
      <c r="J113" s="55">
        <f>K109+K110+K111+0-0-0</f>
        <v>23569.89</v>
      </c>
      <c r="K113" s="55"/>
    </row>
    <row r="114" spans="1:29" ht="14" hidden="1" x14ac:dyDescent="0.25">
      <c r="C114" s="54" t="s">
        <v>659</v>
      </c>
      <c r="H114" s="57">
        <f>0+0</f>
        <v>0</v>
      </c>
      <c r="I114" s="57"/>
      <c r="J114" s="57">
        <f>0+0</f>
        <v>0</v>
      </c>
      <c r="K114" s="57"/>
    </row>
    <row r="115" spans="1:29" ht="14" x14ac:dyDescent="0.25">
      <c r="C115" s="54" t="s">
        <v>660</v>
      </c>
      <c r="H115" s="57">
        <f>I109+I110+I111+0</f>
        <v>418.28</v>
      </c>
      <c r="I115" s="57"/>
      <c r="J115" s="57">
        <f>K109+K110+K111+0</f>
        <v>23569.89</v>
      </c>
      <c r="K115" s="57"/>
      <c r="O115" s="58">
        <f>I109+I110+I111+0</f>
        <v>418.28</v>
      </c>
      <c r="P115" s="58">
        <f>K109+K110+K111+0</f>
        <v>23569.89</v>
      </c>
    </row>
    <row r="117" spans="1:29" ht="56" x14ac:dyDescent="0.25">
      <c r="A117" s="43">
        <v>9</v>
      </c>
      <c r="B117" s="43" t="str">
        <f>Source!F44</f>
        <v>4.10-73-1</v>
      </c>
      <c r="C117" s="43" t="s">
        <v>72</v>
      </c>
      <c r="D117" s="45" t="str">
        <f>Source!H44</f>
        <v>1 комплект</v>
      </c>
      <c r="E117" s="44">
        <f>Source!I44</f>
        <v>1</v>
      </c>
      <c r="F117" s="47"/>
      <c r="G117" s="46"/>
      <c r="H117" s="44"/>
      <c r="I117" s="47"/>
      <c r="J117" s="44"/>
      <c r="K117" s="47"/>
      <c r="Q117">
        <f>Source!X44</f>
        <v>45.19</v>
      </c>
      <c r="R117">
        <f>Source!X45</f>
        <v>2546.54</v>
      </c>
      <c r="S117">
        <f>Source!Y44</f>
        <v>25.21</v>
      </c>
      <c r="T117">
        <f>Source!Y45</f>
        <v>1420.7</v>
      </c>
      <c r="U117">
        <f>ROUND((175/100)*ROUND(Source!R44, 2), 2)</f>
        <v>0</v>
      </c>
      <c r="V117">
        <f>ROUND((0/100)*ROUND(Source!R45, 2), 2)</f>
        <v>0</v>
      </c>
      <c r="AC117">
        <v>0</v>
      </c>
    </row>
    <row r="118" spans="1:29" ht="14.5" x14ac:dyDescent="0.25">
      <c r="A118" s="43"/>
      <c r="B118" s="43"/>
      <c r="C118" s="43" t="s">
        <v>651</v>
      </c>
      <c r="D118" s="45"/>
      <c r="E118" s="44"/>
      <c r="F118" s="47">
        <f>Source!AO44</f>
        <v>126.2</v>
      </c>
      <c r="G118" s="48" t="s">
        <v>652</v>
      </c>
      <c r="H118" s="44">
        <f>Source!AV45</f>
        <v>1.0469999999999999</v>
      </c>
      <c r="I118" s="47">
        <f>Source!S44</f>
        <v>47.57</v>
      </c>
      <c r="J118" s="44">
        <f>IF(Source!BA45&lt;&gt; 0, Source!BA45, 1)</f>
        <v>56.35</v>
      </c>
      <c r="K118" s="47">
        <f>Source!S45</f>
        <v>2680.57</v>
      </c>
    </row>
    <row r="119" spans="1:29" ht="14.5" x14ac:dyDescent="0.25">
      <c r="A119" s="43"/>
      <c r="B119" s="43"/>
      <c r="C119" s="43" t="s">
        <v>653</v>
      </c>
      <c r="D119" s="45" t="s">
        <v>654</v>
      </c>
      <c r="E119" s="44">
        <f>Source!BZ45</f>
        <v>95</v>
      </c>
      <c r="F119" s="47"/>
      <c r="G119" s="46"/>
      <c r="H119" s="44"/>
      <c r="I119" s="47">
        <f>SUM(Q117:Q118)</f>
        <v>45.19</v>
      </c>
      <c r="J119" s="44">
        <f>Source!AT45</f>
        <v>95</v>
      </c>
      <c r="K119" s="47">
        <f>SUM(R117:R118)</f>
        <v>2546.54</v>
      </c>
    </row>
    <row r="120" spans="1:29" ht="14.5" x14ac:dyDescent="0.25">
      <c r="A120" s="43"/>
      <c r="B120" s="43"/>
      <c r="C120" s="43" t="s">
        <v>655</v>
      </c>
      <c r="D120" s="45" t="s">
        <v>654</v>
      </c>
      <c r="E120" s="44">
        <f>Source!CA45</f>
        <v>53</v>
      </c>
      <c r="F120" s="47"/>
      <c r="G120" s="46"/>
      <c r="H120" s="44"/>
      <c r="I120" s="47">
        <f>SUM(S117:S119)</f>
        <v>25.21</v>
      </c>
      <c r="J120" s="44">
        <f>Source!AU45</f>
        <v>53</v>
      </c>
      <c r="K120" s="47">
        <f>SUM(T117:T119)</f>
        <v>1420.7</v>
      </c>
    </row>
    <row r="121" spans="1:29" ht="14.5" x14ac:dyDescent="0.25">
      <c r="A121" s="49"/>
      <c r="B121" s="49"/>
      <c r="C121" s="49" t="s">
        <v>656</v>
      </c>
      <c r="D121" s="50" t="s">
        <v>657</v>
      </c>
      <c r="E121" s="51">
        <f>Source!AQ44</f>
        <v>10</v>
      </c>
      <c r="F121" s="52"/>
      <c r="G121" s="53" t="s">
        <v>652</v>
      </c>
      <c r="H121" s="51">
        <f>Source!AV45</f>
        <v>1.0469999999999999</v>
      </c>
      <c r="I121" s="52">
        <f>Source!U44</f>
        <v>3.7691999999999992</v>
      </c>
      <c r="J121" s="51"/>
      <c r="K121" s="52"/>
    </row>
    <row r="122" spans="1:29" ht="14" x14ac:dyDescent="0.25">
      <c r="C122" s="54" t="s">
        <v>658</v>
      </c>
      <c r="H122" s="55">
        <f>I118+I119+I120+0-0-0</f>
        <v>117.97</v>
      </c>
      <c r="I122" s="55"/>
      <c r="J122" s="55">
        <f>K118+K119+K120+0-0-0</f>
        <v>6647.81</v>
      </c>
      <c r="K122" s="55"/>
    </row>
    <row r="123" spans="1:29" ht="14" hidden="1" x14ac:dyDescent="0.25">
      <c r="C123" s="54" t="s">
        <v>659</v>
      </c>
      <c r="H123" s="57">
        <f>0+0</f>
        <v>0</v>
      </c>
      <c r="I123" s="57"/>
      <c r="J123" s="57">
        <f>0+0</f>
        <v>0</v>
      </c>
      <c r="K123" s="57"/>
    </row>
    <row r="124" spans="1:29" ht="14" x14ac:dyDescent="0.25">
      <c r="C124" s="54" t="s">
        <v>660</v>
      </c>
      <c r="H124" s="57">
        <f>I118+I119+I120+0</f>
        <v>117.97</v>
      </c>
      <c r="I124" s="57"/>
      <c r="J124" s="57">
        <f>K118+K119+K120+0</f>
        <v>6647.81</v>
      </c>
      <c r="K124" s="57"/>
      <c r="O124" s="58">
        <f>I118+I119+I120+0</f>
        <v>117.97</v>
      </c>
      <c r="P124" s="58">
        <f>K118+K119+K120+0</f>
        <v>6647.81</v>
      </c>
    </row>
    <row r="126" spans="1:29" ht="56" x14ac:dyDescent="0.25">
      <c r="A126" s="43">
        <v>10</v>
      </c>
      <c r="B126" s="43" t="str">
        <f>Source!F46</f>
        <v>4.10-134-7</v>
      </c>
      <c r="C126" s="43" t="s">
        <v>75</v>
      </c>
      <c r="D126" s="45" t="str">
        <f>Source!H46</f>
        <v>1 антенна</v>
      </c>
      <c r="E126" s="44">
        <f>Source!I46</f>
        <v>1</v>
      </c>
      <c r="F126" s="47"/>
      <c r="G126" s="46"/>
      <c r="H126" s="44"/>
      <c r="I126" s="47"/>
      <c r="J126" s="44"/>
      <c r="K126" s="47"/>
      <c r="Q126">
        <f>Source!X46</f>
        <v>14.81</v>
      </c>
      <c r="R126">
        <f>Source!X47</f>
        <v>834.58</v>
      </c>
      <c r="S126">
        <f>Source!Y46</f>
        <v>8.26</v>
      </c>
      <c r="T126">
        <f>Source!Y47</f>
        <v>465.61</v>
      </c>
      <c r="U126">
        <f>ROUND((175/100)*ROUND(Source!R46, 2), 2)</f>
        <v>0</v>
      </c>
      <c r="V126">
        <f>ROUND((0/100)*ROUND(Source!R47, 2), 2)</f>
        <v>0</v>
      </c>
      <c r="AC126">
        <v>0</v>
      </c>
    </row>
    <row r="127" spans="1:29" ht="14.5" x14ac:dyDescent="0.25">
      <c r="A127" s="43"/>
      <c r="B127" s="43"/>
      <c r="C127" s="43" t="s">
        <v>651</v>
      </c>
      <c r="D127" s="45"/>
      <c r="E127" s="44"/>
      <c r="F127" s="47">
        <f>Source!AO46</f>
        <v>39.85</v>
      </c>
      <c r="G127" s="48" t="s">
        <v>652</v>
      </c>
      <c r="H127" s="44">
        <f>Source!AV47</f>
        <v>1.087</v>
      </c>
      <c r="I127" s="47">
        <f>Source!S46</f>
        <v>15.59</v>
      </c>
      <c r="J127" s="44">
        <f>IF(Source!BA47&lt;&gt; 0, Source!BA47, 1)</f>
        <v>56.35</v>
      </c>
      <c r="K127" s="47">
        <f>Source!S47</f>
        <v>878.5</v>
      </c>
    </row>
    <row r="128" spans="1:29" ht="14.5" x14ac:dyDescent="0.25">
      <c r="A128" s="43"/>
      <c r="B128" s="43"/>
      <c r="C128" s="43" t="s">
        <v>653</v>
      </c>
      <c r="D128" s="45" t="s">
        <v>654</v>
      </c>
      <c r="E128" s="44">
        <f>Source!BZ47</f>
        <v>95</v>
      </c>
      <c r="F128" s="47"/>
      <c r="G128" s="46"/>
      <c r="H128" s="44"/>
      <c r="I128" s="47">
        <f>SUM(Q126:Q127)</f>
        <v>14.81</v>
      </c>
      <c r="J128" s="44">
        <f>Source!AT47</f>
        <v>95</v>
      </c>
      <c r="K128" s="47">
        <f>SUM(R126:R127)</f>
        <v>834.58</v>
      </c>
    </row>
    <row r="129" spans="1:29" ht="14.5" x14ac:dyDescent="0.25">
      <c r="A129" s="43"/>
      <c r="B129" s="43"/>
      <c r="C129" s="43" t="s">
        <v>655</v>
      </c>
      <c r="D129" s="45" t="s">
        <v>654</v>
      </c>
      <c r="E129" s="44">
        <f>Source!CA47</f>
        <v>53</v>
      </c>
      <c r="F129" s="47"/>
      <c r="G129" s="46"/>
      <c r="H129" s="44"/>
      <c r="I129" s="47">
        <f>SUM(S126:S128)</f>
        <v>8.26</v>
      </c>
      <c r="J129" s="44">
        <f>Source!AU47</f>
        <v>53</v>
      </c>
      <c r="K129" s="47">
        <f>SUM(T126:T128)</f>
        <v>465.61</v>
      </c>
    </row>
    <row r="130" spans="1:29" ht="14.5" x14ac:dyDescent="0.25">
      <c r="A130" s="49"/>
      <c r="B130" s="49"/>
      <c r="C130" s="49" t="s">
        <v>656</v>
      </c>
      <c r="D130" s="50" t="s">
        <v>657</v>
      </c>
      <c r="E130" s="51">
        <f>Source!AQ46</f>
        <v>2.77</v>
      </c>
      <c r="F130" s="52"/>
      <c r="G130" s="53" t="s">
        <v>652</v>
      </c>
      <c r="H130" s="51">
        <f>Source!AV47</f>
        <v>1.087</v>
      </c>
      <c r="I130" s="52">
        <f>Source!U46</f>
        <v>1.0839563999999997</v>
      </c>
      <c r="J130" s="51"/>
      <c r="K130" s="52"/>
    </row>
    <row r="131" spans="1:29" ht="14" x14ac:dyDescent="0.25">
      <c r="C131" s="54" t="s">
        <v>658</v>
      </c>
      <c r="H131" s="55">
        <f>I127+I128+I129+0-0-0</f>
        <v>38.659999999999997</v>
      </c>
      <c r="I131" s="55"/>
      <c r="J131" s="55">
        <f>K127+K128+K129+0-0-0</f>
        <v>2178.69</v>
      </c>
      <c r="K131" s="55"/>
    </row>
    <row r="132" spans="1:29" ht="14" hidden="1" x14ac:dyDescent="0.25">
      <c r="C132" s="54" t="s">
        <v>659</v>
      </c>
      <c r="H132" s="57">
        <f>0+0</f>
        <v>0</v>
      </c>
      <c r="I132" s="57"/>
      <c r="J132" s="57">
        <f>0+0</f>
        <v>0</v>
      </c>
      <c r="K132" s="57"/>
    </row>
    <row r="133" spans="1:29" ht="14" x14ac:dyDescent="0.25">
      <c r="C133" s="54" t="s">
        <v>660</v>
      </c>
      <c r="H133" s="57">
        <f>I127+I128+I129+0</f>
        <v>38.659999999999997</v>
      </c>
      <c r="I133" s="57"/>
      <c r="J133" s="57">
        <f>K127+K128+K129+0</f>
        <v>2178.69</v>
      </c>
      <c r="K133" s="57"/>
      <c r="O133" s="58">
        <f>I127+I128+I129+0</f>
        <v>38.659999999999997</v>
      </c>
      <c r="P133" s="58">
        <f>K127+K128+K129+0</f>
        <v>2178.69</v>
      </c>
    </row>
    <row r="135" spans="1:29" ht="42" x14ac:dyDescent="0.25">
      <c r="A135" s="43">
        <v>11</v>
      </c>
      <c r="B135" s="43" t="str">
        <f>Source!F48</f>
        <v>4.10-21-5</v>
      </c>
      <c r="C135" s="43" t="s">
        <v>44</v>
      </c>
      <c r="D135" s="45" t="str">
        <f>Source!H48</f>
        <v>1 комплект</v>
      </c>
      <c r="E135" s="44">
        <f>Source!I48</f>
        <v>1</v>
      </c>
      <c r="F135" s="47"/>
      <c r="G135" s="46"/>
      <c r="H135" s="44"/>
      <c r="I135" s="47"/>
      <c r="J135" s="44"/>
      <c r="K135" s="47"/>
      <c r="Q135">
        <f>Source!X48</f>
        <v>12.84</v>
      </c>
      <c r="R135">
        <f>Source!X49</f>
        <v>723.7</v>
      </c>
      <c r="S135">
        <f>Source!Y48</f>
        <v>6.56</v>
      </c>
      <c r="T135">
        <f>Source!Y49</f>
        <v>369.89</v>
      </c>
      <c r="U135">
        <f>ROUND((175/100)*ROUND(Source!R48, 2), 2)</f>
        <v>0</v>
      </c>
      <c r="V135">
        <f>ROUND((0/100)*ROUND(Source!R49, 2), 2)</f>
        <v>0</v>
      </c>
      <c r="AC135">
        <v>0</v>
      </c>
    </row>
    <row r="136" spans="1:29" ht="14.5" x14ac:dyDescent="0.25">
      <c r="A136" s="43"/>
      <c r="B136" s="43"/>
      <c r="C136" s="43" t="s">
        <v>651</v>
      </c>
      <c r="D136" s="45"/>
      <c r="E136" s="44"/>
      <c r="F136" s="47">
        <f>Source!AO48</f>
        <v>37.86</v>
      </c>
      <c r="G136" s="48" t="s">
        <v>652</v>
      </c>
      <c r="H136" s="44">
        <f>Source!AV49</f>
        <v>1.0469999999999999</v>
      </c>
      <c r="I136" s="47">
        <f>Source!S48</f>
        <v>14.27</v>
      </c>
      <c r="J136" s="44">
        <f>IF(Source!BA49&lt;&gt; 0, Source!BA49, 1)</f>
        <v>56.35</v>
      </c>
      <c r="K136" s="47">
        <f>Source!S49</f>
        <v>804.11</v>
      </c>
    </row>
    <row r="137" spans="1:29" ht="14.5" x14ac:dyDescent="0.25">
      <c r="A137" s="43"/>
      <c r="B137" s="43"/>
      <c r="C137" s="43" t="s">
        <v>653</v>
      </c>
      <c r="D137" s="45" t="s">
        <v>654</v>
      </c>
      <c r="E137" s="44">
        <f>Source!BZ49</f>
        <v>90</v>
      </c>
      <c r="F137" s="47"/>
      <c r="G137" s="46"/>
      <c r="H137" s="44"/>
      <c r="I137" s="47">
        <f>SUM(Q135:Q136)</f>
        <v>12.84</v>
      </c>
      <c r="J137" s="44">
        <f>Source!AT49</f>
        <v>90</v>
      </c>
      <c r="K137" s="47">
        <f>SUM(R135:R136)</f>
        <v>723.7</v>
      </c>
    </row>
    <row r="138" spans="1:29" ht="14.5" x14ac:dyDescent="0.25">
      <c r="A138" s="43"/>
      <c r="B138" s="43"/>
      <c r="C138" s="43" t="s">
        <v>655</v>
      </c>
      <c r="D138" s="45" t="s">
        <v>654</v>
      </c>
      <c r="E138" s="44">
        <f>Source!CA49</f>
        <v>46</v>
      </c>
      <c r="F138" s="47"/>
      <c r="G138" s="46"/>
      <c r="H138" s="44"/>
      <c r="I138" s="47">
        <f>SUM(S135:S137)</f>
        <v>6.56</v>
      </c>
      <c r="J138" s="44">
        <f>Source!AU49</f>
        <v>46</v>
      </c>
      <c r="K138" s="47">
        <f>SUM(T135:T137)</f>
        <v>369.89</v>
      </c>
    </row>
    <row r="139" spans="1:29" ht="14.5" x14ac:dyDescent="0.25">
      <c r="A139" s="49"/>
      <c r="B139" s="49"/>
      <c r="C139" s="49" t="s">
        <v>656</v>
      </c>
      <c r="D139" s="50" t="s">
        <v>657</v>
      </c>
      <c r="E139" s="51">
        <f>Source!AQ48</f>
        <v>3</v>
      </c>
      <c r="F139" s="52"/>
      <c r="G139" s="53" t="s">
        <v>652</v>
      </c>
      <c r="H139" s="51">
        <f>Source!AV49</f>
        <v>1.0469999999999999</v>
      </c>
      <c r="I139" s="52">
        <f>Source!U48</f>
        <v>1.1307599999999998</v>
      </c>
      <c r="J139" s="51"/>
      <c r="K139" s="52"/>
    </row>
    <row r="140" spans="1:29" ht="14" x14ac:dyDescent="0.25">
      <c r="C140" s="54" t="s">
        <v>658</v>
      </c>
      <c r="H140" s="55">
        <f>I136+I137+I138+0-0-0</f>
        <v>33.67</v>
      </c>
      <c r="I140" s="55"/>
      <c r="J140" s="55">
        <f>K136+K137+K138+0-0-0</f>
        <v>1897.6999999999998</v>
      </c>
      <c r="K140" s="55"/>
    </row>
    <row r="141" spans="1:29" ht="14" hidden="1" x14ac:dyDescent="0.25">
      <c r="C141" s="54" t="s">
        <v>659</v>
      </c>
      <c r="H141" s="57">
        <f>0+0</f>
        <v>0</v>
      </c>
      <c r="I141" s="57"/>
      <c r="J141" s="57">
        <f>0+0</f>
        <v>0</v>
      </c>
      <c r="K141" s="57"/>
    </row>
    <row r="142" spans="1:29" ht="14" x14ac:dyDescent="0.25">
      <c r="C142" s="54" t="s">
        <v>660</v>
      </c>
      <c r="H142" s="57">
        <f>I136+I137+I138+0</f>
        <v>33.67</v>
      </c>
      <c r="I142" s="57"/>
      <c r="J142" s="57">
        <f>K136+K137+K138+0</f>
        <v>1897.6999999999998</v>
      </c>
      <c r="K142" s="57"/>
      <c r="O142" s="58">
        <f>I136+I137+I138+0</f>
        <v>33.67</v>
      </c>
      <c r="P142" s="58">
        <f>K136+K137+K138+0</f>
        <v>1897.6999999999998</v>
      </c>
    </row>
    <row r="144" spans="1:29" ht="42" x14ac:dyDescent="0.25">
      <c r="A144" s="43">
        <v>12</v>
      </c>
      <c r="B144" s="43" t="str">
        <f>Source!F50</f>
        <v>4.10-134-3</v>
      </c>
      <c r="C144" s="43" t="s">
        <v>80</v>
      </c>
      <c r="D144" s="45" t="str">
        <f>Source!H50</f>
        <v>1 Т</v>
      </c>
      <c r="E144" s="44">
        <f>Source!I50</f>
        <v>8.2000000000000007E-3</v>
      </c>
      <c r="F144" s="47"/>
      <c r="G144" s="46"/>
      <c r="H144" s="44"/>
      <c r="I144" s="47"/>
      <c r="J144" s="44"/>
      <c r="K144" s="47"/>
      <c r="Q144">
        <f>Source!X50</f>
        <v>1.32</v>
      </c>
      <c r="R144">
        <f>Source!X51</f>
        <v>74.41</v>
      </c>
      <c r="S144">
        <f>Source!Y50</f>
        <v>0.74</v>
      </c>
      <c r="T144">
        <f>Source!Y51</f>
        <v>41.51</v>
      </c>
      <c r="U144">
        <f>ROUND((175/100)*ROUND(Source!R50, 2), 2)</f>
        <v>0</v>
      </c>
      <c r="V144">
        <f>ROUND((0/100)*ROUND(Source!R51, 2), 2)</f>
        <v>0</v>
      </c>
      <c r="AC144">
        <v>0</v>
      </c>
    </row>
    <row r="145" spans="1:29" x14ac:dyDescent="0.25">
      <c r="C145" s="60" t="str">
        <f>"Объем: "&amp;Source!I50&amp;"=(5,1+"&amp;"3,1)/"&amp;"1000"</f>
        <v>Объем: 0,0082=(5,1+3,1)/1000</v>
      </c>
    </row>
    <row r="146" spans="1:29" ht="14.5" x14ac:dyDescent="0.25">
      <c r="A146" s="43"/>
      <c r="B146" s="43"/>
      <c r="C146" s="43" t="s">
        <v>651</v>
      </c>
      <c r="D146" s="45"/>
      <c r="E146" s="44"/>
      <c r="F146" s="47">
        <f>Source!AO50</f>
        <v>434.24</v>
      </c>
      <c r="G146" s="48" t="s">
        <v>652</v>
      </c>
      <c r="H146" s="44">
        <f>Source!AV51</f>
        <v>1.087</v>
      </c>
      <c r="I146" s="47">
        <f>Source!S50</f>
        <v>1.39</v>
      </c>
      <c r="J146" s="44">
        <f>IF(Source!BA51&lt;&gt; 0, Source!BA51, 1)</f>
        <v>56.35</v>
      </c>
      <c r="K146" s="47">
        <f>Source!S51</f>
        <v>78.33</v>
      </c>
    </row>
    <row r="147" spans="1:29" ht="14.5" x14ac:dyDescent="0.25">
      <c r="A147" s="43"/>
      <c r="B147" s="43"/>
      <c r="C147" s="43" t="s">
        <v>661</v>
      </c>
      <c r="D147" s="45"/>
      <c r="E147" s="44"/>
      <c r="F147" s="47">
        <f>Source!AM50</f>
        <v>1.94</v>
      </c>
      <c r="G147" s="48" t="s">
        <v>652</v>
      </c>
      <c r="H147" s="44">
        <f>Source!AV51</f>
        <v>1.087</v>
      </c>
      <c r="I147" s="47">
        <f>Source!Q50</f>
        <v>0.01</v>
      </c>
      <c r="J147" s="44">
        <f>IF(Source!BB51&lt;&gt; 0, Source!BB51, 1)</f>
        <v>9.9700000000000006</v>
      </c>
      <c r="K147" s="47">
        <f>Source!Q51</f>
        <v>0.1</v>
      </c>
    </row>
    <row r="148" spans="1:29" ht="14.5" x14ac:dyDescent="0.25">
      <c r="A148" s="43"/>
      <c r="B148" s="43"/>
      <c r="C148" s="43" t="s">
        <v>653</v>
      </c>
      <c r="D148" s="45" t="s">
        <v>654</v>
      </c>
      <c r="E148" s="44">
        <f>Source!BZ51</f>
        <v>95</v>
      </c>
      <c r="F148" s="47"/>
      <c r="G148" s="46"/>
      <c r="H148" s="44"/>
      <c r="I148" s="47">
        <f>SUM(Q144:Q147)</f>
        <v>1.32</v>
      </c>
      <c r="J148" s="44">
        <f>Source!AT51</f>
        <v>95</v>
      </c>
      <c r="K148" s="47">
        <f>SUM(R144:R147)</f>
        <v>74.41</v>
      </c>
    </row>
    <row r="149" spans="1:29" ht="14.5" x14ac:dyDescent="0.25">
      <c r="A149" s="43"/>
      <c r="B149" s="43"/>
      <c r="C149" s="43" t="s">
        <v>655</v>
      </c>
      <c r="D149" s="45" t="s">
        <v>654</v>
      </c>
      <c r="E149" s="44">
        <f>Source!CA51</f>
        <v>53</v>
      </c>
      <c r="F149" s="47"/>
      <c r="G149" s="46"/>
      <c r="H149" s="44"/>
      <c r="I149" s="47">
        <f>SUM(S144:S148)</f>
        <v>0.74</v>
      </c>
      <c r="J149" s="44">
        <f>Source!AU51</f>
        <v>53</v>
      </c>
      <c r="K149" s="47">
        <f>SUM(T144:T148)</f>
        <v>41.51</v>
      </c>
    </row>
    <row r="150" spans="1:29" ht="14.5" x14ac:dyDescent="0.25">
      <c r="A150" s="49"/>
      <c r="B150" s="49"/>
      <c r="C150" s="49" t="s">
        <v>656</v>
      </c>
      <c r="D150" s="50" t="s">
        <v>657</v>
      </c>
      <c r="E150" s="51">
        <f>Source!AQ50</f>
        <v>32</v>
      </c>
      <c r="F150" s="52"/>
      <c r="G150" s="53" t="s">
        <v>652</v>
      </c>
      <c r="H150" s="51">
        <f>Source!AV51</f>
        <v>1.087</v>
      </c>
      <c r="I150" s="52">
        <f>Source!U50</f>
        <v>0.102682368</v>
      </c>
      <c r="J150" s="51"/>
      <c r="K150" s="52"/>
    </row>
    <row r="151" spans="1:29" ht="14" x14ac:dyDescent="0.25">
      <c r="C151" s="54" t="s">
        <v>658</v>
      </c>
      <c r="H151" s="55">
        <f>I146+I147+I148+I149+0-0-0</f>
        <v>3.46</v>
      </c>
      <c r="I151" s="55"/>
      <c r="J151" s="55">
        <f>K146+K147+K148+K149+0-0-0</f>
        <v>194.34999999999997</v>
      </c>
      <c r="K151" s="55"/>
    </row>
    <row r="152" spans="1:29" ht="14" hidden="1" x14ac:dyDescent="0.25">
      <c r="C152" s="54" t="s">
        <v>659</v>
      </c>
      <c r="H152" s="57">
        <f>0+0</f>
        <v>0</v>
      </c>
      <c r="I152" s="57"/>
      <c r="J152" s="57">
        <f>0+0</f>
        <v>0</v>
      </c>
      <c r="K152" s="57"/>
    </row>
    <row r="153" spans="1:29" ht="14" x14ac:dyDescent="0.25">
      <c r="C153" s="54" t="s">
        <v>660</v>
      </c>
      <c r="H153" s="57">
        <f>I146+I147+I148+I149+0</f>
        <v>3.46</v>
      </c>
      <c r="I153" s="57"/>
      <c r="J153" s="57">
        <f>K146+K147+K148+K149+0</f>
        <v>194.34999999999997</v>
      </c>
      <c r="K153" s="57"/>
      <c r="O153" s="58">
        <f>I146+I147+I148+I149+0</f>
        <v>3.46</v>
      </c>
      <c r="P153" s="58">
        <f>K146+K147+K148+K149+0</f>
        <v>194.34999999999997</v>
      </c>
    </row>
    <row r="155" spans="1:29" ht="14.5" x14ac:dyDescent="0.25">
      <c r="A155" s="43">
        <v>13</v>
      </c>
      <c r="B155" s="43" t="str">
        <f>Source!F52</f>
        <v>6.67-6-1</v>
      </c>
      <c r="C155" s="43" t="s">
        <v>85</v>
      </c>
      <c r="D155" s="45" t="str">
        <f>Source!H52</f>
        <v>100 м</v>
      </c>
      <c r="E155" s="44">
        <f>Source!I52</f>
        <v>4.8499999999999996</v>
      </c>
      <c r="F155" s="47"/>
      <c r="G155" s="46"/>
      <c r="H155" s="44"/>
      <c r="I155" s="47"/>
      <c r="J155" s="44"/>
      <c r="K155" s="47"/>
      <c r="Q155">
        <f>Source!X52</f>
        <v>546.30999999999995</v>
      </c>
      <c r="R155">
        <f>Source!X53</f>
        <v>30784.54</v>
      </c>
      <c r="S155">
        <f>Source!Y52</f>
        <v>288.16000000000003</v>
      </c>
      <c r="T155">
        <f>Source!Y53</f>
        <v>16238</v>
      </c>
      <c r="U155">
        <f>ROUND((175/100)*ROUND(Source!R52, 2), 2)</f>
        <v>0</v>
      </c>
      <c r="V155">
        <f>ROUND((0/100)*ROUND(Source!R53, 2), 2)</f>
        <v>0</v>
      </c>
      <c r="AC155">
        <v>0</v>
      </c>
    </row>
    <row r="156" spans="1:29" x14ac:dyDescent="0.25">
      <c r="C156" s="60" t="str">
        <f>"Объем: "&amp;Source!I52&amp;"=(50+"&amp;"50+"&amp;"50+"&amp;"300+"&amp;"20+"&amp;"15)/"&amp;"100"</f>
        <v>Объем: 4,85=(50+50+50+300+20+15)/100</v>
      </c>
    </row>
    <row r="157" spans="1:29" ht="14.5" x14ac:dyDescent="0.25">
      <c r="A157" s="43"/>
      <c r="B157" s="43"/>
      <c r="C157" s="43" t="s">
        <v>651</v>
      </c>
      <c r="D157" s="45"/>
      <c r="E157" s="44"/>
      <c r="F157" s="47">
        <f>Source!AO52</f>
        <v>98.52</v>
      </c>
      <c r="G157" s="48" t="s">
        <v>152</v>
      </c>
      <c r="H157" s="44">
        <f>Source!AV53</f>
        <v>1.0469999999999999</v>
      </c>
      <c r="I157" s="47">
        <f>Source!S52</f>
        <v>600.34</v>
      </c>
      <c r="J157" s="44">
        <f>IF(Source!BA53&lt;&gt; 0, Source!BA53, 1)</f>
        <v>56.35</v>
      </c>
      <c r="K157" s="47">
        <f>Source!S53</f>
        <v>33829.160000000003</v>
      </c>
    </row>
    <row r="158" spans="1:29" ht="14.5" x14ac:dyDescent="0.25">
      <c r="A158" s="43"/>
      <c r="B158" s="43"/>
      <c r="C158" s="43" t="s">
        <v>653</v>
      </c>
      <c r="D158" s="45" t="s">
        <v>654</v>
      </c>
      <c r="E158" s="44">
        <f>Source!BZ53</f>
        <v>91</v>
      </c>
      <c r="F158" s="47"/>
      <c r="G158" s="46"/>
      <c r="H158" s="44"/>
      <c r="I158" s="47">
        <f>SUM(Q155:Q157)</f>
        <v>546.30999999999995</v>
      </c>
      <c r="J158" s="44">
        <f>Source!AT53</f>
        <v>91</v>
      </c>
      <c r="K158" s="47">
        <f>SUM(R155:R157)</f>
        <v>30784.54</v>
      </c>
    </row>
    <row r="159" spans="1:29" ht="14.5" x14ac:dyDescent="0.25">
      <c r="A159" s="43"/>
      <c r="B159" s="43"/>
      <c r="C159" s="43" t="s">
        <v>655</v>
      </c>
      <c r="D159" s="45" t="s">
        <v>654</v>
      </c>
      <c r="E159" s="44">
        <f>Source!CA53</f>
        <v>48</v>
      </c>
      <c r="F159" s="47"/>
      <c r="G159" s="46"/>
      <c r="H159" s="44"/>
      <c r="I159" s="47">
        <f>SUM(S155:S158)</f>
        <v>288.16000000000003</v>
      </c>
      <c r="J159" s="44">
        <f>Source!AU53</f>
        <v>48</v>
      </c>
      <c r="K159" s="47">
        <f>SUM(T155:T158)</f>
        <v>16238</v>
      </c>
    </row>
    <row r="160" spans="1:29" ht="14.5" x14ac:dyDescent="0.25">
      <c r="A160" s="49"/>
      <c r="B160" s="49"/>
      <c r="C160" s="49" t="s">
        <v>656</v>
      </c>
      <c r="D160" s="50" t="s">
        <v>657</v>
      </c>
      <c r="E160" s="51">
        <f>Source!AQ52</f>
        <v>9.64</v>
      </c>
      <c r="F160" s="52"/>
      <c r="G160" s="53" t="s">
        <v>152</v>
      </c>
      <c r="H160" s="51">
        <f>Source!AV53</f>
        <v>1.0469999999999999</v>
      </c>
      <c r="I160" s="52">
        <f>Source!U52</f>
        <v>58.741725599999988</v>
      </c>
      <c r="J160" s="51"/>
      <c r="K160" s="52"/>
    </row>
    <row r="161" spans="1:29" ht="14" x14ac:dyDescent="0.25">
      <c r="C161" s="54" t="s">
        <v>658</v>
      </c>
      <c r="H161" s="55">
        <f>I157+I158+I159+0-0-0</f>
        <v>1434.8100000000002</v>
      </c>
      <c r="I161" s="55"/>
      <c r="J161" s="55">
        <f>K157+K158+K159+0-0-0</f>
        <v>80851.700000000012</v>
      </c>
      <c r="K161" s="55"/>
    </row>
    <row r="162" spans="1:29" ht="14" hidden="1" x14ac:dyDescent="0.25">
      <c r="C162" s="54" t="s">
        <v>659</v>
      </c>
      <c r="H162" s="57">
        <f>0+0</f>
        <v>0</v>
      </c>
      <c r="I162" s="57"/>
      <c r="J162" s="57">
        <f>0+0</f>
        <v>0</v>
      </c>
      <c r="K162" s="57"/>
    </row>
    <row r="163" spans="1:29" ht="14" x14ac:dyDescent="0.25">
      <c r="C163" s="54" t="s">
        <v>660</v>
      </c>
      <c r="H163" s="57">
        <f>I157+I158+I159+0</f>
        <v>1434.8100000000002</v>
      </c>
      <c r="I163" s="57"/>
      <c r="J163" s="57">
        <f>K157+K158+K159+0</f>
        <v>80851.700000000012</v>
      </c>
      <c r="K163" s="57"/>
      <c r="O163" s="58">
        <f>I157+I158+I159+0</f>
        <v>1434.8100000000002</v>
      </c>
      <c r="P163" s="58">
        <f>K157+K158+K159+0</f>
        <v>80851.700000000012</v>
      </c>
    </row>
    <row r="166" spans="1:29" ht="14" x14ac:dyDescent="0.3">
      <c r="A166" s="61" t="str">
        <f>CONCATENATE("Итого по разделу: ",IF(Source!G55&lt;&gt;"Новый раздел", Source!G55, ""))</f>
        <v>Итого по разделу: Демонтажные работы</v>
      </c>
      <c r="B166" s="61"/>
      <c r="C166" s="61"/>
      <c r="D166" s="61"/>
      <c r="E166" s="61"/>
      <c r="F166" s="61"/>
      <c r="G166" s="61"/>
      <c r="H166" s="57">
        <f>SUM(O38:O165)</f>
        <v>2423.15</v>
      </c>
      <c r="I166" s="56"/>
      <c r="J166" s="57">
        <f>SUM(P38:P165)</f>
        <v>135223.25</v>
      </c>
      <c r="K166" s="56"/>
    </row>
    <row r="167" spans="1:29" hidden="1" x14ac:dyDescent="0.25">
      <c r="A167" t="s">
        <v>663</v>
      </c>
      <c r="I167">
        <f>SUM(W38:W166)</f>
        <v>0</v>
      </c>
      <c r="J167">
        <f>SUM(X38:X166)</f>
        <v>0</v>
      </c>
    </row>
    <row r="168" spans="1:29" hidden="1" x14ac:dyDescent="0.25">
      <c r="A168" t="s">
        <v>664</v>
      </c>
      <c r="I168">
        <f>SUM(Y38:Y167)</f>
        <v>0</v>
      </c>
      <c r="J168">
        <f>SUM(Z38:Z167)</f>
        <v>0</v>
      </c>
    </row>
    <row r="170" spans="1:29" ht="16.5" x14ac:dyDescent="0.25">
      <c r="A170" s="42" t="str">
        <f>CONCATENATE("Раздел: ",IF(Source!G85&lt;&gt;"Новый раздел", Source!G85, ""))</f>
        <v>Раздел: Комплект основного оборудования (радиофикация)</v>
      </c>
      <c r="B170" s="42"/>
      <c r="C170" s="42"/>
      <c r="D170" s="42"/>
      <c r="E170" s="42"/>
      <c r="F170" s="42"/>
      <c r="G170" s="42"/>
      <c r="H170" s="42"/>
      <c r="I170" s="42"/>
      <c r="J170" s="42"/>
      <c r="K170" s="42"/>
    </row>
    <row r="171" spans="1:29" ht="42" x14ac:dyDescent="0.25">
      <c r="A171" s="43">
        <v>14</v>
      </c>
      <c r="B171" s="43" t="str">
        <f>Source!F89</f>
        <v>4.10-73-1</v>
      </c>
      <c r="C171" s="43" t="s">
        <v>144</v>
      </c>
      <c r="D171" s="45" t="str">
        <f>Source!H89</f>
        <v>1 комплект</v>
      </c>
      <c r="E171" s="44">
        <f>Source!I89</f>
        <v>1</v>
      </c>
      <c r="F171" s="47"/>
      <c r="G171" s="46"/>
      <c r="H171" s="44"/>
      <c r="I171" s="47"/>
      <c r="J171" s="44"/>
      <c r="K171" s="47"/>
      <c r="Q171">
        <f>Source!X89</f>
        <v>150.63</v>
      </c>
      <c r="R171">
        <f>Source!X90</f>
        <v>8488.1200000000008</v>
      </c>
      <c r="S171">
        <f>Source!Y89</f>
        <v>84.04</v>
      </c>
      <c r="T171">
        <f>Source!Y90</f>
        <v>4735.4799999999996</v>
      </c>
      <c r="U171">
        <f>ROUND((175/100)*ROUND(Source!R89, 2), 2)</f>
        <v>0</v>
      </c>
      <c r="V171">
        <f>ROUND((0/100)*ROUND(Source!R90, 2), 2)</f>
        <v>0</v>
      </c>
      <c r="AC171">
        <v>0</v>
      </c>
    </row>
    <row r="172" spans="1:29" ht="14.5" x14ac:dyDescent="0.25">
      <c r="A172" s="43"/>
      <c r="B172" s="43"/>
      <c r="C172" s="43" t="s">
        <v>651</v>
      </c>
      <c r="D172" s="45"/>
      <c r="E172" s="44"/>
      <c r="F172" s="47">
        <f>Source!AO89</f>
        <v>126.2</v>
      </c>
      <c r="G172" s="48" t="s">
        <v>152</v>
      </c>
      <c r="H172" s="44">
        <f>Source!AV90</f>
        <v>1.0469999999999999</v>
      </c>
      <c r="I172" s="47">
        <f>Source!S89</f>
        <v>158.56</v>
      </c>
      <c r="J172" s="44">
        <f>IF(Source!BA90&lt;&gt; 0, Source!BA90, 1)</f>
        <v>56.35</v>
      </c>
      <c r="K172" s="47">
        <f>Source!S90</f>
        <v>8934.86</v>
      </c>
    </row>
    <row r="173" spans="1:29" ht="14.5" x14ac:dyDescent="0.25">
      <c r="A173" s="43"/>
      <c r="B173" s="43"/>
      <c r="C173" s="43" t="s">
        <v>665</v>
      </c>
      <c r="D173" s="45"/>
      <c r="E173" s="44"/>
      <c r="F173" s="47">
        <f>Source!AL89</f>
        <v>75.680000000000007</v>
      </c>
      <c r="G173" s="48" t="s">
        <v>3</v>
      </c>
      <c r="H173" s="44">
        <f>Source!AW90</f>
        <v>1</v>
      </c>
      <c r="I173" s="47">
        <f>Source!P89</f>
        <v>75.680000000000007</v>
      </c>
      <c r="J173" s="44">
        <f>IF(Source!BC90&lt;&gt; 0, Source!BC90, 1)</f>
        <v>9.58</v>
      </c>
      <c r="K173" s="47">
        <f>Source!P90</f>
        <v>725.01</v>
      </c>
    </row>
    <row r="174" spans="1:29" ht="14.5" x14ac:dyDescent="0.25">
      <c r="A174" s="43"/>
      <c r="B174" s="43"/>
      <c r="C174" s="43" t="s">
        <v>653</v>
      </c>
      <c r="D174" s="45" t="s">
        <v>654</v>
      </c>
      <c r="E174" s="44">
        <f>Source!BZ90</f>
        <v>95</v>
      </c>
      <c r="F174" s="47"/>
      <c r="G174" s="46"/>
      <c r="H174" s="44"/>
      <c r="I174" s="47">
        <f>SUM(Q171:Q173)</f>
        <v>150.63</v>
      </c>
      <c r="J174" s="44">
        <f>Source!AT90</f>
        <v>95</v>
      </c>
      <c r="K174" s="47">
        <f>SUM(R171:R173)</f>
        <v>8488.1200000000008</v>
      </c>
    </row>
    <row r="175" spans="1:29" ht="14.5" x14ac:dyDescent="0.25">
      <c r="A175" s="43"/>
      <c r="B175" s="43"/>
      <c r="C175" s="43" t="s">
        <v>655</v>
      </c>
      <c r="D175" s="45" t="s">
        <v>654</v>
      </c>
      <c r="E175" s="44">
        <f>Source!CA90</f>
        <v>53</v>
      </c>
      <c r="F175" s="47"/>
      <c r="G175" s="46"/>
      <c r="H175" s="44"/>
      <c r="I175" s="47">
        <f>SUM(S171:S174)</f>
        <v>84.04</v>
      </c>
      <c r="J175" s="44">
        <f>Source!AU90</f>
        <v>53</v>
      </c>
      <c r="K175" s="47">
        <f>SUM(T171:T174)</f>
        <v>4735.4799999999996</v>
      </c>
    </row>
    <row r="176" spans="1:29" ht="14.5" x14ac:dyDescent="0.25">
      <c r="A176" s="49"/>
      <c r="B176" s="49"/>
      <c r="C176" s="49" t="s">
        <v>656</v>
      </c>
      <c r="D176" s="50" t="s">
        <v>657</v>
      </c>
      <c r="E176" s="51">
        <f>Source!AQ89</f>
        <v>10</v>
      </c>
      <c r="F176" s="52"/>
      <c r="G176" s="53" t="s">
        <v>152</v>
      </c>
      <c r="H176" s="51">
        <f>Source!AV90</f>
        <v>1.0469999999999999</v>
      </c>
      <c r="I176" s="52">
        <f>Source!U89</f>
        <v>12.564</v>
      </c>
      <c r="J176" s="51"/>
      <c r="K176" s="52"/>
    </row>
    <row r="177" spans="1:29" ht="14" x14ac:dyDescent="0.25">
      <c r="C177" s="54" t="s">
        <v>658</v>
      </c>
      <c r="H177" s="55">
        <f>I172+I173+I174+I175+0-0-0</f>
        <v>468.91</v>
      </c>
      <c r="I177" s="55"/>
      <c r="J177" s="55">
        <f>K172+K173+K174+K175+0-0-0</f>
        <v>22883.47</v>
      </c>
      <c r="K177" s="55"/>
    </row>
    <row r="178" spans="1:29" ht="14" hidden="1" x14ac:dyDescent="0.25">
      <c r="C178" s="54" t="s">
        <v>659</v>
      </c>
      <c r="H178" s="57">
        <f>0+0</f>
        <v>0</v>
      </c>
      <c r="I178" s="57"/>
      <c r="J178" s="57">
        <f>0+0</f>
        <v>0</v>
      </c>
      <c r="K178" s="57"/>
    </row>
    <row r="179" spans="1:29" ht="14" x14ac:dyDescent="0.25">
      <c r="C179" s="54" t="s">
        <v>660</v>
      </c>
      <c r="H179" s="57">
        <f>I172+I173+I174+I175+0</f>
        <v>468.91</v>
      </c>
      <c r="I179" s="57"/>
      <c r="J179" s="57">
        <f>K172+K173+K174+K175+0</f>
        <v>22883.47</v>
      </c>
      <c r="K179" s="57"/>
      <c r="O179" s="58">
        <f>I172+I173+I174+I175+0</f>
        <v>468.91</v>
      </c>
      <c r="P179" s="58">
        <f>K172+K173+K174+K175+0</f>
        <v>22883.47</v>
      </c>
    </row>
    <row r="181" spans="1:29" ht="68" x14ac:dyDescent="0.25">
      <c r="A181" s="62">
        <v>15</v>
      </c>
      <c r="B181" s="62" t="str">
        <f>Source!F91</f>
        <v>КА, п.1</v>
      </c>
      <c r="C181" s="62" t="s">
        <v>666</v>
      </c>
      <c r="D181" s="63" t="str">
        <f>Source!H91</f>
        <v>ШТ</v>
      </c>
      <c r="E181" s="64">
        <f>Source!I91</f>
        <v>1</v>
      </c>
      <c r="F181" s="65">
        <f>Source!AL91</f>
        <v>58238.710000000006</v>
      </c>
      <c r="G181" s="66" t="s">
        <v>3</v>
      </c>
      <c r="H181" s="64">
        <f>Source!AW92</f>
        <v>1</v>
      </c>
      <c r="I181" s="65">
        <f>Source!P91</f>
        <v>58238.71</v>
      </c>
      <c r="J181" s="64">
        <f>IF(Source!BC92&lt;&gt; 0, Source!BC92, 1)</f>
        <v>7.57</v>
      </c>
      <c r="K181" s="65">
        <f>Source!P92</f>
        <v>440867.03</v>
      </c>
      <c r="Q181">
        <f>Source!X91</f>
        <v>0</v>
      </c>
      <c r="R181">
        <f>Source!X92</f>
        <v>0</v>
      </c>
      <c r="S181">
        <f>Source!Y91</f>
        <v>0</v>
      </c>
      <c r="T181">
        <f>Source!Y92</f>
        <v>0</v>
      </c>
      <c r="U181">
        <f>ROUND((175/100)*ROUND(Source!R91, 2), 2)</f>
        <v>0</v>
      </c>
      <c r="V181">
        <f>ROUND((0/100)*ROUND(Source!R92, 2), 2)</f>
        <v>0</v>
      </c>
      <c r="AC181">
        <v>5</v>
      </c>
    </row>
    <row r="182" spans="1:29" ht="14" x14ac:dyDescent="0.25">
      <c r="A182" s="67"/>
      <c r="B182" s="67"/>
      <c r="C182" s="68" t="s">
        <v>660</v>
      </c>
      <c r="D182" s="67"/>
      <c r="E182" s="67"/>
      <c r="F182" s="67"/>
      <c r="G182" s="67"/>
      <c r="H182" s="69">
        <f>I181+0</f>
        <v>58238.71</v>
      </c>
      <c r="I182" s="69"/>
      <c r="J182" s="69">
        <f>K181+0</f>
        <v>440867.03</v>
      </c>
      <c r="K182" s="69"/>
      <c r="O182" s="58">
        <f>I181+0</f>
        <v>58238.71</v>
      </c>
      <c r="P182" s="58">
        <f>K181+0</f>
        <v>440867.03</v>
      </c>
    </row>
    <row r="184" spans="1:29" ht="42" x14ac:dyDescent="0.25">
      <c r="A184" s="43">
        <v>16</v>
      </c>
      <c r="B184" s="43" t="str">
        <f>Source!F93</f>
        <v>4.10-32-4</v>
      </c>
      <c r="C184" s="43" t="s">
        <v>154</v>
      </c>
      <c r="D184" s="45" t="str">
        <f>Source!H93</f>
        <v>1  ШТ.</v>
      </c>
      <c r="E184" s="44">
        <f>Source!I93</f>
        <v>1</v>
      </c>
      <c r="F184" s="47"/>
      <c r="G184" s="46"/>
      <c r="H184" s="44"/>
      <c r="I184" s="47"/>
      <c r="J184" s="44"/>
      <c r="K184" s="47"/>
      <c r="Q184">
        <f>Source!X93</f>
        <v>27.69</v>
      </c>
      <c r="R184">
        <f>Source!X94</f>
        <v>1560.5</v>
      </c>
      <c r="S184">
        <f>Source!Y93</f>
        <v>14.15</v>
      </c>
      <c r="T184">
        <f>Source!Y94</f>
        <v>797.59</v>
      </c>
      <c r="U184">
        <f>ROUND((175/100)*ROUND(Source!R93, 2), 2)</f>
        <v>2.2200000000000002</v>
      </c>
      <c r="V184">
        <f>ROUND((0/100)*ROUND(Source!R94, 2), 2)</f>
        <v>0</v>
      </c>
      <c r="AC184">
        <v>0</v>
      </c>
    </row>
    <row r="185" spans="1:29" ht="14.5" x14ac:dyDescent="0.25">
      <c r="A185" s="43"/>
      <c r="B185" s="43"/>
      <c r="C185" s="43" t="s">
        <v>651</v>
      </c>
      <c r="D185" s="45"/>
      <c r="E185" s="44"/>
      <c r="F185" s="47">
        <f>Source!AO93</f>
        <v>23.48</v>
      </c>
      <c r="G185" s="48" t="s">
        <v>152</v>
      </c>
      <c r="H185" s="44">
        <f>Source!AV94</f>
        <v>1.0469999999999999</v>
      </c>
      <c r="I185" s="47">
        <f>Source!S93</f>
        <v>29.5</v>
      </c>
      <c r="J185" s="44">
        <f>IF(Source!BA94&lt;&gt; 0, Source!BA94, 1)</f>
        <v>56.35</v>
      </c>
      <c r="K185" s="47">
        <f>Source!S94</f>
        <v>1662.33</v>
      </c>
    </row>
    <row r="186" spans="1:29" ht="14.5" x14ac:dyDescent="0.25">
      <c r="A186" s="43"/>
      <c r="B186" s="43"/>
      <c r="C186" s="43" t="s">
        <v>661</v>
      </c>
      <c r="D186" s="45"/>
      <c r="E186" s="44"/>
      <c r="F186" s="47">
        <f>Source!AM93</f>
        <v>9.19</v>
      </c>
      <c r="G186" s="48" t="s">
        <v>152</v>
      </c>
      <c r="H186" s="44">
        <f>Source!AV94</f>
        <v>1.0469999999999999</v>
      </c>
      <c r="I186" s="47">
        <f>Source!Q93</f>
        <v>11.55</v>
      </c>
      <c r="J186" s="44">
        <f>IF(Source!BB94&lt;&gt; 0, Source!BB94, 1)</f>
        <v>16.149999999999999</v>
      </c>
      <c r="K186" s="47">
        <f>Source!Q94</f>
        <v>186.53</v>
      </c>
    </row>
    <row r="187" spans="1:29" ht="14.5" x14ac:dyDescent="0.25">
      <c r="A187" s="43"/>
      <c r="B187" s="43"/>
      <c r="C187" s="43" t="s">
        <v>662</v>
      </c>
      <c r="D187" s="45"/>
      <c r="E187" s="44"/>
      <c r="F187" s="47">
        <f>Source!AN93</f>
        <v>1.01</v>
      </c>
      <c r="G187" s="48" t="s">
        <v>152</v>
      </c>
      <c r="H187" s="44">
        <f>Source!AV94</f>
        <v>1.0469999999999999</v>
      </c>
      <c r="I187" s="59">
        <f>Source!R93</f>
        <v>1.27</v>
      </c>
      <c r="J187" s="44">
        <f>IF(Source!BS94&lt;&gt; 0, Source!BS94, 1)</f>
        <v>56.35</v>
      </c>
      <c r="K187" s="59">
        <f>Source!R94</f>
        <v>71.56</v>
      </c>
    </row>
    <row r="188" spans="1:29" ht="14.5" x14ac:dyDescent="0.25">
      <c r="A188" s="43"/>
      <c r="B188" s="43"/>
      <c r="C188" s="43" t="s">
        <v>653</v>
      </c>
      <c r="D188" s="45" t="s">
        <v>654</v>
      </c>
      <c r="E188" s="44">
        <f>Source!BZ94</f>
        <v>90</v>
      </c>
      <c r="F188" s="47"/>
      <c r="G188" s="46"/>
      <c r="H188" s="44"/>
      <c r="I188" s="47">
        <f>SUM(Q184:Q187)</f>
        <v>27.69</v>
      </c>
      <c r="J188" s="44">
        <f>Source!AT94</f>
        <v>90</v>
      </c>
      <c r="K188" s="47">
        <f>SUM(R184:R187)</f>
        <v>1560.5</v>
      </c>
    </row>
    <row r="189" spans="1:29" ht="14.5" x14ac:dyDescent="0.25">
      <c r="A189" s="43"/>
      <c r="B189" s="43"/>
      <c r="C189" s="43" t="s">
        <v>655</v>
      </c>
      <c r="D189" s="45" t="s">
        <v>654</v>
      </c>
      <c r="E189" s="44">
        <f>Source!CA94</f>
        <v>46</v>
      </c>
      <c r="F189" s="47"/>
      <c r="G189" s="46"/>
      <c r="H189" s="44"/>
      <c r="I189" s="47">
        <f>SUM(S184:S188)</f>
        <v>14.15</v>
      </c>
      <c r="J189" s="44">
        <f>Source!AU94</f>
        <v>46</v>
      </c>
      <c r="K189" s="47">
        <f>SUM(T184:T188)</f>
        <v>797.59</v>
      </c>
    </row>
    <row r="190" spans="1:29" ht="14.5" x14ac:dyDescent="0.25">
      <c r="A190" s="49"/>
      <c r="B190" s="49"/>
      <c r="C190" s="49" t="s">
        <v>656</v>
      </c>
      <c r="D190" s="50" t="s">
        <v>657</v>
      </c>
      <c r="E190" s="51">
        <f>Source!AQ93</f>
        <v>2.1</v>
      </c>
      <c r="F190" s="52"/>
      <c r="G190" s="53" t="s">
        <v>152</v>
      </c>
      <c r="H190" s="51">
        <f>Source!AV94</f>
        <v>1.0469999999999999</v>
      </c>
      <c r="I190" s="52">
        <f>Source!U93</f>
        <v>2.6384399999999997</v>
      </c>
      <c r="J190" s="51"/>
      <c r="K190" s="52"/>
    </row>
    <row r="191" spans="1:29" ht="14" x14ac:dyDescent="0.25">
      <c r="C191" s="54" t="s">
        <v>658</v>
      </c>
      <c r="H191" s="55">
        <f>I185+I186+I188+I189+0-0-0</f>
        <v>82.89</v>
      </c>
      <c r="I191" s="55"/>
      <c r="J191" s="55">
        <f>K185+K186+K188+K189+0-0-0</f>
        <v>4206.95</v>
      </c>
      <c r="K191" s="55"/>
    </row>
    <row r="192" spans="1:29" ht="14" hidden="1" x14ac:dyDescent="0.25">
      <c r="C192" s="54" t="s">
        <v>659</v>
      </c>
      <c r="H192" s="57">
        <f>0+0</f>
        <v>0</v>
      </c>
      <c r="I192" s="57"/>
      <c r="J192" s="57">
        <f>0+0</f>
        <v>0</v>
      </c>
      <c r="K192" s="57"/>
    </row>
    <row r="193" spans="1:29" ht="14" x14ac:dyDescent="0.25">
      <c r="C193" s="54" t="s">
        <v>660</v>
      </c>
      <c r="H193" s="57">
        <f>I185+I186+I188+I189+0</f>
        <v>82.89</v>
      </c>
      <c r="I193" s="57"/>
      <c r="J193" s="57">
        <f>K185+K186+K188+K189+0</f>
        <v>4206.95</v>
      </c>
      <c r="K193" s="57"/>
      <c r="O193" s="58">
        <f>I185+I186+I188+I189+0</f>
        <v>82.89</v>
      </c>
      <c r="P193" s="58">
        <f>K185+K186+K188+K189+0</f>
        <v>4206.95</v>
      </c>
    </row>
    <row r="195" spans="1:29" ht="82" x14ac:dyDescent="0.25">
      <c r="A195" s="62">
        <v>17</v>
      </c>
      <c r="B195" s="62" t="str">
        <f>Source!F95</f>
        <v>КА, п.2</v>
      </c>
      <c r="C195" s="62" t="s">
        <v>667</v>
      </c>
      <c r="D195" s="63" t="str">
        <f>Source!H95</f>
        <v>ШТ</v>
      </c>
      <c r="E195" s="64">
        <f>Source!I95</f>
        <v>1</v>
      </c>
      <c r="F195" s="65">
        <f>Source!AL95</f>
        <v>3453.69</v>
      </c>
      <c r="G195" s="66" t="s">
        <v>3</v>
      </c>
      <c r="H195" s="64">
        <f>Source!AW96</f>
        <v>1</v>
      </c>
      <c r="I195" s="65">
        <f>Source!P95</f>
        <v>3453.69</v>
      </c>
      <c r="J195" s="64">
        <f>IF(Source!BC96&lt;&gt; 0, Source!BC96, 1)</f>
        <v>7.57</v>
      </c>
      <c r="K195" s="65">
        <f>Source!P96</f>
        <v>26144.43</v>
      </c>
      <c r="Q195">
        <f>Source!X95</f>
        <v>0</v>
      </c>
      <c r="R195">
        <f>Source!X96</f>
        <v>0</v>
      </c>
      <c r="S195">
        <f>Source!Y95</f>
        <v>0</v>
      </c>
      <c r="T195">
        <f>Source!Y96</f>
        <v>0</v>
      </c>
      <c r="U195">
        <f>ROUND((175/100)*ROUND(Source!R95, 2), 2)</f>
        <v>0</v>
      </c>
      <c r="V195">
        <f>ROUND((0/100)*ROUND(Source!R96, 2), 2)</f>
        <v>0</v>
      </c>
      <c r="AC195">
        <v>5</v>
      </c>
    </row>
    <row r="196" spans="1:29" ht="14" x14ac:dyDescent="0.25">
      <c r="A196" s="67"/>
      <c r="B196" s="67"/>
      <c r="C196" s="68" t="s">
        <v>660</v>
      </c>
      <c r="D196" s="67"/>
      <c r="E196" s="67"/>
      <c r="F196" s="67"/>
      <c r="G196" s="67"/>
      <c r="H196" s="69">
        <f>I195+0</f>
        <v>3453.69</v>
      </c>
      <c r="I196" s="69"/>
      <c r="J196" s="69">
        <f>K195+0</f>
        <v>26144.43</v>
      </c>
      <c r="K196" s="69"/>
      <c r="O196" s="58">
        <f>I195+0</f>
        <v>3453.69</v>
      </c>
      <c r="P196" s="58">
        <f>K195+0</f>
        <v>26144.43</v>
      </c>
    </row>
    <row r="198" spans="1:29" ht="42" x14ac:dyDescent="0.25">
      <c r="A198" s="43">
        <v>18</v>
      </c>
      <c r="B198" s="43" t="str">
        <f>Source!F97</f>
        <v>4.10-134-4</v>
      </c>
      <c r="C198" s="43" t="s">
        <v>160</v>
      </c>
      <c r="D198" s="45" t="str">
        <f>Source!H97</f>
        <v>1 антенна</v>
      </c>
      <c r="E198" s="44">
        <f>Source!I97</f>
        <v>1</v>
      </c>
      <c r="F198" s="47"/>
      <c r="G198" s="46"/>
      <c r="H198" s="44"/>
      <c r="I198" s="47"/>
      <c r="J198" s="44"/>
      <c r="K198" s="47"/>
      <c r="Q198">
        <f>Source!X97</f>
        <v>94.36</v>
      </c>
      <c r="R198">
        <f>Source!X98</f>
        <v>5317.39</v>
      </c>
      <c r="S198">
        <f>Source!Y97</f>
        <v>52.64</v>
      </c>
      <c r="T198">
        <f>Source!Y98</f>
        <v>2966.54</v>
      </c>
      <c r="U198">
        <f>ROUND((175/100)*ROUND(Source!R97, 2), 2)</f>
        <v>0</v>
      </c>
      <c r="V198">
        <f>ROUND((0/100)*ROUND(Source!R98, 2), 2)</f>
        <v>0</v>
      </c>
      <c r="AC198">
        <v>0</v>
      </c>
    </row>
    <row r="199" spans="1:29" ht="14.5" x14ac:dyDescent="0.25">
      <c r="A199" s="43"/>
      <c r="B199" s="43"/>
      <c r="C199" s="43" t="s">
        <v>651</v>
      </c>
      <c r="D199" s="45"/>
      <c r="E199" s="44"/>
      <c r="F199" s="47">
        <f>Source!AO97</f>
        <v>76.150000000000006</v>
      </c>
      <c r="G199" s="48" t="s">
        <v>152</v>
      </c>
      <c r="H199" s="44">
        <f>Source!AV98</f>
        <v>1.087</v>
      </c>
      <c r="I199" s="47">
        <f>Source!S97</f>
        <v>99.33</v>
      </c>
      <c r="J199" s="44">
        <f>IF(Source!BA98&lt;&gt; 0, Source!BA98, 1)</f>
        <v>56.35</v>
      </c>
      <c r="K199" s="47">
        <f>Source!S98</f>
        <v>5597.25</v>
      </c>
    </row>
    <row r="200" spans="1:29" ht="14.5" x14ac:dyDescent="0.25">
      <c r="A200" s="43"/>
      <c r="B200" s="43"/>
      <c r="C200" s="43" t="s">
        <v>665</v>
      </c>
      <c r="D200" s="45"/>
      <c r="E200" s="44"/>
      <c r="F200" s="47">
        <f>Source!AL97</f>
        <v>0.37</v>
      </c>
      <c r="G200" s="48" t="s">
        <v>3</v>
      </c>
      <c r="H200" s="44">
        <f>Source!AW98</f>
        <v>1</v>
      </c>
      <c r="I200" s="47">
        <f>Source!P97</f>
        <v>0.37</v>
      </c>
      <c r="J200" s="44">
        <f>IF(Source!BC98&lt;&gt; 0, Source!BC98, 1)</f>
        <v>5.46</v>
      </c>
      <c r="K200" s="47">
        <f>Source!P98</f>
        <v>2.02</v>
      </c>
    </row>
    <row r="201" spans="1:29" ht="14.5" x14ac:dyDescent="0.25">
      <c r="A201" s="43"/>
      <c r="B201" s="43"/>
      <c r="C201" s="43" t="s">
        <v>653</v>
      </c>
      <c r="D201" s="45" t="s">
        <v>654</v>
      </c>
      <c r="E201" s="44">
        <f>Source!BZ98</f>
        <v>95</v>
      </c>
      <c r="F201" s="47"/>
      <c r="G201" s="46"/>
      <c r="H201" s="44"/>
      <c r="I201" s="47">
        <f>SUM(Q198:Q200)</f>
        <v>94.36</v>
      </c>
      <c r="J201" s="44">
        <f>Source!AT98</f>
        <v>95</v>
      </c>
      <c r="K201" s="47">
        <f>SUM(R198:R200)</f>
        <v>5317.39</v>
      </c>
    </row>
    <row r="202" spans="1:29" ht="14.5" x14ac:dyDescent="0.25">
      <c r="A202" s="43"/>
      <c r="B202" s="43"/>
      <c r="C202" s="43" t="s">
        <v>655</v>
      </c>
      <c r="D202" s="45" t="s">
        <v>654</v>
      </c>
      <c r="E202" s="44">
        <f>Source!CA98</f>
        <v>53</v>
      </c>
      <c r="F202" s="47"/>
      <c r="G202" s="46"/>
      <c r="H202" s="44"/>
      <c r="I202" s="47">
        <f>SUM(S198:S201)</f>
        <v>52.64</v>
      </c>
      <c r="J202" s="44">
        <f>Source!AU98</f>
        <v>53</v>
      </c>
      <c r="K202" s="47">
        <f>SUM(T198:T201)</f>
        <v>2966.54</v>
      </c>
    </row>
    <row r="203" spans="1:29" ht="14.5" x14ac:dyDescent="0.25">
      <c r="A203" s="49"/>
      <c r="B203" s="49"/>
      <c r="C203" s="49" t="s">
        <v>656</v>
      </c>
      <c r="D203" s="50" t="s">
        <v>657</v>
      </c>
      <c r="E203" s="51">
        <f>Source!AQ97</f>
        <v>5.37</v>
      </c>
      <c r="F203" s="52"/>
      <c r="G203" s="53" t="s">
        <v>152</v>
      </c>
      <c r="H203" s="51">
        <f>Source!AV98</f>
        <v>1.087</v>
      </c>
      <c r="I203" s="52">
        <f>Source!U97</f>
        <v>7.0046279999999994</v>
      </c>
      <c r="J203" s="51"/>
      <c r="K203" s="52"/>
    </row>
    <row r="204" spans="1:29" ht="14" x14ac:dyDescent="0.25">
      <c r="C204" s="54" t="s">
        <v>658</v>
      </c>
      <c r="H204" s="55">
        <f>I199+I200+I201+I202+0-0-0</f>
        <v>246.7</v>
      </c>
      <c r="I204" s="55"/>
      <c r="J204" s="55">
        <f>K199+K200+K201+K202+0-0-0</f>
        <v>13883.2</v>
      </c>
      <c r="K204" s="55"/>
    </row>
    <row r="205" spans="1:29" ht="14" hidden="1" x14ac:dyDescent="0.25">
      <c r="C205" s="54" t="s">
        <v>659</v>
      </c>
      <c r="H205" s="57">
        <f>0+0</f>
        <v>0</v>
      </c>
      <c r="I205" s="57"/>
      <c r="J205" s="57">
        <f>0+0</f>
        <v>0</v>
      </c>
      <c r="K205" s="57"/>
    </row>
    <row r="206" spans="1:29" ht="14" x14ac:dyDescent="0.25">
      <c r="C206" s="54" t="s">
        <v>660</v>
      </c>
      <c r="H206" s="57">
        <f>I199+I200+I201+I202+0</f>
        <v>246.7</v>
      </c>
      <c r="I206" s="57"/>
      <c r="J206" s="57">
        <f>K199+K200+K201+K202+0</f>
        <v>13883.2</v>
      </c>
      <c r="K206" s="57"/>
      <c r="O206" s="58">
        <f>I199+I200+I201+I202+0</f>
        <v>246.7</v>
      </c>
      <c r="P206" s="58">
        <f>K199+K200+K201+K202+0</f>
        <v>13883.2</v>
      </c>
    </row>
    <row r="208" spans="1:29" ht="84" x14ac:dyDescent="0.25">
      <c r="A208" s="62">
        <v>19</v>
      </c>
      <c r="B208" s="62" t="str">
        <f>Source!F99</f>
        <v>13.1-2-587</v>
      </c>
      <c r="C208" s="62" t="s">
        <v>668</v>
      </c>
      <c r="D208" s="63" t="str">
        <f>Source!H99</f>
        <v>шт.</v>
      </c>
      <c r="E208" s="64">
        <f>Source!I99</f>
        <v>1</v>
      </c>
      <c r="F208" s="65">
        <f>Source!AL99</f>
        <v>699.69</v>
      </c>
      <c r="G208" s="66" t="s">
        <v>3</v>
      </c>
      <c r="H208" s="64">
        <f>Source!AW100</f>
        <v>1</v>
      </c>
      <c r="I208" s="65">
        <f>Source!P99</f>
        <v>699.69</v>
      </c>
      <c r="J208" s="64">
        <f>IF(Source!BC100&lt;&gt; 0, Source!BC100, 1)</f>
        <v>10.55</v>
      </c>
      <c r="K208" s="65">
        <f>Source!P100</f>
        <v>7381.73</v>
      </c>
      <c r="Q208">
        <f>Source!X99</f>
        <v>0</v>
      </c>
      <c r="R208">
        <f>Source!X100</f>
        <v>0</v>
      </c>
      <c r="S208">
        <f>Source!Y99</f>
        <v>0</v>
      </c>
      <c r="T208">
        <f>Source!Y100</f>
        <v>0</v>
      </c>
      <c r="U208">
        <f>ROUND((175/100)*ROUND(Source!R99, 2), 2)</f>
        <v>0</v>
      </c>
      <c r="V208">
        <f>ROUND((0/100)*ROUND(Source!R100, 2), 2)</f>
        <v>0</v>
      </c>
      <c r="AC208">
        <v>5</v>
      </c>
    </row>
    <row r="209" spans="1:29" ht="14" x14ac:dyDescent="0.25">
      <c r="A209" s="67"/>
      <c r="B209" s="67"/>
      <c r="C209" s="68" t="s">
        <v>660</v>
      </c>
      <c r="D209" s="67"/>
      <c r="E209" s="67"/>
      <c r="F209" s="67"/>
      <c r="G209" s="67"/>
      <c r="H209" s="69">
        <f>I208+0</f>
        <v>699.69</v>
      </c>
      <c r="I209" s="69"/>
      <c r="J209" s="69">
        <f>K208+0</f>
        <v>7381.73</v>
      </c>
      <c r="K209" s="69"/>
      <c r="O209" s="58">
        <f>I208+0</f>
        <v>699.69</v>
      </c>
      <c r="P209" s="58">
        <f>K208+0</f>
        <v>7381.73</v>
      </c>
    </row>
    <row r="211" spans="1:29" ht="29" x14ac:dyDescent="0.25">
      <c r="A211" s="43">
        <v>20</v>
      </c>
      <c r="B211" s="43" t="str">
        <f>Source!F101</f>
        <v>4.10-21-5</v>
      </c>
      <c r="C211" s="43" t="s">
        <v>170</v>
      </c>
      <c r="D211" s="45" t="str">
        <f>Source!H101</f>
        <v>1 комплект</v>
      </c>
      <c r="E211" s="44">
        <f>Source!I101</f>
        <v>1</v>
      </c>
      <c r="F211" s="47"/>
      <c r="G211" s="46"/>
      <c r="H211" s="44"/>
      <c r="I211" s="47"/>
      <c r="J211" s="44"/>
      <c r="K211" s="47"/>
      <c r="Q211">
        <f>Source!X101</f>
        <v>42.81</v>
      </c>
      <c r="R211">
        <f>Source!X102</f>
        <v>2412.5100000000002</v>
      </c>
      <c r="S211">
        <f>Source!Y101</f>
        <v>21.88</v>
      </c>
      <c r="T211">
        <f>Source!Y102</f>
        <v>1233.06</v>
      </c>
      <c r="U211">
        <f>ROUND((175/100)*ROUND(Source!R101, 2), 2)</f>
        <v>0</v>
      </c>
      <c r="V211">
        <f>ROUND((0/100)*ROUND(Source!R102, 2), 2)</f>
        <v>0</v>
      </c>
      <c r="AC211">
        <v>0</v>
      </c>
    </row>
    <row r="212" spans="1:29" ht="14.5" x14ac:dyDescent="0.25">
      <c r="A212" s="43"/>
      <c r="B212" s="43"/>
      <c r="C212" s="43" t="s">
        <v>651</v>
      </c>
      <c r="D212" s="45"/>
      <c r="E212" s="44"/>
      <c r="F212" s="47">
        <f>Source!AO101</f>
        <v>37.86</v>
      </c>
      <c r="G212" s="48" t="s">
        <v>152</v>
      </c>
      <c r="H212" s="44">
        <f>Source!AV102</f>
        <v>1.0469999999999999</v>
      </c>
      <c r="I212" s="47">
        <f>Source!S101</f>
        <v>47.57</v>
      </c>
      <c r="J212" s="44">
        <f>IF(Source!BA102&lt;&gt; 0, Source!BA102, 1)</f>
        <v>56.35</v>
      </c>
      <c r="K212" s="47">
        <f>Source!S102</f>
        <v>2680.57</v>
      </c>
    </row>
    <row r="213" spans="1:29" ht="14.5" x14ac:dyDescent="0.25">
      <c r="A213" s="43"/>
      <c r="B213" s="43"/>
      <c r="C213" s="43" t="s">
        <v>665</v>
      </c>
      <c r="D213" s="45"/>
      <c r="E213" s="44"/>
      <c r="F213" s="47">
        <f>Source!AL101</f>
        <v>42.61</v>
      </c>
      <c r="G213" s="48" t="s">
        <v>3</v>
      </c>
      <c r="H213" s="44">
        <f>Source!AW102</f>
        <v>1</v>
      </c>
      <c r="I213" s="47">
        <f>Source!P101</f>
        <v>42.61</v>
      </c>
      <c r="J213" s="44">
        <f>IF(Source!BC102&lt;&gt; 0, Source!BC102, 1)</f>
        <v>5.15</v>
      </c>
      <c r="K213" s="47">
        <f>Source!P102</f>
        <v>219.44</v>
      </c>
    </row>
    <row r="214" spans="1:29" ht="14.5" x14ac:dyDescent="0.25">
      <c r="A214" s="43"/>
      <c r="B214" s="43"/>
      <c r="C214" s="43" t="s">
        <v>653</v>
      </c>
      <c r="D214" s="45" t="s">
        <v>654</v>
      </c>
      <c r="E214" s="44">
        <f>Source!BZ102</f>
        <v>90</v>
      </c>
      <c r="F214" s="47"/>
      <c r="G214" s="46"/>
      <c r="H214" s="44"/>
      <c r="I214" s="47">
        <f>SUM(Q211:Q213)</f>
        <v>42.81</v>
      </c>
      <c r="J214" s="44">
        <f>Source!AT102</f>
        <v>90</v>
      </c>
      <c r="K214" s="47">
        <f>SUM(R211:R213)</f>
        <v>2412.5100000000002</v>
      </c>
    </row>
    <row r="215" spans="1:29" ht="14.5" x14ac:dyDescent="0.25">
      <c r="A215" s="43"/>
      <c r="B215" s="43"/>
      <c r="C215" s="43" t="s">
        <v>655</v>
      </c>
      <c r="D215" s="45" t="s">
        <v>654</v>
      </c>
      <c r="E215" s="44">
        <f>Source!CA102</f>
        <v>46</v>
      </c>
      <c r="F215" s="47"/>
      <c r="G215" s="46"/>
      <c r="H215" s="44"/>
      <c r="I215" s="47">
        <f>SUM(S211:S214)</f>
        <v>21.88</v>
      </c>
      <c r="J215" s="44">
        <f>Source!AU102</f>
        <v>46</v>
      </c>
      <c r="K215" s="47">
        <f>SUM(T211:T214)</f>
        <v>1233.06</v>
      </c>
    </row>
    <row r="216" spans="1:29" ht="14.5" x14ac:dyDescent="0.25">
      <c r="A216" s="49"/>
      <c r="B216" s="49"/>
      <c r="C216" s="49" t="s">
        <v>656</v>
      </c>
      <c r="D216" s="50" t="s">
        <v>657</v>
      </c>
      <c r="E216" s="51">
        <f>Source!AQ101</f>
        <v>3</v>
      </c>
      <c r="F216" s="52"/>
      <c r="G216" s="53" t="s">
        <v>152</v>
      </c>
      <c r="H216" s="51">
        <f>Source!AV102</f>
        <v>1.0469999999999999</v>
      </c>
      <c r="I216" s="52">
        <f>Source!U101</f>
        <v>3.7691999999999992</v>
      </c>
      <c r="J216" s="51"/>
      <c r="K216" s="52"/>
    </row>
    <row r="217" spans="1:29" ht="14" x14ac:dyDescent="0.25">
      <c r="C217" s="54" t="s">
        <v>658</v>
      </c>
      <c r="H217" s="55">
        <f>I212+I213+I214+I215+0-0-0</f>
        <v>154.87</v>
      </c>
      <c r="I217" s="55"/>
      <c r="J217" s="55">
        <f>K212+K213+K214+K215+0-0-0</f>
        <v>6545.58</v>
      </c>
      <c r="K217" s="55"/>
    </row>
    <row r="218" spans="1:29" ht="14" hidden="1" x14ac:dyDescent="0.25">
      <c r="C218" s="54" t="s">
        <v>659</v>
      </c>
      <c r="H218" s="57">
        <f>0+0</f>
        <v>0</v>
      </c>
      <c r="I218" s="57"/>
      <c r="J218" s="57">
        <f>0+0</f>
        <v>0</v>
      </c>
      <c r="K218" s="57"/>
    </row>
    <row r="219" spans="1:29" ht="14" x14ac:dyDescent="0.25">
      <c r="C219" s="54" t="s">
        <v>660</v>
      </c>
      <c r="H219" s="57">
        <f>I212+I213+I214+I215+0</f>
        <v>154.87</v>
      </c>
      <c r="I219" s="57"/>
      <c r="J219" s="57">
        <f>K212+K213+K214+K215+0</f>
        <v>6545.58</v>
      </c>
      <c r="K219" s="57"/>
      <c r="O219" s="58">
        <f>I212+I213+I214+I215+0</f>
        <v>154.87</v>
      </c>
      <c r="P219" s="58">
        <f>K212+K213+K214+K215+0</f>
        <v>6545.58</v>
      </c>
    </row>
    <row r="221" spans="1:29" ht="54" x14ac:dyDescent="0.25">
      <c r="A221" s="62">
        <v>21</v>
      </c>
      <c r="B221" s="62" t="str">
        <f>Source!F103</f>
        <v>КА, п.3</v>
      </c>
      <c r="C221" s="62" t="s">
        <v>669</v>
      </c>
      <c r="D221" s="63" t="str">
        <f>Source!H103</f>
        <v>ШТ</v>
      </c>
      <c r="E221" s="64">
        <f>Source!I103</f>
        <v>1</v>
      </c>
      <c r="F221" s="65">
        <f>Source!AL103</f>
        <v>253.95</v>
      </c>
      <c r="G221" s="66" t="s">
        <v>3</v>
      </c>
      <c r="H221" s="64">
        <f>Source!AW104</f>
        <v>1</v>
      </c>
      <c r="I221" s="65">
        <f>Source!P103</f>
        <v>253.95</v>
      </c>
      <c r="J221" s="64">
        <f>IF(Source!BC104&lt;&gt; 0, Source!BC104, 1)</f>
        <v>7.57</v>
      </c>
      <c r="K221" s="65">
        <f>Source!P104</f>
        <v>1922.4</v>
      </c>
      <c r="Q221">
        <f>Source!X103</f>
        <v>0</v>
      </c>
      <c r="R221">
        <f>Source!X104</f>
        <v>0</v>
      </c>
      <c r="S221">
        <f>Source!Y103</f>
        <v>0</v>
      </c>
      <c r="T221">
        <f>Source!Y104</f>
        <v>0</v>
      </c>
      <c r="U221">
        <f>ROUND((175/100)*ROUND(Source!R103, 2), 2)</f>
        <v>0</v>
      </c>
      <c r="V221">
        <f>ROUND((0/100)*ROUND(Source!R104, 2), 2)</f>
        <v>0</v>
      </c>
      <c r="AC221">
        <v>5</v>
      </c>
    </row>
    <row r="222" spans="1:29" ht="14" x14ac:dyDescent="0.25">
      <c r="A222" s="67"/>
      <c r="B222" s="67"/>
      <c r="C222" s="68" t="s">
        <v>660</v>
      </c>
      <c r="D222" s="67"/>
      <c r="E222" s="67"/>
      <c r="F222" s="67"/>
      <c r="G222" s="67"/>
      <c r="H222" s="69">
        <f>I221+0</f>
        <v>253.95</v>
      </c>
      <c r="I222" s="69"/>
      <c r="J222" s="69">
        <f>K221+0</f>
        <v>1922.4</v>
      </c>
      <c r="K222" s="69"/>
      <c r="O222" s="58">
        <f>I221+0</f>
        <v>253.95</v>
      </c>
      <c r="P222" s="58">
        <f>K221+0</f>
        <v>1922.4</v>
      </c>
    </row>
    <row r="224" spans="1:29" ht="28" x14ac:dyDescent="0.25">
      <c r="A224" s="49">
        <v>22</v>
      </c>
      <c r="B224" s="49" t="str">
        <f>Source!F105</f>
        <v>1.14-1-281</v>
      </c>
      <c r="C224" s="49" t="s">
        <v>177</v>
      </c>
      <c r="D224" s="50" t="str">
        <f>Source!H105</f>
        <v>шт.</v>
      </c>
      <c r="E224" s="51">
        <f>Source!I105</f>
        <v>4</v>
      </c>
      <c r="F224" s="52">
        <f>Source!AL105</f>
        <v>30.69</v>
      </c>
      <c r="G224" s="53" t="s">
        <v>3</v>
      </c>
      <c r="H224" s="51">
        <f>Source!AW106</f>
        <v>1</v>
      </c>
      <c r="I224" s="52">
        <f>Source!P105</f>
        <v>122.76</v>
      </c>
      <c r="J224" s="51">
        <f>IF(Source!BC106&lt;&gt; 0, Source!BC106, 1)</f>
        <v>5.76</v>
      </c>
      <c r="K224" s="52">
        <f>Source!P106</f>
        <v>707.1</v>
      </c>
      <c r="Q224">
        <f>Source!X105</f>
        <v>0</v>
      </c>
      <c r="R224">
        <f>Source!X106</f>
        <v>0</v>
      </c>
      <c r="S224">
        <f>Source!Y105</f>
        <v>0</v>
      </c>
      <c r="T224">
        <f>Source!Y106</f>
        <v>0</v>
      </c>
      <c r="U224">
        <f>ROUND((175/100)*ROUND(Source!R105, 2), 2)</f>
        <v>0</v>
      </c>
      <c r="V224">
        <f>ROUND((0/100)*ROUND(Source!R106, 2), 2)</f>
        <v>0</v>
      </c>
      <c r="AC224">
        <v>3</v>
      </c>
    </row>
    <row r="225" spans="1:29" ht="14" x14ac:dyDescent="0.25">
      <c r="C225" s="54" t="s">
        <v>660</v>
      </c>
      <c r="H225" s="55">
        <f>I224+0</f>
        <v>122.76</v>
      </c>
      <c r="I225" s="55"/>
      <c r="J225" s="55">
        <f>K224+0</f>
        <v>707.1</v>
      </c>
      <c r="K225" s="55"/>
      <c r="O225" s="58">
        <f>I224+0</f>
        <v>122.76</v>
      </c>
      <c r="P225" s="58">
        <f>K224+0</f>
        <v>707.1</v>
      </c>
    </row>
    <row r="227" spans="1:29" ht="28" x14ac:dyDescent="0.25">
      <c r="A227" s="43">
        <v>23</v>
      </c>
      <c r="B227" s="43" t="str">
        <f>Source!F107</f>
        <v>4.10-118-12</v>
      </c>
      <c r="C227" s="43" t="s">
        <v>183</v>
      </c>
      <c r="D227" s="45" t="str">
        <f>Source!H107</f>
        <v>100 шт.</v>
      </c>
      <c r="E227" s="44">
        <f>Source!I107</f>
        <v>7.0000000000000007E-2</v>
      </c>
      <c r="F227" s="47"/>
      <c r="G227" s="46"/>
      <c r="H227" s="44"/>
      <c r="I227" s="47"/>
      <c r="J227" s="44"/>
      <c r="K227" s="47"/>
      <c r="Q227">
        <f>Source!X107</f>
        <v>22.06</v>
      </c>
      <c r="R227">
        <f>Source!X108</f>
        <v>1243.03</v>
      </c>
      <c r="S227">
        <f>Source!Y107</f>
        <v>11.27</v>
      </c>
      <c r="T227">
        <f>Source!Y108</f>
        <v>635.32000000000005</v>
      </c>
      <c r="U227">
        <f>ROUND((175/100)*ROUND(Source!R107, 2), 2)</f>
        <v>0</v>
      </c>
      <c r="V227">
        <f>ROUND((0/100)*ROUND(Source!R108, 2), 2)</f>
        <v>0</v>
      </c>
      <c r="AC227">
        <v>0</v>
      </c>
    </row>
    <row r="228" spans="1:29" x14ac:dyDescent="0.25">
      <c r="C228" s="60" t="str">
        <f>"Объем: "&amp;Source!I107&amp;"=7/"&amp;"100"</f>
        <v>Объем: 0,07=7/100</v>
      </c>
    </row>
    <row r="229" spans="1:29" ht="14.5" x14ac:dyDescent="0.25">
      <c r="A229" s="43"/>
      <c r="B229" s="43"/>
      <c r="C229" s="43" t="s">
        <v>651</v>
      </c>
      <c r="D229" s="45"/>
      <c r="E229" s="44"/>
      <c r="F229" s="47">
        <f>Source!AO107</f>
        <v>278.64</v>
      </c>
      <c r="G229" s="48" t="s">
        <v>152</v>
      </c>
      <c r="H229" s="44">
        <f>Source!AV108</f>
        <v>1.0469999999999999</v>
      </c>
      <c r="I229" s="47">
        <f>Source!S107</f>
        <v>24.51</v>
      </c>
      <c r="J229" s="44">
        <f>IF(Source!BA108&lt;&gt; 0, Source!BA108, 1)</f>
        <v>56.35</v>
      </c>
      <c r="K229" s="47">
        <f>Source!S108</f>
        <v>1381.14</v>
      </c>
    </row>
    <row r="230" spans="1:29" ht="14.5" x14ac:dyDescent="0.25">
      <c r="A230" s="43"/>
      <c r="B230" s="43"/>
      <c r="C230" s="43" t="s">
        <v>665</v>
      </c>
      <c r="D230" s="45"/>
      <c r="E230" s="44"/>
      <c r="F230" s="47">
        <f>Source!AL107</f>
        <v>85.6</v>
      </c>
      <c r="G230" s="48" t="s">
        <v>3</v>
      </c>
      <c r="H230" s="44">
        <f>Source!AW108</f>
        <v>1</v>
      </c>
      <c r="I230" s="47">
        <f>Source!P107</f>
        <v>5.99</v>
      </c>
      <c r="J230" s="44">
        <f>IF(Source!BC108&lt;&gt; 0, Source!BC108, 1)</f>
        <v>5.0599999999999996</v>
      </c>
      <c r="K230" s="47">
        <f>Source!P108</f>
        <v>30.31</v>
      </c>
    </row>
    <row r="231" spans="1:29" ht="42" x14ac:dyDescent="0.25">
      <c r="A231" s="43" t="s">
        <v>184</v>
      </c>
      <c r="B231" s="43" t="str">
        <f>Source!F109</f>
        <v>1.14-1-13</v>
      </c>
      <c r="C231" s="43" t="s">
        <v>186</v>
      </c>
      <c r="D231" s="45" t="str">
        <f>Source!H109</f>
        <v>шт.</v>
      </c>
      <c r="E231" s="44">
        <f>Source!I109</f>
        <v>7</v>
      </c>
      <c r="F231" s="47">
        <f>Source!AK109</f>
        <v>29.6</v>
      </c>
      <c r="G231" s="48" t="s">
        <v>3</v>
      </c>
      <c r="H231" s="44">
        <f>Source!AW110</f>
        <v>1</v>
      </c>
      <c r="I231" s="47">
        <f>Source!O109</f>
        <v>207.2</v>
      </c>
      <c r="J231" s="44">
        <f>IF(Source!BC110&lt;&gt; 0, Source!BC110, 1)</f>
        <v>6.17</v>
      </c>
      <c r="K231" s="47">
        <f>Source!O110</f>
        <v>1278.42</v>
      </c>
      <c r="Q231">
        <f>Source!X109</f>
        <v>0</v>
      </c>
      <c r="R231">
        <f>Source!X110</f>
        <v>0</v>
      </c>
      <c r="S231">
        <f>Source!Y109</f>
        <v>0</v>
      </c>
      <c r="T231">
        <f>Source!Y110</f>
        <v>0</v>
      </c>
      <c r="U231">
        <f>ROUND((175/100)*ROUND(Source!R109, 2), 2)</f>
        <v>0</v>
      </c>
      <c r="V231">
        <f>ROUND((0/100)*ROUND(Source!R110, 2), 2)</f>
        <v>0</v>
      </c>
      <c r="AC231">
        <v>3</v>
      </c>
    </row>
    <row r="232" spans="1:29" ht="14.5" x14ac:dyDescent="0.25">
      <c r="A232" s="43"/>
      <c r="B232" s="43"/>
      <c r="C232" s="43" t="s">
        <v>653</v>
      </c>
      <c r="D232" s="45" t="s">
        <v>654</v>
      </c>
      <c r="E232" s="44">
        <f>Source!BZ108</f>
        <v>90</v>
      </c>
      <c r="F232" s="47"/>
      <c r="G232" s="46"/>
      <c r="H232" s="44"/>
      <c r="I232" s="47">
        <f>SUM(Q227:Q231)</f>
        <v>22.06</v>
      </c>
      <c r="J232" s="44">
        <f>Source!AT108</f>
        <v>90</v>
      </c>
      <c r="K232" s="47">
        <f>SUM(R227:R231)</f>
        <v>1243.03</v>
      </c>
    </row>
    <row r="233" spans="1:29" ht="14.5" x14ac:dyDescent="0.25">
      <c r="A233" s="43"/>
      <c r="B233" s="43"/>
      <c r="C233" s="43" t="s">
        <v>655</v>
      </c>
      <c r="D233" s="45" t="s">
        <v>654</v>
      </c>
      <c r="E233" s="44">
        <f>Source!CA108</f>
        <v>46</v>
      </c>
      <c r="F233" s="47"/>
      <c r="G233" s="46"/>
      <c r="H233" s="44"/>
      <c r="I233" s="47">
        <f>SUM(S227:S232)</f>
        <v>11.27</v>
      </c>
      <c r="J233" s="44">
        <f>Source!AU108</f>
        <v>46</v>
      </c>
      <c r="K233" s="47">
        <f>SUM(T227:T232)</f>
        <v>635.32000000000005</v>
      </c>
    </row>
    <row r="234" spans="1:29" ht="14.5" x14ac:dyDescent="0.25">
      <c r="A234" s="49"/>
      <c r="B234" s="49"/>
      <c r="C234" s="49" t="s">
        <v>656</v>
      </c>
      <c r="D234" s="50" t="s">
        <v>657</v>
      </c>
      <c r="E234" s="51">
        <f>Source!AQ107</f>
        <v>24</v>
      </c>
      <c r="F234" s="52"/>
      <c r="G234" s="53" t="s">
        <v>152</v>
      </c>
      <c r="H234" s="51">
        <f>Source!AV108</f>
        <v>1.0469999999999999</v>
      </c>
      <c r="I234" s="52">
        <f>Source!U107</f>
        <v>2.1107519999999997</v>
      </c>
      <c r="J234" s="51"/>
      <c r="K234" s="52"/>
    </row>
    <row r="235" spans="1:29" ht="14" x14ac:dyDescent="0.25">
      <c r="C235" s="54" t="s">
        <v>658</v>
      </c>
      <c r="H235" s="55">
        <f>I229+I230+I232+I233+SUM(I231:I231)-SUMIF(AC231:AC231, 5, I231:I231)-SUMIF(AC231:AC231, 6, I231:I231)</f>
        <v>271.02999999999997</v>
      </c>
      <c r="I235" s="55"/>
      <c r="J235" s="55">
        <f>K229+K230+K232+K233+SUM(K231:K231)-SUMIF(AC231:AC231, 5, K231:K231)-SUMIF(AC231:AC231, 6, K231:K231)</f>
        <v>4568.22</v>
      </c>
      <c r="K235" s="55"/>
    </row>
    <row r="236" spans="1:29" ht="14" hidden="1" x14ac:dyDescent="0.25">
      <c r="C236" s="54" t="s">
        <v>659</v>
      </c>
      <c r="H236" s="57">
        <f>SUMIF(AC231:AC231, 5, I231:I231)+SUMIF(AC231:AC231, 6, I231:I231)</f>
        <v>0</v>
      </c>
      <c r="I236" s="57"/>
      <c r="J236" s="57">
        <f>SUMIF(AC231:AC231, 5, K231:K231)+SUMIF(AC231:AC231, 6, K231:K231)</f>
        <v>0</v>
      </c>
      <c r="K236" s="57"/>
    </row>
    <row r="237" spans="1:29" ht="14" x14ac:dyDescent="0.25">
      <c r="C237" s="54" t="s">
        <v>660</v>
      </c>
      <c r="H237" s="57">
        <f>I229+I230+I232+I233+SUM(I231:I231)</f>
        <v>271.02999999999997</v>
      </c>
      <c r="I237" s="57"/>
      <c r="J237" s="57">
        <f>K229+K230+K232+K233+SUM(K231:K231)</f>
        <v>4568.22</v>
      </c>
      <c r="K237" s="57"/>
      <c r="O237" s="58">
        <f>I229+I230+I232+I233+SUM(I231:I231)</f>
        <v>271.02999999999997</v>
      </c>
      <c r="P237" s="58">
        <f>K229+K230+K232+K233+SUM(K231:K231)</f>
        <v>4568.22</v>
      </c>
    </row>
    <row r="239" spans="1:29" ht="28" x14ac:dyDescent="0.25">
      <c r="A239" s="43">
        <v>24</v>
      </c>
      <c r="B239" s="43" t="str">
        <f>Source!F111</f>
        <v>4.8-333-7</v>
      </c>
      <c r="C239" s="43" t="s">
        <v>190</v>
      </c>
      <c r="D239" s="45" t="str">
        <f>Source!H111</f>
        <v>100 шт.</v>
      </c>
      <c r="E239" s="44">
        <f>Source!I111</f>
        <v>0.06</v>
      </c>
      <c r="F239" s="47"/>
      <c r="G239" s="46"/>
      <c r="H239" s="44"/>
      <c r="I239" s="47"/>
      <c r="J239" s="44"/>
      <c r="K239" s="47"/>
      <c r="Q239">
        <f>Source!X111</f>
        <v>15.4</v>
      </c>
      <c r="R239">
        <f>Source!X112</f>
        <v>867.99</v>
      </c>
      <c r="S239">
        <f>Source!Y111</f>
        <v>8.1</v>
      </c>
      <c r="T239">
        <f>Source!Y112</f>
        <v>456.36</v>
      </c>
      <c r="U239">
        <f>ROUND((175/100)*ROUND(Source!R111, 2), 2)</f>
        <v>0.02</v>
      </c>
      <c r="V239">
        <f>ROUND((0/100)*ROUND(Source!R112, 2), 2)</f>
        <v>0</v>
      </c>
      <c r="AC239">
        <v>0</v>
      </c>
    </row>
    <row r="240" spans="1:29" x14ac:dyDescent="0.25">
      <c r="C240" s="60" t="str">
        <f>"Объем: "&amp;Source!I111&amp;"=6/"&amp;"100"</f>
        <v>Объем: 0,06=6/100</v>
      </c>
    </row>
    <row r="241" spans="1:29" ht="14.5" x14ac:dyDescent="0.25">
      <c r="A241" s="43"/>
      <c r="B241" s="43"/>
      <c r="C241" s="43" t="s">
        <v>651</v>
      </c>
      <c r="D241" s="45"/>
      <c r="E241" s="44"/>
      <c r="F241" s="47">
        <f>Source!AO111</f>
        <v>210.57</v>
      </c>
      <c r="G241" s="48" t="s">
        <v>152</v>
      </c>
      <c r="H241" s="44">
        <f>Source!AV112</f>
        <v>1.0469999999999999</v>
      </c>
      <c r="I241" s="47">
        <f>Source!S111</f>
        <v>15.87</v>
      </c>
      <c r="J241" s="44">
        <f>IF(Source!BA112&lt;&gt; 0, Source!BA112, 1)</f>
        <v>56.35</v>
      </c>
      <c r="K241" s="47">
        <f>Source!S112</f>
        <v>894.27</v>
      </c>
    </row>
    <row r="242" spans="1:29" ht="14.5" x14ac:dyDescent="0.25">
      <c r="A242" s="43"/>
      <c r="B242" s="43"/>
      <c r="C242" s="43" t="s">
        <v>661</v>
      </c>
      <c r="D242" s="45"/>
      <c r="E242" s="44"/>
      <c r="F242" s="47">
        <f>Source!AM111</f>
        <v>0.83</v>
      </c>
      <c r="G242" s="48" t="s">
        <v>152</v>
      </c>
      <c r="H242" s="44">
        <f>Source!AV112</f>
        <v>1.0469999999999999</v>
      </c>
      <c r="I242" s="47">
        <f>Source!Q111</f>
        <v>0.06</v>
      </c>
      <c r="J242" s="44">
        <f>IF(Source!BB112&lt;&gt; 0, Source!BB112, 1)</f>
        <v>17.100000000000001</v>
      </c>
      <c r="K242" s="47">
        <f>Source!Q112</f>
        <v>1.03</v>
      </c>
    </row>
    <row r="243" spans="1:29" ht="14.5" x14ac:dyDescent="0.25">
      <c r="A243" s="43"/>
      <c r="B243" s="43"/>
      <c r="C243" s="43" t="s">
        <v>662</v>
      </c>
      <c r="D243" s="45"/>
      <c r="E243" s="44"/>
      <c r="F243" s="47">
        <f>Source!AN111</f>
        <v>0.13</v>
      </c>
      <c r="G243" s="48" t="s">
        <v>152</v>
      </c>
      <c r="H243" s="44">
        <f>Source!AV112</f>
        <v>1.0469999999999999</v>
      </c>
      <c r="I243" s="59">
        <f>Source!R111</f>
        <v>0.01</v>
      </c>
      <c r="J243" s="44">
        <f>IF(Source!BS112&lt;&gt; 0, Source!BS112, 1)</f>
        <v>56.35</v>
      </c>
      <c r="K243" s="59">
        <f>Source!R112</f>
        <v>0.56000000000000005</v>
      </c>
    </row>
    <row r="244" spans="1:29" ht="28" x14ac:dyDescent="0.25">
      <c r="A244" s="43" t="s">
        <v>194</v>
      </c>
      <c r="B244" s="43" t="str">
        <f>Source!F113</f>
        <v>1.14-1-23</v>
      </c>
      <c r="C244" s="43" t="s">
        <v>196</v>
      </c>
      <c r="D244" s="45" t="str">
        <f>Source!H113</f>
        <v>шт.</v>
      </c>
      <c r="E244" s="44">
        <f>Source!I113</f>
        <v>6.12</v>
      </c>
      <c r="F244" s="47">
        <f>Source!AK113</f>
        <v>3.16</v>
      </c>
      <c r="G244" s="48" t="s">
        <v>3</v>
      </c>
      <c r="H244" s="44">
        <f>Source!AW114</f>
        <v>1</v>
      </c>
      <c r="I244" s="47">
        <f>Source!O113</f>
        <v>19.34</v>
      </c>
      <c r="J244" s="44">
        <f>IF(Source!BC114&lt;&gt; 0, Source!BC114, 1)</f>
        <v>28.28</v>
      </c>
      <c r="K244" s="47">
        <f>Source!O114</f>
        <v>546.94000000000005</v>
      </c>
      <c r="Q244">
        <f>Source!X113</f>
        <v>0</v>
      </c>
      <c r="R244">
        <f>Source!X114</f>
        <v>0</v>
      </c>
      <c r="S244">
        <f>Source!Y113</f>
        <v>0</v>
      </c>
      <c r="T244">
        <f>Source!Y114</f>
        <v>0</v>
      </c>
      <c r="U244">
        <f>ROUND((175/100)*ROUND(Source!R113, 2), 2)</f>
        <v>0</v>
      </c>
      <c r="V244">
        <f>ROUND((0/100)*ROUND(Source!R114, 2), 2)</f>
        <v>0</v>
      </c>
      <c r="AC244">
        <v>3</v>
      </c>
    </row>
    <row r="245" spans="1:29" ht="14.5" x14ac:dyDescent="0.25">
      <c r="A245" s="43"/>
      <c r="B245" s="43"/>
      <c r="C245" s="43" t="s">
        <v>653</v>
      </c>
      <c r="D245" s="45" t="s">
        <v>654</v>
      </c>
      <c r="E245" s="44">
        <f>Source!BZ112</f>
        <v>97</v>
      </c>
      <c r="F245" s="47"/>
      <c r="G245" s="46"/>
      <c r="H245" s="44"/>
      <c r="I245" s="47">
        <f>SUM(Q239:Q244)</f>
        <v>15.4</v>
      </c>
      <c r="J245" s="44">
        <f>Source!AT112</f>
        <v>97</v>
      </c>
      <c r="K245" s="47">
        <f>SUM(R239:R244)</f>
        <v>867.99</v>
      </c>
    </row>
    <row r="246" spans="1:29" ht="14.5" x14ac:dyDescent="0.25">
      <c r="A246" s="43"/>
      <c r="B246" s="43"/>
      <c r="C246" s="43" t="s">
        <v>655</v>
      </c>
      <c r="D246" s="45" t="s">
        <v>654</v>
      </c>
      <c r="E246" s="44">
        <f>Source!CA112</f>
        <v>51</v>
      </c>
      <c r="F246" s="47"/>
      <c r="G246" s="46"/>
      <c r="H246" s="44"/>
      <c r="I246" s="47">
        <f>SUM(S239:S245)</f>
        <v>8.1</v>
      </c>
      <c r="J246" s="44">
        <f>Source!AU112</f>
        <v>51</v>
      </c>
      <c r="K246" s="47">
        <f>SUM(T239:T245)</f>
        <v>456.36</v>
      </c>
    </row>
    <row r="247" spans="1:29" ht="14.5" x14ac:dyDescent="0.25">
      <c r="A247" s="49"/>
      <c r="B247" s="49"/>
      <c r="C247" s="49" t="s">
        <v>656</v>
      </c>
      <c r="D247" s="50" t="s">
        <v>657</v>
      </c>
      <c r="E247" s="51">
        <f>Source!AQ111</f>
        <v>18.84</v>
      </c>
      <c r="F247" s="52"/>
      <c r="G247" s="53" t="s">
        <v>152</v>
      </c>
      <c r="H247" s="51">
        <f>Source!AV112</f>
        <v>1.0469999999999999</v>
      </c>
      <c r="I247" s="52">
        <f>Source!U111</f>
        <v>1.4202345599999999</v>
      </c>
      <c r="J247" s="51"/>
      <c r="K247" s="52"/>
    </row>
    <row r="248" spans="1:29" ht="14" x14ac:dyDescent="0.25">
      <c r="C248" s="54" t="s">
        <v>658</v>
      </c>
      <c r="H248" s="55">
        <f>I241+I242+I245+I246+SUM(I244:I244)-SUMIF(AC244:AC244, 5, I244:I244)-SUMIF(AC244:AC244, 6, I244:I244)</f>
        <v>58.769999999999996</v>
      </c>
      <c r="I248" s="55"/>
      <c r="J248" s="55">
        <f>K241+K242+K245+K246+SUM(K244:K244)-SUMIF(AC244:AC244, 5, K244:K244)-SUMIF(AC244:AC244, 6, K244:K244)</f>
        <v>2766.59</v>
      </c>
      <c r="K248" s="55"/>
    </row>
    <row r="249" spans="1:29" ht="14" hidden="1" x14ac:dyDescent="0.25">
      <c r="C249" s="54" t="s">
        <v>659</v>
      </c>
      <c r="H249" s="57">
        <f>SUMIF(AC244:AC244, 5, I244:I244)+SUMIF(AC244:AC244, 6, I244:I244)</f>
        <v>0</v>
      </c>
      <c r="I249" s="57"/>
      <c r="J249" s="57">
        <f>SUMIF(AC244:AC244, 5, K244:K244)+SUMIF(AC244:AC244, 6, K244:K244)</f>
        <v>0</v>
      </c>
      <c r="K249" s="57"/>
    </row>
    <row r="250" spans="1:29" ht="14" x14ac:dyDescent="0.25">
      <c r="C250" s="54" t="s">
        <v>660</v>
      </c>
      <c r="H250" s="57">
        <f>I241+I242+I245+I246+SUM(I244:I244)</f>
        <v>58.769999999999996</v>
      </c>
      <c r="I250" s="57"/>
      <c r="J250" s="57">
        <f>K241+K242+K245+K246+SUM(K244:K244)</f>
        <v>2766.59</v>
      </c>
      <c r="K250" s="57"/>
      <c r="O250" s="58">
        <f>I241+I242+I245+I246+SUM(I244:I244)</f>
        <v>58.769999999999996</v>
      </c>
      <c r="P250" s="58">
        <f>K241+K242+K245+K246+SUM(K244:K244)</f>
        <v>2766.59</v>
      </c>
    </row>
    <row r="252" spans="1:29" ht="28" x14ac:dyDescent="0.25">
      <c r="A252" s="43">
        <v>25</v>
      </c>
      <c r="B252" s="43" t="str">
        <f>Source!F115</f>
        <v>4.11-7-1</v>
      </c>
      <c r="C252" s="43" t="s">
        <v>199</v>
      </c>
      <c r="D252" s="45" t="str">
        <f>Source!H115</f>
        <v>1  ШТ.</v>
      </c>
      <c r="E252" s="44">
        <f>Source!I115</f>
        <v>6</v>
      </c>
      <c r="F252" s="47"/>
      <c r="G252" s="46"/>
      <c r="H252" s="44"/>
      <c r="I252" s="47"/>
      <c r="J252" s="44"/>
      <c r="K252" s="47"/>
      <c r="Q252">
        <f>Source!X115</f>
        <v>91.86</v>
      </c>
      <c r="R252">
        <f>Source!X116</f>
        <v>5176.4799999999996</v>
      </c>
      <c r="S252">
        <f>Source!Y115</f>
        <v>46.95</v>
      </c>
      <c r="T252">
        <f>Source!Y116</f>
        <v>2645.75</v>
      </c>
      <c r="U252">
        <f>ROUND((175/100)*ROUND(Source!R115, 2), 2)</f>
        <v>26.65</v>
      </c>
      <c r="V252">
        <f>ROUND((0/100)*ROUND(Source!R116, 2), 2)</f>
        <v>0</v>
      </c>
      <c r="AC252">
        <v>0</v>
      </c>
    </row>
    <row r="253" spans="1:29" ht="14.5" x14ac:dyDescent="0.25">
      <c r="A253" s="43"/>
      <c r="B253" s="43"/>
      <c r="C253" s="43" t="s">
        <v>651</v>
      </c>
      <c r="D253" s="45"/>
      <c r="E253" s="44"/>
      <c r="F253" s="47">
        <f>Source!AO115</f>
        <v>11.52</v>
      </c>
      <c r="G253" s="48" t="s">
        <v>152</v>
      </c>
      <c r="H253" s="44">
        <f>Source!AV116</f>
        <v>1.0469999999999999</v>
      </c>
      <c r="I253" s="47">
        <f>Source!S115</f>
        <v>86.84</v>
      </c>
      <c r="J253" s="44">
        <f>IF(Source!BA116&lt;&gt; 0, Source!BA116, 1)</f>
        <v>56.35</v>
      </c>
      <c r="K253" s="47">
        <f>Source!S116</f>
        <v>4893.43</v>
      </c>
    </row>
    <row r="254" spans="1:29" ht="14.5" x14ac:dyDescent="0.25">
      <c r="A254" s="43"/>
      <c r="B254" s="43"/>
      <c r="C254" s="43" t="s">
        <v>661</v>
      </c>
      <c r="D254" s="45"/>
      <c r="E254" s="44"/>
      <c r="F254" s="47">
        <f>Source!AM115</f>
        <v>13.3</v>
      </c>
      <c r="G254" s="48" t="s">
        <v>152</v>
      </c>
      <c r="H254" s="44">
        <f>Source!AV116</f>
        <v>1.0469999999999999</v>
      </c>
      <c r="I254" s="47">
        <f>Source!Q115</f>
        <v>100.26</v>
      </c>
      <c r="J254" s="44">
        <f>IF(Source!BB116&lt;&gt; 0, Source!BB116, 1)</f>
        <v>17.059999999999999</v>
      </c>
      <c r="K254" s="47">
        <f>Source!Q116</f>
        <v>1710.44</v>
      </c>
    </row>
    <row r="255" spans="1:29" ht="14.5" x14ac:dyDescent="0.25">
      <c r="A255" s="43"/>
      <c r="B255" s="43"/>
      <c r="C255" s="43" t="s">
        <v>662</v>
      </c>
      <c r="D255" s="45"/>
      <c r="E255" s="44"/>
      <c r="F255" s="47">
        <f>Source!AN115</f>
        <v>2.02</v>
      </c>
      <c r="G255" s="48" t="s">
        <v>152</v>
      </c>
      <c r="H255" s="44">
        <f>Source!AV116</f>
        <v>1.0469999999999999</v>
      </c>
      <c r="I255" s="59">
        <f>Source!R115</f>
        <v>15.23</v>
      </c>
      <c r="J255" s="44">
        <f>IF(Source!BS116&lt;&gt; 0, Source!BS116, 1)</f>
        <v>56.35</v>
      </c>
      <c r="K255" s="59">
        <f>Source!R116</f>
        <v>858.21</v>
      </c>
    </row>
    <row r="256" spans="1:29" ht="14.5" x14ac:dyDescent="0.25">
      <c r="A256" s="43"/>
      <c r="B256" s="43"/>
      <c r="C256" s="43" t="s">
        <v>653</v>
      </c>
      <c r="D256" s="45" t="s">
        <v>654</v>
      </c>
      <c r="E256" s="44">
        <f>Source!BZ116</f>
        <v>90</v>
      </c>
      <c r="F256" s="47"/>
      <c r="G256" s="46"/>
      <c r="H256" s="44"/>
      <c r="I256" s="47">
        <f>SUM(Q252:Q255)</f>
        <v>91.86</v>
      </c>
      <c r="J256" s="44">
        <f>Source!AT116</f>
        <v>90</v>
      </c>
      <c r="K256" s="47">
        <f>SUM(R252:R255)</f>
        <v>5176.4799999999996</v>
      </c>
    </row>
    <row r="257" spans="1:43" ht="14.5" x14ac:dyDescent="0.25">
      <c r="A257" s="43"/>
      <c r="B257" s="43"/>
      <c r="C257" s="43" t="s">
        <v>655</v>
      </c>
      <c r="D257" s="45" t="s">
        <v>654</v>
      </c>
      <c r="E257" s="44">
        <f>Source!CA116</f>
        <v>46</v>
      </c>
      <c r="F257" s="47"/>
      <c r="G257" s="46"/>
      <c r="H257" s="44"/>
      <c r="I257" s="47">
        <f>SUM(S252:S256)</f>
        <v>46.95</v>
      </c>
      <c r="J257" s="44">
        <f>Source!AU116</f>
        <v>46</v>
      </c>
      <c r="K257" s="47">
        <f>SUM(T252:T256)</f>
        <v>2645.75</v>
      </c>
    </row>
    <row r="258" spans="1:43" ht="14.5" x14ac:dyDescent="0.25">
      <c r="A258" s="49"/>
      <c r="B258" s="49"/>
      <c r="C258" s="49" t="s">
        <v>656</v>
      </c>
      <c r="D258" s="50" t="s">
        <v>657</v>
      </c>
      <c r="E258" s="51">
        <f>Source!AQ115</f>
        <v>1.03</v>
      </c>
      <c r="F258" s="52"/>
      <c r="G258" s="53" t="s">
        <v>152</v>
      </c>
      <c r="H258" s="51">
        <f>Source!AV116</f>
        <v>1.0469999999999999</v>
      </c>
      <c r="I258" s="52">
        <f>Source!U115</f>
        <v>7.7645519999999983</v>
      </c>
      <c r="J258" s="51"/>
      <c r="K258" s="52"/>
    </row>
    <row r="259" spans="1:43" ht="14" x14ac:dyDescent="0.25">
      <c r="C259" s="54" t="s">
        <v>658</v>
      </c>
      <c r="H259" s="55">
        <f>I253+I254+I256+I257+0-0-0</f>
        <v>325.91000000000003</v>
      </c>
      <c r="I259" s="55"/>
      <c r="J259" s="55">
        <f>K253+K254+K256+K257+0-0-0</f>
        <v>14426.1</v>
      </c>
      <c r="K259" s="55"/>
    </row>
    <row r="260" spans="1:43" ht="14" hidden="1" x14ac:dyDescent="0.25">
      <c r="C260" s="54" t="s">
        <v>659</v>
      </c>
      <c r="H260" s="57">
        <f>0+0</f>
        <v>0</v>
      </c>
      <c r="I260" s="57"/>
      <c r="J260" s="57">
        <f>0+0</f>
        <v>0</v>
      </c>
      <c r="K260" s="57"/>
    </row>
    <row r="261" spans="1:43" ht="14" x14ac:dyDescent="0.25">
      <c r="C261" s="54" t="s">
        <v>660</v>
      </c>
      <c r="H261" s="57">
        <f>I253+I254+I256+I257+0</f>
        <v>325.91000000000003</v>
      </c>
      <c r="I261" s="57"/>
      <c r="J261" s="57">
        <f>K253+K254+K256+K257+0</f>
        <v>14426.1</v>
      </c>
      <c r="K261" s="57"/>
      <c r="O261" s="58">
        <f>I253+I254+I256+I257+0</f>
        <v>325.91000000000003</v>
      </c>
      <c r="P261" s="58">
        <f>K253+K254+K256+K257+0</f>
        <v>14426.1</v>
      </c>
    </row>
    <row r="263" spans="1:43" ht="68" x14ac:dyDescent="0.25">
      <c r="A263" s="62">
        <v>26</v>
      </c>
      <c r="B263" s="62" t="str">
        <f>Source!F117</f>
        <v>КА, п.4</v>
      </c>
      <c r="C263" s="62" t="s">
        <v>670</v>
      </c>
      <c r="D263" s="63" t="str">
        <f>Source!H117</f>
        <v>ШТ</v>
      </c>
      <c r="E263" s="64">
        <f>Source!I117</f>
        <v>6</v>
      </c>
      <c r="F263" s="65">
        <f>Source!AL117</f>
        <v>735.89</v>
      </c>
      <c r="G263" s="66" t="s">
        <v>3</v>
      </c>
      <c r="H263" s="64">
        <f>Source!AW118</f>
        <v>1</v>
      </c>
      <c r="I263" s="65">
        <f>Source!P117</f>
        <v>4415.34</v>
      </c>
      <c r="J263" s="64">
        <f>IF(Source!BC118&lt;&gt; 0, Source!BC118, 1)</f>
        <v>7.57</v>
      </c>
      <c r="K263" s="65">
        <f>Source!P118</f>
        <v>33424.120000000003</v>
      </c>
      <c r="Q263">
        <f>Source!X117</f>
        <v>0</v>
      </c>
      <c r="R263">
        <f>Source!X118</f>
        <v>0</v>
      </c>
      <c r="S263">
        <f>Source!Y117</f>
        <v>0</v>
      </c>
      <c r="T263">
        <f>Source!Y118</f>
        <v>0</v>
      </c>
      <c r="U263">
        <f>ROUND((175/100)*ROUND(Source!R117, 2), 2)</f>
        <v>0</v>
      </c>
      <c r="V263">
        <f>ROUND((0/100)*ROUND(Source!R118, 2), 2)</f>
        <v>0</v>
      </c>
      <c r="AC263">
        <v>5</v>
      </c>
    </row>
    <row r="264" spans="1:43" ht="14" x14ac:dyDescent="0.25">
      <c r="A264" s="67"/>
      <c r="B264" s="67"/>
      <c r="C264" s="68" t="s">
        <v>660</v>
      </c>
      <c r="D264" s="67"/>
      <c r="E264" s="67"/>
      <c r="F264" s="67"/>
      <c r="G264" s="67"/>
      <c r="H264" s="69">
        <f>I263+0</f>
        <v>4415.34</v>
      </c>
      <c r="I264" s="69"/>
      <c r="J264" s="69">
        <f>K263+0</f>
        <v>33424.120000000003</v>
      </c>
      <c r="K264" s="69"/>
      <c r="O264" s="58">
        <f>I263+0</f>
        <v>4415.34</v>
      </c>
      <c r="P264" s="58">
        <f>K263+0</f>
        <v>33424.120000000003</v>
      </c>
    </row>
    <row r="267" spans="1:43" ht="14" x14ac:dyDescent="0.3">
      <c r="A267" s="61" t="str">
        <f>CONCATENATE("Итого по разделу: ",IF(Source!G120&lt;&gt;"Новый раздел", Source!G120, ""))</f>
        <v>Итого по разделу: Комплект основного оборудования (радиофикация)</v>
      </c>
      <c r="B267" s="61"/>
      <c r="C267" s="61"/>
      <c r="D267" s="61"/>
      <c r="E267" s="61"/>
      <c r="F267" s="61"/>
      <c r="G267" s="61"/>
      <c r="H267" s="57">
        <f>SUM(O170:O266)</f>
        <v>68793.22</v>
      </c>
      <c r="I267" s="56"/>
      <c r="J267" s="57">
        <f>SUM(P170:P266)</f>
        <v>579726.91999999993</v>
      </c>
      <c r="K267" s="56"/>
      <c r="AQ267" s="70" t="str">
        <f>CONCATENATE("Итого по разделу: ",IF(Source!G120&lt;&gt;"Новый раздел", Source!G120, ""))</f>
        <v>Итого по разделу: Комплект основного оборудования (радиофикация)</v>
      </c>
    </row>
    <row r="268" spans="1:43" hidden="1" x14ac:dyDescent="0.25">
      <c r="A268" t="s">
        <v>663</v>
      </c>
      <c r="I268">
        <f>SUM(W170:W267)</f>
        <v>0</v>
      </c>
      <c r="J268">
        <f>SUM(X170:X267)</f>
        <v>0</v>
      </c>
    </row>
    <row r="269" spans="1:43" hidden="1" x14ac:dyDescent="0.25">
      <c r="A269" t="s">
        <v>664</v>
      </c>
      <c r="I269">
        <f>SUM(Y170:Y268)</f>
        <v>0</v>
      </c>
      <c r="J269">
        <f>SUM(Z170:Z268)</f>
        <v>0</v>
      </c>
    </row>
    <row r="271" spans="1:43" ht="33" x14ac:dyDescent="0.25">
      <c r="A271" s="42" t="str">
        <f>CONCATENATE("Раздел: ",IF(Source!G150&lt;&gt;"Новый раздел", Source!G150, ""))</f>
        <v>Раздел: Комплект основного оборудования (передача сигнала СПС на службу "01" и приём сигнала о ЧС)</v>
      </c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AP271" s="71" t="str">
        <f>CONCATENATE("Раздел: ",IF(Source!G150&lt;&gt;"Новый раздел", Source!G150, ""))</f>
        <v>Раздел: Комплект основного оборудования (передача сигнала СПС на службу "01" и приём сигнала о ЧС)</v>
      </c>
    </row>
    <row r="272" spans="1:43" ht="28" x14ac:dyDescent="0.25">
      <c r="A272" s="43">
        <v>27</v>
      </c>
      <c r="B272" s="43" t="str">
        <f>Source!F154</f>
        <v>4.10-69-3</v>
      </c>
      <c r="C272" s="43" t="s">
        <v>206</v>
      </c>
      <c r="D272" s="45" t="str">
        <f>Source!H154</f>
        <v>1  ШТ.</v>
      </c>
      <c r="E272" s="44">
        <f>Source!I154</f>
        <v>1</v>
      </c>
      <c r="F272" s="47"/>
      <c r="G272" s="46"/>
      <c r="H272" s="44"/>
      <c r="I272" s="47"/>
      <c r="J272" s="44"/>
      <c r="K272" s="47"/>
      <c r="Q272">
        <f>Source!X154</f>
        <v>534.1</v>
      </c>
      <c r="R272">
        <f>Source!X155</f>
        <v>30096.5</v>
      </c>
      <c r="S272">
        <f>Source!Y154</f>
        <v>297.97000000000003</v>
      </c>
      <c r="T272">
        <f>Source!Y155</f>
        <v>16790.68</v>
      </c>
      <c r="U272">
        <f>ROUND((175/100)*ROUND(Source!R154, 2), 2)</f>
        <v>0</v>
      </c>
      <c r="V272">
        <f>ROUND((0/100)*ROUND(Source!R155, 2), 2)</f>
        <v>0</v>
      </c>
      <c r="AC272">
        <v>0</v>
      </c>
    </row>
    <row r="273" spans="1:29" ht="14.5" x14ac:dyDescent="0.25">
      <c r="A273" s="43"/>
      <c r="B273" s="43"/>
      <c r="C273" s="43" t="s">
        <v>651</v>
      </c>
      <c r="D273" s="45"/>
      <c r="E273" s="44"/>
      <c r="F273" s="47">
        <f>Source!AO154</f>
        <v>447.48</v>
      </c>
      <c r="G273" s="48" t="s">
        <v>152</v>
      </c>
      <c r="H273" s="44">
        <f>Source!AV155</f>
        <v>1.0469999999999999</v>
      </c>
      <c r="I273" s="47">
        <f>Source!S154</f>
        <v>562.21</v>
      </c>
      <c r="J273" s="44">
        <f>IF(Source!BA155&lt;&gt; 0, Source!BA155, 1)</f>
        <v>56.35</v>
      </c>
      <c r="K273" s="47">
        <f>Source!S155</f>
        <v>31680.53</v>
      </c>
    </row>
    <row r="274" spans="1:29" ht="14.5" x14ac:dyDescent="0.25">
      <c r="A274" s="43"/>
      <c r="B274" s="43"/>
      <c r="C274" s="43" t="s">
        <v>665</v>
      </c>
      <c r="D274" s="45"/>
      <c r="E274" s="44"/>
      <c r="F274" s="47">
        <f>Source!AL154</f>
        <v>76.75</v>
      </c>
      <c r="G274" s="48" t="s">
        <v>3</v>
      </c>
      <c r="H274" s="44">
        <f>Source!AW155</f>
        <v>1</v>
      </c>
      <c r="I274" s="47">
        <f>Source!P154</f>
        <v>76.75</v>
      </c>
      <c r="J274" s="44">
        <f>IF(Source!BC155&lt;&gt; 0, Source!BC155, 1)</f>
        <v>9.08</v>
      </c>
      <c r="K274" s="47">
        <f>Source!P155</f>
        <v>696.89</v>
      </c>
    </row>
    <row r="275" spans="1:29" ht="14.5" x14ac:dyDescent="0.25">
      <c r="A275" s="43"/>
      <c r="B275" s="43"/>
      <c r="C275" s="43" t="s">
        <v>653</v>
      </c>
      <c r="D275" s="45" t="s">
        <v>654</v>
      </c>
      <c r="E275" s="44">
        <f>Source!BZ155</f>
        <v>95</v>
      </c>
      <c r="F275" s="47"/>
      <c r="G275" s="46"/>
      <c r="H275" s="44"/>
      <c r="I275" s="47">
        <f>SUM(Q272:Q274)</f>
        <v>534.1</v>
      </c>
      <c r="J275" s="44">
        <f>Source!AT155</f>
        <v>95</v>
      </c>
      <c r="K275" s="47">
        <f>SUM(R272:R274)</f>
        <v>30096.5</v>
      </c>
    </row>
    <row r="276" spans="1:29" ht="14.5" x14ac:dyDescent="0.25">
      <c r="A276" s="43"/>
      <c r="B276" s="43"/>
      <c r="C276" s="43" t="s">
        <v>655</v>
      </c>
      <c r="D276" s="45" t="s">
        <v>654</v>
      </c>
      <c r="E276" s="44">
        <f>Source!CA155</f>
        <v>53</v>
      </c>
      <c r="F276" s="47"/>
      <c r="G276" s="46"/>
      <c r="H276" s="44"/>
      <c r="I276" s="47">
        <f>SUM(S272:S275)</f>
        <v>297.97000000000003</v>
      </c>
      <c r="J276" s="44">
        <f>Source!AU155</f>
        <v>53</v>
      </c>
      <c r="K276" s="47">
        <f>SUM(T272:T275)</f>
        <v>16790.68</v>
      </c>
    </row>
    <row r="277" spans="1:29" ht="14.5" x14ac:dyDescent="0.25">
      <c r="A277" s="49"/>
      <c r="B277" s="49"/>
      <c r="C277" s="49" t="s">
        <v>656</v>
      </c>
      <c r="D277" s="50" t="s">
        <v>657</v>
      </c>
      <c r="E277" s="51">
        <f>Source!AQ154</f>
        <v>33</v>
      </c>
      <c r="F277" s="52"/>
      <c r="G277" s="53" t="s">
        <v>152</v>
      </c>
      <c r="H277" s="51">
        <f>Source!AV155</f>
        <v>1.0469999999999999</v>
      </c>
      <c r="I277" s="52">
        <f>Source!U154</f>
        <v>41.461199999999998</v>
      </c>
      <c r="J277" s="51"/>
      <c r="K277" s="52"/>
    </row>
    <row r="278" spans="1:29" ht="14" x14ac:dyDescent="0.25">
      <c r="C278" s="54" t="s">
        <v>658</v>
      </c>
      <c r="H278" s="55">
        <f>I273+I274+I275+I276+0-0-0</f>
        <v>1471.03</v>
      </c>
      <c r="I278" s="55"/>
      <c r="J278" s="55">
        <f>K273+K274+K275+K276+0-0-0</f>
        <v>79264.600000000006</v>
      </c>
      <c r="K278" s="55"/>
    </row>
    <row r="279" spans="1:29" ht="14" hidden="1" x14ac:dyDescent="0.25">
      <c r="C279" s="54" t="s">
        <v>659</v>
      </c>
      <c r="H279" s="57">
        <f>0+0</f>
        <v>0</v>
      </c>
      <c r="I279" s="57"/>
      <c r="J279" s="57">
        <f>0+0</f>
        <v>0</v>
      </c>
      <c r="K279" s="57"/>
    </row>
    <row r="280" spans="1:29" ht="14" x14ac:dyDescent="0.25">
      <c r="C280" s="54" t="s">
        <v>660</v>
      </c>
      <c r="H280" s="57">
        <f>I273+I274+I275+I276+0</f>
        <v>1471.03</v>
      </c>
      <c r="I280" s="57"/>
      <c r="J280" s="57">
        <f>K273+K274+K275+K276+0</f>
        <v>79264.600000000006</v>
      </c>
      <c r="K280" s="57"/>
      <c r="O280" s="58">
        <f>I273+I274+I275+I276+0</f>
        <v>1471.03</v>
      </c>
      <c r="P280" s="58">
        <f>K273+K274+K275+K276+0</f>
        <v>79264.600000000006</v>
      </c>
    </row>
    <row r="282" spans="1:29" ht="54" x14ac:dyDescent="0.25">
      <c r="A282" s="62">
        <v>28</v>
      </c>
      <c r="B282" s="62" t="str">
        <f>Source!F156</f>
        <v>КА, п.5</v>
      </c>
      <c r="C282" s="62" t="s">
        <v>671</v>
      </c>
      <c r="D282" s="63" t="str">
        <f>Source!H156</f>
        <v>ШТ</v>
      </c>
      <c r="E282" s="64">
        <f>Source!I156</f>
        <v>1</v>
      </c>
      <c r="F282" s="65">
        <f>Source!AL156</f>
        <v>14108.22</v>
      </c>
      <c r="G282" s="66" t="s">
        <v>3</v>
      </c>
      <c r="H282" s="64">
        <f>Source!AW157</f>
        <v>1</v>
      </c>
      <c r="I282" s="65">
        <f>Source!P156</f>
        <v>14108.22</v>
      </c>
      <c r="J282" s="64">
        <f>IF(Source!BC157&lt;&gt; 0, Source!BC157, 1)</f>
        <v>7.57</v>
      </c>
      <c r="K282" s="65">
        <f>Source!P157</f>
        <v>106799.23</v>
      </c>
      <c r="Q282">
        <f>Source!X156</f>
        <v>0</v>
      </c>
      <c r="R282">
        <f>Source!X157</f>
        <v>0</v>
      </c>
      <c r="S282">
        <f>Source!Y156</f>
        <v>0</v>
      </c>
      <c r="T282">
        <f>Source!Y157</f>
        <v>0</v>
      </c>
      <c r="U282">
        <f>ROUND((175/100)*ROUND(Source!R156, 2), 2)</f>
        <v>0</v>
      </c>
      <c r="V282">
        <f>ROUND((0/100)*ROUND(Source!R157, 2), 2)</f>
        <v>0</v>
      </c>
      <c r="AC282">
        <v>5</v>
      </c>
    </row>
    <row r="283" spans="1:29" ht="14" x14ac:dyDescent="0.25">
      <c r="A283" s="67"/>
      <c r="B283" s="67"/>
      <c r="C283" s="68" t="s">
        <v>660</v>
      </c>
      <c r="D283" s="67"/>
      <c r="E283" s="67"/>
      <c r="F283" s="67"/>
      <c r="G283" s="67"/>
      <c r="H283" s="69">
        <f>I282+0</f>
        <v>14108.22</v>
      </c>
      <c r="I283" s="69"/>
      <c r="J283" s="69">
        <f>K282+0</f>
        <v>106799.23</v>
      </c>
      <c r="K283" s="69"/>
      <c r="O283" s="58">
        <f>I282+0</f>
        <v>14108.22</v>
      </c>
      <c r="P283" s="58">
        <f>K282+0</f>
        <v>106799.23</v>
      </c>
    </row>
    <row r="285" spans="1:29" ht="42" x14ac:dyDescent="0.25">
      <c r="A285" s="43">
        <v>29</v>
      </c>
      <c r="B285" s="43" t="str">
        <f>Source!F158</f>
        <v>4.10-73-1</v>
      </c>
      <c r="C285" s="43" t="s">
        <v>144</v>
      </c>
      <c r="D285" s="45" t="str">
        <f>Source!H158</f>
        <v>1 комплект</v>
      </c>
      <c r="E285" s="44">
        <f>Source!I158</f>
        <v>1</v>
      </c>
      <c r="F285" s="47"/>
      <c r="G285" s="46"/>
      <c r="H285" s="44"/>
      <c r="I285" s="47"/>
      <c r="J285" s="44"/>
      <c r="K285" s="47"/>
      <c r="Q285">
        <f>Source!X158</f>
        <v>150.63</v>
      </c>
      <c r="R285">
        <f>Source!X159</f>
        <v>8488.1200000000008</v>
      </c>
      <c r="S285">
        <f>Source!Y158</f>
        <v>84.04</v>
      </c>
      <c r="T285">
        <f>Source!Y159</f>
        <v>4735.4799999999996</v>
      </c>
      <c r="U285">
        <f>ROUND((175/100)*ROUND(Source!R158, 2), 2)</f>
        <v>0</v>
      </c>
      <c r="V285">
        <f>ROUND((0/100)*ROUND(Source!R159, 2), 2)</f>
        <v>0</v>
      </c>
      <c r="AC285">
        <v>0</v>
      </c>
    </row>
    <row r="286" spans="1:29" ht="14.5" x14ac:dyDescent="0.25">
      <c r="A286" s="43"/>
      <c r="B286" s="43"/>
      <c r="C286" s="43" t="s">
        <v>651</v>
      </c>
      <c r="D286" s="45"/>
      <c r="E286" s="44"/>
      <c r="F286" s="47">
        <f>Source!AO158</f>
        <v>126.2</v>
      </c>
      <c r="G286" s="48" t="s">
        <v>152</v>
      </c>
      <c r="H286" s="44">
        <f>Source!AV159</f>
        <v>1.0469999999999999</v>
      </c>
      <c r="I286" s="47">
        <f>Source!S158</f>
        <v>158.56</v>
      </c>
      <c r="J286" s="44">
        <f>IF(Source!BA159&lt;&gt; 0, Source!BA159, 1)</f>
        <v>56.35</v>
      </c>
      <c r="K286" s="47">
        <f>Source!S159</f>
        <v>8934.86</v>
      </c>
    </row>
    <row r="287" spans="1:29" ht="14.5" x14ac:dyDescent="0.25">
      <c r="A287" s="43"/>
      <c r="B287" s="43"/>
      <c r="C287" s="43" t="s">
        <v>665</v>
      </c>
      <c r="D287" s="45"/>
      <c r="E287" s="44"/>
      <c r="F287" s="47">
        <f>Source!AL158</f>
        <v>75.680000000000007</v>
      </c>
      <c r="G287" s="48" t="s">
        <v>3</v>
      </c>
      <c r="H287" s="44">
        <f>Source!AW159</f>
        <v>1</v>
      </c>
      <c r="I287" s="47">
        <f>Source!P158</f>
        <v>75.680000000000007</v>
      </c>
      <c r="J287" s="44">
        <f>IF(Source!BC159&lt;&gt; 0, Source!BC159, 1)</f>
        <v>9.58</v>
      </c>
      <c r="K287" s="47">
        <f>Source!P159</f>
        <v>725.01</v>
      </c>
    </row>
    <row r="288" spans="1:29" ht="14.5" x14ac:dyDescent="0.25">
      <c r="A288" s="43"/>
      <c r="B288" s="43"/>
      <c r="C288" s="43" t="s">
        <v>653</v>
      </c>
      <c r="D288" s="45" t="s">
        <v>654</v>
      </c>
      <c r="E288" s="44">
        <f>Source!BZ159</f>
        <v>95</v>
      </c>
      <c r="F288" s="47"/>
      <c r="G288" s="46"/>
      <c r="H288" s="44"/>
      <c r="I288" s="47">
        <f>SUM(Q285:Q287)</f>
        <v>150.63</v>
      </c>
      <c r="J288" s="44">
        <f>Source!AT159</f>
        <v>95</v>
      </c>
      <c r="K288" s="47">
        <f>SUM(R285:R287)</f>
        <v>8488.1200000000008</v>
      </c>
    </row>
    <row r="289" spans="1:29" ht="14.5" x14ac:dyDescent="0.25">
      <c r="A289" s="43"/>
      <c r="B289" s="43"/>
      <c r="C289" s="43" t="s">
        <v>655</v>
      </c>
      <c r="D289" s="45" t="s">
        <v>654</v>
      </c>
      <c r="E289" s="44">
        <f>Source!CA159</f>
        <v>53</v>
      </c>
      <c r="F289" s="47"/>
      <c r="G289" s="46"/>
      <c r="H289" s="44"/>
      <c r="I289" s="47">
        <f>SUM(S285:S288)</f>
        <v>84.04</v>
      </c>
      <c r="J289" s="44">
        <f>Source!AU159</f>
        <v>53</v>
      </c>
      <c r="K289" s="47">
        <f>SUM(T285:T288)</f>
        <v>4735.4799999999996</v>
      </c>
    </row>
    <row r="290" spans="1:29" ht="14.5" x14ac:dyDescent="0.25">
      <c r="A290" s="49"/>
      <c r="B290" s="49"/>
      <c r="C290" s="49" t="s">
        <v>656</v>
      </c>
      <c r="D290" s="50" t="s">
        <v>657</v>
      </c>
      <c r="E290" s="51">
        <f>Source!AQ158</f>
        <v>10</v>
      </c>
      <c r="F290" s="52"/>
      <c r="G290" s="53" t="s">
        <v>152</v>
      </c>
      <c r="H290" s="51">
        <f>Source!AV159</f>
        <v>1.0469999999999999</v>
      </c>
      <c r="I290" s="52">
        <f>Source!U158</f>
        <v>12.564</v>
      </c>
      <c r="J290" s="51"/>
      <c r="K290" s="52"/>
    </row>
    <row r="291" spans="1:29" ht="14" x14ac:dyDescent="0.25">
      <c r="C291" s="54" t="s">
        <v>658</v>
      </c>
      <c r="H291" s="55">
        <f>I286+I287+I288+I289+0-0-0</f>
        <v>468.91</v>
      </c>
      <c r="I291" s="55"/>
      <c r="J291" s="55">
        <f>K286+K287+K288+K289+0-0-0</f>
        <v>22883.47</v>
      </c>
      <c r="K291" s="55"/>
    </row>
    <row r="292" spans="1:29" ht="14" hidden="1" x14ac:dyDescent="0.25">
      <c r="C292" s="54" t="s">
        <v>659</v>
      </c>
      <c r="H292" s="57">
        <f>0+0</f>
        <v>0</v>
      </c>
      <c r="I292" s="57"/>
      <c r="J292" s="57">
        <f>0+0</f>
        <v>0</v>
      </c>
      <c r="K292" s="57"/>
    </row>
    <row r="293" spans="1:29" ht="14" x14ac:dyDescent="0.25">
      <c r="C293" s="54" t="s">
        <v>660</v>
      </c>
      <c r="H293" s="57">
        <f>I286+I287+I288+I289+0</f>
        <v>468.91</v>
      </c>
      <c r="I293" s="57"/>
      <c r="J293" s="57">
        <f>K286+K287+K288+K289+0</f>
        <v>22883.47</v>
      </c>
      <c r="K293" s="57"/>
      <c r="O293" s="58">
        <f>I286+I287+I288+I289+0</f>
        <v>468.91</v>
      </c>
      <c r="P293" s="58">
        <f>K286+K287+K288+K289+0</f>
        <v>22883.47</v>
      </c>
    </row>
    <row r="295" spans="1:29" ht="68" x14ac:dyDescent="0.25">
      <c r="A295" s="62">
        <v>30</v>
      </c>
      <c r="B295" s="62" t="str">
        <f>Source!F160</f>
        <v>КА, п.6</v>
      </c>
      <c r="C295" s="62" t="s">
        <v>672</v>
      </c>
      <c r="D295" s="63" t="str">
        <f>Source!H160</f>
        <v>ШТ</v>
      </c>
      <c r="E295" s="64">
        <f>Source!I160</f>
        <v>1</v>
      </c>
      <c r="F295" s="65">
        <f>Source!AL160</f>
        <v>93114.22</v>
      </c>
      <c r="G295" s="66" t="s">
        <v>3</v>
      </c>
      <c r="H295" s="64">
        <f>Source!AW161</f>
        <v>1</v>
      </c>
      <c r="I295" s="65">
        <f>Source!P160</f>
        <v>93114.22</v>
      </c>
      <c r="J295" s="64">
        <f>IF(Source!BC161&lt;&gt; 0, Source!BC161, 1)</f>
        <v>7.57</v>
      </c>
      <c r="K295" s="65">
        <f>Source!P161</f>
        <v>704874.65</v>
      </c>
      <c r="Q295">
        <f>Source!X160</f>
        <v>0</v>
      </c>
      <c r="R295">
        <f>Source!X161</f>
        <v>0</v>
      </c>
      <c r="S295">
        <f>Source!Y160</f>
        <v>0</v>
      </c>
      <c r="T295">
        <f>Source!Y161</f>
        <v>0</v>
      </c>
      <c r="U295">
        <f>ROUND((175/100)*ROUND(Source!R160, 2), 2)</f>
        <v>0</v>
      </c>
      <c r="V295">
        <f>ROUND((0/100)*ROUND(Source!R161, 2), 2)</f>
        <v>0</v>
      </c>
      <c r="AC295">
        <v>5</v>
      </c>
    </row>
    <row r="296" spans="1:29" ht="14" x14ac:dyDescent="0.25">
      <c r="A296" s="67"/>
      <c r="B296" s="67"/>
      <c r="C296" s="68" t="s">
        <v>660</v>
      </c>
      <c r="D296" s="67"/>
      <c r="E296" s="67"/>
      <c r="F296" s="67"/>
      <c r="G296" s="67"/>
      <c r="H296" s="69">
        <f>I295+0</f>
        <v>93114.22</v>
      </c>
      <c r="I296" s="69"/>
      <c r="J296" s="69">
        <f>K295+0</f>
        <v>704874.65</v>
      </c>
      <c r="K296" s="69"/>
      <c r="O296" s="58">
        <f>I295+0</f>
        <v>93114.22</v>
      </c>
      <c r="P296" s="58">
        <f>K295+0</f>
        <v>704874.65</v>
      </c>
    </row>
    <row r="298" spans="1:29" ht="42" x14ac:dyDescent="0.25">
      <c r="A298" s="43">
        <v>31</v>
      </c>
      <c r="B298" s="43" t="str">
        <f>Source!F162</f>
        <v>4.10-134-7</v>
      </c>
      <c r="C298" s="43" t="s">
        <v>217</v>
      </c>
      <c r="D298" s="45" t="str">
        <f>Source!H162</f>
        <v>1 антенна</v>
      </c>
      <c r="E298" s="44">
        <f>Source!I162</f>
        <v>1</v>
      </c>
      <c r="F298" s="47"/>
      <c r="G298" s="46"/>
      <c r="H298" s="44"/>
      <c r="I298" s="47"/>
      <c r="J298" s="44"/>
      <c r="K298" s="47"/>
      <c r="Q298">
        <f>Source!X162</f>
        <v>49.38</v>
      </c>
      <c r="R298">
        <f>Source!X163</f>
        <v>2782.62</v>
      </c>
      <c r="S298">
        <f>Source!Y162</f>
        <v>27.55</v>
      </c>
      <c r="T298">
        <f>Source!Y163</f>
        <v>1552.41</v>
      </c>
      <c r="U298">
        <f>ROUND((175/100)*ROUND(Source!R162, 2), 2)</f>
        <v>0</v>
      </c>
      <c r="V298">
        <f>ROUND((0/100)*ROUND(Source!R163, 2), 2)</f>
        <v>0</v>
      </c>
      <c r="AC298">
        <v>0</v>
      </c>
    </row>
    <row r="299" spans="1:29" ht="14.5" x14ac:dyDescent="0.25">
      <c r="A299" s="43"/>
      <c r="B299" s="43"/>
      <c r="C299" s="43" t="s">
        <v>651</v>
      </c>
      <c r="D299" s="45"/>
      <c r="E299" s="44"/>
      <c r="F299" s="47">
        <f>Source!AO162</f>
        <v>39.85</v>
      </c>
      <c r="G299" s="48" t="s">
        <v>152</v>
      </c>
      <c r="H299" s="44">
        <f>Source!AV163</f>
        <v>1.087</v>
      </c>
      <c r="I299" s="47">
        <f>Source!S162</f>
        <v>51.98</v>
      </c>
      <c r="J299" s="44">
        <f>IF(Source!BA163&lt;&gt; 0, Source!BA163, 1)</f>
        <v>56.35</v>
      </c>
      <c r="K299" s="47">
        <f>Source!S163</f>
        <v>2929.07</v>
      </c>
    </row>
    <row r="300" spans="1:29" ht="14.5" x14ac:dyDescent="0.25">
      <c r="A300" s="43"/>
      <c r="B300" s="43"/>
      <c r="C300" s="43" t="s">
        <v>665</v>
      </c>
      <c r="D300" s="45"/>
      <c r="E300" s="44"/>
      <c r="F300" s="47">
        <f>Source!AL162</f>
        <v>0.18</v>
      </c>
      <c r="G300" s="48" t="s">
        <v>3</v>
      </c>
      <c r="H300" s="44">
        <f>Source!AW163</f>
        <v>1</v>
      </c>
      <c r="I300" s="47">
        <f>Source!P162</f>
        <v>0.18</v>
      </c>
      <c r="J300" s="44">
        <f>IF(Source!BC163&lt;&gt; 0, Source!BC163, 1)</f>
        <v>5.61</v>
      </c>
      <c r="K300" s="47">
        <f>Source!P163</f>
        <v>1.01</v>
      </c>
    </row>
    <row r="301" spans="1:29" ht="14.5" x14ac:dyDescent="0.25">
      <c r="A301" s="43"/>
      <c r="B301" s="43"/>
      <c r="C301" s="43" t="s">
        <v>653</v>
      </c>
      <c r="D301" s="45" t="s">
        <v>654</v>
      </c>
      <c r="E301" s="44">
        <f>Source!BZ163</f>
        <v>95</v>
      </c>
      <c r="F301" s="47"/>
      <c r="G301" s="46"/>
      <c r="H301" s="44"/>
      <c r="I301" s="47">
        <f>SUM(Q298:Q300)</f>
        <v>49.38</v>
      </c>
      <c r="J301" s="44">
        <f>Source!AT163</f>
        <v>95</v>
      </c>
      <c r="K301" s="47">
        <f>SUM(R298:R300)</f>
        <v>2782.62</v>
      </c>
    </row>
    <row r="302" spans="1:29" ht="14.5" x14ac:dyDescent="0.25">
      <c r="A302" s="43"/>
      <c r="B302" s="43"/>
      <c r="C302" s="43" t="s">
        <v>655</v>
      </c>
      <c r="D302" s="45" t="s">
        <v>654</v>
      </c>
      <c r="E302" s="44">
        <f>Source!CA163</f>
        <v>53</v>
      </c>
      <c r="F302" s="47"/>
      <c r="G302" s="46"/>
      <c r="H302" s="44"/>
      <c r="I302" s="47">
        <f>SUM(S298:S301)</f>
        <v>27.55</v>
      </c>
      <c r="J302" s="44">
        <f>Source!AU163</f>
        <v>53</v>
      </c>
      <c r="K302" s="47">
        <f>SUM(T298:T301)</f>
        <v>1552.41</v>
      </c>
    </row>
    <row r="303" spans="1:29" ht="14.5" x14ac:dyDescent="0.25">
      <c r="A303" s="49"/>
      <c r="B303" s="49"/>
      <c r="C303" s="49" t="s">
        <v>656</v>
      </c>
      <c r="D303" s="50" t="s">
        <v>657</v>
      </c>
      <c r="E303" s="51">
        <f>Source!AQ162</f>
        <v>2.77</v>
      </c>
      <c r="F303" s="52"/>
      <c r="G303" s="53" t="s">
        <v>152</v>
      </c>
      <c r="H303" s="51">
        <f>Source!AV163</f>
        <v>1.087</v>
      </c>
      <c r="I303" s="52">
        <f>Source!U162</f>
        <v>3.6131879999999996</v>
      </c>
      <c r="J303" s="51"/>
      <c r="K303" s="52"/>
    </row>
    <row r="304" spans="1:29" ht="14" x14ac:dyDescent="0.25">
      <c r="C304" s="54" t="s">
        <v>658</v>
      </c>
      <c r="H304" s="55">
        <f>I299+I300+I301+I302+0-0-0</f>
        <v>129.09</v>
      </c>
      <c r="I304" s="55"/>
      <c r="J304" s="55">
        <f>K299+K300+K301+K302+0-0-0</f>
        <v>7265.1100000000006</v>
      </c>
      <c r="K304" s="55"/>
    </row>
    <row r="305" spans="1:29" ht="14" hidden="1" x14ac:dyDescent="0.25">
      <c r="C305" s="54" t="s">
        <v>659</v>
      </c>
      <c r="H305" s="57">
        <f>0+0</f>
        <v>0</v>
      </c>
      <c r="I305" s="57"/>
      <c r="J305" s="57">
        <f>0+0</f>
        <v>0</v>
      </c>
      <c r="K305" s="57"/>
    </row>
    <row r="306" spans="1:29" ht="14" x14ac:dyDescent="0.25">
      <c r="C306" s="54" t="s">
        <v>660</v>
      </c>
      <c r="H306" s="57">
        <f>I299+I300+I301+I302+0</f>
        <v>129.09</v>
      </c>
      <c r="I306" s="57"/>
      <c r="J306" s="57">
        <f>K299+K300+K301+K302+0</f>
        <v>7265.1100000000006</v>
      </c>
      <c r="K306" s="57"/>
      <c r="O306" s="58">
        <f>I299+I300+I301+I302+0</f>
        <v>129.09</v>
      </c>
      <c r="P306" s="58">
        <f>K299+K300+K301+K302+0</f>
        <v>7265.1100000000006</v>
      </c>
    </row>
    <row r="308" spans="1:29" ht="82" x14ac:dyDescent="0.25">
      <c r="A308" s="62">
        <v>32</v>
      </c>
      <c r="B308" s="62" t="str">
        <f>Source!F164</f>
        <v>КА, п.7</v>
      </c>
      <c r="C308" s="62" t="s">
        <v>673</v>
      </c>
      <c r="D308" s="63" t="str">
        <f>Source!H164</f>
        <v>ШТ</v>
      </c>
      <c r="E308" s="64">
        <f>Source!I164</f>
        <v>1</v>
      </c>
      <c r="F308" s="65">
        <f>Source!AL164</f>
        <v>1399.54</v>
      </c>
      <c r="G308" s="66" t="s">
        <v>3</v>
      </c>
      <c r="H308" s="64">
        <f>Source!AW165</f>
        <v>1</v>
      </c>
      <c r="I308" s="65">
        <f>Source!P164</f>
        <v>1399.54</v>
      </c>
      <c r="J308" s="64">
        <f>IF(Source!BC165&lt;&gt; 0, Source!BC165, 1)</f>
        <v>7.57</v>
      </c>
      <c r="K308" s="65">
        <f>Source!P165</f>
        <v>10594.52</v>
      </c>
      <c r="Q308">
        <f>Source!X164</f>
        <v>0</v>
      </c>
      <c r="R308">
        <f>Source!X165</f>
        <v>0</v>
      </c>
      <c r="S308">
        <f>Source!Y164</f>
        <v>0</v>
      </c>
      <c r="T308">
        <f>Source!Y165</f>
        <v>0</v>
      </c>
      <c r="U308">
        <f>ROUND((175/100)*ROUND(Source!R164, 2), 2)</f>
        <v>0</v>
      </c>
      <c r="V308">
        <f>ROUND((0/100)*ROUND(Source!R165, 2), 2)</f>
        <v>0</v>
      </c>
      <c r="AC308">
        <v>5</v>
      </c>
    </row>
    <row r="309" spans="1:29" ht="14" x14ac:dyDescent="0.25">
      <c r="A309" s="67"/>
      <c r="B309" s="67"/>
      <c r="C309" s="68" t="s">
        <v>660</v>
      </c>
      <c r="D309" s="67"/>
      <c r="E309" s="67"/>
      <c r="F309" s="67"/>
      <c r="G309" s="67"/>
      <c r="H309" s="69">
        <f>I308+0</f>
        <v>1399.54</v>
      </c>
      <c r="I309" s="69"/>
      <c r="J309" s="69">
        <f>K308+0</f>
        <v>10594.52</v>
      </c>
      <c r="K309" s="69"/>
      <c r="O309" s="58">
        <f>I308+0</f>
        <v>1399.54</v>
      </c>
      <c r="P309" s="58">
        <f>K308+0</f>
        <v>10594.52</v>
      </c>
    </row>
    <row r="311" spans="1:29" ht="29" x14ac:dyDescent="0.25">
      <c r="A311" s="43">
        <v>33</v>
      </c>
      <c r="B311" s="43" t="str">
        <f>Source!F166</f>
        <v>4.10-21-5</v>
      </c>
      <c r="C311" s="43" t="s">
        <v>170</v>
      </c>
      <c r="D311" s="45" t="str">
        <f>Source!H166</f>
        <v>1 комплект</v>
      </c>
      <c r="E311" s="44">
        <f>Source!I166</f>
        <v>1</v>
      </c>
      <c r="F311" s="47"/>
      <c r="G311" s="46"/>
      <c r="H311" s="44"/>
      <c r="I311" s="47"/>
      <c r="J311" s="44"/>
      <c r="K311" s="47"/>
      <c r="Q311">
        <f>Source!X166</f>
        <v>42.81</v>
      </c>
      <c r="R311">
        <f>Source!X167</f>
        <v>2412.5100000000002</v>
      </c>
      <c r="S311">
        <f>Source!Y166</f>
        <v>21.88</v>
      </c>
      <c r="T311">
        <f>Source!Y167</f>
        <v>1233.06</v>
      </c>
      <c r="U311">
        <f>ROUND((175/100)*ROUND(Source!R166, 2), 2)</f>
        <v>0</v>
      </c>
      <c r="V311">
        <f>ROUND((0/100)*ROUND(Source!R167, 2), 2)</f>
        <v>0</v>
      </c>
      <c r="AC311">
        <v>0</v>
      </c>
    </row>
    <row r="312" spans="1:29" ht="14.5" x14ac:dyDescent="0.25">
      <c r="A312" s="43"/>
      <c r="B312" s="43"/>
      <c r="C312" s="43" t="s">
        <v>651</v>
      </c>
      <c r="D312" s="45"/>
      <c r="E312" s="44"/>
      <c r="F312" s="47">
        <f>Source!AO166</f>
        <v>37.86</v>
      </c>
      <c r="G312" s="48" t="s">
        <v>152</v>
      </c>
      <c r="H312" s="44">
        <f>Source!AV167</f>
        <v>1.0469999999999999</v>
      </c>
      <c r="I312" s="47">
        <f>Source!S166</f>
        <v>47.57</v>
      </c>
      <c r="J312" s="44">
        <f>IF(Source!BA167&lt;&gt; 0, Source!BA167, 1)</f>
        <v>56.35</v>
      </c>
      <c r="K312" s="47">
        <f>Source!S167</f>
        <v>2680.57</v>
      </c>
    </row>
    <row r="313" spans="1:29" ht="14.5" x14ac:dyDescent="0.25">
      <c r="A313" s="43"/>
      <c r="B313" s="43"/>
      <c r="C313" s="43" t="s">
        <v>665</v>
      </c>
      <c r="D313" s="45"/>
      <c r="E313" s="44"/>
      <c r="F313" s="47">
        <f>Source!AL166</f>
        <v>42.61</v>
      </c>
      <c r="G313" s="48" t="s">
        <v>3</v>
      </c>
      <c r="H313" s="44">
        <f>Source!AW167</f>
        <v>1</v>
      </c>
      <c r="I313" s="47">
        <f>Source!P166</f>
        <v>42.61</v>
      </c>
      <c r="J313" s="44">
        <f>IF(Source!BC167&lt;&gt; 0, Source!BC167, 1)</f>
        <v>5.15</v>
      </c>
      <c r="K313" s="47">
        <f>Source!P167</f>
        <v>219.44</v>
      </c>
    </row>
    <row r="314" spans="1:29" ht="14.5" x14ac:dyDescent="0.25">
      <c r="A314" s="43"/>
      <c r="B314" s="43"/>
      <c r="C314" s="43" t="s">
        <v>653</v>
      </c>
      <c r="D314" s="45" t="s">
        <v>654</v>
      </c>
      <c r="E314" s="44">
        <f>Source!BZ167</f>
        <v>90</v>
      </c>
      <c r="F314" s="47"/>
      <c r="G314" s="46"/>
      <c r="H314" s="44"/>
      <c r="I314" s="47">
        <f>SUM(Q311:Q313)</f>
        <v>42.81</v>
      </c>
      <c r="J314" s="44">
        <f>Source!AT167</f>
        <v>90</v>
      </c>
      <c r="K314" s="47">
        <f>SUM(R311:R313)</f>
        <v>2412.5100000000002</v>
      </c>
    </row>
    <row r="315" spans="1:29" ht="14.5" x14ac:dyDescent="0.25">
      <c r="A315" s="43"/>
      <c r="B315" s="43"/>
      <c r="C315" s="43" t="s">
        <v>655</v>
      </c>
      <c r="D315" s="45" t="s">
        <v>654</v>
      </c>
      <c r="E315" s="44">
        <f>Source!CA167</f>
        <v>46</v>
      </c>
      <c r="F315" s="47"/>
      <c r="G315" s="46"/>
      <c r="H315" s="44"/>
      <c r="I315" s="47">
        <f>SUM(S311:S314)</f>
        <v>21.88</v>
      </c>
      <c r="J315" s="44">
        <f>Source!AU167</f>
        <v>46</v>
      </c>
      <c r="K315" s="47">
        <f>SUM(T311:T314)</f>
        <v>1233.06</v>
      </c>
    </row>
    <row r="316" spans="1:29" ht="14.5" x14ac:dyDescent="0.25">
      <c r="A316" s="49"/>
      <c r="B316" s="49"/>
      <c r="C316" s="49" t="s">
        <v>656</v>
      </c>
      <c r="D316" s="50" t="s">
        <v>657</v>
      </c>
      <c r="E316" s="51">
        <f>Source!AQ166</f>
        <v>3</v>
      </c>
      <c r="F316" s="52"/>
      <c r="G316" s="53" t="s">
        <v>152</v>
      </c>
      <c r="H316" s="51">
        <f>Source!AV167</f>
        <v>1.0469999999999999</v>
      </c>
      <c r="I316" s="52">
        <f>Source!U166</f>
        <v>3.7691999999999992</v>
      </c>
      <c r="J316" s="51"/>
      <c r="K316" s="52"/>
    </row>
    <row r="317" spans="1:29" ht="14" x14ac:dyDescent="0.25">
      <c r="C317" s="54" t="s">
        <v>658</v>
      </c>
      <c r="H317" s="55">
        <f>I312+I313+I314+I315+0-0-0</f>
        <v>154.87</v>
      </c>
      <c r="I317" s="55"/>
      <c r="J317" s="55">
        <f>K312+K313+K314+K315+0-0-0</f>
        <v>6545.58</v>
      </c>
      <c r="K317" s="55"/>
    </row>
    <row r="318" spans="1:29" ht="14" hidden="1" x14ac:dyDescent="0.25">
      <c r="C318" s="54" t="s">
        <v>659</v>
      </c>
      <c r="H318" s="57">
        <f>0+0</f>
        <v>0</v>
      </c>
      <c r="I318" s="57"/>
      <c r="J318" s="57">
        <f>0+0</f>
        <v>0</v>
      </c>
      <c r="K318" s="57"/>
    </row>
    <row r="319" spans="1:29" ht="14" x14ac:dyDescent="0.25">
      <c r="C319" s="54" t="s">
        <v>660</v>
      </c>
      <c r="H319" s="57">
        <f>I312+I313+I314+I315+0</f>
        <v>154.87</v>
      </c>
      <c r="I319" s="57"/>
      <c r="J319" s="57">
        <f>K312+K313+K314+K315+0</f>
        <v>6545.58</v>
      </c>
      <c r="K319" s="57"/>
      <c r="O319" s="58">
        <f>I312+I313+I314+I315+0</f>
        <v>154.87</v>
      </c>
      <c r="P319" s="58">
        <f>K312+K313+K314+K315+0</f>
        <v>6545.58</v>
      </c>
    </row>
    <row r="321" spans="1:43" ht="54" x14ac:dyDescent="0.25">
      <c r="A321" s="62">
        <v>34</v>
      </c>
      <c r="B321" s="62" t="str">
        <f>Source!F168</f>
        <v>КА, п.8</v>
      </c>
      <c r="C321" s="62" t="s">
        <v>674</v>
      </c>
      <c r="D321" s="63" t="str">
        <f>Source!H168</f>
        <v>ШТ</v>
      </c>
      <c r="E321" s="64">
        <f>Source!I168</f>
        <v>1</v>
      </c>
      <c r="F321" s="65">
        <f>Source!AL168</f>
        <v>720.08</v>
      </c>
      <c r="G321" s="66" t="s">
        <v>3</v>
      </c>
      <c r="H321" s="64">
        <f>Source!AW169</f>
        <v>1</v>
      </c>
      <c r="I321" s="65">
        <f>Source!P168</f>
        <v>720.08</v>
      </c>
      <c r="J321" s="64">
        <f>IF(Source!BC169&lt;&gt; 0, Source!BC169, 1)</f>
        <v>7.57</v>
      </c>
      <c r="K321" s="65">
        <f>Source!P169</f>
        <v>5451.01</v>
      </c>
      <c r="Q321">
        <f>Source!X168</f>
        <v>0</v>
      </c>
      <c r="R321">
        <f>Source!X169</f>
        <v>0</v>
      </c>
      <c r="S321">
        <f>Source!Y168</f>
        <v>0</v>
      </c>
      <c r="T321">
        <f>Source!Y169</f>
        <v>0</v>
      </c>
      <c r="U321">
        <f>ROUND((175/100)*ROUND(Source!R168, 2), 2)</f>
        <v>0</v>
      </c>
      <c r="V321">
        <f>ROUND((0/100)*ROUND(Source!R169, 2), 2)</f>
        <v>0</v>
      </c>
      <c r="AC321">
        <v>5</v>
      </c>
    </row>
    <row r="322" spans="1:43" ht="14" x14ac:dyDescent="0.25">
      <c r="A322" s="67"/>
      <c r="B322" s="67"/>
      <c r="C322" s="68" t="s">
        <v>660</v>
      </c>
      <c r="D322" s="67"/>
      <c r="E322" s="67"/>
      <c r="F322" s="67"/>
      <c r="G322" s="67"/>
      <c r="H322" s="69">
        <f>I321+0</f>
        <v>720.08</v>
      </c>
      <c r="I322" s="69"/>
      <c r="J322" s="69">
        <f>K321+0</f>
        <v>5451.01</v>
      </c>
      <c r="K322" s="69"/>
      <c r="O322" s="58">
        <f>I321+0</f>
        <v>720.08</v>
      </c>
      <c r="P322" s="58">
        <f>K321+0</f>
        <v>5451.01</v>
      </c>
    </row>
    <row r="324" spans="1:43" ht="28" x14ac:dyDescent="0.25">
      <c r="A324" s="49">
        <v>35</v>
      </c>
      <c r="B324" s="49" t="str">
        <f>Source!F170</f>
        <v>1.14-1-283</v>
      </c>
      <c r="C324" s="49" t="s">
        <v>229</v>
      </c>
      <c r="D324" s="50" t="str">
        <f>Source!H170</f>
        <v>шт.</v>
      </c>
      <c r="E324" s="51">
        <f>Source!I170</f>
        <v>1</v>
      </c>
      <c r="F324" s="52">
        <f>Source!AL170</f>
        <v>42.99</v>
      </c>
      <c r="G324" s="53" t="s">
        <v>3</v>
      </c>
      <c r="H324" s="51">
        <f>Source!AW171</f>
        <v>1</v>
      </c>
      <c r="I324" s="52">
        <f>Source!P170</f>
        <v>42.99</v>
      </c>
      <c r="J324" s="51">
        <f>IF(Source!BC171&lt;&gt; 0, Source!BC171, 1)</f>
        <v>5.76</v>
      </c>
      <c r="K324" s="52">
        <f>Source!P171</f>
        <v>247.62</v>
      </c>
      <c r="Q324">
        <f>Source!X170</f>
        <v>0</v>
      </c>
      <c r="R324">
        <f>Source!X171</f>
        <v>0</v>
      </c>
      <c r="S324">
        <f>Source!Y170</f>
        <v>0</v>
      </c>
      <c r="T324">
        <f>Source!Y171</f>
        <v>0</v>
      </c>
      <c r="U324">
        <f>ROUND((175/100)*ROUND(Source!R170, 2), 2)</f>
        <v>0</v>
      </c>
      <c r="V324">
        <f>ROUND((0/100)*ROUND(Source!R171, 2), 2)</f>
        <v>0</v>
      </c>
      <c r="AC324">
        <v>3</v>
      </c>
    </row>
    <row r="325" spans="1:43" ht="14" x14ac:dyDescent="0.25">
      <c r="C325" s="54" t="s">
        <v>660</v>
      </c>
      <c r="H325" s="55">
        <f>I324+0</f>
        <v>42.99</v>
      </c>
      <c r="I325" s="55"/>
      <c r="J325" s="55">
        <f>K324+0</f>
        <v>247.62</v>
      </c>
      <c r="K325" s="55"/>
      <c r="O325" s="58">
        <f>I324+0</f>
        <v>42.99</v>
      </c>
      <c r="P325" s="58">
        <f>K324+0</f>
        <v>247.62</v>
      </c>
    </row>
    <row r="327" spans="1:43" ht="28" x14ac:dyDescent="0.25">
      <c r="A327" s="49">
        <v>36</v>
      </c>
      <c r="B327" s="49" t="str">
        <f>Source!F172</f>
        <v>1.14-1-283</v>
      </c>
      <c r="C327" s="49" t="s">
        <v>232</v>
      </c>
      <c r="D327" s="50" t="str">
        <f>Source!H172</f>
        <v>шт.</v>
      </c>
      <c r="E327" s="51">
        <f>Source!I172</f>
        <v>3</v>
      </c>
      <c r="F327" s="52">
        <f>Source!AL172</f>
        <v>42.99</v>
      </c>
      <c r="G327" s="53" t="s">
        <v>3</v>
      </c>
      <c r="H327" s="51">
        <f>Source!AW173</f>
        <v>1</v>
      </c>
      <c r="I327" s="52">
        <f>Source!P172</f>
        <v>128.97</v>
      </c>
      <c r="J327" s="51">
        <f>IF(Source!BC173&lt;&gt; 0, Source!BC173, 1)</f>
        <v>5.76</v>
      </c>
      <c r="K327" s="52">
        <f>Source!P173</f>
        <v>742.87</v>
      </c>
      <c r="Q327">
        <f>Source!X172</f>
        <v>0</v>
      </c>
      <c r="R327">
        <f>Source!X173</f>
        <v>0</v>
      </c>
      <c r="S327">
        <f>Source!Y172</f>
        <v>0</v>
      </c>
      <c r="T327">
        <f>Source!Y173</f>
        <v>0</v>
      </c>
      <c r="U327">
        <f>ROUND((175/100)*ROUND(Source!R172, 2), 2)</f>
        <v>0</v>
      </c>
      <c r="V327">
        <f>ROUND((0/100)*ROUND(Source!R173, 2), 2)</f>
        <v>0</v>
      </c>
      <c r="AC327">
        <v>3</v>
      </c>
    </row>
    <row r="328" spans="1:43" ht="14" x14ac:dyDescent="0.25">
      <c r="C328" s="54" t="s">
        <v>660</v>
      </c>
      <c r="H328" s="55">
        <f>I327+0</f>
        <v>128.97</v>
      </c>
      <c r="I328" s="55"/>
      <c r="J328" s="55">
        <f>K327+0</f>
        <v>742.87</v>
      </c>
      <c r="K328" s="55"/>
      <c r="O328" s="58">
        <f>I327+0</f>
        <v>128.97</v>
      </c>
      <c r="P328" s="58">
        <f>K327+0</f>
        <v>742.87</v>
      </c>
    </row>
    <row r="331" spans="1:43" ht="28" x14ac:dyDescent="0.3">
      <c r="A331" s="61" t="str">
        <f>CONCATENATE("Итого по разделу: ",IF(Source!G175&lt;&gt;"Новый раздел", Source!G175, ""))</f>
        <v>Итого по разделу: Комплект основного оборудования (передача сигнала СПС на службу "01" и приём сигнала о ЧС)</v>
      </c>
      <c r="B331" s="61"/>
      <c r="C331" s="61"/>
      <c r="D331" s="61"/>
      <c r="E331" s="61"/>
      <c r="F331" s="61"/>
      <c r="G331" s="61"/>
      <c r="H331" s="57">
        <f>SUM(O271:O330)</f>
        <v>111737.92</v>
      </c>
      <c r="I331" s="56"/>
      <c r="J331" s="57">
        <f>SUM(P271:P330)</f>
        <v>944668.66</v>
      </c>
      <c r="K331" s="56"/>
      <c r="AQ331" s="70" t="str">
        <f>CONCATENATE("Итого по разделу: ",IF(Source!G175&lt;&gt;"Новый раздел", Source!G175, ""))</f>
        <v>Итого по разделу: Комплект основного оборудования (передача сигнала СПС на службу "01" и приём сигнала о ЧС)</v>
      </c>
    </row>
    <row r="332" spans="1:43" hidden="1" x14ac:dyDescent="0.25">
      <c r="A332" t="s">
        <v>663</v>
      </c>
      <c r="I332">
        <f>SUM(W271:W331)</f>
        <v>0</v>
      </c>
      <c r="J332">
        <f>SUM(X271:X331)</f>
        <v>0</v>
      </c>
    </row>
    <row r="333" spans="1:43" hidden="1" x14ac:dyDescent="0.25">
      <c r="A333" t="s">
        <v>664</v>
      </c>
      <c r="I333">
        <f>SUM(Y271:Y332)</f>
        <v>0</v>
      </c>
      <c r="J333">
        <f>SUM(Z271:Z332)</f>
        <v>0</v>
      </c>
    </row>
    <row r="335" spans="1:43" ht="16.5" x14ac:dyDescent="0.25">
      <c r="A335" s="42" t="str">
        <f>CONCATENATE("Раздел: ",IF(Source!G205&lt;&gt;"Новый раздел", Source!G205, ""))</f>
        <v>Раздел: Мачта для установки антенн</v>
      </c>
      <c r="B335" s="42"/>
      <c r="C335" s="42"/>
      <c r="D335" s="42"/>
      <c r="E335" s="42"/>
      <c r="F335" s="42"/>
      <c r="G335" s="42"/>
      <c r="H335" s="42"/>
      <c r="I335" s="42"/>
      <c r="J335" s="42"/>
      <c r="K335" s="42"/>
    </row>
    <row r="336" spans="1:43" ht="28" x14ac:dyDescent="0.25">
      <c r="A336" s="43">
        <v>37</v>
      </c>
      <c r="B336" s="43" t="str">
        <f>Source!F209</f>
        <v>4.10-134-3</v>
      </c>
      <c r="C336" s="43" t="s">
        <v>235</v>
      </c>
      <c r="D336" s="45" t="str">
        <f>Source!H209</f>
        <v>1 Т</v>
      </c>
      <c r="E336" s="44">
        <f>Source!I209</f>
        <v>8.2000000000000007E-3</v>
      </c>
      <c r="F336" s="47"/>
      <c r="G336" s="46"/>
      <c r="H336" s="44"/>
      <c r="I336" s="47"/>
      <c r="J336" s="44"/>
      <c r="K336" s="47"/>
      <c r="Q336">
        <f>Source!X209</f>
        <v>4.41</v>
      </c>
      <c r="R336">
        <f>Source!X210</f>
        <v>248.39</v>
      </c>
      <c r="S336">
        <f>Source!Y209</f>
        <v>2.46</v>
      </c>
      <c r="T336">
        <f>Source!Y210</f>
        <v>138.57</v>
      </c>
      <c r="U336">
        <f>ROUND((175/100)*ROUND(Source!R209, 2), 2)</f>
        <v>0</v>
      </c>
      <c r="V336">
        <f>ROUND((0/100)*ROUND(Source!R210, 2), 2)</f>
        <v>0</v>
      </c>
      <c r="AC336">
        <v>0</v>
      </c>
    </row>
    <row r="337" spans="1:29" x14ac:dyDescent="0.25">
      <c r="C337" s="60" t="str">
        <f>"Объем: "&amp;Source!I209&amp;"=(5,1+"&amp;"3,1)/"&amp;"1000"</f>
        <v>Объем: 0,0082=(5,1+3,1)/1000</v>
      </c>
    </row>
    <row r="338" spans="1:29" ht="14.5" x14ac:dyDescent="0.25">
      <c r="A338" s="43"/>
      <c r="B338" s="43"/>
      <c r="C338" s="43" t="s">
        <v>651</v>
      </c>
      <c r="D338" s="45"/>
      <c r="E338" s="44"/>
      <c r="F338" s="47">
        <f>Source!AO209</f>
        <v>434.24</v>
      </c>
      <c r="G338" s="48" t="s">
        <v>152</v>
      </c>
      <c r="H338" s="44">
        <f>Source!AV210</f>
        <v>1.087</v>
      </c>
      <c r="I338" s="47">
        <f>Source!S209</f>
        <v>4.6399999999999997</v>
      </c>
      <c r="J338" s="44">
        <f>IF(Source!BA210&lt;&gt; 0, Source!BA210, 1)</f>
        <v>56.35</v>
      </c>
      <c r="K338" s="47">
        <f>Source!S210</f>
        <v>261.45999999999998</v>
      </c>
    </row>
    <row r="339" spans="1:29" ht="14.5" x14ac:dyDescent="0.25">
      <c r="A339" s="43"/>
      <c r="B339" s="43"/>
      <c r="C339" s="43" t="s">
        <v>661</v>
      </c>
      <c r="D339" s="45"/>
      <c r="E339" s="44"/>
      <c r="F339" s="47">
        <f>Source!AM209</f>
        <v>1.94</v>
      </c>
      <c r="G339" s="48" t="s">
        <v>152</v>
      </c>
      <c r="H339" s="44">
        <f>Source!AV210</f>
        <v>1.087</v>
      </c>
      <c r="I339" s="47">
        <f>Source!Q209</f>
        <v>0.02</v>
      </c>
      <c r="J339" s="44">
        <f>IF(Source!BB210&lt;&gt; 0, Source!BB210, 1)</f>
        <v>9.9700000000000006</v>
      </c>
      <c r="K339" s="47">
        <f>Source!Q210</f>
        <v>0.2</v>
      </c>
    </row>
    <row r="340" spans="1:29" ht="14.5" x14ac:dyDescent="0.25">
      <c r="A340" s="43"/>
      <c r="B340" s="43"/>
      <c r="C340" s="43" t="s">
        <v>665</v>
      </c>
      <c r="D340" s="45"/>
      <c r="E340" s="44"/>
      <c r="F340" s="47">
        <f>Source!AL209</f>
        <v>108.97</v>
      </c>
      <c r="G340" s="48" t="s">
        <v>3</v>
      </c>
      <c r="H340" s="44">
        <f>Source!AW210</f>
        <v>1</v>
      </c>
      <c r="I340" s="47">
        <f>Source!P209</f>
        <v>0.89</v>
      </c>
      <c r="J340" s="44">
        <f>IF(Source!BC210&lt;&gt; 0, Source!BC210, 1)</f>
        <v>4.46</v>
      </c>
      <c r="K340" s="47">
        <f>Source!P210</f>
        <v>3.97</v>
      </c>
    </row>
    <row r="341" spans="1:29" ht="14.5" x14ac:dyDescent="0.25">
      <c r="A341" s="43"/>
      <c r="B341" s="43"/>
      <c r="C341" s="43" t="s">
        <v>653</v>
      </c>
      <c r="D341" s="45" t="s">
        <v>654</v>
      </c>
      <c r="E341" s="44">
        <f>Source!BZ210</f>
        <v>95</v>
      </c>
      <c r="F341" s="47"/>
      <c r="G341" s="46"/>
      <c r="H341" s="44"/>
      <c r="I341" s="47">
        <f>SUM(Q336:Q340)</f>
        <v>4.41</v>
      </c>
      <c r="J341" s="44">
        <f>Source!AT210</f>
        <v>95</v>
      </c>
      <c r="K341" s="47">
        <f>SUM(R336:R340)</f>
        <v>248.39</v>
      </c>
    </row>
    <row r="342" spans="1:29" ht="14.5" x14ac:dyDescent="0.25">
      <c r="A342" s="43"/>
      <c r="B342" s="43"/>
      <c r="C342" s="43" t="s">
        <v>655</v>
      </c>
      <c r="D342" s="45" t="s">
        <v>654</v>
      </c>
      <c r="E342" s="44">
        <f>Source!CA210</f>
        <v>53</v>
      </c>
      <c r="F342" s="47"/>
      <c r="G342" s="46"/>
      <c r="H342" s="44"/>
      <c r="I342" s="47">
        <f>SUM(S336:S341)</f>
        <v>2.46</v>
      </c>
      <c r="J342" s="44">
        <f>Source!AU210</f>
        <v>53</v>
      </c>
      <c r="K342" s="47">
        <f>SUM(T336:T341)</f>
        <v>138.57</v>
      </c>
    </row>
    <row r="343" spans="1:29" ht="14.5" x14ac:dyDescent="0.25">
      <c r="A343" s="49"/>
      <c r="B343" s="49"/>
      <c r="C343" s="49" t="s">
        <v>656</v>
      </c>
      <c r="D343" s="50" t="s">
        <v>657</v>
      </c>
      <c r="E343" s="51">
        <f>Source!AQ209</f>
        <v>32</v>
      </c>
      <c r="F343" s="52"/>
      <c r="G343" s="53" t="s">
        <v>152</v>
      </c>
      <c r="H343" s="51">
        <f>Source!AV210</f>
        <v>1.087</v>
      </c>
      <c r="I343" s="52">
        <f>Source!U209</f>
        <v>0.34227456000000001</v>
      </c>
      <c r="J343" s="51"/>
      <c r="K343" s="52"/>
    </row>
    <row r="344" spans="1:29" ht="14" x14ac:dyDescent="0.25">
      <c r="C344" s="54" t="s">
        <v>658</v>
      </c>
      <c r="H344" s="55">
        <f>I338+I339+I340+I341+I342+0-0-0</f>
        <v>12.419999999999998</v>
      </c>
      <c r="I344" s="55"/>
      <c r="J344" s="55">
        <f>K338+K339+K340+K341+K342+0-0-0</f>
        <v>652.58999999999992</v>
      </c>
      <c r="K344" s="55"/>
    </row>
    <row r="345" spans="1:29" ht="14" hidden="1" x14ac:dyDescent="0.25">
      <c r="C345" s="54" t="s">
        <v>659</v>
      </c>
      <c r="H345" s="57">
        <f>0+0</f>
        <v>0</v>
      </c>
      <c r="I345" s="57"/>
      <c r="J345" s="57">
        <f>0+0</f>
        <v>0</v>
      </c>
      <c r="K345" s="57"/>
    </row>
    <row r="346" spans="1:29" ht="14" x14ac:dyDescent="0.25">
      <c r="C346" s="54" t="s">
        <v>660</v>
      </c>
      <c r="H346" s="57">
        <f>I338+I339+I340+I341+I342+0</f>
        <v>12.419999999999998</v>
      </c>
      <c r="I346" s="57"/>
      <c r="J346" s="57">
        <f>K338+K339+K340+K341+K342+0</f>
        <v>652.58999999999992</v>
      </c>
      <c r="K346" s="57"/>
      <c r="O346" s="58">
        <f>I338+I339+I340+I341+I342+0</f>
        <v>12.419999999999998</v>
      </c>
      <c r="P346" s="58">
        <f>K338+K339+K340+K341+K342+0</f>
        <v>652.58999999999992</v>
      </c>
    </row>
    <row r="348" spans="1:29" ht="84" x14ac:dyDescent="0.25">
      <c r="A348" s="62">
        <v>38</v>
      </c>
      <c r="B348" s="62" t="str">
        <f>Source!F211</f>
        <v>13.1-2-575</v>
      </c>
      <c r="C348" s="62" t="s">
        <v>675</v>
      </c>
      <c r="D348" s="63" t="str">
        <f>Source!H211</f>
        <v>шт.</v>
      </c>
      <c r="E348" s="64">
        <f>Source!I211</f>
        <v>1</v>
      </c>
      <c r="F348" s="65">
        <f>Source!AL211</f>
        <v>342.13</v>
      </c>
      <c r="G348" s="66" t="s">
        <v>3</v>
      </c>
      <c r="H348" s="64">
        <f>Source!AW212</f>
        <v>1</v>
      </c>
      <c r="I348" s="65">
        <f>Source!P211</f>
        <v>342.13</v>
      </c>
      <c r="J348" s="64">
        <f>IF(Source!BC212&lt;&gt; 0, Source!BC212, 1)</f>
        <v>14.06</v>
      </c>
      <c r="K348" s="65">
        <f>Source!P212</f>
        <v>4810.3500000000004</v>
      </c>
      <c r="Q348">
        <f>Source!X211</f>
        <v>0</v>
      </c>
      <c r="R348">
        <f>Source!X212</f>
        <v>0</v>
      </c>
      <c r="S348">
        <f>Source!Y211</f>
        <v>0</v>
      </c>
      <c r="T348">
        <f>Source!Y212</f>
        <v>0</v>
      </c>
      <c r="U348">
        <f>ROUND((175/100)*ROUND(Source!R211, 2), 2)</f>
        <v>0</v>
      </c>
      <c r="V348">
        <f>ROUND((0/100)*ROUND(Source!R212, 2), 2)</f>
        <v>0</v>
      </c>
      <c r="AC348">
        <v>5</v>
      </c>
    </row>
    <row r="349" spans="1:29" ht="14" x14ac:dyDescent="0.25">
      <c r="A349" s="67"/>
      <c r="B349" s="67"/>
      <c r="C349" s="68" t="s">
        <v>660</v>
      </c>
      <c r="D349" s="67"/>
      <c r="E349" s="67"/>
      <c r="F349" s="67"/>
      <c r="G349" s="67"/>
      <c r="H349" s="69">
        <f>I348+0</f>
        <v>342.13</v>
      </c>
      <c r="I349" s="69"/>
      <c r="J349" s="69">
        <f>K348+0</f>
        <v>4810.3500000000004</v>
      </c>
      <c r="K349" s="69"/>
      <c r="O349" s="58">
        <f>I348+0</f>
        <v>342.13</v>
      </c>
      <c r="P349" s="58">
        <f>K348+0</f>
        <v>4810.3500000000004</v>
      </c>
    </row>
    <row r="351" spans="1:29" ht="41" x14ac:dyDescent="0.25">
      <c r="A351" s="49">
        <v>39</v>
      </c>
      <c r="B351" s="49" t="str">
        <f>Source!F213</f>
        <v>КА, п.9</v>
      </c>
      <c r="C351" s="49" t="s">
        <v>676</v>
      </c>
      <c r="D351" s="50" t="str">
        <f>Source!H213</f>
        <v>ШТ</v>
      </c>
      <c r="E351" s="51">
        <f>Source!I213</f>
        <v>1</v>
      </c>
      <c r="F351" s="52">
        <f>Source!AL213</f>
        <v>296.53000000000003</v>
      </c>
      <c r="G351" s="53" t="s">
        <v>3</v>
      </c>
      <c r="H351" s="51">
        <f>Source!AW214</f>
        <v>1</v>
      </c>
      <c r="I351" s="52">
        <f>Source!P213</f>
        <v>296.52999999999997</v>
      </c>
      <c r="J351" s="51">
        <f>IF(Source!BC214&lt;&gt; 0, Source!BC214, 1)</f>
        <v>9.84</v>
      </c>
      <c r="K351" s="52">
        <f>Source!P214</f>
        <v>2917.86</v>
      </c>
      <c r="Q351">
        <f>Source!X213</f>
        <v>0</v>
      </c>
      <c r="R351">
        <f>Source!X214</f>
        <v>0</v>
      </c>
      <c r="S351">
        <f>Source!Y213</f>
        <v>0</v>
      </c>
      <c r="T351">
        <f>Source!Y214</f>
        <v>0</v>
      </c>
      <c r="U351">
        <f>ROUND((175/100)*ROUND(Source!R213, 2), 2)</f>
        <v>0</v>
      </c>
      <c r="V351">
        <f>ROUND((0/100)*ROUND(Source!R214, 2), 2)</f>
        <v>0</v>
      </c>
      <c r="AC351">
        <v>3</v>
      </c>
    </row>
    <row r="352" spans="1:29" ht="14" x14ac:dyDescent="0.25">
      <c r="C352" s="54" t="s">
        <v>660</v>
      </c>
      <c r="H352" s="55">
        <f>I351+0</f>
        <v>296.52999999999997</v>
      </c>
      <c r="I352" s="55"/>
      <c r="J352" s="55">
        <f>K351+0</f>
        <v>2917.86</v>
      </c>
      <c r="K352" s="55"/>
      <c r="O352" s="58">
        <f>I351+0</f>
        <v>296.52999999999997</v>
      </c>
      <c r="P352" s="58">
        <f>K351+0</f>
        <v>2917.86</v>
      </c>
    </row>
    <row r="354" spans="1:29" ht="42" x14ac:dyDescent="0.25">
      <c r="A354" s="49">
        <v>40</v>
      </c>
      <c r="B354" s="49" t="str">
        <f>Source!F215</f>
        <v>1.21-5-707</v>
      </c>
      <c r="C354" s="49" t="s">
        <v>249</v>
      </c>
      <c r="D354" s="50" t="str">
        <f>Source!H215</f>
        <v>шт.</v>
      </c>
      <c r="E354" s="51">
        <f>Source!I215</f>
        <v>1</v>
      </c>
      <c r="F354" s="52">
        <f>Source!AL215</f>
        <v>21.22</v>
      </c>
      <c r="G354" s="53" t="s">
        <v>3</v>
      </c>
      <c r="H354" s="51">
        <f>Source!AW216</f>
        <v>1</v>
      </c>
      <c r="I354" s="52">
        <f>Source!P215</f>
        <v>21.22</v>
      </c>
      <c r="J354" s="51">
        <f>IF(Source!BC216&lt;&gt; 0, Source!BC216, 1)</f>
        <v>3.25</v>
      </c>
      <c r="K354" s="52">
        <f>Source!P216</f>
        <v>68.97</v>
      </c>
      <c r="Q354">
        <f>Source!X215</f>
        <v>0</v>
      </c>
      <c r="R354">
        <f>Source!X216</f>
        <v>0</v>
      </c>
      <c r="S354">
        <f>Source!Y215</f>
        <v>0</v>
      </c>
      <c r="T354">
        <f>Source!Y216</f>
        <v>0</v>
      </c>
      <c r="U354">
        <f>ROUND((175/100)*ROUND(Source!R215, 2), 2)</f>
        <v>0</v>
      </c>
      <c r="V354">
        <f>ROUND((0/100)*ROUND(Source!R216, 2), 2)</f>
        <v>0</v>
      </c>
      <c r="AC354">
        <v>3</v>
      </c>
    </row>
    <row r="355" spans="1:29" ht="14" x14ac:dyDescent="0.25">
      <c r="C355" s="54" t="s">
        <v>660</v>
      </c>
      <c r="H355" s="55">
        <f>I354+0</f>
        <v>21.22</v>
      </c>
      <c r="I355" s="55"/>
      <c r="J355" s="55">
        <f>K354+0</f>
        <v>68.97</v>
      </c>
      <c r="K355" s="55"/>
      <c r="O355" s="58">
        <f>I354+0</f>
        <v>21.22</v>
      </c>
      <c r="P355" s="58">
        <f>K354+0</f>
        <v>68.97</v>
      </c>
    </row>
    <row r="358" spans="1:29" ht="14" x14ac:dyDescent="0.3">
      <c r="A358" s="61" t="str">
        <f>CONCATENATE("Итого по разделу: ",IF(Source!G218&lt;&gt;"Новый раздел", Source!G218, ""))</f>
        <v>Итого по разделу: Мачта для установки антенн</v>
      </c>
      <c r="B358" s="61"/>
      <c r="C358" s="61"/>
      <c r="D358" s="61"/>
      <c r="E358" s="61"/>
      <c r="F358" s="61"/>
      <c r="G358" s="61"/>
      <c r="H358" s="57">
        <f>SUM(O335:O357)</f>
        <v>672.3</v>
      </c>
      <c r="I358" s="56"/>
      <c r="J358" s="57">
        <f>SUM(P335:P357)</f>
        <v>8449.77</v>
      </c>
      <c r="K358" s="56"/>
    </row>
    <row r="359" spans="1:29" hidden="1" x14ac:dyDescent="0.25">
      <c r="A359" t="s">
        <v>663</v>
      </c>
      <c r="I359">
        <f>SUM(W335:W358)</f>
        <v>0</v>
      </c>
      <c r="J359">
        <f>SUM(X335:X358)</f>
        <v>0</v>
      </c>
    </row>
    <row r="360" spans="1:29" hidden="1" x14ac:dyDescent="0.25">
      <c r="A360" t="s">
        <v>664</v>
      </c>
      <c r="I360">
        <f>SUM(Y335:Y359)</f>
        <v>0</v>
      </c>
      <c r="J360">
        <f>SUM(Z335:Z359)</f>
        <v>0</v>
      </c>
    </row>
    <row r="362" spans="1:29" ht="16.5" x14ac:dyDescent="0.25">
      <c r="A362" s="42" t="str">
        <f>CONCATENATE("Раздел: ",IF(Source!G248&lt;&gt;"Новый раздел", Source!G248, ""))</f>
        <v>Раздел: Кабели и провода</v>
      </c>
      <c r="B362" s="42"/>
      <c r="C362" s="42"/>
      <c r="D362" s="42"/>
      <c r="E362" s="42"/>
      <c r="F362" s="42"/>
      <c r="G362" s="42"/>
      <c r="H362" s="42"/>
      <c r="I362" s="42"/>
      <c r="J362" s="42"/>
      <c r="K362" s="42"/>
    </row>
    <row r="363" spans="1:29" ht="56" x14ac:dyDescent="0.25">
      <c r="A363" s="43">
        <v>41</v>
      </c>
      <c r="B363" s="43" t="str">
        <f>Source!F252</f>
        <v>4.10-186-5</v>
      </c>
      <c r="C363" s="43" t="s">
        <v>254</v>
      </c>
      <c r="D363" s="45" t="str">
        <f>Source!H252</f>
        <v>100 м</v>
      </c>
      <c r="E363" s="44">
        <f>Source!I252</f>
        <v>1.5</v>
      </c>
      <c r="F363" s="47"/>
      <c r="G363" s="46"/>
      <c r="H363" s="44"/>
      <c r="I363" s="47"/>
      <c r="J363" s="44"/>
      <c r="K363" s="47"/>
      <c r="Q363">
        <f>Source!X252</f>
        <v>334.61</v>
      </c>
      <c r="R363">
        <f>Source!X253</f>
        <v>18855.330000000002</v>
      </c>
      <c r="S363">
        <f>Source!Y252</f>
        <v>171.02</v>
      </c>
      <c r="T363">
        <f>Source!Y253</f>
        <v>9637.17</v>
      </c>
      <c r="U363">
        <f>ROUND((175/100)*ROUND(Source!R252, 2), 2)</f>
        <v>0</v>
      </c>
      <c r="V363">
        <f>ROUND((0/100)*ROUND(Source!R253, 2), 2)</f>
        <v>0</v>
      </c>
      <c r="AC363">
        <v>0</v>
      </c>
    </row>
    <row r="364" spans="1:29" x14ac:dyDescent="0.25">
      <c r="C364" s="60" t="str">
        <f>"Объем: "&amp;Source!I252&amp;"=150/"&amp;"100"</f>
        <v>Объем: 1,5=150/100</v>
      </c>
    </row>
    <row r="365" spans="1:29" ht="14.5" x14ac:dyDescent="0.25">
      <c r="A365" s="43"/>
      <c r="B365" s="43"/>
      <c r="C365" s="43" t="s">
        <v>651</v>
      </c>
      <c r="D365" s="45"/>
      <c r="E365" s="44"/>
      <c r="F365" s="47">
        <f>Source!AO252</f>
        <v>197.28</v>
      </c>
      <c r="G365" s="48" t="s">
        <v>152</v>
      </c>
      <c r="H365" s="44">
        <f>Source!AV253</f>
        <v>1.0469999999999999</v>
      </c>
      <c r="I365" s="47">
        <f>Source!S252</f>
        <v>371.79</v>
      </c>
      <c r="J365" s="44">
        <f>IF(Source!BA253&lt;&gt; 0, Source!BA253, 1)</f>
        <v>56.35</v>
      </c>
      <c r="K365" s="47">
        <f>Source!S253</f>
        <v>20950.37</v>
      </c>
    </row>
    <row r="366" spans="1:29" ht="14.5" x14ac:dyDescent="0.25">
      <c r="A366" s="43"/>
      <c r="B366" s="43"/>
      <c r="C366" s="43" t="s">
        <v>661</v>
      </c>
      <c r="D366" s="45"/>
      <c r="E366" s="44"/>
      <c r="F366" s="47">
        <f>Source!AM252</f>
        <v>1.73</v>
      </c>
      <c r="G366" s="48" t="s">
        <v>152</v>
      </c>
      <c r="H366" s="44">
        <f>Source!AV253</f>
        <v>1.0469999999999999</v>
      </c>
      <c r="I366" s="47">
        <f>Source!Q252</f>
        <v>3.26</v>
      </c>
      <c r="J366" s="44">
        <f>IF(Source!BB253&lt;&gt; 0, Source!BB253, 1)</f>
        <v>9.6199999999999992</v>
      </c>
      <c r="K366" s="47">
        <f>Source!Q253</f>
        <v>31.36</v>
      </c>
    </row>
    <row r="367" spans="1:29" ht="14.5" x14ac:dyDescent="0.25">
      <c r="A367" s="43"/>
      <c r="B367" s="43"/>
      <c r="C367" s="43" t="s">
        <v>665</v>
      </c>
      <c r="D367" s="45"/>
      <c r="E367" s="44"/>
      <c r="F367" s="47">
        <f>Source!AL252</f>
        <v>91.91</v>
      </c>
      <c r="G367" s="48" t="s">
        <v>3</v>
      </c>
      <c r="H367" s="44">
        <f>Source!AW253</f>
        <v>1</v>
      </c>
      <c r="I367" s="47">
        <f>Source!P252</f>
        <v>137.87</v>
      </c>
      <c r="J367" s="44">
        <f>IF(Source!BC253&lt;&gt; 0, Source!BC253, 1)</f>
        <v>2.4700000000000002</v>
      </c>
      <c r="K367" s="47">
        <f>Source!P253</f>
        <v>340.54</v>
      </c>
    </row>
    <row r="368" spans="1:29" ht="42" x14ac:dyDescent="0.25">
      <c r="A368" s="43" t="s">
        <v>256</v>
      </c>
      <c r="B368" s="43" t="str">
        <f>Source!F254</f>
        <v>1.21-5-1136</v>
      </c>
      <c r="C368" s="43" t="s">
        <v>258</v>
      </c>
      <c r="D368" s="45" t="str">
        <f>Source!H254</f>
        <v>100 шт.</v>
      </c>
      <c r="E368" s="44">
        <f>Source!I254</f>
        <v>300</v>
      </c>
      <c r="F368" s="47">
        <f>Source!AK254</f>
        <v>146.88999999999999</v>
      </c>
      <c r="G368" s="48" t="s">
        <v>3</v>
      </c>
      <c r="H368" s="44">
        <f>Source!AW255</f>
        <v>1</v>
      </c>
      <c r="I368" s="47">
        <f>Source!O254</f>
        <v>44067</v>
      </c>
      <c r="J368" s="44">
        <f>IF(Source!BC255&lt;&gt; 0, Source!BC255, 1)</f>
        <v>1.74</v>
      </c>
      <c r="K368" s="47">
        <f>Source!O255</f>
        <v>76676.58</v>
      </c>
      <c r="Q368">
        <f>Source!X254</f>
        <v>0</v>
      </c>
      <c r="R368">
        <f>Source!X255</f>
        <v>0</v>
      </c>
      <c r="S368">
        <f>Source!Y254</f>
        <v>0</v>
      </c>
      <c r="T368">
        <f>Source!Y255</f>
        <v>0</v>
      </c>
      <c r="U368">
        <f>ROUND((175/100)*ROUND(Source!R254, 2), 2)</f>
        <v>0</v>
      </c>
      <c r="V368">
        <f>ROUND((0/100)*ROUND(Source!R255, 2), 2)</f>
        <v>0</v>
      </c>
      <c r="AC368">
        <v>3</v>
      </c>
    </row>
    <row r="369" spans="1:29" ht="14.5" x14ac:dyDescent="0.25">
      <c r="A369" s="43"/>
      <c r="B369" s="43"/>
      <c r="C369" s="43" t="s">
        <v>653</v>
      </c>
      <c r="D369" s="45" t="s">
        <v>654</v>
      </c>
      <c r="E369" s="44">
        <f>Source!BZ253</f>
        <v>90</v>
      </c>
      <c r="F369" s="47"/>
      <c r="G369" s="46"/>
      <c r="H369" s="44"/>
      <c r="I369" s="47">
        <f>SUM(Q363:Q368)</f>
        <v>334.61</v>
      </c>
      <c r="J369" s="44">
        <f>Source!AT253</f>
        <v>90</v>
      </c>
      <c r="K369" s="47">
        <f>SUM(R363:R368)</f>
        <v>18855.330000000002</v>
      </c>
    </row>
    <row r="370" spans="1:29" ht="14.5" x14ac:dyDescent="0.25">
      <c r="A370" s="43"/>
      <c r="B370" s="43"/>
      <c r="C370" s="43" t="s">
        <v>655</v>
      </c>
      <c r="D370" s="45" t="s">
        <v>654</v>
      </c>
      <c r="E370" s="44">
        <f>Source!CA253</f>
        <v>46</v>
      </c>
      <c r="F370" s="47"/>
      <c r="G370" s="46"/>
      <c r="H370" s="44"/>
      <c r="I370" s="47">
        <f>SUM(S363:S369)</f>
        <v>171.02</v>
      </c>
      <c r="J370" s="44">
        <f>Source!AU253</f>
        <v>46</v>
      </c>
      <c r="K370" s="47">
        <f>SUM(T363:T369)</f>
        <v>9637.17</v>
      </c>
    </row>
    <row r="371" spans="1:29" ht="14.5" x14ac:dyDescent="0.25">
      <c r="A371" s="49"/>
      <c r="B371" s="49"/>
      <c r="C371" s="49" t="s">
        <v>656</v>
      </c>
      <c r="D371" s="50" t="s">
        <v>657</v>
      </c>
      <c r="E371" s="51">
        <f>Source!AQ252</f>
        <v>16.600000000000001</v>
      </c>
      <c r="F371" s="52"/>
      <c r="G371" s="53" t="s">
        <v>152</v>
      </c>
      <c r="H371" s="51">
        <f>Source!AV253</f>
        <v>1.0469999999999999</v>
      </c>
      <c r="I371" s="52">
        <f>Source!U252</f>
        <v>31.28436</v>
      </c>
      <c r="J371" s="51"/>
      <c r="K371" s="52"/>
    </row>
    <row r="372" spans="1:29" ht="14" x14ac:dyDescent="0.25">
      <c r="C372" s="54" t="s">
        <v>658</v>
      </c>
      <c r="H372" s="55">
        <f>I365+I366+I367+I369+I370+SUM(I368:I368)-SUMIF(AC368:AC368, 5, I368:I368)-SUMIF(AC368:AC368, 6, I368:I368)</f>
        <v>45085.55</v>
      </c>
      <c r="I372" s="55"/>
      <c r="J372" s="55">
        <f>K365+K366+K367+K369+K370+SUM(K368:K368)-SUMIF(AC368:AC368, 5, K368:K368)-SUMIF(AC368:AC368, 6, K368:K368)</f>
        <v>126491.35</v>
      </c>
      <c r="K372" s="55"/>
    </row>
    <row r="373" spans="1:29" ht="14" hidden="1" x14ac:dyDescent="0.25">
      <c r="C373" s="54" t="s">
        <v>659</v>
      </c>
      <c r="H373" s="57">
        <f>SUMIF(AC368:AC368, 5, I368:I368)+SUMIF(AC368:AC368, 6, I368:I368)</f>
        <v>0</v>
      </c>
      <c r="I373" s="57"/>
      <c r="J373" s="57">
        <f>SUMIF(AC368:AC368, 5, K368:K368)+SUMIF(AC368:AC368, 6, K368:K368)</f>
        <v>0</v>
      </c>
      <c r="K373" s="57"/>
    </row>
    <row r="374" spans="1:29" ht="14" x14ac:dyDescent="0.25">
      <c r="C374" s="54" t="s">
        <v>660</v>
      </c>
      <c r="H374" s="57">
        <f>I365+I366+I367+I369+I370+SUM(I368:I368)</f>
        <v>45085.55</v>
      </c>
      <c r="I374" s="57"/>
      <c r="J374" s="57">
        <f>K365+K366+K367+K369+K370+SUM(K368:K368)</f>
        <v>126491.35</v>
      </c>
      <c r="K374" s="57"/>
      <c r="O374" s="58">
        <f>I365+I366+I367+I369+I370+SUM(I368:I368)</f>
        <v>45085.55</v>
      </c>
      <c r="P374" s="58">
        <f>K365+K366+K367+K369+K370+SUM(K368:K368)</f>
        <v>126491.35</v>
      </c>
    </row>
    <row r="376" spans="1:29" ht="55" x14ac:dyDescent="0.25">
      <c r="A376" s="43">
        <v>42</v>
      </c>
      <c r="B376" s="43" t="str">
        <f>Source!F256</f>
        <v>КА, п.10</v>
      </c>
      <c r="C376" s="43" t="s">
        <v>677</v>
      </c>
      <c r="D376" s="45" t="str">
        <f>Source!H256</f>
        <v>м</v>
      </c>
      <c r="E376" s="44">
        <f>Source!I256</f>
        <v>153</v>
      </c>
      <c r="F376" s="47">
        <f>Source!AL256</f>
        <v>11.33</v>
      </c>
      <c r="G376" s="48" t="s">
        <v>3</v>
      </c>
      <c r="H376" s="44">
        <f>Source!AW257</f>
        <v>1</v>
      </c>
      <c r="I376" s="47">
        <f>Source!P256</f>
        <v>1733.49</v>
      </c>
      <c r="J376" s="44">
        <f>IF(Source!BC257&lt;&gt; 0, Source!BC257, 1)</f>
        <v>9.84</v>
      </c>
      <c r="K376" s="47">
        <f>Source!P257</f>
        <v>17057.54</v>
      </c>
      <c r="Q376">
        <f>Source!X256</f>
        <v>0</v>
      </c>
      <c r="R376">
        <f>Source!X257</f>
        <v>0</v>
      </c>
      <c r="S376">
        <f>Source!Y256</f>
        <v>0</v>
      </c>
      <c r="T376">
        <f>Source!Y257</f>
        <v>0</v>
      </c>
      <c r="U376">
        <f>ROUND((175/100)*ROUND(Source!R256, 2), 2)</f>
        <v>0</v>
      </c>
      <c r="V376">
        <f>ROUND((0/100)*ROUND(Source!R257, 2), 2)</f>
        <v>0</v>
      </c>
      <c r="AC376">
        <v>3</v>
      </c>
    </row>
    <row r="377" spans="1:29" x14ac:dyDescent="0.25">
      <c r="A377" s="72"/>
      <c r="B377" s="72"/>
      <c r="C377" s="73" t="str">
        <f>"Объем: "&amp;Source!I256&amp;"=150*"&amp;"1,02"</f>
        <v>Объем: 153=150*1,02</v>
      </c>
      <c r="D377" s="72"/>
      <c r="E377" s="72"/>
      <c r="F377" s="72"/>
      <c r="G377" s="72"/>
      <c r="H377" s="72"/>
      <c r="I377" s="72"/>
      <c r="J377" s="72"/>
      <c r="K377" s="72"/>
    </row>
    <row r="378" spans="1:29" ht="14" x14ac:dyDescent="0.25">
      <c r="C378" s="54" t="s">
        <v>660</v>
      </c>
      <c r="H378" s="55">
        <f>I376+0</f>
        <v>1733.49</v>
      </c>
      <c r="I378" s="55"/>
      <c r="J378" s="55">
        <f>K376+0</f>
        <v>17057.54</v>
      </c>
      <c r="K378" s="55"/>
      <c r="O378" s="58">
        <f>I376+0</f>
        <v>1733.49</v>
      </c>
      <c r="P378" s="58">
        <f>K376+0</f>
        <v>17057.54</v>
      </c>
    </row>
    <row r="380" spans="1:29" ht="41" x14ac:dyDescent="0.25">
      <c r="A380" s="43">
        <v>43</v>
      </c>
      <c r="B380" s="43" t="str">
        <f>Source!F258</f>
        <v>КА, п.11</v>
      </c>
      <c r="C380" s="43" t="s">
        <v>678</v>
      </c>
      <c r="D380" s="45" t="str">
        <f>Source!H258</f>
        <v>м</v>
      </c>
      <c r="E380" s="44">
        <f>Source!I258</f>
        <v>51</v>
      </c>
      <c r="F380" s="47">
        <f>Source!AL258</f>
        <v>34.22</v>
      </c>
      <c r="G380" s="48" t="s">
        <v>3</v>
      </c>
      <c r="H380" s="44">
        <f>Source!AW259</f>
        <v>1</v>
      </c>
      <c r="I380" s="47">
        <f>Source!P258</f>
        <v>1745.22</v>
      </c>
      <c r="J380" s="44">
        <f>IF(Source!BC259&lt;&gt; 0, Source!BC259, 1)</f>
        <v>9.84</v>
      </c>
      <c r="K380" s="47">
        <f>Source!P259</f>
        <v>17172.96</v>
      </c>
      <c r="Q380">
        <f>Source!X258</f>
        <v>0</v>
      </c>
      <c r="R380">
        <f>Source!X259</f>
        <v>0</v>
      </c>
      <c r="S380">
        <f>Source!Y258</f>
        <v>0</v>
      </c>
      <c r="T380">
        <f>Source!Y259</f>
        <v>0</v>
      </c>
      <c r="U380">
        <f>ROUND((175/100)*ROUND(Source!R258, 2), 2)</f>
        <v>0</v>
      </c>
      <c r="V380">
        <f>ROUND((0/100)*ROUND(Source!R259, 2), 2)</f>
        <v>0</v>
      </c>
      <c r="AC380">
        <v>3</v>
      </c>
    </row>
    <row r="381" spans="1:29" x14ac:dyDescent="0.25">
      <c r="A381" s="72"/>
      <c r="B381" s="72"/>
      <c r="C381" s="73" t="str">
        <f>"Объем: "&amp;Source!I258&amp;"=50*"&amp;"1,02"</f>
        <v>Объем: 51=50*1,02</v>
      </c>
      <c r="D381" s="72"/>
      <c r="E381" s="72"/>
      <c r="F381" s="72"/>
      <c r="G381" s="72"/>
      <c r="H381" s="72"/>
      <c r="I381" s="72"/>
      <c r="J381" s="72"/>
      <c r="K381" s="72"/>
    </row>
    <row r="382" spans="1:29" ht="14" x14ac:dyDescent="0.25">
      <c r="C382" s="54" t="s">
        <v>660</v>
      </c>
      <c r="H382" s="55">
        <f>I380+0</f>
        <v>1745.22</v>
      </c>
      <c r="I382" s="55"/>
      <c r="J382" s="55">
        <f>K380+0</f>
        <v>17172.96</v>
      </c>
      <c r="K382" s="55"/>
      <c r="O382" s="58">
        <f>I380+0</f>
        <v>1745.22</v>
      </c>
      <c r="P382" s="58">
        <f>K380+0</f>
        <v>17172.96</v>
      </c>
    </row>
    <row r="384" spans="1:29" ht="41" x14ac:dyDescent="0.25">
      <c r="A384" s="43">
        <v>44</v>
      </c>
      <c r="B384" s="43" t="str">
        <f>Source!F260</f>
        <v>КА, п.12</v>
      </c>
      <c r="C384" s="43" t="s">
        <v>679</v>
      </c>
      <c r="D384" s="45" t="str">
        <f>Source!H260</f>
        <v>м</v>
      </c>
      <c r="E384" s="44">
        <f>Source!I260</f>
        <v>51</v>
      </c>
      <c r="F384" s="47">
        <f>Source!AL260</f>
        <v>14.7</v>
      </c>
      <c r="G384" s="48" t="s">
        <v>3</v>
      </c>
      <c r="H384" s="44">
        <f>Source!AW261</f>
        <v>1</v>
      </c>
      <c r="I384" s="47">
        <f>Source!P260</f>
        <v>749.7</v>
      </c>
      <c r="J384" s="44">
        <f>IF(Source!BC261&lt;&gt; 0, Source!BC261, 1)</f>
        <v>9.84</v>
      </c>
      <c r="K384" s="47">
        <f>Source!P261</f>
        <v>7377.05</v>
      </c>
      <c r="Q384">
        <f>Source!X260</f>
        <v>0</v>
      </c>
      <c r="R384">
        <f>Source!X261</f>
        <v>0</v>
      </c>
      <c r="S384">
        <f>Source!Y260</f>
        <v>0</v>
      </c>
      <c r="T384">
        <f>Source!Y261</f>
        <v>0</v>
      </c>
      <c r="U384">
        <f>ROUND((175/100)*ROUND(Source!R260, 2), 2)</f>
        <v>0</v>
      </c>
      <c r="V384">
        <f>ROUND((0/100)*ROUND(Source!R261, 2), 2)</f>
        <v>0</v>
      </c>
      <c r="AC384">
        <v>3</v>
      </c>
    </row>
    <row r="385" spans="1:29" x14ac:dyDescent="0.25">
      <c r="A385" s="72"/>
      <c r="B385" s="72"/>
      <c r="C385" s="73" t="str">
        <f>"Объем: "&amp;Source!I260&amp;"=50*"&amp;"1,02"</f>
        <v>Объем: 51=50*1,02</v>
      </c>
      <c r="D385" s="72"/>
      <c r="E385" s="72"/>
      <c r="F385" s="72"/>
      <c r="G385" s="72"/>
      <c r="H385" s="72"/>
      <c r="I385" s="72"/>
      <c r="J385" s="72"/>
      <c r="K385" s="72"/>
    </row>
    <row r="386" spans="1:29" ht="14" x14ac:dyDescent="0.25">
      <c r="C386" s="54" t="s">
        <v>660</v>
      </c>
      <c r="H386" s="55">
        <f>I384+0</f>
        <v>749.7</v>
      </c>
      <c r="I386" s="55"/>
      <c r="J386" s="55">
        <f>K384+0</f>
        <v>7377.05</v>
      </c>
      <c r="K386" s="55"/>
      <c r="O386" s="58">
        <f>I384+0</f>
        <v>749.7</v>
      </c>
      <c r="P386" s="58">
        <f>K384+0</f>
        <v>7377.05</v>
      </c>
    </row>
    <row r="388" spans="1:29" ht="41" x14ac:dyDescent="0.25">
      <c r="A388" s="43">
        <v>45</v>
      </c>
      <c r="B388" s="43" t="str">
        <f>Source!F262</f>
        <v>КА, п.13</v>
      </c>
      <c r="C388" s="43" t="s">
        <v>680</v>
      </c>
      <c r="D388" s="45" t="str">
        <f>Source!H262</f>
        <v>м</v>
      </c>
      <c r="E388" s="44">
        <f>Source!I262</f>
        <v>51</v>
      </c>
      <c r="F388" s="47">
        <f>Source!AL262</f>
        <v>11.13</v>
      </c>
      <c r="G388" s="48" t="s">
        <v>3</v>
      </c>
      <c r="H388" s="44">
        <f>Source!AW263</f>
        <v>1</v>
      </c>
      <c r="I388" s="47">
        <f>Source!P262</f>
        <v>567.63</v>
      </c>
      <c r="J388" s="44">
        <f>IF(Source!BC263&lt;&gt; 0, Source!BC263, 1)</f>
        <v>9.84</v>
      </c>
      <c r="K388" s="47">
        <f>Source!P263</f>
        <v>5585.48</v>
      </c>
      <c r="Q388">
        <f>Source!X262</f>
        <v>0</v>
      </c>
      <c r="R388">
        <f>Source!X263</f>
        <v>0</v>
      </c>
      <c r="S388">
        <f>Source!Y262</f>
        <v>0</v>
      </c>
      <c r="T388">
        <f>Source!Y263</f>
        <v>0</v>
      </c>
      <c r="U388">
        <f>ROUND((175/100)*ROUND(Source!R262, 2), 2)</f>
        <v>0</v>
      </c>
      <c r="V388">
        <f>ROUND((0/100)*ROUND(Source!R263, 2), 2)</f>
        <v>0</v>
      </c>
      <c r="AC388">
        <v>3</v>
      </c>
    </row>
    <row r="389" spans="1:29" x14ac:dyDescent="0.25">
      <c r="A389" s="72"/>
      <c r="B389" s="72"/>
      <c r="C389" s="73" t="str">
        <f>"Объем: "&amp;Source!I262&amp;"=50*"&amp;"1,02"</f>
        <v>Объем: 51=50*1,02</v>
      </c>
      <c r="D389" s="72"/>
      <c r="E389" s="72"/>
      <c r="F389" s="72"/>
      <c r="G389" s="72"/>
      <c r="H389" s="72"/>
      <c r="I389" s="72"/>
      <c r="J389" s="72"/>
      <c r="K389" s="72"/>
    </row>
    <row r="390" spans="1:29" ht="14" x14ac:dyDescent="0.25">
      <c r="C390" s="54" t="s">
        <v>660</v>
      </c>
      <c r="H390" s="55">
        <f>I388+0</f>
        <v>567.63</v>
      </c>
      <c r="I390" s="55"/>
      <c r="J390" s="55">
        <f>K388+0</f>
        <v>5585.48</v>
      </c>
      <c r="K390" s="55"/>
      <c r="O390" s="58">
        <f>I388+0</f>
        <v>567.63</v>
      </c>
      <c r="P390" s="58">
        <f>K388+0</f>
        <v>5585.48</v>
      </c>
    </row>
    <row r="392" spans="1:29" ht="29" x14ac:dyDescent="0.25">
      <c r="A392" s="43">
        <v>46</v>
      </c>
      <c r="B392" s="43" t="str">
        <f>Source!F264</f>
        <v>4.8-168-1</v>
      </c>
      <c r="C392" s="43" t="s">
        <v>281</v>
      </c>
      <c r="D392" s="45" t="str">
        <f>Source!H264</f>
        <v>100 М ТРАССЫ</v>
      </c>
      <c r="E392" s="44">
        <f>Source!I264</f>
        <v>3.35</v>
      </c>
      <c r="F392" s="47"/>
      <c r="G392" s="46"/>
      <c r="H392" s="44"/>
      <c r="I392" s="47"/>
      <c r="J392" s="44"/>
      <c r="K392" s="47"/>
      <c r="Q392">
        <f>Source!X264</f>
        <v>1671.7</v>
      </c>
      <c r="R392">
        <f>Source!X265</f>
        <v>94200.18</v>
      </c>
      <c r="S392">
        <f>Source!Y264</f>
        <v>878.93</v>
      </c>
      <c r="T392">
        <f>Source!Y265</f>
        <v>49527.93</v>
      </c>
      <c r="U392">
        <f>ROUND((175/100)*ROUND(Source!R264, 2), 2)</f>
        <v>21.37</v>
      </c>
      <c r="V392">
        <f>ROUND((0/100)*ROUND(Source!R265, 2), 2)</f>
        <v>0</v>
      </c>
      <c r="AC392">
        <v>0</v>
      </c>
    </row>
    <row r="393" spans="1:29" x14ac:dyDescent="0.25">
      <c r="C393" s="60" t="str">
        <f>"Объем: "&amp;Source!I264&amp;"=(300+"&amp;"20+"&amp;"15)/"&amp;"100"</f>
        <v>Объем: 3,35=(300+20+15)/100</v>
      </c>
    </row>
    <row r="394" spans="1:29" ht="14.5" x14ac:dyDescent="0.25">
      <c r="A394" s="43"/>
      <c r="B394" s="43"/>
      <c r="C394" s="43" t="s">
        <v>651</v>
      </c>
      <c r="D394" s="45"/>
      <c r="E394" s="44"/>
      <c r="F394" s="47">
        <f>Source!AO264</f>
        <v>406.56</v>
      </c>
      <c r="G394" s="48" t="s">
        <v>152</v>
      </c>
      <c r="H394" s="44">
        <f>Source!AV265</f>
        <v>1.0469999999999999</v>
      </c>
      <c r="I394" s="47">
        <f>Source!S264</f>
        <v>1711.19</v>
      </c>
      <c r="J394" s="44">
        <f>IF(Source!BA265&lt;&gt; 0, Source!BA265, 1)</f>
        <v>56.35</v>
      </c>
      <c r="K394" s="47">
        <f>Source!S265</f>
        <v>96425.56</v>
      </c>
    </row>
    <row r="395" spans="1:29" ht="14.5" x14ac:dyDescent="0.25">
      <c r="A395" s="43"/>
      <c r="B395" s="43"/>
      <c r="C395" s="43" t="s">
        <v>661</v>
      </c>
      <c r="D395" s="45"/>
      <c r="E395" s="44"/>
      <c r="F395" s="47">
        <f>Source!AM264</f>
        <v>61.23</v>
      </c>
      <c r="G395" s="48" t="s">
        <v>152</v>
      </c>
      <c r="H395" s="44">
        <f>Source!AV265</f>
        <v>1.0469999999999999</v>
      </c>
      <c r="I395" s="47">
        <f>Source!Q264</f>
        <v>257.70999999999998</v>
      </c>
      <c r="J395" s="44">
        <f>IF(Source!BB265&lt;&gt; 0, Source!BB265, 1)</f>
        <v>14.31</v>
      </c>
      <c r="K395" s="47">
        <f>Source!Q265</f>
        <v>3687.83</v>
      </c>
    </row>
    <row r="396" spans="1:29" ht="14.5" x14ac:dyDescent="0.25">
      <c r="A396" s="43"/>
      <c r="B396" s="43"/>
      <c r="C396" s="43" t="s">
        <v>662</v>
      </c>
      <c r="D396" s="45"/>
      <c r="E396" s="44"/>
      <c r="F396" s="47">
        <f>Source!AN264</f>
        <v>2.9</v>
      </c>
      <c r="G396" s="48" t="s">
        <v>152</v>
      </c>
      <c r="H396" s="44">
        <f>Source!AV265</f>
        <v>1.0469999999999999</v>
      </c>
      <c r="I396" s="59">
        <f>Source!R264</f>
        <v>12.21</v>
      </c>
      <c r="J396" s="44">
        <f>IF(Source!BS265&lt;&gt; 0, Source!BS265, 1)</f>
        <v>56.35</v>
      </c>
      <c r="K396" s="59">
        <f>Source!R265</f>
        <v>688.03</v>
      </c>
    </row>
    <row r="397" spans="1:29" ht="14.5" x14ac:dyDescent="0.25">
      <c r="A397" s="43"/>
      <c r="B397" s="43"/>
      <c r="C397" s="43" t="s">
        <v>665</v>
      </c>
      <c r="D397" s="45"/>
      <c r="E397" s="44"/>
      <c r="F397" s="47">
        <f>Source!AL264</f>
        <v>786.8</v>
      </c>
      <c r="G397" s="48" t="s">
        <v>3</v>
      </c>
      <c r="H397" s="44">
        <f>Source!AW265</f>
        <v>1</v>
      </c>
      <c r="I397" s="47">
        <f>Source!P264</f>
        <v>2635.78</v>
      </c>
      <c r="J397" s="44">
        <f>IF(Source!BC265&lt;&gt; 0, Source!BC265, 1)</f>
        <v>7.28</v>
      </c>
      <c r="K397" s="47">
        <f>Source!P265</f>
        <v>19188.48</v>
      </c>
    </row>
    <row r="398" spans="1:29" ht="42" x14ac:dyDescent="0.25">
      <c r="A398" s="43" t="s">
        <v>284</v>
      </c>
      <c r="B398" s="43" t="str">
        <f>Source!F266</f>
        <v>1.14-1-555</v>
      </c>
      <c r="C398" s="43" t="s">
        <v>286</v>
      </c>
      <c r="D398" s="45" t="str">
        <f>Source!H266</f>
        <v>100 шт.</v>
      </c>
      <c r="E398" s="44">
        <f>Source!I266</f>
        <v>7.370000000000001</v>
      </c>
      <c r="F398" s="47">
        <f>Source!AK266</f>
        <v>46.63</v>
      </c>
      <c r="G398" s="48" t="s">
        <v>3</v>
      </c>
      <c r="H398" s="44">
        <f>Source!AW267</f>
        <v>1</v>
      </c>
      <c r="I398" s="47">
        <f>Source!O266</f>
        <v>343.66</v>
      </c>
      <c r="J398" s="44">
        <f>IF(Source!BC267&lt;&gt; 0, Source!BC267, 1)</f>
        <v>1.0900000000000001</v>
      </c>
      <c r="K398" s="47">
        <f>Source!O267</f>
        <v>374.59</v>
      </c>
      <c r="Q398">
        <f>Source!X266</f>
        <v>0</v>
      </c>
      <c r="R398">
        <f>Source!X267</f>
        <v>0</v>
      </c>
      <c r="S398">
        <f>Source!Y266</f>
        <v>0</v>
      </c>
      <c r="T398">
        <f>Source!Y267</f>
        <v>0</v>
      </c>
      <c r="U398">
        <f>ROUND((175/100)*ROUND(Source!R266, 2), 2)</f>
        <v>0</v>
      </c>
      <c r="V398">
        <f>ROUND((0/100)*ROUND(Source!R267, 2), 2)</f>
        <v>0</v>
      </c>
      <c r="AC398">
        <v>3</v>
      </c>
    </row>
    <row r="399" spans="1:29" ht="14.5" x14ac:dyDescent="0.25">
      <c r="A399" s="43"/>
      <c r="B399" s="43"/>
      <c r="C399" s="43" t="s">
        <v>653</v>
      </c>
      <c r="D399" s="45" t="s">
        <v>654</v>
      </c>
      <c r="E399" s="44">
        <f>Source!BZ265</f>
        <v>97</v>
      </c>
      <c r="F399" s="47"/>
      <c r="G399" s="46"/>
      <c r="H399" s="44"/>
      <c r="I399" s="47">
        <f>SUM(Q392:Q398)</f>
        <v>1671.7</v>
      </c>
      <c r="J399" s="44">
        <f>Source!AT265</f>
        <v>97</v>
      </c>
      <c r="K399" s="47">
        <f>SUM(R392:R398)</f>
        <v>94200.18</v>
      </c>
    </row>
    <row r="400" spans="1:29" ht="14.5" x14ac:dyDescent="0.25">
      <c r="A400" s="43"/>
      <c r="B400" s="43"/>
      <c r="C400" s="43" t="s">
        <v>655</v>
      </c>
      <c r="D400" s="45" t="s">
        <v>654</v>
      </c>
      <c r="E400" s="44">
        <f>Source!CA265</f>
        <v>51</v>
      </c>
      <c r="F400" s="47"/>
      <c r="G400" s="46"/>
      <c r="H400" s="44"/>
      <c r="I400" s="47">
        <f>SUM(S392:S399)</f>
        <v>878.93</v>
      </c>
      <c r="J400" s="44">
        <f>Source!AU265</f>
        <v>51</v>
      </c>
      <c r="K400" s="47">
        <f>SUM(T392:T399)</f>
        <v>49527.93</v>
      </c>
    </row>
    <row r="401" spans="1:29" ht="14.5" x14ac:dyDescent="0.25">
      <c r="A401" s="49"/>
      <c r="B401" s="49"/>
      <c r="C401" s="49" t="s">
        <v>656</v>
      </c>
      <c r="D401" s="50" t="s">
        <v>657</v>
      </c>
      <c r="E401" s="51">
        <f>Source!AQ264</f>
        <v>33</v>
      </c>
      <c r="F401" s="52"/>
      <c r="G401" s="53" t="s">
        <v>152</v>
      </c>
      <c r="H401" s="51">
        <f>Source!AV265</f>
        <v>1.0469999999999999</v>
      </c>
      <c r="I401" s="52">
        <f>Source!U264</f>
        <v>138.89501999999999</v>
      </c>
      <c r="J401" s="51"/>
      <c r="K401" s="52"/>
    </row>
    <row r="402" spans="1:29" ht="14" x14ac:dyDescent="0.25">
      <c r="C402" s="54" t="s">
        <v>658</v>
      </c>
      <c r="H402" s="55">
        <f>I394+I395+I397+I399+I400+SUM(I398:I398)-SUMIF(AC398:AC398, 5, I398:I398)-SUMIF(AC398:AC398, 6, I398:I398)</f>
        <v>7498.97</v>
      </c>
      <c r="I402" s="55"/>
      <c r="J402" s="55">
        <f>K394+K395+K397+K399+K400+SUM(K398:K398)-SUMIF(AC398:AC398, 5, K398:K398)-SUMIF(AC398:AC398, 6, K398:K398)</f>
        <v>263404.57</v>
      </c>
      <c r="K402" s="55"/>
    </row>
    <row r="403" spans="1:29" ht="14" hidden="1" x14ac:dyDescent="0.25">
      <c r="C403" s="54" t="s">
        <v>659</v>
      </c>
      <c r="H403" s="57">
        <f>SUMIF(AC398:AC398, 5, I398:I398)+SUMIF(AC398:AC398, 6, I398:I398)</f>
        <v>0</v>
      </c>
      <c r="I403" s="57"/>
      <c r="J403" s="57">
        <f>SUMIF(AC398:AC398, 5, K398:K398)+SUMIF(AC398:AC398, 6, K398:K398)</f>
        <v>0</v>
      </c>
      <c r="K403" s="57"/>
    </row>
    <row r="404" spans="1:29" ht="14" x14ac:dyDescent="0.25">
      <c r="C404" s="54" t="s">
        <v>660</v>
      </c>
      <c r="H404" s="57">
        <f>I394+I395+I397+I399+I400+SUM(I398:I398)</f>
        <v>7498.97</v>
      </c>
      <c r="I404" s="57"/>
      <c r="J404" s="57">
        <f>K394+K395+K397+K399+K400+SUM(K398:K398)</f>
        <v>263404.57</v>
      </c>
      <c r="K404" s="57"/>
      <c r="O404" s="58">
        <f>I394+I395+I397+I399+I400+SUM(I398:I398)</f>
        <v>7498.97</v>
      </c>
      <c r="P404" s="58">
        <f>K394+K395+K397+K399+K400+SUM(K398:K398)</f>
        <v>263404.57</v>
      </c>
    </row>
    <row r="406" spans="1:29" ht="41" x14ac:dyDescent="0.25">
      <c r="A406" s="43">
        <v>47</v>
      </c>
      <c r="B406" s="43" t="str">
        <f>Source!F268</f>
        <v>КА, п.14</v>
      </c>
      <c r="C406" s="43" t="s">
        <v>681</v>
      </c>
      <c r="D406" s="45" t="str">
        <f>Source!H268</f>
        <v>м</v>
      </c>
      <c r="E406" s="44">
        <f>Source!I268</f>
        <v>306</v>
      </c>
      <c r="F406" s="47">
        <f>Source!AL268</f>
        <v>4.3899999999999997</v>
      </c>
      <c r="G406" s="48" t="s">
        <v>3</v>
      </c>
      <c r="H406" s="44">
        <f>Source!AW269</f>
        <v>1</v>
      </c>
      <c r="I406" s="47">
        <f>Source!P268</f>
        <v>1343.34</v>
      </c>
      <c r="J406" s="44">
        <f>IF(Source!BC269&lt;&gt; 0, Source!BC269, 1)</f>
        <v>9.84</v>
      </c>
      <c r="K406" s="47">
        <f>Source!P269</f>
        <v>13218.47</v>
      </c>
      <c r="Q406">
        <f>Source!X268</f>
        <v>0</v>
      </c>
      <c r="R406">
        <f>Source!X269</f>
        <v>0</v>
      </c>
      <c r="S406">
        <f>Source!Y268</f>
        <v>0</v>
      </c>
      <c r="T406">
        <f>Source!Y269</f>
        <v>0</v>
      </c>
      <c r="U406">
        <f>ROUND((175/100)*ROUND(Source!R268, 2), 2)</f>
        <v>0</v>
      </c>
      <c r="V406">
        <f>ROUND((0/100)*ROUND(Source!R269, 2), 2)</f>
        <v>0</v>
      </c>
      <c r="AC406">
        <v>3</v>
      </c>
    </row>
    <row r="407" spans="1:29" x14ac:dyDescent="0.25">
      <c r="A407" s="72"/>
      <c r="B407" s="72"/>
      <c r="C407" s="73" t="str">
        <f>"Объем: "&amp;Source!I268&amp;"=300*"&amp;"1,02"</f>
        <v>Объем: 306=300*1,02</v>
      </c>
      <c r="D407" s="72"/>
      <c r="E407" s="72"/>
      <c r="F407" s="72"/>
      <c r="G407" s="72"/>
      <c r="H407" s="72"/>
      <c r="I407" s="72"/>
      <c r="J407" s="72"/>
      <c r="K407" s="72"/>
    </row>
    <row r="408" spans="1:29" ht="14" x14ac:dyDescent="0.25">
      <c r="C408" s="54" t="s">
        <v>660</v>
      </c>
      <c r="H408" s="55">
        <f>I406+0</f>
        <v>1343.34</v>
      </c>
      <c r="I408" s="55"/>
      <c r="J408" s="55">
        <f>K406+0</f>
        <v>13218.47</v>
      </c>
      <c r="K408" s="55"/>
      <c r="O408" s="58">
        <f>I406+0</f>
        <v>1343.34</v>
      </c>
      <c r="P408" s="58">
        <f>K406+0</f>
        <v>13218.47</v>
      </c>
    </row>
    <row r="410" spans="1:29" ht="55" x14ac:dyDescent="0.25">
      <c r="A410" s="43">
        <v>48</v>
      </c>
      <c r="B410" s="43" t="str">
        <f>Source!F270</f>
        <v>КА, п.15</v>
      </c>
      <c r="C410" s="43" t="s">
        <v>682</v>
      </c>
      <c r="D410" s="45" t="str">
        <f>Source!H270</f>
        <v>м</v>
      </c>
      <c r="E410" s="44">
        <f>Source!I270</f>
        <v>20.399999999999999</v>
      </c>
      <c r="F410" s="47">
        <f>Source!AL270</f>
        <v>14.01</v>
      </c>
      <c r="G410" s="48" t="s">
        <v>3</v>
      </c>
      <c r="H410" s="44">
        <f>Source!AW271</f>
        <v>1</v>
      </c>
      <c r="I410" s="47">
        <f>Source!P270</f>
        <v>285.8</v>
      </c>
      <c r="J410" s="44">
        <f>IF(Source!BC271&lt;&gt; 0, Source!BC271, 1)</f>
        <v>9.84</v>
      </c>
      <c r="K410" s="47">
        <f>Source!P271</f>
        <v>2812.27</v>
      </c>
      <c r="Q410">
        <f>Source!X270</f>
        <v>0</v>
      </c>
      <c r="R410">
        <f>Source!X271</f>
        <v>0</v>
      </c>
      <c r="S410">
        <f>Source!Y270</f>
        <v>0</v>
      </c>
      <c r="T410">
        <f>Source!Y271</f>
        <v>0</v>
      </c>
      <c r="U410">
        <f>ROUND((175/100)*ROUND(Source!R270, 2), 2)</f>
        <v>0</v>
      </c>
      <c r="V410">
        <f>ROUND((0/100)*ROUND(Source!R271, 2), 2)</f>
        <v>0</v>
      </c>
      <c r="AC410">
        <v>3</v>
      </c>
    </row>
    <row r="411" spans="1:29" x14ac:dyDescent="0.25">
      <c r="A411" s="72"/>
      <c r="B411" s="72"/>
      <c r="C411" s="73" t="str">
        <f>"Объем: "&amp;Source!I270&amp;"=20*"&amp;"1,02"</f>
        <v>Объем: 20,4=20*1,02</v>
      </c>
      <c r="D411" s="72"/>
      <c r="E411" s="72"/>
      <c r="F411" s="72"/>
      <c r="G411" s="72"/>
      <c r="H411" s="72"/>
      <c r="I411" s="72"/>
      <c r="J411" s="72"/>
      <c r="K411" s="72"/>
    </row>
    <row r="412" spans="1:29" ht="14" x14ac:dyDescent="0.25">
      <c r="C412" s="54" t="s">
        <v>660</v>
      </c>
      <c r="H412" s="55">
        <f>I410+0</f>
        <v>285.8</v>
      </c>
      <c r="I412" s="55"/>
      <c r="J412" s="55">
        <f>K410+0</f>
        <v>2812.27</v>
      </c>
      <c r="K412" s="55"/>
      <c r="O412" s="58">
        <f>I410+0</f>
        <v>285.8</v>
      </c>
      <c r="P412" s="58">
        <f>K410+0</f>
        <v>2812.27</v>
      </c>
    </row>
    <row r="414" spans="1:29" ht="41" x14ac:dyDescent="0.25">
      <c r="A414" s="43">
        <v>49</v>
      </c>
      <c r="B414" s="43" t="str">
        <f>Source!F272</f>
        <v>КА, п.16</v>
      </c>
      <c r="C414" s="43" t="s">
        <v>683</v>
      </c>
      <c r="D414" s="45" t="str">
        <f>Source!H272</f>
        <v>м</v>
      </c>
      <c r="E414" s="44">
        <f>Source!I272</f>
        <v>15.3</v>
      </c>
      <c r="F414" s="47">
        <f>Source!AL272</f>
        <v>8.4</v>
      </c>
      <c r="G414" s="48" t="s">
        <v>3</v>
      </c>
      <c r="H414" s="44">
        <f>Source!AW273</f>
        <v>1</v>
      </c>
      <c r="I414" s="47">
        <f>Source!P272</f>
        <v>128.52000000000001</v>
      </c>
      <c r="J414" s="44">
        <f>IF(Source!BC273&lt;&gt; 0, Source!BC273, 1)</f>
        <v>9.84</v>
      </c>
      <c r="K414" s="47">
        <f>Source!P273</f>
        <v>1264.6400000000001</v>
      </c>
      <c r="Q414">
        <f>Source!X272</f>
        <v>0</v>
      </c>
      <c r="R414">
        <f>Source!X273</f>
        <v>0</v>
      </c>
      <c r="S414">
        <f>Source!Y272</f>
        <v>0</v>
      </c>
      <c r="T414">
        <f>Source!Y273</f>
        <v>0</v>
      </c>
      <c r="U414">
        <f>ROUND((175/100)*ROUND(Source!R272, 2), 2)</f>
        <v>0</v>
      </c>
      <c r="V414">
        <f>ROUND((0/100)*ROUND(Source!R273, 2), 2)</f>
        <v>0</v>
      </c>
      <c r="AC414">
        <v>3</v>
      </c>
    </row>
    <row r="415" spans="1:29" x14ac:dyDescent="0.25">
      <c r="A415" s="72"/>
      <c r="B415" s="72"/>
      <c r="C415" s="73" t="str">
        <f>"Объем: "&amp;Source!I272&amp;"=15*"&amp;"1,02"</f>
        <v>Объем: 15,3=15*1,02</v>
      </c>
      <c r="D415" s="72"/>
      <c r="E415" s="72"/>
      <c r="F415" s="72"/>
      <c r="G415" s="72"/>
      <c r="H415" s="72"/>
      <c r="I415" s="72"/>
      <c r="J415" s="72"/>
      <c r="K415" s="72"/>
    </row>
    <row r="416" spans="1:29" ht="14" x14ac:dyDescent="0.25">
      <c r="C416" s="54" t="s">
        <v>660</v>
      </c>
      <c r="H416" s="55">
        <f>I414+0</f>
        <v>128.52000000000001</v>
      </c>
      <c r="I416" s="55"/>
      <c r="J416" s="55">
        <f>K414+0</f>
        <v>1264.6400000000001</v>
      </c>
      <c r="K416" s="55"/>
      <c r="O416" s="58">
        <f>I414+0</f>
        <v>128.52000000000001</v>
      </c>
      <c r="P416" s="58">
        <f>K414+0</f>
        <v>1264.6400000000001</v>
      </c>
    </row>
    <row r="418" spans="1:29" ht="42" x14ac:dyDescent="0.25">
      <c r="A418" s="43">
        <v>50</v>
      </c>
      <c r="B418" s="43" t="str">
        <f>Source!F274</f>
        <v>4.11-14-1</v>
      </c>
      <c r="C418" s="43" t="s">
        <v>302</v>
      </c>
      <c r="D418" s="45" t="str">
        <f>Source!H274</f>
        <v>1 разъем</v>
      </c>
      <c r="E418" s="44">
        <f>Source!I274</f>
        <v>4</v>
      </c>
      <c r="F418" s="47"/>
      <c r="G418" s="46"/>
      <c r="H418" s="44"/>
      <c r="I418" s="47"/>
      <c r="J418" s="44"/>
      <c r="K418" s="47"/>
      <c r="Q418">
        <f>Source!X274</f>
        <v>11.39</v>
      </c>
      <c r="R418">
        <f>Source!X275</f>
        <v>642.04999999999995</v>
      </c>
      <c r="S418">
        <f>Source!Y274</f>
        <v>5.82</v>
      </c>
      <c r="T418">
        <f>Source!Y275</f>
        <v>328.16</v>
      </c>
      <c r="U418">
        <f>ROUND((175/100)*ROUND(Source!R274, 2), 2)</f>
        <v>0</v>
      </c>
      <c r="V418">
        <f>ROUND((0/100)*ROUND(Source!R275, 2), 2)</f>
        <v>0</v>
      </c>
      <c r="AC418">
        <v>0</v>
      </c>
    </row>
    <row r="419" spans="1:29" x14ac:dyDescent="0.25">
      <c r="C419" s="60" t="str">
        <f>"Объем: "&amp;Source!I274&amp;"=2*"&amp;"2"</f>
        <v>Объем: 4=2*2</v>
      </c>
    </row>
    <row r="420" spans="1:29" ht="14.5" x14ac:dyDescent="0.25">
      <c r="A420" s="43"/>
      <c r="B420" s="43"/>
      <c r="C420" s="43" t="s">
        <v>651</v>
      </c>
      <c r="D420" s="45"/>
      <c r="E420" s="44"/>
      <c r="F420" s="47">
        <f>Source!AO274</f>
        <v>2.52</v>
      </c>
      <c r="G420" s="48" t="s">
        <v>152</v>
      </c>
      <c r="H420" s="44">
        <f>Source!AV275</f>
        <v>1.0469999999999999</v>
      </c>
      <c r="I420" s="47">
        <f>Source!S274</f>
        <v>12.66</v>
      </c>
      <c r="J420" s="44">
        <f>IF(Source!BA275&lt;&gt; 0, Source!BA275, 1)</f>
        <v>56.35</v>
      </c>
      <c r="K420" s="47">
        <f>Source!S275</f>
        <v>713.39</v>
      </c>
    </row>
    <row r="421" spans="1:29" ht="14.5" x14ac:dyDescent="0.25">
      <c r="A421" s="43"/>
      <c r="B421" s="43"/>
      <c r="C421" s="43" t="s">
        <v>653</v>
      </c>
      <c r="D421" s="45" t="s">
        <v>654</v>
      </c>
      <c r="E421" s="44">
        <f>Source!BZ275</f>
        <v>90</v>
      </c>
      <c r="F421" s="47"/>
      <c r="G421" s="46"/>
      <c r="H421" s="44"/>
      <c r="I421" s="47">
        <f>SUM(Q418:Q420)</f>
        <v>11.39</v>
      </c>
      <c r="J421" s="44">
        <f>Source!AT275</f>
        <v>90</v>
      </c>
      <c r="K421" s="47">
        <f>SUM(R418:R420)</f>
        <v>642.04999999999995</v>
      </c>
    </row>
    <row r="422" spans="1:29" ht="14.5" x14ac:dyDescent="0.25">
      <c r="A422" s="43"/>
      <c r="B422" s="43"/>
      <c r="C422" s="43" t="s">
        <v>655</v>
      </c>
      <c r="D422" s="45" t="s">
        <v>654</v>
      </c>
      <c r="E422" s="44">
        <f>Source!CA275</f>
        <v>46</v>
      </c>
      <c r="F422" s="47"/>
      <c r="G422" s="46"/>
      <c r="H422" s="44"/>
      <c r="I422" s="47">
        <f>SUM(S418:S421)</f>
        <v>5.82</v>
      </c>
      <c r="J422" s="44">
        <f>Source!AU275</f>
        <v>46</v>
      </c>
      <c r="K422" s="47">
        <f>SUM(T418:T421)</f>
        <v>328.16</v>
      </c>
    </row>
    <row r="423" spans="1:29" ht="14.5" x14ac:dyDescent="0.25">
      <c r="A423" s="49"/>
      <c r="B423" s="49"/>
      <c r="C423" s="49" t="s">
        <v>656</v>
      </c>
      <c r="D423" s="50" t="s">
        <v>657</v>
      </c>
      <c r="E423" s="51">
        <f>Source!AQ274</f>
        <v>0.22</v>
      </c>
      <c r="F423" s="52"/>
      <c r="G423" s="53" t="s">
        <v>152</v>
      </c>
      <c r="H423" s="51">
        <f>Source!AV275</f>
        <v>1.0469999999999999</v>
      </c>
      <c r="I423" s="52">
        <f>Source!U274</f>
        <v>1.1056319999999999</v>
      </c>
      <c r="J423" s="51"/>
      <c r="K423" s="52"/>
    </row>
    <row r="424" spans="1:29" ht="14" x14ac:dyDescent="0.25">
      <c r="C424" s="54" t="s">
        <v>658</v>
      </c>
      <c r="H424" s="55">
        <f>I420+I421+I422+0-0-0</f>
        <v>29.87</v>
      </c>
      <c r="I424" s="55"/>
      <c r="J424" s="55">
        <f>K420+K421+K422+0-0-0</f>
        <v>1683.6000000000001</v>
      </c>
      <c r="K424" s="55"/>
    </row>
    <row r="425" spans="1:29" ht="14" hidden="1" x14ac:dyDescent="0.25">
      <c r="C425" s="54" t="s">
        <v>659</v>
      </c>
      <c r="H425" s="57">
        <f>0+0</f>
        <v>0</v>
      </c>
      <c r="I425" s="57"/>
      <c r="J425" s="57">
        <f>0+0</f>
        <v>0</v>
      </c>
      <c r="K425" s="57"/>
    </row>
    <row r="426" spans="1:29" ht="14" x14ac:dyDescent="0.25">
      <c r="C426" s="54" t="s">
        <v>660</v>
      </c>
      <c r="H426" s="57">
        <f>I420+I421+I422+0</f>
        <v>29.87</v>
      </c>
      <c r="I426" s="57"/>
      <c r="J426" s="57">
        <f>K420+K421+K422+0</f>
        <v>1683.6000000000001</v>
      </c>
      <c r="K426" s="57"/>
      <c r="O426" s="58">
        <f>I420+I421+I422+0</f>
        <v>29.87</v>
      </c>
      <c r="P426" s="58">
        <f>K420+K421+K422+0</f>
        <v>1683.6000000000001</v>
      </c>
    </row>
    <row r="428" spans="1:29" ht="69" x14ac:dyDescent="0.25">
      <c r="A428" s="49">
        <v>51</v>
      </c>
      <c r="B428" s="49" t="str">
        <f>Source!F276</f>
        <v>КА, п.17</v>
      </c>
      <c r="C428" s="49" t="s">
        <v>684</v>
      </c>
      <c r="D428" s="50" t="str">
        <f>Source!H276</f>
        <v>ШТ</v>
      </c>
      <c r="E428" s="51">
        <f>Source!I276</f>
        <v>2</v>
      </c>
      <c r="F428" s="52">
        <f>Source!AL276</f>
        <v>22.8</v>
      </c>
      <c r="G428" s="53" t="s">
        <v>3</v>
      </c>
      <c r="H428" s="51">
        <f>Source!AW277</f>
        <v>1</v>
      </c>
      <c r="I428" s="52">
        <f>Source!P276</f>
        <v>45.6</v>
      </c>
      <c r="J428" s="51">
        <f>IF(Source!BC277&lt;&gt; 0, Source!BC277, 1)</f>
        <v>9.84</v>
      </c>
      <c r="K428" s="52">
        <f>Source!P277</f>
        <v>448.7</v>
      </c>
      <c r="Q428">
        <f>Source!X276</f>
        <v>0</v>
      </c>
      <c r="R428">
        <f>Source!X277</f>
        <v>0</v>
      </c>
      <c r="S428">
        <f>Source!Y276</f>
        <v>0</v>
      </c>
      <c r="T428">
        <f>Source!Y277</f>
        <v>0</v>
      </c>
      <c r="U428">
        <f>ROUND((175/100)*ROUND(Source!R276, 2), 2)</f>
        <v>0</v>
      </c>
      <c r="V428">
        <f>ROUND((0/100)*ROUND(Source!R277, 2), 2)</f>
        <v>0</v>
      </c>
      <c r="AC428">
        <v>3</v>
      </c>
    </row>
    <row r="429" spans="1:29" ht="14" x14ac:dyDescent="0.25">
      <c r="C429" s="54" t="s">
        <v>660</v>
      </c>
      <c r="H429" s="55">
        <f>I428+0</f>
        <v>45.6</v>
      </c>
      <c r="I429" s="55"/>
      <c r="J429" s="55">
        <f>K428+0</f>
        <v>448.7</v>
      </c>
      <c r="K429" s="55"/>
      <c r="O429" s="58">
        <f>I428+0</f>
        <v>45.6</v>
      </c>
      <c r="P429" s="58">
        <f>K428+0</f>
        <v>448.7</v>
      </c>
    </row>
    <row r="431" spans="1:29" ht="58" x14ac:dyDescent="0.25">
      <c r="A431" s="43">
        <v>52</v>
      </c>
      <c r="B431" s="43" t="str">
        <f>Source!F278</f>
        <v>4.8-86-2</v>
      </c>
      <c r="C431" s="43" t="s">
        <v>311</v>
      </c>
      <c r="D431" s="45" t="str">
        <f>Source!H278</f>
        <v>100 М УЛОЖЕННОГО КАБЕЛЯ</v>
      </c>
      <c r="E431" s="44">
        <f>Source!I278</f>
        <v>4.8499999999999996</v>
      </c>
      <c r="F431" s="47"/>
      <c r="G431" s="46"/>
      <c r="H431" s="44"/>
      <c r="I431" s="47"/>
      <c r="J431" s="44"/>
      <c r="K431" s="47"/>
      <c r="Q431">
        <f>Source!X278</f>
        <v>91.73</v>
      </c>
      <c r="R431">
        <f>Source!X279</f>
        <v>5169.1499999999996</v>
      </c>
      <c r="S431">
        <f>Source!Y278</f>
        <v>48.23</v>
      </c>
      <c r="T431">
        <f>Source!Y279</f>
        <v>2717.8</v>
      </c>
      <c r="U431">
        <f>ROUND((175/100)*ROUND(Source!R278, 2), 2)</f>
        <v>0</v>
      </c>
      <c r="V431">
        <f>ROUND((0/100)*ROUND(Source!R279, 2), 2)</f>
        <v>0</v>
      </c>
      <c r="AC431">
        <v>0</v>
      </c>
    </row>
    <row r="432" spans="1:29" x14ac:dyDescent="0.25">
      <c r="C432" s="60" t="str">
        <f>"Объем: "&amp;Source!I278&amp;"=(50+"&amp;"50+"&amp;"50+"&amp;"300+"&amp;"20+"&amp;"15)/"&amp;"100"</f>
        <v>Объем: 4,85=(50+50+50+300+20+15)/100</v>
      </c>
    </row>
    <row r="433" spans="1:29" ht="14.5" x14ac:dyDescent="0.25">
      <c r="A433" s="43"/>
      <c r="B433" s="43"/>
      <c r="C433" s="43" t="s">
        <v>651</v>
      </c>
      <c r="D433" s="45"/>
      <c r="E433" s="44"/>
      <c r="F433" s="47">
        <f>Source!AO278</f>
        <v>15.52</v>
      </c>
      <c r="G433" s="48" t="s">
        <v>152</v>
      </c>
      <c r="H433" s="44">
        <f>Source!AV279</f>
        <v>1.0469999999999999</v>
      </c>
      <c r="I433" s="47">
        <f>Source!S278</f>
        <v>94.57</v>
      </c>
      <c r="J433" s="44">
        <f>IF(Source!BA279&lt;&gt; 0, Source!BA279, 1)</f>
        <v>56.35</v>
      </c>
      <c r="K433" s="47">
        <f>Source!S279</f>
        <v>5329.02</v>
      </c>
    </row>
    <row r="434" spans="1:29" ht="14.5" x14ac:dyDescent="0.25">
      <c r="A434" s="43"/>
      <c r="B434" s="43"/>
      <c r="C434" s="43" t="s">
        <v>665</v>
      </c>
      <c r="D434" s="45"/>
      <c r="E434" s="44"/>
      <c r="F434" s="47">
        <f>Source!AL278</f>
        <v>0.56999999999999995</v>
      </c>
      <c r="G434" s="48" t="s">
        <v>3</v>
      </c>
      <c r="H434" s="44">
        <f>Source!AW279</f>
        <v>1</v>
      </c>
      <c r="I434" s="47">
        <f>Source!P278</f>
        <v>2.76</v>
      </c>
      <c r="J434" s="44">
        <f>IF(Source!BC279&lt;&gt; 0, Source!BC279, 1)</f>
        <v>18.190000000000001</v>
      </c>
      <c r="K434" s="47">
        <f>Source!P279</f>
        <v>50.2</v>
      </c>
    </row>
    <row r="435" spans="1:29" ht="14.5" x14ac:dyDescent="0.25">
      <c r="A435" s="43"/>
      <c r="B435" s="43"/>
      <c r="C435" s="43" t="s">
        <v>653</v>
      </c>
      <c r="D435" s="45" t="s">
        <v>654</v>
      </c>
      <c r="E435" s="44">
        <f>Source!BZ279</f>
        <v>97</v>
      </c>
      <c r="F435" s="47"/>
      <c r="G435" s="46"/>
      <c r="H435" s="44"/>
      <c r="I435" s="47">
        <f>SUM(Q431:Q434)</f>
        <v>91.73</v>
      </c>
      <c r="J435" s="44">
        <f>Source!AT279</f>
        <v>97</v>
      </c>
      <c r="K435" s="47">
        <f>SUM(R431:R434)</f>
        <v>5169.1499999999996</v>
      </c>
    </row>
    <row r="436" spans="1:29" ht="14.5" x14ac:dyDescent="0.25">
      <c r="A436" s="43"/>
      <c r="B436" s="43"/>
      <c r="C436" s="43" t="s">
        <v>655</v>
      </c>
      <c r="D436" s="45" t="s">
        <v>654</v>
      </c>
      <c r="E436" s="44">
        <f>Source!CA279</f>
        <v>51</v>
      </c>
      <c r="F436" s="47"/>
      <c r="G436" s="46"/>
      <c r="H436" s="44"/>
      <c r="I436" s="47">
        <f>SUM(S431:S435)</f>
        <v>48.23</v>
      </c>
      <c r="J436" s="44">
        <f>Source!AU279</f>
        <v>51</v>
      </c>
      <c r="K436" s="47">
        <f>SUM(T431:T435)</f>
        <v>2717.8</v>
      </c>
    </row>
    <row r="437" spans="1:29" ht="14.5" x14ac:dyDescent="0.25">
      <c r="A437" s="49"/>
      <c r="B437" s="49"/>
      <c r="C437" s="49" t="s">
        <v>656</v>
      </c>
      <c r="D437" s="50" t="s">
        <v>657</v>
      </c>
      <c r="E437" s="51">
        <f>Source!AQ278</f>
        <v>1.26</v>
      </c>
      <c r="F437" s="52"/>
      <c r="G437" s="53" t="s">
        <v>152</v>
      </c>
      <c r="H437" s="51">
        <f>Source!AV279</f>
        <v>1.0469999999999999</v>
      </c>
      <c r="I437" s="52">
        <f>Source!U278</f>
        <v>7.6778603999999984</v>
      </c>
      <c r="J437" s="51"/>
      <c r="K437" s="52"/>
    </row>
    <row r="438" spans="1:29" ht="14" x14ac:dyDescent="0.25">
      <c r="C438" s="54" t="s">
        <v>658</v>
      </c>
      <c r="H438" s="55">
        <f>I433+I434+I435+I436+0-0-0</f>
        <v>237.29</v>
      </c>
      <c r="I438" s="55"/>
      <c r="J438" s="55">
        <f>K433+K434+K435+K436+0-0-0</f>
        <v>13266.169999999998</v>
      </c>
      <c r="K438" s="55"/>
    </row>
    <row r="439" spans="1:29" ht="14" hidden="1" x14ac:dyDescent="0.25">
      <c r="C439" s="54" t="s">
        <v>659</v>
      </c>
      <c r="H439" s="57">
        <f>0+0</f>
        <v>0</v>
      </c>
      <c r="I439" s="57"/>
      <c r="J439" s="57">
        <f>0+0</f>
        <v>0</v>
      </c>
      <c r="K439" s="57"/>
    </row>
    <row r="440" spans="1:29" ht="14" x14ac:dyDescent="0.25">
      <c r="C440" s="54" t="s">
        <v>660</v>
      </c>
      <c r="H440" s="57">
        <f>I433+I434+I435+I436+0</f>
        <v>237.29</v>
      </c>
      <c r="I440" s="57"/>
      <c r="J440" s="57">
        <f>K433+K434+K435+K436+0</f>
        <v>13266.169999999998</v>
      </c>
      <c r="K440" s="57"/>
      <c r="O440" s="58">
        <f>I433+I434+I435+I436+0</f>
        <v>237.29</v>
      </c>
      <c r="P440" s="58">
        <f>K433+K434+K435+K436+0</f>
        <v>13266.169999999998</v>
      </c>
    </row>
    <row r="442" spans="1:29" ht="168" x14ac:dyDescent="0.25">
      <c r="A442" s="49">
        <v>53</v>
      </c>
      <c r="B442" s="49" t="str">
        <f>Source!F280</f>
        <v>1.1-1-3828</v>
      </c>
      <c r="C442" s="49" t="s">
        <v>620</v>
      </c>
      <c r="D442" s="50" t="str">
        <f>Source!H280</f>
        <v>кг</v>
      </c>
      <c r="E442" s="51">
        <f>Source!I280</f>
        <v>0.74</v>
      </c>
      <c r="F442" s="52">
        <f>Source!AL280</f>
        <v>173.23</v>
      </c>
      <c r="G442" s="53" t="s">
        <v>3</v>
      </c>
      <c r="H442" s="51">
        <f>Source!AW281</f>
        <v>1</v>
      </c>
      <c r="I442" s="52">
        <f>Source!P280</f>
        <v>128.19</v>
      </c>
      <c r="J442" s="51">
        <f>IF(Source!BC281&lt;&gt; 0, Source!BC281, 1)</f>
        <v>7.68</v>
      </c>
      <c r="K442" s="52">
        <f>Source!P281</f>
        <v>984.5</v>
      </c>
      <c r="Q442">
        <f>Source!X280</f>
        <v>0</v>
      </c>
      <c r="R442">
        <f>Source!X281</f>
        <v>0</v>
      </c>
      <c r="S442">
        <f>Source!Y280</f>
        <v>0</v>
      </c>
      <c r="T442">
        <f>Source!Y281</f>
        <v>0</v>
      </c>
      <c r="U442">
        <f>ROUND((175/100)*ROUND(Source!R280, 2), 2)</f>
        <v>0</v>
      </c>
      <c r="V442">
        <f>ROUND((0/100)*ROUND(Source!R281, 2), 2)</f>
        <v>0</v>
      </c>
      <c r="AC442">
        <v>3</v>
      </c>
    </row>
    <row r="443" spans="1:29" ht="14" x14ac:dyDescent="0.25">
      <c r="C443" s="54" t="s">
        <v>660</v>
      </c>
      <c r="H443" s="55">
        <f>I442+0</f>
        <v>128.19</v>
      </c>
      <c r="I443" s="55"/>
      <c r="J443" s="55">
        <f>K442+0</f>
        <v>984.5</v>
      </c>
      <c r="K443" s="55"/>
      <c r="O443" s="58">
        <f>I442+0</f>
        <v>128.19</v>
      </c>
      <c r="P443" s="58">
        <f>K442+0</f>
        <v>984.5</v>
      </c>
    </row>
    <row r="446" spans="1:29" ht="14" x14ac:dyDescent="0.3">
      <c r="A446" s="61" t="str">
        <f>CONCATENATE("Итого по разделу: ",IF(Source!G283&lt;&gt;"Новый раздел", Source!G283, ""))</f>
        <v>Итого по разделу: Кабели и провода</v>
      </c>
      <c r="B446" s="61"/>
      <c r="C446" s="61"/>
      <c r="D446" s="61"/>
      <c r="E446" s="61"/>
      <c r="F446" s="61"/>
      <c r="G446" s="61"/>
      <c r="H446" s="57">
        <f>SUM(O362:O445)</f>
        <v>59579.17</v>
      </c>
      <c r="I446" s="56"/>
      <c r="J446" s="57">
        <f>SUM(P362:P445)</f>
        <v>470767.3</v>
      </c>
      <c r="K446" s="56"/>
    </row>
    <row r="447" spans="1:29" hidden="1" x14ac:dyDescent="0.25">
      <c r="A447" t="s">
        <v>663</v>
      </c>
      <c r="I447">
        <f>SUM(W362:W446)</f>
        <v>0</v>
      </c>
      <c r="J447">
        <f>SUM(X362:X446)</f>
        <v>0</v>
      </c>
    </row>
    <row r="448" spans="1:29" hidden="1" x14ac:dyDescent="0.25">
      <c r="A448" t="s">
        <v>664</v>
      </c>
      <c r="I448">
        <f>SUM(Y362:Y447)</f>
        <v>0</v>
      </c>
      <c r="J448">
        <f>SUM(Z362:Z447)</f>
        <v>0</v>
      </c>
    </row>
    <row r="450" spans="1:11" ht="14" x14ac:dyDescent="0.3">
      <c r="A450" s="61" t="str">
        <f>CONCATENATE("Итого по локальной смете: ",IF(Source!G313&lt;&gt;"Новая локальная смета", Source!G313, ""))</f>
        <v>Итого по локальной смете: Радиотрансляционная сеть</v>
      </c>
      <c r="B450" s="61"/>
      <c r="C450" s="61"/>
      <c r="D450" s="61"/>
      <c r="E450" s="61"/>
      <c r="F450" s="61"/>
      <c r="G450" s="61"/>
      <c r="H450" s="57">
        <f>SUM(O36:O449)</f>
        <v>243205.76000000001</v>
      </c>
      <c r="I450" s="56"/>
      <c r="J450" s="57">
        <f>SUM(P36:P449)</f>
        <v>2138835.9000000008</v>
      </c>
      <c r="K450" s="56"/>
    </row>
    <row r="451" spans="1:11" hidden="1" x14ac:dyDescent="0.25">
      <c r="A451" t="s">
        <v>663</v>
      </c>
      <c r="I451">
        <f>SUM(W36:W450)</f>
        <v>0</v>
      </c>
      <c r="J451">
        <f>SUM(X36:X450)</f>
        <v>0</v>
      </c>
    </row>
    <row r="452" spans="1:11" hidden="1" x14ac:dyDescent="0.25">
      <c r="A452" t="s">
        <v>664</v>
      </c>
      <c r="I452">
        <f>SUM(Y36:Y451)</f>
        <v>0</v>
      </c>
      <c r="J452">
        <f>SUM(Z36:Z451)</f>
        <v>0</v>
      </c>
    </row>
    <row r="454" spans="1:11" ht="14" hidden="1" x14ac:dyDescent="0.3">
      <c r="A454" s="61" t="str">
        <f>CONCATENATE("Итого по смете: ",IF(Source!G343&lt;&gt;"Новый объект", Source!G343, ""))</f>
        <v>Итого по смете: 02-01-11 РТС</v>
      </c>
      <c r="B454" s="61"/>
      <c r="C454" s="61"/>
      <c r="D454" s="61"/>
      <c r="E454" s="61"/>
      <c r="F454" s="61"/>
      <c r="G454" s="61"/>
      <c r="H454" s="57">
        <f>SUM(O1:O453)</f>
        <v>243205.76000000001</v>
      </c>
      <c r="I454" s="56"/>
      <c r="J454" s="57">
        <f>SUM(P1:P453)</f>
        <v>2138835.9000000008</v>
      </c>
      <c r="K454" s="56"/>
    </row>
    <row r="455" spans="1:11" hidden="1" x14ac:dyDescent="0.25">
      <c r="A455" t="s">
        <v>663</v>
      </c>
      <c r="I455">
        <f>SUM(W1:W454)</f>
        <v>0</v>
      </c>
      <c r="J455">
        <f>SUM(X1:X454)</f>
        <v>0</v>
      </c>
    </row>
    <row r="456" spans="1:11" hidden="1" x14ac:dyDescent="0.25">
      <c r="A456" t="s">
        <v>664</v>
      </c>
      <c r="I456">
        <f>SUM(Y1:Y455)</f>
        <v>0</v>
      </c>
      <c r="J456">
        <f>SUM(Z1:Z455)</f>
        <v>0</v>
      </c>
    </row>
    <row r="459" spans="1:11" ht="14" x14ac:dyDescent="0.3">
      <c r="A459" s="74" t="s">
        <v>686</v>
      </c>
      <c r="B459" s="74"/>
      <c r="C459" s="75" t="str">
        <f>IF(Source!AC12&lt;&gt;"", Source!AC12," ")</f>
        <v xml:space="preserve"> </v>
      </c>
      <c r="D459" s="75"/>
      <c r="E459" s="75"/>
      <c r="F459" s="75"/>
      <c r="G459" s="75"/>
      <c r="H459" s="20" t="str">
        <f>IF(Source!AB12&lt;&gt;"", Source!AB12," ")</f>
        <v xml:space="preserve"> </v>
      </c>
      <c r="I459" s="20"/>
      <c r="J459" s="20"/>
      <c r="K459" s="20"/>
    </row>
    <row r="460" spans="1:11" ht="14" x14ac:dyDescent="0.3">
      <c r="A460" s="17"/>
      <c r="B460" s="17"/>
      <c r="C460" s="26" t="s">
        <v>687</v>
      </c>
      <c r="D460" s="26"/>
      <c r="E460" s="26"/>
      <c r="F460" s="26"/>
      <c r="G460" s="26"/>
      <c r="H460" s="17"/>
      <c r="I460" s="17"/>
      <c r="J460" s="17"/>
      <c r="K460" s="17"/>
    </row>
    <row r="461" spans="1:11" ht="1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</row>
    <row r="462" spans="1:11" ht="14" x14ac:dyDescent="0.3">
      <c r="A462" s="74" t="s">
        <v>688</v>
      </c>
      <c r="B462" s="74"/>
      <c r="C462" s="75" t="str">
        <f>IF(Source!AE12&lt;&gt;"", Source!AE12," ")</f>
        <v xml:space="preserve"> </v>
      </c>
      <c r="D462" s="75"/>
      <c r="E462" s="75"/>
      <c r="F462" s="75"/>
      <c r="G462" s="75"/>
      <c r="H462" s="20" t="str">
        <f>IF(Source!AD12&lt;&gt;"", Source!AD12," ")</f>
        <v xml:space="preserve"> </v>
      </c>
      <c r="I462" s="20"/>
      <c r="J462" s="20"/>
      <c r="K462" s="20"/>
    </row>
    <row r="463" spans="1:11" ht="14" x14ac:dyDescent="0.3">
      <c r="A463" s="17"/>
      <c r="B463" s="17"/>
      <c r="C463" s="26" t="s">
        <v>687</v>
      </c>
      <c r="D463" s="26"/>
      <c r="E463" s="26"/>
      <c r="F463" s="26"/>
      <c r="G463" s="26"/>
      <c r="H463" s="17"/>
      <c r="I463" s="17"/>
      <c r="J463" s="17"/>
      <c r="K463" s="17"/>
    </row>
  </sheetData>
  <mergeCells count="280">
    <mergeCell ref="A462:B462"/>
    <mergeCell ref="H462:K462"/>
    <mergeCell ref="C463:G463"/>
    <mergeCell ref="J454:K454"/>
    <mergeCell ref="H454:I454"/>
    <mergeCell ref="A454:G454"/>
    <mergeCell ref="A459:B459"/>
    <mergeCell ref="H459:K459"/>
    <mergeCell ref="C460:G460"/>
    <mergeCell ref="J446:K446"/>
    <mergeCell ref="H446:I446"/>
    <mergeCell ref="A446:G446"/>
    <mergeCell ref="J450:K450"/>
    <mergeCell ref="H450:I450"/>
    <mergeCell ref="A450:G450"/>
    <mergeCell ref="H439:I439"/>
    <mergeCell ref="J439:K439"/>
    <mergeCell ref="H440:I440"/>
    <mergeCell ref="J440:K440"/>
    <mergeCell ref="H443:I443"/>
    <mergeCell ref="J443:K443"/>
    <mergeCell ref="H426:I426"/>
    <mergeCell ref="J426:K426"/>
    <mergeCell ref="H429:I429"/>
    <mergeCell ref="J429:K429"/>
    <mergeCell ref="H438:I438"/>
    <mergeCell ref="J438:K438"/>
    <mergeCell ref="H416:I416"/>
    <mergeCell ref="J416:K416"/>
    <mergeCell ref="H424:I424"/>
    <mergeCell ref="J424:K424"/>
    <mergeCell ref="H425:I425"/>
    <mergeCell ref="J425:K425"/>
    <mergeCell ref="H404:I404"/>
    <mergeCell ref="J404:K404"/>
    <mergeCell ref="H408:I408"/>
    <mergeCell ref="J408:K408"/>
    <mergeCell ref="H412:I412"/>
    <mergeCell ref="J412:K412"/>
    <mergeCell ref="H390:I390"/>
    <mergeCell ref="J390:K390"/>
    <mergeCell ref="H402:I402"/>
    <mergeCell ref="J402:K402"/>
    <mergeCell ref="H403:I403"/>
    <mergeCell ref="J403:K403"/>
    <mergeCell ref="H378:I378"/>
    <mergeCell ref="J378:K378"/>
    <mergeCell ref="H382:I382"/>
    <mergeCell ref="J382:K382"/>
    <mergeCell ref="H386:I386"/>
    <mergeCell ref="J386:K386"/>
    <mergeCell ref="H372:I372"/>
    <mergeCell ref="J372:K372"/>
    <mergeCell ref="H373:I373"/>
    <mergeCell ref="J373:K373"/>
    <mergeCell ref="H374:I374"/>
    <mergeCell ref="J374:K374"/>
    <mergeCell ref="H355:I355"/>
    <mergeCell ref="J355:K355"/>
    <mergeCell ref="J358:K358"/>
    <mergeCell ref="H358:I358"/>
    <mergeCell ref="A358:G358"/>
    <mergeCell ref="A362:K362"/>
    <mergeCell ref="H346:I346"/>
    <mergeCell ref="J346:K346"/>
    <mergeCell ref="H349:I349"/>
    <mergeCell ref="J349:K349"/>
    <mergeCell ref="H352:I352"/>
    <mergeCell ref="J352:K352"/>
    <mergeCell ref="A331:G331"/>
    <mergeCell ref="A335:K335"/>
    <mergeCell ref="H344:I344"/>
    <mergeCell ref="J344:K344"/>
    <mergeCell ref="H345:I345"/>
    <mergeCell ref="J345:K345"/>
    <mergeCell ref="H325:I325"/>
    <mergeCell ref="J325:K325"/>
    <mergeCell ref="H328:I328"/>
    <mergeCell ref="J328:K328"/>
    <mergeCell ref="J331:K331"/>
    <mergeCell ref="H331:I331"/>
    <mergeCell ref="H318:I318"/>
    <mergeCell ref="J318:K318"/>
    <mergeCell ref="H319:I319"/>
    <mergeCell ref="J319:K319"/>
    <mergeCell ref="H322:I322"/>
    <mergeCell ref="J322:K322"/>
    <mergeCell ref="H306:I306"/>
    <mergeCell ref="J306:K306"/>
    <mergeCell ref="H309:I309"/>
    <mergeCell ref="J309:K309"/>
    <mergeCell ref="H317:I317"/>
    <mergeCell ref="J317:K317"/>
    <mergeCell ref="H296:I296"/>
    <mergeCell ref="J296:K296"/>
    <mergeCell ref="H304:I304"/>
    <mergeCell ref="J304:K304"/>
    <mergeCell ref="H305:I305"/>
    <mergeCell ref="J305:K305"/>
    <mergeCell ref="H291:I291"/>
    <mergeCell ref="J291:K291"/>
    <mergeCell ref="H292:I292"/>
    <mergeCell ref="J292:K292"/>
    <mergeCell ref="H293:I293"/>
    <mergeCell ref="J293:K293"/>
    <mergeCell ref="H279:I279"/>
    <mergeCell ref="J279:K279"/>
    <mergeCell ref="H280:I280"/>
    <mergeCell ref="J280:K280"/>
    <mergeCell ref="H283:I283"/>
    <mergeCell ref="J283:K283"/>
    <mergeCell ref="J267:K267"/>
    <mergeCell ref="H267:I267"/>
    <mergeCell ref="A267:G267"/>
    <mergeCell ref="A271:K271"/>
    <mergeCell ref="H278:I278"/>
    <mergeCell ref="J278:K278"/>
    <mergeCell ref="H260:I260"/>
    <mergeCell ref="J260:K260"/>
    <mergeCell ref="H261:I261"/>
    <mergeCell ref="J261:K261"/>
    <mergeCell ref="H264:I264"/>
    <mergeCell ref="J264:K264"/>
    <mergeCell ref="H249:I249"/>
    <mergeCell ref="J249:K249"/>
    <mergeCell ref="H250:I250"/>
    <mergeCell ref="J250:K250"/>
    <mergeCell ref="H259:I259"/>
    <mergeCell ref="J259:K259"/>
    <mergeCell ref="H236:I236"/>
    <mergeCell ref="J236:K236"/>
    <mergeCell ref="H237:I237"/>
    <mergeCell ref="J237:K237"/>
    <mergeCell ref="H248:I248"/>
    <mergeCell ref="J248:K248"/>
    <mergeCell ref="H222:I222"/>
    <mergeCell ref="J222:K222"/>
    <mergeCell ref="H225:I225"/>
    <mergeCell ref="J225:K225"/>
    <mergeCell ref="H235:I235"/>
    <mergeCell ref="J235:K235"/>
    <mergeCell ref="H217:I217"/>
    <mergeCell ref="J217:K217"/>
    <mergeCell ref="H218:I218"/>
    <mergeCell ref="J218:K218"/>
    <mergeCell ref="H219:I219"/>
    <mergeCell ref="J219:K219"/>
    <mergeCell ref="H205:I205"/>
    <mergeCell ref="J205:K205"/>
    <mergeCell ref="H206:I206"/>
    <mergeCell ref="J206:K206"/>
    <mergeCell ref="H209:I209"/>
    <mergeCell ref="J209:K209"/>
    <mergeCell ref="H193:I193"/>
    <mergeCell ref="J193:K193"/>
    <mergeCell ref="H196:I196"/>
    <mergeCell ref="J196:K196"/>
    <mergeCell ref="H204:I204"/>
    <mergeCell ref="J204:K204"/>
    <mergeCell ref="H182:I182"/>
    <mergeCell ref="J182:K182"/>
    <mergeCell ref="H191:I191"/>
    <mergeCell ref="J191:K191"/>
    <mergeCell ref="H192:I192"/>
    <mergeCell ref="J192:K192"/>
    <mergeCell ref="H177:I177"/>
    <mergeCell ref="J177:K177"/>
    <mergeCell ref="H178:I178"/>
    <mergeCell ref="J178:K178"/>
    <mergeCell ref="H179:I179"/>
    <mergeCell ref="J179:K179"/>
    <mergeCell ref="H163:I163"/>
    <mergeCell ref="J163:K163"/>
    <mergeCell ref="J166:K166"/>
    <mergeCell ref="H166:I166"/>
    <mergeCell ref="A166:G166"/>
    <mergeCell ref="A170:K170"/>
    <mergeCell ref="H153:I153"/>
    <mergeCell ref="J153:K153"/>
    <mergeCell ref="H161:I161"/>
    <mergeCell ref="J161:K161"/>
    <mergeCell ref="H162:I162"/>
    <mergeCell ref="J162:K162"/>
    <mergeCell ref="H142:I142"/>
    <mergeCell ref="J142:K142"/>
    <mergeCell ref="H151:I151"/>
    <mergeCell ref="J151:K151"/>
    <mergeCell ref="H152:I152"/>
    <mergeCell ref="J152:K152"/>
    <mergeCell ref="H133:I133"/>
    <mergeCell ref="J133:K133"/>
    <mergeCell ref="H140:I140"/>
    <mergeCell ref="J140:K140"/>
    <mergeCell ref="H141:I141"/>
    <mergeCell ref="J141:K141"/>
    <mergeCell ref="H124:I124"/>
    <mergeCell ref="J124:K124"/>
    <mergeCell ref="H131:I131"/>
    <mergeCell ref="J131:K131"/>
    <mergeCell ref="H132:I132"/>
    <mergeCell ref="J132:K132"/>
    <mergeCell ref="H115:I115"/>
    <mergeCell ref="J115:K115"/>
    <mergeCell ref="H122:I122"/>
    <mergeCell ref="J122:K122"/>
    <mergeCell ref="H123:I123"/>
    <mergeCell ref="J123:K123"/>
    <mergeCell ref="H106:I106"/>
    <mergeCell ref="J106:K106"/>
    <mergeCell ref="H113:I113"/>
    <mergeCell ref="J113:K113"/>
    <mergeCell ref="H114:I114"/>
    <mergeCell ref="J114:K114"/>
    <mergeCell ref="H95:I95"/>
    <mergeCell ref="J95:K95"/>
    <mergeCell ref="H104:I104"/>
    <mergeCell ref="J104:K104"/>
    <mergeCell ref="H105:I105"/>
    <mergeCell ref="J105:K105"/>
    <mergeCell ref="H85:I85"/>
    <mergeCell ref="J85:K85"/>
    <mergeCell ref="H93:I93"/>
    <mergeCell ref="J93:K93"/>
    <mergeCell ref="H94:I94"/>
    <mergeCell ref="J94:K94"/>
    <mergeCell ref="H75:I75"/>
    <mergeCell ref="J75:K75"/>
    <mergeCell ref="H83:I83"/>
    <mergeCell ref="J83:K83"/>
    <mergeCell ref="H84:I84"/>
    <mergeCell ref="J84:K84"/>
    <mergeCell ref="H66:I66"/>
    <mergeCell ref="J66:K66"/>
    <mergeCell ref="H73:I73"/>
    <mergeCell ref="J73:K73"/>
    <mergeCell ref="H74:I74"/>
    <mergeCell ref="J74:K74"/>
    <mergeCell ref="H57:I57"/>
    <mergeCell ref="J57:K57"/>
    <mergeCell ref="H64:I64"/>
    <mergeCell ref="J64:K64"/>
    <mergeCell ref="H65:I65"/>
    <mergeCell ref="J65:K65"/>
    <mergeCell ref="H46:I46"/>
    <mergeCell ref="J46:K46"/>
    <mergeCell ref="H55:I55"/>
    <mergeCell ref="J55:K55"/>
    <mergeCell ref="H56:I56"/>
    <mergeCell ref="J56:K56"/>
    <mergeCell ref="A32:K32"/>
    <mergeCell ref="A36:K36"/>
    <mergeCell ref="A38:K38"/>
    <mergeCell ref="H44:I44"/>
    <mergeCell ref="J44:K44"/>
    <mergeCell ref="H45:I45"/>
    <mergeCell ref="J45:K45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74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90"/>
  <sheetViews>
    <sheetView workbookViewId="0">
      <selection activeCell="A386" sqref="A386:AX386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382</v>
      </c>
      <c r="C12" s="10">
        <v>0</v>
      </c>
      <c r="D12" s="10">
        <f>ROW(A343)</f>
        <v>343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B343</f>
        <v>382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02-01-11</v>
      </c>
      <c r="G18" s="11" t="str">
        <f t="shared" si="0"/>
        <v>02-01-11 РТС</v>
      </c>
      <c r="H18" s="11"/>
      <c r="I18" s="11"/>
      <c r="J18" s="11"/>
      <c r="K18" s="11"/>
      <c r="L18" s="11"/>
      <c r="M18" s="11"/>
      <c r="N18" s="11"/>
      <c r="O18" s="11">
        <f t="shared" ref="O18:AT18" si="1">O343</f>
        <v>236689.87</v>
      </c>
      <c r="P18" s="11">
        <f t="shared" si="1"/>
        <v>231819.9</v>
      </c>
      <c r="Q18" s="11">
        <f t="shared" si="1"/>
        <v>406.41</v>
      </c>
      <c r="R18" s="11">
        <f t="shared" si="1"/>
        <v>33.67</v>
      </c>
      <c r="S18" s="11">
        <f t="shared" si="1"/>
        <v>4463.5600000000004</v>
      </c>
      <c r="T18" s="11">
        <f t="shared" si="1"/>
        <v>0</v>
      </c>
      <c r="U18" s="11">
        <f t="shared" si="1"/>
        <v>366.44694004799999</v>
      </c>
      <c r="V18" s="11">
        <f t="shared" si="1"/>
        <v>0</v>
      </c>
      <c r="W18" s="11">
        <f t="shared" si="1"/>
        <v>0</v>
      </c>
      <c r="X18" s="11">
        <f t="shared" si="1"/>
        <v>4249.2</v>
      </c>
      <c r="Y18" s="11">
        <f t="shared" si="1"/>
        <v>2266.69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176745.57</v>
      </c>
      <c r="AQ18" s="11">
        <f t="shared" si="1"/>
        <v>0</v>
      </c>
      <c r="AR18" s="11">
        <f t="shared" si="1"/>
        <v>243205.76000000001</v>
      </c>
      <c r="AS18" s="11">
        <f t="shared" si="1"/>
        <v>1445.57</v>
      </c>
      <c r="AT18" s="11">
        <f t="shared" si="1"/>
        <v>65014.62</v>
      </c>
      <c r="AU18" s="11">
        <f t="shared" ref="AU18:BZ18" si="2">AU343</f>
        <v>0</v>
      </c>
      <c r="AV18" s="11">
        <f t="shared" si="2"/>
        <v>231819.9</v>
      </c>
      <c r="AW18" s="11">
        <f t="shared" si="2"/>
        <v>55074.33</v>
      </c>
      <c r="AX18" s="11">
        <f t="shared" si="2"/>
        <v>0</v>
      </c>
      <c r="AY18" s="11">
        <f t="shared" si="2"/>
        <v>55074.33</v>
      </c>
      <c r="AZ18" s="11">
        <f t="shared" si="2"/>
        <v>176745.57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CA343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DG343</f>
        <v>1771662.5</v>
      </c>
      <c r="DH18" s="12">
        <f t="shared" si="4"/>
        <v>1513954.35</v>
      </c>
      <c r="DI18" s="12">
        <f t="shared" si="4"/>
        <v>6186.53</v>
      </c>
      <c r="DJ18" s="12">
        <f t="shared" si="4"/>
        <v>1897.29</v>
      </c>
      <c r="DK18" s="12">
        <f t="shared" si="4"/>
        <v>251521.62</v>
      </c>
      <c r="DL18" s="12">
        <f t="shared" si="4"/>
        <v>0</v>
      </c>
      <c r="DM18" s="12">
        <f t="shared" si="4"/>
        <v>366.44694004799999</v>
      </c>
      <c r="DN18" s="12">
        <f t="shared" si="4"/>
        <v>0</v>
      </c>
      <c r="DO18" s="12">
        <f t="shared" si="4"/>
        <v>0</v>
      </c>
      <c r="DP18" s="12">
        <f t="shared" si="4"/>
        <v>239443.45</v>
      </c>
      <c r="DQ18" s="12">
        <f t="shared" si="4"/>
        <v>127729.95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1342269.47</v>
      </c>
      <c r="EI18" s="12">
        <f t="shared" si="4"/>
        <v>0</v>
      </c>
      <c r="EJ18" s="12">
        <f t="shared" si="4"/>
        <v>2138835.9</v>
      </c>
      <c r="EK18" s="12">
        <f t="shared" si="4"/>
        <v>81457.759999999995</v>
      </c>
      <c r="EL18" s="12">
        <f t="shared" si="4"/>
        <v>715108.67</v>
      </c>
      <c r="EM18" s="12">
        <f t="shared" ref="EM18:FR18" si="5">EM343</f>
        <v>0</v>
      </c>
      <c r="EN18" s="12">
        <f t="shared" si="5"/>
        <v>1513954.35</v>
      </c>
      <c r="EO18" s="12">
        <f t="shared" si="5"/>
        <v>171684.88</v>
      </c>
      <c r="EP18" s="12">
        <f t="shared" si="5"/>
        <v>0</v>
      </c>
      <c r="EQ18" s="12">
        <f t="shared" si="5"/>
        <v>171684.88</v>
      </c>
      <c r="ER18" s="12">
        <f t="shared" si="5"/>
        <v>1342269.47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FS343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ROW(A313)</f>
        <v>313</v>
      </c>
      <c r="E20" s="10"/>
      <c r="F20" s="10" t="s">
        <v>5</v>
      </c>
      <c r="G20" s="10" t="s">
        <v>16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B313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02-01-11</v>
      </c>
      <c r="G22" s="11" t="str">
        <f t="shared" si="7"/>
        <v>Радиотрансляционная сеть</v>
      </c>
      <c r="H22" s="11"/>
      <c r="I22" s="11"/>
      <c r="J22" s="11"/>
      <c r="K22" s="11"/>
      <c r="L22" s="11"/>
      <c r="M22" s="11"/>
      <c r="N22" s="11"/>
      <c r="O22" s="11">
        <f t="shared" ref="O22:AT22" si="8">O313</f>
        <v>236689.87</v>
      </c>
      <c r="P22" s="11">
        <f t="shared" si="8"/>
        <v>231819.9</v>
      </c>
      <c r="Q22" s="11">
        <f t="shared" si="8"/>
        <v>406.41</v>
      </c>
      <c r="R22" s="11">
        <f t="shared" si="8"/>
        <v>33.67</v>
      </c>
      <c r="S22" s="11">
        <f t="shared" si="8"/>
        <v>4463.5600000000004</v>
      </c>
      <c r="T22" s="11">
        <f t="shared" si="8"/>
        <v>0</v>
      </c>
      <c r="U22" s="11">
        <f t="shared" si="8"/>
        <v>366.44694004799999</v>
      </c>
      <c r="V22" s="11">
        <f t="shared" si="8"/>
        <v>0</v>
      </c>
      <c r="W22" s="11">
        <f t="shared" si="8"/>
        <v>0</v>
      </c>
      <c r="X22" s="11">
        <f t="shared" si="8"/>
        <v>4249.2</v>
      </c>
      <c r="Y22" s="11">
        <f t="shared" si="8"/>
        <v>2266.69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176745.57</v>
      </c>
      <c r="AQ22" s="11">
        <f t="shared" si="8"/>
        <v>0</v>
      </c>
      <c r="AR22" s="11">
        <f t="shared" si="8"/>
        <v>243205.76000000001</v>
      </c>
      <c r="AS22" s="11">
        <f t="shared" si="8"/>
        <v>1445.57</v>
      </c>
      <c r="AT22" s="11">
        <f t="shared" si="8"/>
        <v>65014.62</v>
      </c>
      <c r="AU22" s="11">
        <f t="shared" ref="AU22:BZ22" si="9">AU313</f>
        <v>0</v>
      </c>
      <c r="AV22" s="11">
        <f t="shared" si="9"/>
        <v>231819.9</v>
      </c>
      <c r="AW22" s="11">
        <f t="shared" si="9"/>
        <v>55074.33</v>
      </c>
      <c r="AX22" s="11">
        <f t="shared" si="9"/>
        <v>0</v>
      </c>
      <c r="AY22" s="11">
        <f t="shared" si="9"/>
        <v>55074.33</v>
      </c>
      <c r="AZ22" s="11">
        <f t="shared" si="9"/>
        <v>176745.57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CA313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DG313</f>
        <v>1771662.5</v>
      </c>
      <c r="DH22" s="12">
        <f t="shared" si="11"/>
        <v>1513954.35</v>
      </c>
      <c r="DI22" s="12">
        <f t="shared" si="11"/>
        <v>6186.53</v>
      </c>
      <c r="DJ22" s="12">
        <f t="shared" si="11"/>
        <v>1897.29</v>
      </c>
      <c r="DK22" s="12">
        <f t="shared" si="11"/>
        <v>251521.62</v>
      </c>
      <c r="DL22" s="12">
        <f t="shared" si="11"/>
        <v>0</v>
      </c>
      <c r="DM22" s="12">
        <f t="shared" si="11"/>
        <v>366.44694004799999</v>
      </c>
      <c r="DN22" s="12">
        <f t="shared" si="11"/>
        <v>0</v>
      </c>
      <c r="DO22" s="12">
        <f t="shared" si="11"/>
        <v>0</v>
      </c>
      <c r="DP22" s="12">
        <f t="shared" si="11"/>
        <v>239443.45</v>
      </c>
      <c r="DQ22" s="12">
        <f t="shared" si="11"/>
        <v>127729.95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1342269.47</v>
      </c>
      <c r="EI22" s="12">
        <f t="shared" si="11"/>
        <v>0</v>
      </c>
      <c r="EJ22" s="12">
        <f t="shared" si="11"/>
        <v>2138835.9</v>
      </c>
      <c r="EK22" s="12">
        <f t="shared" si="11"/>
        <v>81457.759999999995</v>
      </c>
      <c r="EL22" s="12">
        <f t="shared" si="11"/>
        <v>715108.67</v>
      </c>
      <c r="EM22" s="12">
        <f t="shared" ref="EM22:FR22" si="12">EM313</f>
        <v>0</v>
      </c>
      <c r="EN22" s="12">
        <f t="shared" si="12"/>
        <v>1513954.35</v>
      </c>
      <c r="EO22" s="12">
        <f t="shared" si="12"/>
        <v>171684.88</v>
      </c>
      <c r="EP22" s="12">
        <f t="shared" si="12"/>
        <v>0</v>
      </c>
      <c r="EQ22" s="12">
        <f t="shared" si="12"/>
        <v>171684.88</v>
      </c>
      <c r="ER22" s="12">
        <f t="shared" si="12"/>
        <v>1342269.47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FS313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ROW(A55)</f>
        <v>55</v>
      </c>
      <c r="E24" s="10"/>
      <c r="F24" s="10" t="s">
        <v>17</v>
      </c>
      <c r="G24" s="10" t="s">
        <v>18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B55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</v>
      </c>
      <c r="H26" s="11"/>
      <c r="I26" s="11"/>
      <c r="J26" s="11"/>
      <c r="K26" s="11"/>
      <c r="L26" s="11"/>
      <c r="M26" s="11"/>
      <c r="N26" s="11"/>
      <c r="O26" s="11">
        <f t="shared" ref="O26:AT26" si="15">O55</f>
        <v>1019.76</v>
      </c>
      <c r="P26" s="11">
        <f t="shared" si="15"/>
        <v>0</v>
      </c>
      <c r="Q26" s="11">
        <f t="shared" si="15"/>
        <v>33.549999999999997</v>
      </c>
      <c r="R26" s="11">
        <f t="shared" si="15"/>
        <v>4.95</v>
      </c>
      <c r="S26" s="11">
        <f t="shared" si="15"/>
        <v>986.21</v>
      </c>
      <c r="T26" s="11">
        <f t="shared" si="15"/>
        <v>0</v>
      </c>
      <c r="U26" s="11">
        <f t="shared" si="15"/>
        <v>88.46239852799998</v>
      </c>
      <c r="V26" s="11">
        <f t="shared" si="15"/>
        <v>0</v>
      </c>
      <c r="W26" s="11">
        <f t="shared" si="15"/>
        <v>0</v>
      </c>
      <c r="X26" s="11">
        <f t="shared" si="15"/>
        <v>913.63</v>
      </c>
      <c r="Y26" s="11">
        <f t="shared" si="15"/>
        <v>489.76</v>
      </c>
      <c r="Z26" s="11">
        <f t="shared" si="15"/>
        <v>0</v>
      </c>
      <c r="AA26" s="11">
        <f t="shared" si="15"/>
        <v>0</v>
      </c>
      <c r="AB26" s="11">
        <f t="shared" si="15"/>
        <v>1019.76</v>
      </c>
      <c r="AC26" s="11">
        <f t="shared" si="15"/>
        <v>0</v>
      </c>
      <c r="AD26" s="11">
        <f t="shared" si="15"/>
        <v>33.549999999999997</v>
      </c>
      <c r="AE26" s="11">
        <f t="shared" si="15"/>
        <v>4.95</v>
      </c>
      <c r="AF26" s="11">
        <f t="shared" si="15"/>
        <v>986.21</v>
      </c>
      <c r="AG26" s="11">
        <f t="shared" si="15"/>
        <v>0</v>
      </c>
      <c r="AH26" s="11">
        <f t="shared" si="15"/>
        <v>88.46239852799998</v>
      </c>
      <c r="AI26" s="11">
        <f t="shared" si="15"/>
        <v>0</v>
      </c>
      <c r="AJ26" s="11">
        <f t="shared" si="15"/>
        <v>0</v>
      </c>
      <c r="AK26" s="11">
        <f t="shared" si="15"/>
        <v>913.63</v>
      </c>
      <c r="AL26" s="11">
        <f t="shared" si="15"/>
        <v>489.76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2423.15</v>
      </c>
      <c r="AS26" s="11">
        <f t="shared" si="15"/>
        <v>1445.57</v>
      </c>
      <c r="AT26" s="11">
        <f t="shared" si="15"/>
        <v>977.58</v>
      </c>
      <c r="AU26" s="11">
        <f t="shared" ref="AU26:BZ26" si="16">AU55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CA55</f>
        <v>2423.15</v>
      </c>
      <c r="CB26" s="11">
        <f t="shared" si="17"/>
        <v>1445.57</v>
      </c>
      <c r="CC26" s="11">
        <f t="shared" si="17"/>
        <v>977.58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DG55</f>
        <v>56142.080000000002</v>
      </c>
      <c r="DH26" s="12">
        <f t="shared" si="18"/>
        <v>0</v>
      </c>
      <c r="DI26" s="12">
        <f t="shared" si="18"/>
        <v>569.14</v>
      </c>
      <c r="DJ26" s="12">
        <f t="shared" si="18"/>
        <v>278.93</v>
      </c>
      <c r="DK26" s="12">
        <f t="shared" si="18"/>
        <v>55572.94</v>
      </c>
      <c r="DL26" s="12">
        <f t="shared" si="18"/>
        <v>0</v>
      </c>
      <c r="DM26" s="12">
        <f t="shared" si="18"/>
        <v>88.46239852799998</v>
      </c>
      <c r="DN26" s="12">
        <f t="shared" si="18"/>
        <v>0</v>
      </c>
      <c r="DO26" s="12">
        <f t="shared" si="18"/>
        <v>0</v>
      </c>
      <c r="DP26" s="12">
        <f t="shared" si="18"/>
        <v>51482.58</v>
      </c>
      <c r="DQ26" s="12">
        <f t="shared" si="18"/>
        <v>27598.59</v>
      </c>
      <c r="DR26" s="12">
        <f t="shared" si="18"/>
        <v>0</v>
      </c>
      <c r="DS26" s="12">
        <f t="shared" si="18"/>
        <v>0</v>
      </c>
      <c r="DT26" s="12">
        <f t="shared" si="18"/>
        <v>56142.080000000002</v>
      </c>
      <c r="DU26" s="12">
        <f t="shared" si="18"/>
        <v>0</v>
      </c>
      <c r="DV26" s="12">
        <f t="shared" si="18"/>
        <v>569.14</v>
      </c>
      <c r="DW26" s="12">
        <f t="shared" si="18"/>
        <v>278.93</v>
      </c>
      <c r="DX26" s="12">
        <f t="shared" si="18"/>
        <v>55572.94</v>
      </c>
      <c r="DY26" s="12">
        <f t="shared" si="18"/>
        <v>0</v>
      </c>
      <c r="DZ26" s="12">
        <f t="shared" si="18"/>
        <v>88.46239852799998</v>
      </c>
      <c r="EA26" s="12">
        <f t="shared" si="18"/>
        <v>0</v>
      </c>
      <c r="EB26" s="12">
        <f t="shared" si="18"/>
        <v>0</v>
      </c>
      <c r="EC26" s="12">
        <f t="shared" si="18"/>
        <v>51482.58</v>
      </c>
      <c r="ED26" s="12">
        <f t="shared" si="18"/>
        <v>27598.59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135223.25</v>
      </c>
      <c r="EK26" s="12">
        <f t="shared" si="18"/>
        <v>81457.759999999995</v>
      </c>
      <c r="EL26" s="12">
        <f t="shared" si="18"/>
        <v>53765.49</v>
      </c>
      <c r="EM26" s="12">
        <f t="shared" ref="EM26:FR26" si="19">EM55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FS55</f>
        <v>135223.25</v>
      </c>
      <c r="FT26" s="12">
        <f t="shared" si="20"/>
        <v>81457.759999999995</v>
      </c>
      <c r="FU26" s="12">
        <f t="shared" si="20"/>
        <v>53765.49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ROW(SmtRes!A11)</f>
        <v>11</v>
      </c>
      <c r="D28" s="2">
        <f>ROW(EtalonRes!A12)</f>
        <v>12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53" si="21">ROUND(CP28,2)</f>
        <v>47.57</v>
      </c>
      <c r="P28" s="2">
        <f t="shared" ref="P28:P53" si="22">ROUND((ROUND((AC28*AW28*I28),2)*BC28),2)</f>
        <v>0</v>
      </c>
      <c r="Q28" s="2">
        <f t="shared" ref="Q28:Q37" si="23">(ROUND((ROUND(((((ET28*1.2)*0.3))*AV28*I28),2)*BB28),2)+ROUND((ROUND(((AE28-(((EU28*1.2)*0.3)))*AV28*I28),2)*BS28),2))</f>
        <v>0</v>
      </c>
      <c r="R28" s="2">
        <f t="shared" ref="R28:R37" si="24">(ROUND((ROUND(((((EU28*1.2)*0.3))*AV28*I28),2)*BS28),2)+ROUND((ROUND(((AE28-(((EU28*1.2)*0.3)))*AV28*I28),2)*BS28),2))</f>
        <v>0</v>
      </c>
      <c r="S28" s="2">
        <f t="shared" ref="S28:S53" si="25">ROUND((ROUND((AF28*AV28*I28),2)*BA28),2)</f>
        <v>47.57</v>
      </c>
      <c r="T28" s="2">
        <f t="shared" ref="T28:T53" si="26">ROUND(CU28*I28,2)</f>
        <v>0</v>
      </c>
      <c r="U28" s="2">
        <f t="shared" ref="U28:U53" si="27">CV28*I28</f>
        <v>3.7691999999999992</v>
      </c>
      <c r="V28" s="2">
        <f t="shared" ref="V28:V53" si="28">CW28*I28</f>
        <v>0</v>
      </c>
      <c r="W28" s="2">
        <f t="shared" ref="W28:W53" si="29">ROUND(CX28*I28,2)</f>
        <v>0</v>
      </c>
      <c r="X28" s="2">
        <f t="shared" ref="X28:X37" si="30">(ROUND((((S28+ROUND((ROUND(((((EU28*1.2)*0.3))*AV28*I28),2)*BS28),2))*AT28)/100),2)+ROUND(((ROUND((ROUND(((AE28-(((EU28*1.2)*0.3)))*AV28*I28),2)*BS28),2)*AT28)/100),2))</f>
        <v>45.19</v>
      </c>
      <c r="Y28" s="2">
        <f t="shared" ref="Y28:Y37" si="31">(ROUND((((S28+ROUND((ROUND(((((EU28*1.2)*0.3))*AV28*I28),2)*BS28),2))*AU28)/100),2)+ROUND(((ROUND((ROUND(((AE28-(((EU28*1.2)*0.3)))*AV28*I28),2)*BS28),2)*AU28)/100),2))</f>
        <v>25.21</v>
      </c>
      <c r="Z28" s="2"/>
      <c r="AA28" s="2">
        <v>55917797</v>
      </c>
      <c r="AB28" s="2">
        <f t="shared" ref="AB28:AB53" si="32">ROUND((AC28+AD28+AF28),6)</f>
        <v>45.432000000000002</v>
      </c>
      <c r="AC28" s="2">
        <f t="shared" ref="AC28:AC37" si="33">ROUND((((ES28*1)*0)),6)</f>
        <v>0</v>
      </c>
      <c r="AD28" s="2">
        <f t="shared" ref="AD28:AD37" si="34">ROUND((((((ET28*1.2)*0.3))-(((EU28*1.2)*0.3)))+AE28),6)</f>
        <v>0</v>
      </c>
      <c r="AE28" s="2">
        <f t="shared" ref="AE28:AE37" si="35">ROUND((((EU28*1.2)*0.3)),6)</f>
        <v>0</v>
      </c>
      <c r="AF28" s="2">
        <f t="shared" ref="AF28:AF37" si="36">ROUND((((EV28*1.2)*0.3)),6)</f>
        <v>45.432000000000002</v>
      </c>
      <c r="AG28" s="2">
        <f t="shared" ref="AG28:AG53" si="37">ROUND((AP28),6)</f>
        <v>0</v>
      </c>
      <c r="AH28" s="2">
        <f t="shared" ref="AH28:AH37" si="38">(((EW28*1.2)*0.3))</f>
        <v>3.5999999999999996</v>
      </c>
      <c r="AI28" s="2">
        <f t="shared" ref="AI28:AI37" si="39">(((EX28*1.2)*0.3))</f>
        <v>0</v>
      </c>
      <c r="AJ28" s="2">
        <f t="shared" ref="AJ28:AJ53" si="40">(AS28)</f>
        <v>0</v>
      </c>
      <c r="AK28" s="2">
        <v>201.88</v>
      </c>
      <c r="AL28" s="2">
        <v>75.680000000000007</v>
      </c>
      <c r="AM28" s="2">
        <v>0</v>
      </c>
      <c r="AN28" s="2">
        <v>0</v>
      </c>
      <c r="AO28" s="2">
        <v>126.2</v>
      </c>
      <c r="AP28" s="2">
        <v>0</v>
      </c>
      <c r="AQ28" s="2">
        <v>10</v>
      </c>
      <c r="AR28" s="2">
        <v>0</v>
      </c>
      <c r="AS28" s="2">
        <v>0</v>
      </c>
      <c r="AT28" s="2">
        <v>95</v>
      </c>
      <c r="AU28" s="2">
        <v>53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69</v>
      </c>
      <c r="BN28" s="2">
        <v>0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95</v>
      </c>
      <c r="CA28" s="2">
        <v>53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617</v>
      </c>
      <c r="CO28" s="2">
        <v>0</v>
      </c>
      <c r="CP28" s="2">
        <f t="shared" ref="CP28:CP53" si="41">(P28+Q28+S28)</f>
        <v>47.57</v>
      </c>
      <c r="CQ28" s="2">
        <f t="shared" ref="CQ28:CQ53" si="42">ROUND((ROUND((AC28*AW28*1),2)*BC28),2)</f>
        <v>0</v>
      </c>
      <c r="CR28" s="2">
        <f t="shared" ref="CR28:CR37" si="43">(ROUND((ROUND(((((ET28*1.2)*0.3))*AV28*1),2)*BB28),2)+ROUND((ROUND(((AE28-(((EU28*1.2)*0.3)))*AV28*1),2)*BS28),2))</f>
        <v>0</v>
      </c>
      <c r="CS28" s="2">
        <f t="shared" ref="CS28:CS37" si="44">(ROUND((ROUND(((((EU28*1.2)*0.3))*AV28*1),2)*BS28),2)+ROUND((ROUND(((AE28-(((EU28*1.2)*0.3)))*AV28*1),2)*BS28),2))</f>
        <v>0</v>
      </c>
      <c r="CT28" s="2">
        <f t="shared" ref="CT28:CT53" si="45">ROUND((ROUND((AF28*AV28*1),2)*BA28),2)</f>
        <v>47.57</v>
      </c>
      <c r="CU28" s="2">
        <f t="shared" ref="CU28:CU53" si="46">AG28</f>
        <v>0</v>
      </c>
      <c r="CV28" s="2">
        <f t="shared" ref="CV28:CV53" si="47">(AH28*AV28)</f>
        <v>3.7691999999999992</v>
      </c>
      <c r="CW28" s="2">
        <f t="shared" ref="CW28:CW53" si="48">AI28</f>
        <v>0</v>
      </c>
      <c r="CX28" s="2">
        <f t="shared" ref="CX28:CX53" si="49">AJ28</f>
        <v>0</v>
      </c>
      <c r="CY28" s="2">
        <f t="shared" ref="CY28:CY37" si="50">(ROUND((((S28+ROUND((ROUND(((((EU28*1.2)*0.3))*AV28*1),2)*BS28),2))*AT28)/100),2)+ROUND(((ROUND((ROUND(((AE28-(((EU28*1.2)*0.3)))*AV28*1),2)*BS28),2)*AT28)/100),2))</f>
        <v>45.19</v>
      </c>
      <c r="CZ28" s="2">
        <f t="shared" ref="CZ28:CZ37" si="51">(ROUND((((S28+ROUND((ROUND(((((EU28*1.2)*0.3))*AV28*1),2)*BS28),2))*AU28)/100),2)+ROUND(((ROUND((ROUND(((AE28-(((EU28*1.2)*0.3)))*AV28*1),2)*BS28),2)*AU28)/100),2))</f>
        <v>25.21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25</v>
      </c>
      <c r="DH28" s="2" t="s">
        <v>3</v>
      </c>
      <c r="DI28" s="2" t="s">
        <v>25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55393701</v>
      </c>
      <c r="EF28" s="2">
        <v>40</v>
      </c>
      <c r="EG28" s="2" t="s">
        <v>26</v>
      </c>
      <c r="EH28" s="2">
        <v>0</v>
      </c>
      <c r="EI28" s="2" t="s">
        <v>3</v>
      </c>
      <c r="EJ28" s="2">
        <v>2</v>
      </c>
      <c r="EK28" s="2">
        <v>69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201.88</v>
      </c>
      <c r="ES28" s="2">
        <v>75.680000000000007</v>
      </c>
      <c r="ET28" s="2">
        <v>0</v>
      </c>
      <c r="EU28" s="2">
        <v>0</v>
      </c>
      <c r="EV28" s="2">
        <v>126.2</v>
      </c>
      <c r="EW28" s="2">
        <v>10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95</v>
      </c>
      <c r="FY28" s="2">
        <v>53</v>
      </c>
      <c r="FZ28" s="2"/>
      <c r="GA28" s="2" t="s">
        <v>3</v>
      </c>
      <c r="GB28" s="2"/>
      <c r="GC28" s="2"/>
      <c r="GD28" s="2">
        <v>1</v>
      </c>
      <c r="GE28" s="2"/>
      <c r="GF28" s="2">
        <v>446669827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3" si="52">ROUND(IF(AND(BH28=3,BI28=3,FS28&lt;&gt;0),P28,0),2)</f>
        <v>0</v>
      </c>
      <c r="GM28" s="2">
        <f t="shared" ref="GM28:GM53" si="53">ROUND(O28+X28+Y28,2)+GX28</f>
        <v>117.97</v>
      </c>
      <c r="GN28" s="2">
        <f t="shared" ref="GN28:GN53" si="54">IF(OR(BI28=0,BI28=1),GM28-GX28,0)</f>
        <v>0</v>
      </c>
      <c r="GO28" s="2">
        <f t="shared" ref="GO28:GO53" si="55">IF(BI28=2,GM28-GX28,0)</f>
        <v>117.97</v>
      </c>
      <c r="GP28" s="2">
        <f t="shared" ref="GP28:GP53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3" si="57">ROUND((GT28),6)</f>
        <v>0</v>
      </c>
      <c r="GW28" s="2">
        <v>1</v>
      </c>
      <c r="GX28" s="2">
        <f t="shared" ref="GX28:GX53" si="58">ROUND(HC28*I28,2)</f>
        <v>0</v>
      </c>
      <c r="GY28" s="2"/>
      <c r="GZ28" s="2"/>
      <c r="HA28" s="2">
        <v>0</v>
      </c>
      <c r="HB28" s="2">
        <v>0</v>
      </c>
      <c r="HC28" s="2">
        <f t="shared" ref="HC28:HC53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ROW(SmtRes!A22)</f>
        <v>22</v>
      </c>
      <c r="D29" s="3">
        <f>ROW(EtalonRes!A24)</f>
        <v>24</v>
      </c>
      <c r="E29" s="3" t="s">
        <v>19</v>
      </c>
      <c r="F29" s="3" t="s">
        <v>20</v>
      </c>
      <c r="G29" s="3" t="s">
        <v>21</v>
      </c>
      <c r="H29" s="3" t="s">
        <v>22</v>
      </c>
      <c r="I29" s="3">
        <v>1</v>
      </c>
      <c r="J29" s="3">
        <v>0</v>
      </c>
      <c r="K29" s="3">
        <v>1</v>
      </c>
      <c r="O29" s="3">
        <f t="shared" si="21"/>
        <v>2680.57</v>
      </c>
      <c r="P29" s="3">
        <f t="shared" si="22"/>
        <v>0</v>
      </c>
      <c r="Q29" s="3">
        <f t="shared" si="23"/>
        <v>0</v>
      </c>
      <c r="R29" s="3">
        <f t="shared" si="24"/>
        <v>0</v>
      </c>
      <c r="S29" s="3">
        <f t="shared" si="25"/>
        <v>2680.57</v>
      </c>
      <c r="T29" s="3">
        <f t="shared" si="26"/>
        <v>0</v>
      </c>
      <c r="U29" s="3">
        <f t="shared" si="27"/>
        <v>3.7691999999999992</v>
      </c>
      <c r="V29" s="3">
        <f t="shared" si="28"/>
        <v>0</v>
      </c>
      <c r="W29" s="3">
        <f t="shared" si="29"/>
        <v>0</v>
      </c>
      <c r="X29" s="3">
        <f t="shared" si="30"/>
        <v>2546.54</v>
      </c>
      <c r="Y29" s="3">
        <f t="shared" si="31"/>
        <v>1420.7</v>
      </c>
      <c r="AA29" s="3">
        <v>55917799</v>
      </c>
      <c r="AB29" s="3">
        <f t="shared" si="32"/>
        <v>45.432000000000002</v>
      </c>
      <c r="AC29" s="3">
        <f t="shared" si="33"/>
        <v>0</v>
      </c>
      <c r="AD29" s="3">
        <f t="shared" si="34"/>
        <v>0</v>
      </c>
      <c r="AE29" s="3">
        <f t="shared" si="35"/>
        <v>0</v>
      </c>
      <c r="AF29" s="3">
        <f t="shared" si="36"/>
        <v>45.432000000000002</v>
      </c>
      <c r="AG29" s="3">
        <f t="shared" si="37"/>
        <v>0</v>
      </c>
      <c r="AH29" s="3">
        <f t="shared" si="38"/>
        <v>3.5999999999999996</v>
      </c>
      <c r="AI29" s="3">
        <f t="shared" si="39"/>
        <v>0</v>
      </c>
      <c r="AJ29" s="3">
        <f t="shared" si="40"/>
        <v>0</v>
      </c>
      <c r="AK29" s="3">
        <v>201.88</v>
      </c>
      <c r="AL29" s="3">
        <v>75.680000000000007</v>
      </c>
      <c r="AM29" s="3">
        <v>0</v>
      </c>
      <c r="AN29" s="3">
        <v>0</v>
      </c>
      <c r="AO29" s="3">
        <v>126.2</v>
      </c>
      <c r="AP29" s="3">
        <v>0</v>
      </c>
      <c r="AQ29" s="3">
        <v>10</v>
      </c>
      <c r="AR29" s="3">
        <v>0</v>
      </c>
      <c r="AS29" s="3">
        <v>0</v>
      </c>
      <c r="AT29" s="3">
        <v>95</v>
      </c>
      <c r="AU29" s="3">
        <v>53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</v>
      </c>
      <c r="BC29" s="3">
        <v>9.58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23</v>
      </c>
      <c r="BM29" s="3">
        <v>69</v>
      </c>
      <c r="BN29" s="3">
        <v>0</v>
      </c>
      <c r="BO29" s="3" t="s">
        <v>20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95</v>
      </c>
      <c r="CA29" s="3">
        <v>53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617</v>
      </c>
      <c r="CO29" s="3">
        <v>0</v>
      </c>
      <c r="CP29" s="3">
        <f t="shared" si="41"/>
        <v>2680.57</v>
      </c>
      <c r="CQ29" s="3">
        <f t="shared" si="42"/>
        <v>0</v>
      </c>
      <c r="CR29" s="3">
        <f t="shared" si="43"/>
        <v>0</v>
      </c>
      <c r="CS29" s="3">
        <f t="shared" si="44"/>
        <v>0</v>
      </c>
      <c r="CT29" s="3">
        <f t="shared" si="45"/>
        <v>2680.57</v>
      </c>
      <c r="CU29" s="3">
        <f t="shared" si="46"/>
        <v>0</v>
      </c>
      <c r="CV29" s="3">
        <f t="shared" si="47"/>
        <v>3.7691999999999992</v>
      </c>
      <c r="CW29" s="3">
        <f t="shared" si="48"/>
        <v>0</v>
      </c>
      <c r="CX29" s="3">
        <f t="shared" si="49"/>
        <v>0</v>
      </c>
      <c r="CY29" s="3">
        <f t="shared" si="50"/>
        <v>2546.54</v>
      </c>
      <c r="CZ29" s="3">
        <f t="shared" si="51"/>
        <v>1420.7</v>
      </c>
      <c r="DB29" s="3">
        <v>3</v>
      </c>
      <c r="DC29" s="3" t="s">
        <v>3</v>
      </c>
      <c r="DD29" s="3" t="s">
        <v>24</v>
      </c>
      <c r="DE29" s="3" t="s">
        <v>25</v>
      </c>
      <c r="DF29" s="3" t="s">
        <v>25</v>
      </c>
      <c r="DG29" s="3" t="s">
        <v>25</v>
      </c>
      <c r="DH29" s="3" t="s">
        <v>3</v>
      </c>
      <c r="DI29" s="3" t="s">
        <v>25</v>
      </c>
      <c r="DJ29" s="3" t="s">
        <v>25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22</v>
      </c>
      <c r="DW29" s="3" t="s">
        <v>22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55393701</v>
      </c>
      <c r="EF29" s="3">
        <v>40</v>
      </c>
      <c r="EG29" s="3" t="s">
        <v>26</v>
      </c>
      <c r="EH29" s="3">
        <v>0</v>
      </c>
      <c r="EI29" s="3" t="s">
        <v>3</v>
      </c>
      <c r="EJ29" s="3">
        <v>2</v>
      </c>
      <c r="EK29" s="3">
        <v>69</v>
      </c>
      <c r="EL29" s="3" t="s">
        <v>27</v>
      </c>
      <c r="EM29" s="3" t="s">
        <v>28</v>
      </c>
      <c r="EO29" s="3" t="s">
        <v>29</v>
      </c>
      <c r="EQ29" s="3">
        <v>0</v>
      </c>
      <c r="ER29" s="3">
        <v>201.88</v>
      </c>
      <c r="ES29" s="3">
        <v>75.680000000000007</v>
      </c>
      <c r="ET29" s="3">
        <v>0</v>
      </c>
      <c r="EU29" s="3">
        <v>0</v>
      </c>
      <c r="EV29" s="3">
        <v>126.2</v>
      </c>
      <c r="EW29" s="3">
        <v>10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95</v>
      </c>
      <c r="FY29" s="3">
        <v>53</v>
      </c>
      <c r="GA29" s="3" t="s">
        <v>3</v>
      </c>
      <c r="GD29" s="3">
        <v>1</v>
      </c>
      <c r="GF29" s="3">
        <v>446669827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6647.81</v>
      </c>
      <c r="GN29" s="3">
        <f t="shared" si="54"/>
        <v>0</v>
      </c>
      <c r="GO29" s="3">
        <f t="shared" si="55"/>
        <v>6647.81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ROW(SmtRes!A24)</f>
        <v>24</v>
      </c>
      <c r="D30" s="2">
        <f>ROW(EtalonRes!A27)</f>
        <v>27</v>
      </c>
      <c r="E30" s="2" t="s">
        <v>30</v>
      </c>
      <c r="F30" s="2" t="s">
        <v>31</v>
      </c>
      <c r="G30" s="2" t="s">
        <v>32</v>
      </c>
      <c r="H30" s="2" t="s">
        <v>33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12.31</v>
      </c>
      <c r="P30" s="2">
        <f t="shared" si="22"/>
        <v>0</v>
      </c>
      <c r="Q30" s="2">
        <f t="shared" si="23"/>
        <v>3.46</v>
      </c>
      <c r="R30" s="2">
        <f t="shared" si="24"/>
        <v>0.38</v>
      </c>
      <c r="S30" s="2">
        <f t="shared" si="25"/>
        <v>8.85</v>
      </c>
      <c r="T30" s="2">
        <f t="shared" si="26"/>
        <v>0</v>
      </c>
      <c r="U30" s="2">
        <f t="shared" si="27"/>
        <v>0.7915319999999999</v>
      </c>
      <c r="V30" s="2">
        <f t="shared" si="28"/>
        <v>0</v>
      </c>
      <c r="W30" s="2">
        <f t="shared" si="29"/>
        <v>0</v>
      </c>
      <c r="X30" s="2">
        <f t="shared" si="30"/>
        <v>8.31</v>
      </c>
      <c r="Y30" s="2">
        <f t="shared" si="31"/>
        <v>4.25</v>
      </c>
      <c r="Z30" s="2"/>
      <c r="AA30" s="2">
        <v>55917797</v>
      </c>
      <c r="AB30" s="2">
        <f t="shared" si="32"/>
        <v>11.761200000000001</v>
      </c>
      <c r="AC30" s="2">
        <f t="shared" si="33"/>
        <v>0</v>
      </c>
      <c r="AD30" s="2">
        <f t="shared" si="34"/>
        <v>3.3083999999999998</v>
      </c>
      <c r="AE30" s="2">
        <f t="shared" si="35"/>
        <v>0.36359999999999998</v>
      </c>
      <c r="AF30" s="2">
        <f t="shared" si="36"/>
        <v>8.4527999999999999</v>
      </c>
      <c r="AG30" s="2">
        <f t="shared" si="37"/>
        <v>0</v>
      </c>
      <c r="AH30" s="2">
        <f t="shared" si="38"/>
        <v>0.75600000000000001</v>
      </c>
      <c r="AI30" s="2">
        <f t="shared" si="39"/>
        <v>0</v>
      </c>
      <c r="AJ30" s="2">
        <f t="shared" si="40"/>
        <v>0</v>
      </c>
      <c r="AK30" s="2">
        <v>32.67</v>
      </c>
      <c r="AL30" s="2">
        <v>0</v>
      </c>
      <c r="AM30" s="2">
        <v>9.19</v>
      </c>
      <c r="AN30" s="2">
        <v>1.01</v>
      </c>
      <c r="AO30" s="2">
        <v>23.48</v>
      </c>
      <c r="AP30" s="2">
        <v>0</v>
      </c>
      <c r="AQ30" s="2">
        <v>2.1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34</v>
      </c>
      <c r="BK30" s="2"/>
      <c r="BL30" s="2"/>
      <c r="BM30" s="2">
        <v>68</v>
      </c>
      <c r="BN30" s="2">
        <v>0</v>
      </c>
      <c r="BO30" s="2" t="s">
        <v>31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617</v>
      </c>
      <c r="CO30" s="2">
        <v>0</v>
      </c>
      <c r="CP30" s="2">
        <f t="shared" si="41"/>
        <v>12.309999999999999</v>
      </c>
      <c r="CQ30" s="2">
        <f t="shared" si="42"/>
        <v>0</v>
      </c>
      <c r="CR30" s="2">
        <f t="shared" si="43"/>
        <v>3.46</v>
      </c>
      <c r="CS30" s="2">
        <f t="shared" si="44"/>
        <v>0.38</v>
      </c>
      <c r="CT30" s="2">
        <f t="shared" si="45"/>
        <v>8.85</v>
      </c>
      <c r="CU30" s="2">
        <f t="shared" si="46"/>
        <v>0</v>
      </c>
      <c r="CV30" s="2">
        <f t="shared" si="47"/>
        <v>0.7915319999999999</v>
      </c>
      <c r="CW30" s="2">
        <f t="shared" si="48"/>
        <v>0</v>
      </c>
      <c r="CX30" s="2">
        <f t="shared" si="49"/>
        <v>0</v>
      </c>
      <c r="CY30" s="2">
        <f t="shared" si="50"/>
        <v>8.31</v>
      </c>
      <c r="CZ30" s="2">
        <f t="shared" si="51"/>
        <v>4.25</v>
      </c>
      <c r="DA30" s="2"/>
      <c r="DB30" s="2">
        <v>5</v>
      </c>
      <c r="DC30" s="2" t="s">
        <v>3</v>
      </c>
      <c r="DD30" s="2" t="s">
        <v>24</v>
      </c>
      <c r="DE30" s="2" t="s">
        <v>25</v>
      </c>
      <c r="DF30" s="2" t="s">
        <v>25</v>
      </c>
      <c r="DG30" s="2" t="s">
        <v>25</v>
      </c>
      <c r="DH30" s="2" t="s">
        <v>3</v>
      </c>
      <c r="DI30" s="2" t="s">
        <v>25</v>
      </c>
      <c r="DJ30" s="2" t="s">
        <v>25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33</v>
      </c>
      <c r="DW30" s="2" t="s">
        <v>33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55393700</v>
      </c>
      <c r="EF30" s="2">
        <v>40</v>
      </c>
      <c r="EG30" s="2" t="s">
        <v>26</v>
      </c>
      <c r="EH30" s="2">
        <v>0</v>
      </c>
      <c r="EI30" s="2" t="s">
        <v>3</v>
      </c>
      <c r="EJ30" s="2">
        <v>2</v>
      </c>
      <c r="EK30" s="2">
        <v>68</v>
      </c>
      <c r="EL30" s="2" t="s">
        <v>35</v>
      </c>
      <c r="EM30" s="2" t="s">
        <v>36</v>
      </c>
      <c r="EN30" s="2"/>
      <c r="EO30" s="2" t="s">
        <v>29</v>
      </c>
      <c r="EP30" s="2"/>
      <c r="EQ30" s="2">
        <v>0</v>
      </c>
      <c r="ER30" s="2">
        <v>32.67</v>
      </c>
      <c r="ES30" s="2">
        <v>0</v>
      </c>
      <c r="ET30" s="2">
        <v>9.19</v>
      </c>
      <c r="EU30" s="2">
        <v>1.01</v>
      </c>
      <c r="EV30" s="2">
        <v>23.48</v>
      </c>
      <c r="EW30" s="2">
        <v>2.1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553809513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24.87</v>
      </c>
      <c r="GN30" s="2">
        <f t="shared" si="54"/>
        <v>0</v>
      </c>
      <c r="GO30" s="2">
        <f t="shared" si="55"/>
        <v>24.87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ROW(SmtRes!A26)</f>
        <v>26</v>
      </c>
      <c r="D31" s="3">
        <f>ROW(EtalonRes!A30)</f>
        <v>30</v>
      </c>
      <c r="E31" s="3" t="s">
        <v>30</v>
      </c>
      <c r="F31" s="3" t="s">
        <v>31</v>
      </c>
      <c r="G31" s="3" t="s">
        <v>32</v>
      </c>
      <c r="H31" s="3" t="s">
        <v>33</v>
      </c>
      <c r="I31" s="3">
        <v>1</v>
      </c>
      <c r="J31" s="3">
        <v>0</v>
      </c>
      <c r="K31" s="3">
        <v>1</v>
      </c>
      <c r="O31" s="3">
        <f t="shared" si="21"/>
        <v>554.58000000000004</v>
      </c>
      <c r="P31" s="3">
        <f t="shared" si="22"/>
        <v>0</v>
      </c>
      <c r="Q31" s="3">
        <f t="shared" si="23"/>
        <v>55.88</v>
      </c>
      <c r="R31" s="3">
        <f t="shared" si="24"/>
        <v>21.41</v>
      </c>
      <c r="S31" s="3">
        <f t="shared" si="25"/>
        <v>498.7</v>
      </c>
      <c r="T31" s="3">
        <f t="shared" si="26"/>
        <v>0</v>
      </c>
      <c r="U31" s="3">
        <f t="shared" si="27"/>
        <v>0.7915319999999999</v>
      </c>
      <c r="V31" s="3">
        <f t="shared" si="28"/>
        <v>0</v>
      </c>
      <c r="W31" s="3">
        <f t="shared" si="29"/>
        <v>0</v>
      </c>
      <c r="X31" s="3">
        <f t="shared" si="30"/>
        <v>468.1</v>
      </c>
      <c r="Y31" s="3">
        <f t="shared" si="31"/>
        <v>239.25</v>
      </c>
      <c r="AA31" s="3">
        <v>55917799</v>
      </c>
      <c r="AB31" s="3">
        <f t="shared" si="32"/>
        <v>11.761200000000001</v>
      </c>
      <c r="AC31" s="3">
        <f t="shared" si="33"/>
        <v>0</v>
      </c>
      <c r="AD31" s="3">
        <f t="shared" si="34"/>
        <v>3.3083999999999998</v>
      </c>
      <c r="AE31" s="3">
        <f t="shared" si="35"/>
        <v>0.36359999999999998</v>
      </c>
      <c r="AF31" s="3">
        <f t="shared" si="36"/>
        <v>8.4527999999999999</v>
      </c>
      <c r="AG31" s="3">
        <f t="shared" si="37"/>
        <v>0</v>
      </c>
      <c r="AH31" s="3">
        <f t="shared" si="38"/>
        <v>0.75600000000000001</v>
      </c>
      <c r="AI31" s="3">
        <f t="shared" si="39"/>
        <v>0</v>
      </c>
      <c r="AJ31" s="3">
        <f t="shared" si="40"/>
        <v>0</v>
      </c>
      <c r="AK31" s="3">
        <v>32.67</v>
      </c>
      <c r="AL31" s="3">
        <v>0</v>
      </c>
      <c r="AM31" s="3">
        <v>9.19</v>
      </c>
      <c r="AN31" s="3">
        <v>1.01</v>
      </c>
      <c r="AO31" s="3">
        <v>23.48</v>
      </c>
      <c r="AP31" s="3">
        <v>0</v>
      </c>
      <c r="AQ31" s="3">
        <v>2.1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16.149999999999999</v>
      </c>
      <c r="BC31" s="3">
        <v>1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34</v>
      </c>
      <c r="BM31" s="3">
        <v>68</v>
      </c>
      <c r="BN31" s="3">
        <v>0</v>
      </c>
      <c r="BO31" s="3" t="s">
        <v>31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617</v>
      </c>
      <c r="CO31" s="3">
        <v>0</v>
      </c>
      <c r="CP31" s="3">
        <f t="shared" si="41"/>
        <v>554.58000000000004</v>
      </c>
      <c r="CQ31" s="3">
        <f t="shared" si="42"/>
        <v>0</v>
      </c>
      <c r="CR31" s="3">
        <f t="shared" si="43"/>
        <v>55.88</v>
      </c>
      <c r="CS31" s="3">
        <f t="shared" si="44"/>
        <v>21.41</v>
      </c>
      <c r="CT31" s="3">
        <f t="shared" si="45"/>
        <v>498.7</v>
      </c>
      <c r="CU31" s="3">
        <f t="shared" si="46"/>
        <v>0</v>
      </c>
      <c r="CV31" s="3">
        <f t="shared" si="47"/>
        <v>0.7915319999999999</v>
      </c>
      <c r="CW31" s="3">
        <f t="shared" si="48"/>
        <v>0</v>
      </c>
      <c r="CX31" s="3">
        <f t="shared" si="49"/>
        <v>0</v>
      </c>
      <c r="CY31" s="3">
        <f t="shared" si="50"/>
        <v>468.1</v>
      </c>
      <c r="CZ31" s="3">
        <f t="shared" si="51"/>
        <v>239.25</v>
      </c>
      <c r="DB31" s="3">
        <v>7</v>
      </c>
      <c r="DC31" s="3" t="s">
        <v>3</v>
      </c>
      <c r="DD31" s="3" t="s">
        <v>24</v>
      </c>
      <c r="DE31" s="3" t="s">
        <v>25</v>
      </c>
      <c r="DF31" s="3" t="s">
        <v>25</v>
      </c>
      <c r="DG31" s="3" t="s">
        <v>25</v>
      </c>
      <c r="DH31" s="3" t="s">
        <v>3</v>
      </c>
      <c r="DI31" s="3" t="s">
        <v>25</v>
      </c>
      <c r="DJ31" s="3" t="s">
        <v>25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33</v>
      </c>
      <c r="DW31" s="3" t="s">
        <v>33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55393700</v>
      </c>
      <c r="EF31" s="3">
        <v>40</v>
      </c>
      <c r="EG31" s="3" t="s">
        <v>26</v>
      </c>
      <c r="EH31" s="3">
        <v>0</v>
      </c>
      <c r="EI31" s="3" t="s">
        <v>3</v>
      </c>
      <c r="EJ31" s="3">
        <v>2</v>
      </c>
      <c r="EK31" s="3">
        <v>68</v>
      </c>
      <c r="EL31" s="3" t="s">
        <v>35</v>
      </c>
      <c r="EM31" s="3" t="s">
        <v>36</v>
      </c>
      <c r="EO31" s="3" t="s">
        <v>29</v>
      </c>
      <c r="EQ31" s="3">
        <v>0</v>
      </c>
      <c r="ER31" s="3">
        <v>32.67</v>
      </c>
      <c r="ES31" s="3">
        <v>0</v>
      </c>
      <c r="ET31" s="3">
        <v>9.19</v>
      </c>
      <c r="EU31" s="3">
        <v>1.01</v>
      </c>
      <c r="EV31" s="3">
        <v>23.48</v>
      </c>
      <c r="EW31" s="3">
        <v>2.1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553809513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1261.93</v>
      </c>
      <c r="GN31" s="3">
        <f t="shared" si="54"/>
        <v>0</v>
      </c>
      <c r="GO31" s="3">
        <f t="shared" si="55"/>
        <v>1261.93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ROW(SmtRes!A28)</f>
        <v>28</v>
      </c>
      <c r="D32" s="2">
        <f>ROW(EtalonRes!A32)</f>
        <v>32</v>
      </c>
      <c r="E32" s="2" t="s">
        <v>37</v>
      </c>
      <c r="F32" s="2" t="s">
        <v>38</v>
      </c>
      <c r="G32" s="2" t="s">
        <v>39</v>
      </c>
      <c r="H32" s="2" t="s">
        <v>40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29.8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29.8</v>
      </c>
      <c r="T32" s="2">
        <f t="shared" si="26"/>
        <v>0</v>
      </c>
      <c r="U32" s="2">
        <f t="shared" si="27"/>
        <v>2.1013883999999998</v>
      </c>
      <c r="V32" s="2">
        <f t="shared" si="28"/>
        <v>0</v>
      </c>
      <c r="W32" s="2">
        <f t="shared" si="29"/>
        <v>0</v>
      </c>
      <c r="X32" s="2">
        <f t="shared" si="30"/>
        <v>28.31</v>
      </c>
      <c r="Y32" s="2">
        <f t="shared" si="31"/>
        <v>15.79</v>
      </c>
      <c r="Z32" s="2"/>
      <c r="AA32" s="2">
        <v>55917797</v>
      </c>
      <c r="AB32" s="2">
        <f t="shared" si="32"/>
        <v>27.414000000000001</v>
      </c>
      <c r="AC32" s="2">
        <f t="shared" si="33"/>
        <v>0</v>
      </c>
      <c r="AD32" s="2">
        <f t="shared" si="34"/>
        <v>0</v>
      </c>
      <c r="AE32" s="2">
        <f t="shared" si="35"/>
        <v>0</v>
      </c>
      <c r="AF32" s="2">
        <f t="shared" si="36"/>
        <v>27.414000000000001</v>
      </c>
      <c r="AG32" s="2">
        <f t="shared" si="37"/>
        <v>0</v>
      </c>
      <c r="AH32" s="2">
        <f t="shared" si="38"/>
        <v>1.9331999999999998</v>
      </c>
      <c r="AI32" s="2">
        <f t="shared" si="39"/>
        <v>0</v>
      </c>
      <c r="AJ32" s="2">
        <f t="shared" si="40"/>
        <v>0</v>
      </c>
      <c r="AK32" s="2">
        <v>76.52</v>
      </c>
      <c r="AL32" s="2">
        <v>0.37</v>
      </c>
      <c r="AM32" s="2">
        <v>0</v>
      </c>
      <c r="AN32" s="2">
        <v>0</v>
      </c>
      <c r="AO32" s="2">
        <v>76.150000000000006</v>
      </c>
      <c r="AP32" s="2">
        <v>0</v>
      </c>
      <c r="AQ32" s="2">
        <v>5.37</v>
      </c>
      <c r="AR32" s="2">
        <v>0</v>
      </c>
      <c r="AS32" s="2">
        <v>0</v>
      </c>
      <c r="AT32" s="2">
        <v>95</v>
      </c>
      <c r="AU32" s="2">
        <v>53</v>
      </c>
      <c r="AV32" s="2">
        <v>1.087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41</v>
      </c>
      <c r="BK32" s="2"/>
      <c r="BL32" s="2"/>
      <c r="BM32" s="2">
        <v>69</v>
      </c>
      <c r="BN32" s="2">
        <v>0</v>
      </c>
      <c r="BO32" s="2" t="s">
        <v>38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95</v>
      </c>
      <c r="CA32" s="2">
        <v>53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617</v>
      </c>
      <c r="CO32" s="2">
        <v>0</v>
      </c>
      <c r="CP32" s="2">
        <f t="shared" si="41"/>
        <v>29.8</v>
      </c>
      <c r="CQ32" s="2">
        <f t="shared" si="42"/>
        <v>0</v>
      </c>
      <c r="CR32" s="2">
        <f t="shared" si="43"/>
        <v>0</v>
      </c>
      <c r="CS32" s="2">
        <f t="shared" si="44"/>
        <v>0</v>
      </c>
      <c r="CT32" s="2">
        <f t="shared" si="45"/>
        <v>29.8</v>
      </c>
      <c r="CU32" s="2">
        <f t="shared" si="46"/>
        <v>0</v>
      </c>
      <c r="CV32" s="2">
        <f t="shared" si="47"/>
        <v>2.1013883999999998</v>
      </c>
      <c r="CW32" s="2">
        <f t="shared" si="48"/>
        <v>0</v>
      </c>
      <c r="CX32" s="2">
        <f t="shared" si="49"/>
        <v>0</v>
      </c>
      <c r="CY32" s="2">
        <f t="shared" si="50"/>
        <v>28.31</v>
      </c>
      <c r="CZ32" s="2">
        <f t="shared" si="51"/>
        <v>15.79</v>
      </c>
      <c r="DA32" s="2"/>
      <c r="DB32" s="2">
        <v>9</v>
      </c>
      <c r="DC32" s="2" t="s">
        <v>3</v>
      </c>
      <c r="DD32" s="2" t="s">
        <v>24</v>
      </c>
      <c r="DE32" s="2" t="s">
        <v>25</v>
      </c>
      <c r="DF32" s="2" t="s">
        <v>25</v>
      </c>
      <c r="DG32" s="2" t="s">
        <v>25</v>
      </c>
      <c r="DH32" s="2" t="s">
        <v>3</v>
      </c>
      <c r="DI32" s="2" t="s">
        <v>25</v>
      </c>
      <c r="DJ32" s="2" t="s">
        <v>25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40</v>
      </c>
      <c r="DW32" s="2" t="s">
        <v>40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55393701</v>
      </c>
      <c r="EF32" s="2">
        <v>40</v>
      </c>
      <c r="EG32" s="2" t="s">
        <v>26</v>
      </c>
      <c r="EH32" s="2">
        <v>0</v>
      </c>
      <c r="EI32" s="2" t="s">
        <v>3</v>
      </c>
      <c r="EJ32" s="2">
        <v>2</v>
      </c>
      <c r="EK32" s="2">
        <v>69</v>
      </c>
      <c r="EL32" s="2" t="s">
        <v>27</v>
      </c>
      <c r="EM32" s="2" t="s">
        <v>28</v>
      </c>
      <c r="EN32" s="2"/>
      <c r="EO32" s="2" t="s">
        <v>29</v>
      </c>
      <c r="EP32" s="2"/>
      <c r="EQ32" s="2">
        <v>0</v>
      </c>
      <c r="ER32" s="2">
        <v>76.52</v>
      </c>
      <c r="ES32" s="2">
        <v>0.37</v>
      </c>
      <c r="ET32" s="2">
        <v>0</v>
      </c>
      <c r="EU32" s="2">
        <v>0</v>
      </c>
      <c r="EV32" s="2">
        <v>76.150000000000006</v>
      </c>
      <c r="EW32" s="2">
        <v>5.37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95</v>
      </c>
      <c r="FY32" s="2">
        <v>53</v>
      </c>
      <c r="FZ32" s="2"/>
      <c r="GA32" s="2" t="s">
        <v>3</v>
      </c>
      <c r="GB32" s="2"/>
      <c r="GC32" s="2"/>
      <c r="GD32" s="2">
        <v>1</v>
      </c>
      <c r="GE32" s="2"/>
      <c r="GF32" s="2">
        <v>82209368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73.900000000000006</v>
      </c>
      <c r="GN32" s="2">
        <f t="shared" si="54"/>
        <v>0</v>
      </c>
      <c r="GO32" s="2">
        <f t="shared" si="55"/>
        <v>73.900000000000006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ROW(SmtRes!A30)</f>
        <v>30</v>
      </c>
      <c r="D33" s="3">
        <f>ROW(EtalonRes!A34)</f>
        <v>34</v>
      </c>
      <c r="E33" s="3" t="s">
        <v>37</v>
      </c>
      <c r="F33" s="3" t="s">
        <v>38</v>
      </c>
      <c r="G33" s="3" t="s">
        <v>39</v>
      </c>
      <c r="H33" s="3" t="s">
        <v>40</v>
      </c>
      <c r="I33" s="3">
        <v>1</v>
      </c>
      <c r="J33" s="3">
        <v>0</v>
      </c>
      <c r="K33" s="3">
        <v>1</v>
      </c>
      <c r="O33" s="3">
        <f t="shared" si="21"/>
        <v>1679.23</v>
      </c>
      <c r="P33" s="3">
        <f t="shared" si="22"/>
        <v>0</v>
      </c>
      <c r="Q33" s="3">
        <f t="shared" si="23"/>
        <v>0</v>
      </c>
      <c r="R33" s="3">
        <f t="shared" si="24"/>
        <v>0</v>
      </c>
      <c r="S33" s="3">
        <f t="shared" si="25"/>
        <v>1679.23</v>
      </c>
      <c r="T33" s="3">
        <f t="shared" si="26"/>
        <v>0</v>
      </c>
      <c r="U33" s="3">
        <f t="shared" si="27"/>
        <v>2.1013883999999998</v>
      </c>
      <c r="V33" s="3">
        <f t="shared" si="28"/>
        <v>0</v>
      </c>
      <c r="W33" s="3">
        <f t="shared" si="29"/>
        <v>0</v>
      </c>
      <c r="X33" s="3">
        <f t="shared" si="30"/>
        <v>1595.27</v>
      </c>
      <c r="Y33" s="3">
        <f t="shared" si="31"/>
        <v>889.99</v>
      </c>
      <c r="AA33" s="3">
        <v>55917799</v>
      </c>
      <c r="AB33" s="3">
        <f t="shared" si="32"/>
        <v>27.414000000000001</v>
      </c>
      <c r="AC33" s="3">
        <f t="shared" si="33"/>
        <v>0</v>
      </c>
      <c r="AD33" s="3">
        <f t="shared" si="34"/>
        <v>0</v>
      </c>
      <c r="AE33" s="3">
        <f t="shared" si="35"/>
        <v>0</v>
      </c>
      <c r="AF33" s="3">
        <f t="shared" si="36"/>
        <v>27.414000000000001</v>
      </c>
      <c r="AG33" s="3">
        <f t="shared" si="37"/>
        <v>0</v>
      </c>
      <c r="AH33" s="3">
        <f t="shared" si="38"/>
        <v>1.9331999999999998</v>
      </c>
      <c r="AI33" s="3">
        <f t="shared" si="39"/>
        <v>0</v>
      </c>
      <c r="AJ33" s="3">
        <f t="shared" si="40"/>
        <v>0</v>
      </c>
      <c r="AK33" s="3">
        <v>76.52</v>
      </c>
      <c r="AL33" s="3">
        <v>0.37</v>
      </c>
      <c r="AM33" s="3">
        <v>0</v>
      </c>
      <c r="AN33" s="3">
        <v>0</v>
      </c>
      <c r="AO33" s="3">
        <v>76.150000000000006</v>
      </c>
      <c r="AP33" s="3">
        <v>0</v>
      </c>
      <c r="AQ33" s="3">
        <v>5.37</v>
      </c>
      <c r="AR33" s="3">
        <v>0</v>
      </c>
      <c r="AS33" s="3">
        <v>0</v>
      </c>
      <c r="AT33" s="3">
        <v>95</v>
      </c>
      <c r="AU33" s="3">
        <v>53</v>
      </c>
      <c r="AV33" s="3">
        <v>1.087</v>
      </c>
      <c r="AW33" s="3">
        <v>1</v>
      </c>
      <c r="AZ33" s="3">
        <v>1</v>
      </c>
      <c r="BA33" s="3">
        <v>56.35</v>
      </c>
      <c r="BB33" s="3">
        <v>1</v>
      </c>
      <c r="BC33" s="3">
        <v>5.46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41</v>
      </c>
      <c r="BM33" s="3">
        <v>69</v>
      </c>
      <c r="BN33" s="3">
        <v>0</v>
      </c>
      <c r="BO33" s="3" t="s">
        <v>38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95</v>
      </c>
      <c r="CA33" s="3">
        <v>53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617</v>
      </c>
      <c r="CO33" s="3">
        <v>0</v>
      </c>
      <c r="CP33" s="3">
        <f t="shared" si="41"/>
        <v>1679.23</v>
      </c>
      <c r="CQ33" s="3">
        <f t="shared" si="42"/>
        <v>0</v>
      </c>
      <c r="CR33" s="3">
        <f t="shared" si="43"/>
        <v>0</v>
      </c>
      <c r="CS33" s="3">
        <f t="shared" si="44"/>
        <v>0</v>
      </c>
      <c r="CT33" s="3">
        <f t="shared" si="45"/>
        <v>1679.23</v>
      </c>
      <c r="CU33" s="3">
        <f t="shared" si="46"/>
        <v>0</v>
      </c>
      <c r="CV33" s="3">
        <f t="shared" si="47"/>
        <v>2.1013883999999998</v>
      </c>
      <c r="CW33" s="3">
        <f t="shared" si="48"/>
        <v>0</v>
      </c>
      <c r="CX33" s="3">
        <f t="shared" si="49"/>
        <v>0</v>
      </c>
      <c r="CY33" s="3">
        <f t="shared" si="50"/>
        <v>1595.27</v>
      </c>
      <c r="CZ33" s="3">
        <f t="shared" si="51"/>
        <v>889.99</v>
      </c>
      <c r="DB33" s="3">
        <v>11</v>
      </c>
      <c r="DC33" s="3" t="s">
        <v>3</v>
      </c>
      <c r="DD33" s="3" t="s">
        <v>24</v>
      </c>
      <c r="DE33" s="3" t="s">
        <v>25</v>
      </c>
      <c r="DF33" s="3" t="s">
        <v>25</v>
      </c>
      <c r="DG33" s="3" t="s">
        <v>25</v>
      </c>
      <c r="DH33" s="3" t="s">
        <v>3</v>
      </c>
      <c r="DI33" s="3" t="s">
        <v>25</v>
      </c>
      <c r="DJ33" s="3" t="s">
        <v>25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40</v>
      </c>
      <c r="DW33" s="3" t="s">
        <v>40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55393701</v>
      </c>
      <c r="EF33" s="3">
        <v>40</v>
      </c>
      <c r="EG33" s="3" t="s">
        <v>26</v>
      </c>
      <c r="EH33" s="3">
        <v>0</v>
      </c>
      <c r="EI33" s="3" t="s">
        <v>3</v>
      </c>
      <c r="EJ33" s="3">
        <v>2</v>
      </c>
      <c r="EK33" s="3">
        <v>69</v>
      </c>
      <c r="EL33" s="3" t="s">
        <v>27</v>
      </c>
      <c r="EM33" s="3" t="s">
        <v>28</v>
      </c>
      <c r="EO33" s="3" t="s">
        <v>29</v>
      </c>
      <c r="EQ33" s="3">
        <v>0</v>
      </c>
      <c r="ER33" s="3">
        <v>76.52</v>
      </c>
      <c r="ES33" s="3">
        <v>0.37</v>
      </c>
      <c r="ET33" s="3">
        <v>0</v>
      </c>
      <c r="EU33" s="3">
        <v>0</v>
      </c>
      <c r="EV33" s="3">
        <v>76.150000000000006</v>
      </c>
      <c r="EW33" s="3">
        <v>5.37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95</v>
      </c>
      <c r="FY33" s="3">
        <v>53</v>
      </c>
      <c r="GA33" s="3" t="s">
        <v>3</v>
      </c>
      <c r="GD33" s="3">
        <v>1</v>
      </c>
      <c r="GF33" s="3">
        <v>82209368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4164.49</v>
      </c>
      <c r="GN33" s="3">
        <f t="shared" si="54"/>
        <v>0</v>
      </c>
      <c r="GO33" s="3">
        <f t="shared" si="55"/>
        <v>4164.49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ROW(SmtRes!A45)</f>
        <v>45</v>
      </c>
      <c r="D34" s="2">
        <f>ROW(EtalonRes!A51)</f>
        <v>51</v>
      </c>
      <c r="E34" s="2" t="s">
        <v>42</v>
      </c>
      <c r="F34" s="2" t="s">
        <v>43</v>
      </c>
      <c r="G34" s="2" t="s">
        <v>44</v>
      </c>
      <c r="H34" s="2" t="s">
        <v>22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1"/>
        <v>14.27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14.27</v>
      </c>
      <c r="T34" s="2">
        <f t="shared" si="26"/>
        <v>0</v>
      </c>
      <c r="U34" s="2">
        <f t="shared" si="27"/>
        <v>1.1307599999999998</v>
      </c>
      <c r="V34" s="2">
        <f t="shared" si="28"/>
        <v>0</v>
      </c>
      <c r="W34" s="2">
        <f t="shared" si="29"/>
        <v>0</v>
      </c>
      <c r="X34" s="2">
        <f t="shared" si="30"/>
        <v>12.84</v>
      </c>
      <c r="Y34" s="2">
        <f t="shared" si="31"/>
        <v>6.56</v>
      </c>
      <c r="Z34" s="2"/>
      <c r="AA34" s="2">
        <v>55917797</v>
      </c>
      <c r="AB34" s="2">
        <f t="shared" si="32"/>
        <v>13.6296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6"/>
        <v>13.6296</v>
      </c>
      <c r="AG34" s="2">
        <f t="shared" si="37"/>
        <v>0</v>
      </c>
      <c r="AH34" s="2">
        <f t="shared" si="38"/>
        <v>1.0799999999999998</v>
      </c>
      <c r="AI34" s="2">
        <f t="shared" si="39"/>
        <v>0</v>
      </c>
      <c r="AJ34" s="2">
        <f t="shared" si="40"/>
        <v>0</v>
      </c>
      <c r="AK34" s="2">
        <v>80.47</v>
      </c>
      <c r="AL34" s="2">
        <v>42.61</v>
      </c>
      <c r="AM34" s="2">
        <v>0</v>
      </c>
      <c r="AN34" s="2">
        <v>0</v>
      </c>
      <c r="AO34" s="2">
        <v>37.86</v>
      </c>
      <c r="AP34" s="2">
        <v>0</v>
      </c>
      <c r="AQ34" s="2">
        <v>3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45</v>
      </c>
      <c r="BK34" s="2"/>
      <c r="BL34" s="2"/>
      <c r="BM34" s="2">
        <v>68</v>
      </c>
      <c r="BN34" s="2">
        <v>0</v>
      </c>
      <c r="BO34" s="2" t="s">
        <v>43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617</v>
      </c>
      <c r="CO34" s="2">
        <v>0</v>
      </c>
      <c r="CP34" s="2">
        <f t="shared" si="41"/>
        <v>14.27</v>
      </c>
      <c r="CQ34" s="2">
        <f t="shared" si="42"/>
        <v>0</v>
      </c>
      <c r="CR34" s="2">
        <f t="shared" si="43"/>
        <v>0</v>
      </c>
      <c r="CS34" s="2">
        <f t="shared" si="44"/>
        <v>0</v>
      </c>
      <c r="CT34" s="2">
        <f t="shared" si="45"/>
        <v>14.27</v>
      </c>
      <c r="CU34" s="2">
        <f t="shared" si="46"/>
        <v>0</v>
      </c>
      <c r="CV34" s="2">
        <f t="shared" si="47"/>
        <v>1.1307599999999998</v>
      </c>
      <c r="CW34" s="2">
        <f t="shared" si="48"/>
        <v>0</v>
      </c>
      <c r="CX34" s="2">
        <f t="shared" si="49"/>
        <v>0</v>
      </c>
      <c r="CY34" s="2">
        <f t="shared" si="50"/>
        <v>12.84</v>
      </c>
      <c r="CZ34" s="2">
        <f t="shared" si="51"/>
        <v>6.56</v>
      </c>
      <c r="DA34" s="2"/>
      <c r="DB34" s="2">
        <v>13</v>
      </c>
      <c r="DC34" s="2" t="s">
        <v>3</v>
      </c>
      <c r="DD34" s="2" t="s">
        <v>24</v>
      </c>
      <c r="DE34" s="2" t="s">
        <v>25</v>
      </c>
      <c r="DF34" s="2" t="s">
        <v>25</v>
      </c>
      <c r="DG34" s="2" t="s">
        <v>25</v>
      </c>
      <c r="DH34" s="2" t="s">
        <v>3</v>
      </c>
      <c r="DI34" s="2" t="s">
        <v>25</v>
      </c>
      <c r="DJ34" s="2" t="s">
        <v>25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22</v>
      </c>
      <c r="DW34" s="2" t="s">
        <v>22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55393700</v>
      </c>
      <c r="EF34" s="2">
        <v>40</v>
      </c>
      <c r="EG34" s="2" t="s">
        <v>26</v>
      </c>
      <c r="EH34" s="2">
        <v>0</v>
      </c>
      <c r="EI34" s="2" t="s">
        <v>3</v>
      </c>
      <c r="EJ34" s="2">
        <v>2</v>
      </c>
      <c r="EK34" s="2">
        <v>68</v>
      </c>
      <c r="EL34" s="2" t="s">
        <v>35</v>
      </c>
      <c r="EM34" s="2" t="s">
        <v>36</v>
      </c>
      <c r="EN34" s="2"/>
      <c r="EO34" s="2" t="s">
        <v>29</v>
      </c>
      <c r="EP34" s="2"/>
      <c r="EQ34" s="2">
        <v>0</v>
      </c>
      <c r="ER34" s="2">
        <v>80.47</v>
      </c>
      <c r="ES34" s="2">
        <v>42.61</v>
      </c>
      <c r="ET34" s="2">
        <v>0</v>
      </c>
      <c r="EU34" s="2">
        <v>0</v>
      </c>
      <c r="EV34" s="2">
        <v>37.86</v>
      </c>
      <c r="EW34" s="2">
        <v>3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-1588285181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33.67</v>
      </c>
      <c r="GN34" s="2">
        <f t="shared" si="54"/>
        <v>0</v>
      </c>
      <c r="GO34" s="2">
        <f t="shared" si="55"/>
        <v>33.67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ROW(SmtRes!A60)</f>
        <v>60</v>
      </c>
      <c r="D35" s="3">
        <f>ROW(EtalonRes!A68)</f>
        <v>68</v>
      </c>
      <c r="E35" s="3" t="s">
        <v>42</v>
      </c>
      <c r="F35" s="3" t="s">
        <v>43</v>
      </c>
      <c r="G35" s="3" t="s">
        <v>44</v>
      </c>
      <c r="H35" s="3" t="s">
        <v>22</v>
      </c>
      <c r="I35" s="3">
        <v>1</v>
      </c>
      <c r="J35" s="3">
        <v>0</v>
      </c>
      <c r="K35" s="3">
        <v>1</v>
      </c>
      <c r="O35" s="3">
        <f t="shared" si="21"/>
        <v>804.11</v>
      </c>
      <c r="P35" s="3">
        <f t="shared" si="22"/>
        <v>0</v>
      </c>
      <c r="Q35" s="3">
        <f t="shared" si="23"/>
        <v>0</v>
      </c>
      <c r="R35" s="3">
        <f t="shared" si="24"/>
        <v>0</v>
      </c>
      <c r="S35" s="3">
        <f t="shared" si="25"/>
        <v>804.11</v>
      </c>
      <c r="T35" s="3">
        <f t="shared" si="26"/>
        <v>0</v>
      </c>
      <c r="U35" s="3">
        <f t="shared" si="27"/>
        <v>1.1307599999999998</v>
      </c>
      <c r="V35" s="3">
        <f t="shared" si="28"/>
        <v>0</v>
      </c>
      <c r="W35" s="3">
        <f t="shared" si="29"/>
        <v>0</v>
      </c>
      <c r="X35" s="3">
        <f t="shared" si="30"/>
        <v>723.7</v>
      </c>
      <c r="Y35" s="3">
        <f t="shared" si="31"/>
        <v>369.89</v>
      </c>
      <c r="AA35" s="3">
        <v>55917799</v>
      </c>
      <c r="AB35" s="3">
        <f t="shared" si="32"/>
        <v>13.6296</v>
      </c>
      <c r="AC35" s="3">
        <f t="shared" si="33"/>
        <v>0</v>
      </c>
      <c r="AD35" s="3">
        <f t="shared" si="34"/>
        <v>0</v>
      </c>
      <c r="AE35" s="3">
        <f t="shared" si="35"/>
        <v>0</v>
      </c>
      <c r="AF35" s="3">
        <f t="shared" si="36"/>
        <v>13.6296</v>
      </c>
      <c r="AG35" s="3">
        <f t="shared" si="37"/>
        <v>0</v>
      </c>
      <c r="AH35" s="3">
        <f t="shared" si="38"/>
        <v>1.0799999999999998</v>
      </c>
      <c r="AI35" s="3">
        <f t="shared" si="39"/>
        <v>0</v>
      </c>
      <c r="AJ35" s="3">
        <f t="shared" si="40"/>
        <v>0</v>
      </c>
      <c r="AK35" s="3">
        <v>80.47</v>
      </c>
      <c r="AL35" s="3">
        <v>42.61</v>
      </c>
      <c r="AM35" s="3">
        <v>0</v>
      </c>
      <c r="AN35" s="3">
        <v>0</v>
      </c>
      <c r="AO35" s="3">
        <v>37.86</v>
      </c>
      <c r="AP35" s="3">
        <v>0</v>
      </c>
      <c r="AQ35" s="3">
        <v>3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</v>
      </c>
      <c r="BC35" s="3">
        <v>5.15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45</v>
      </c>
      <c r="BM35" s="3">
        <v>68</v>
      </c>
      <c r="BN35" s="3">
        <v>0</v>
      </c>
      <c r="BO35" s="3" t="s">
        <v>43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617</v>
      </c>
      <c r="CO35" s="3">
        <v>0</v>
      </c>
      <c r="CP35" s="3">
        <f t="shared" si="41"/>
        <v>804.11</v>
      </c>
      <c r="CQ35" s="3">
        <f t="shared" si="42"/>
        <v>0</v>
      </c>
      <c r="CR35" s="3">
        <f t="shared" si="43"/>
        <v>0</v>
      </c>
      <c r="CS35" s="3">
        <f t="shared" si="44"/>
        <v>0</v>
      </c>
      <c r="CT35" s="3">
        <f t="shared" si="45"/>
        <v>804.11</v>
      </c>
      <c r="CU35" s="3">
        <f t="shared" si="46"/>
        <v>0</v>
      </c>
      <c r="CV35" s="3">
        <f t="shared" si="47"/>
        <v>1.1307599999999998</v>
      </c>
      <c r="CW35" s="3">
        <f t="shared" si="48"/>
        <v>0</v>
      </c>
      <c r="CX35" s="3">
        <f t="shared" si="49"/>
        <v>0</v>
      </c>
      <c r="CY35" s="3">
        <f t="shared" si="50"/>
        <v>723.7</v>
      </c>
      <c r="CZ35" s="3">
        <f t="shared" si="51"/>
        <v>369.89</v>
      </c>
      <c r="DB35" s="3">
        <v>15</v>
      </c>
      <c r="DC35" s="3" t="s">
        <v>3</v>
      </c>
      <c r="DD35" s="3" t="s">
        <v>24</v>
      </c>
      <c r="DE35" s="3" t="s">
        <v>25</v>
      </c>
      <c r="DF35" s="3" t="s">
        <v>25</v>
      </c>
      <c r="DG35" s="3" t="s">
        <v>25</v>
      </c>
      <c r="DH35" s="3" t="s">
        <v>3</v>
      </c>
      <c r="DI35" s="3" t="s">
        <v>25</v>
      </c>
      <c r="DJ35" s="3" t="s">
        <v>25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22</v>
      </c>
      <c r="DW35" s="3" t="s">
        <v>22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55393700</v>
      </c>
      <c r="EF35" s="3">
        <v>40</v>
      </c>
      <c r="EG35" s="3" t="s">
        <v>26</v>
      </c>
      <c r="EH35" s="3">
        <v>0</v>
      </c>
      <c r="EI35" s="3" t="s">
        <v>3</v>
      </c>
      <c r="EJ35" s="3">
        <v>2</v>
      </c>
      <c r="EK35" s="3">
        <v>68</v>
      </c>
      <c r="EL35" s="3" t="s">
        <v>35</v>
      </c>
      <c r="EM35" s="3" t="s">
        <v>36</v>
      </c>
      <c r="EO35" s="3" t="s">
        <v>29</v>
      </c>
      <c r="EQ35" s="3">
        <v>0</v>
      </c>
      <c r="ER35" s="3">
        <v>80.47</v>
      </c>
      <c r="ES35" s="3">
        <v>42.61</v>
      </c>
      <c r="ET35" s="3">
        <v>0</v>
      </c>
      <c r="EU35" s="3">
        <v>0</v>
      </c>
      <c r="EV35" s="3">
        <v>37.86</v>
      </c>
      <c r="EW35" s="3">
        <v>3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-1588285181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1897.7</v>
      </c>
      <c r="GN35" s="3">
        <f t="shared" si="54"/>
        <v>0</v>
      </c>
      <c r="GO35" s="3">
        <f t="shared" si="55"/>
        <v>1897.7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ROW(SmtRes!A65)</f>
        <v>65</v>
      </c>
      <c r="D36" s="2">
        <f>ROW(EtalonRes!A74)</f>
        <v>74</v>
      </c>
      <c r="E36" s="2" t="s">
        <v>46</v>
      </c>
      <c r="F36" s="2" t="s">
        <v>47</v>
      </c>
      <c r="G36" s="2" t="s">
        <v>48</v>
      </c>
      <c r="H36" s="2" t="s">
        <v>49</v>
      </c>
      <c r="I36" s="2">
        <f>ROUND(7/100,9)</f>
        <v>7.0000000000000007E-2</v>
      </c>
      <c r="J36" s="2">
        <v>0</v>
      </c>
      <c r="K36" s="2">
        <f>ROUND(7/100,9)</f>
        <v>7.0000000000000007E-2</v>
      </c>
      <c r="L36" s="2"/>
      <c r="M36" s="2"/>
      <c r="N36" s="2"/>
      <c r="O36" s="2">
        <f t="shared" si="21"/>
        <v>7.35</v>
      </c>
      <c r="P36" s="2">
        <f t="shared" si="22"/>
        <v>0</v>
      </c>
      <c r="Q36" s="2">
        <f t="shared" si="23"/>
        <v>0</v>
      </c>
      <c r="R36" s="2">
        <f t="shared" si="24"/>
        <v>0</v>
      </c>
      <c r="S36" s="2">
        <f t="shared" si="25"/>
        <v>7.35</v>
      </c>
      <c r="T36" s="2">
        <f t="shared" si="26"/>
        <v>0</v>
      </c>
      <c r="U36" s="2">
        <f t="shared" si="27"/>
        <v>0.63322559999999994</v>
      </c>
      <c r="V36" s="2">
        <f t="shared" si="28"/>
        <v>0</v>
      </c>
      <c r="W36" s="2">
        <f t="shared" si="29"/>
        <v>0</v>
      </c>
      <c r="X36" s="2">
        <f t="shared" si="30"/>
        <v>6.62</v>
      </c>
      <c r="Y36" s="2">
        <f t="shared" si="31"/>
        <v>3.38</v>
      </c>
      <c r="Z36" s="2"/>
      <c r="AA36" s="2">
        <v>55917797</v>
      </c>
      <c r="AB36" s="2">
        <f t="shared" si="32"/>
        <v>100.3104</v>
      </c>
      <c r="AC36" s="2">
        <f t="shared" si="33"/>
        <v>0</v>
      </c>
      <c r="AD36" s="2">
        <f t="shared" si="34"/>
        <v>0</v>
      </c>
      <c r="AE36" s="2">
        <f t="shared" si="35"/>
        <v>0</v>
      </c>
      <c r="AF36" s="2">
        <f t="shared" si="36"/>
        <v>100.3104</v>
      </c>
      <c r="AG36" s="2">
        <f t="shared" si="37"/>
        <v>0</v>
      </c>
      <c r="AH36" s="2">
        <f t="shared" si="38"/>
        <v>8.6399999999999988</v>
      </c>
      <c r="AI36" s="2">
        <f t="shared" si="39"/>
        <v>0</v>
      </c>
      <c r="AJ36" s="2">
        <f t="shared" si="40"/>
        <v>0</v>
      </c>
      <c r="AK36" s="2">
        <v>364.24</v>
      </c>
      <c r="AL36" s="2">
        <v>85.6</v>
      </c>
      <c r="AM36" s="2">
        <v>0</v>
      </c>
      <c r="AN36" s="2">
        <v>0</v>
      </c>
      <c r="AO36" s="2">
        <v>278.64</v>
      </c>
      <c r="AP36" s="2">
        <v>0</v>
      </c>
      <c r="AQ36" s="2">
        <v>24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50</v>
      </c>
      <c r="BK36" s="2"/>
      <c r="BL36" s="2"/>
      <c r="BM36" s="2">
        <v>68</v>
      </c>
      <c r="BN36" s="2">
        <v>0</v>
      </c>
      <c r="BO36" s="2" t="s">
        <v>47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617</v>
      </c>
      <c r="CO36" s="2">
        <v>0</v>
      </c>
      <c r="CP36" s="2">
        <f t="shared" si="41"/>
        <v>7.35</v>
      </c>
      <c r="CQ36" s="2">
        <f t="shared" si="42"/>
        <v>0</v>
      </c>
      <c r="CR36" s="2">
        <f t="shared" si="43"/>
        <v>0</v>
      </c>
      <c r="CS36" s="2">
        <f t="shared" si="44"/>
        <v>0</v>
      </c>
      <c r="CT36" s="2">
        <f t="shared" si="45"/>
        <v>105.02</v>
      </c>
      <c r="CU36" s="2">
        <f t="shared" si="46"/>
        <v>0</v>
      </c>
      <c r="CV36" s="2">
        <f t="shared" si="47"/>
        <v>9.0460799999999981</v>
      </c>
      <c r="CW36" s="2">
        <f t="shared" si="48"/>
        <v>0</v>
      </c>
      <c r="CX36" s="2">
        <f t="shared" si="49"/>
        <v>0</v>
      </c>
      <c r="CY36" s="2">
        <f t="shared" si="50"/>
        <v>6.62</v>
      </c>
      <c r="CZ36" s="2">
        <f t="shared" si="51"/>
        <v>3.38</v>
      </c>
      <c r="DA36" s="2"/>
      <c r="DB36" s="2">
        <v>17</v>
      </c>
      <c r="DC36" s="2" t="s">
        <v>3</v>
      </c>
      <c r="DD36" s="2" t="s">
        <v>24</v>
      </c>
      <c r="DE36" s="2" t="s">
        <v>25</v>
      </c>
      <c r="DF36" s="2" t="s">
        <v>25</v>
      </c>
      <c r="DG36" s="2" t="s">
        <v>25</v>
      </c>
      <c r="DH36" s="2" t="s">
        <v>3</v>
      </c>
      <c r="DI36" s="2" t="s">
        <v>25</v>
      </c>
      <c r="DJ36" s="2" t="s">
        <v>25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1010</v>
      </c>
      <c r="DV36" s="2" t="s">
        <v>49</v>
      </c>
      <c r="DW36" s="2" t="s">
        <v>49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55393700</v>
      </c>
      <c r="EF36" s="2">
        <v>40</v>
      </c>
      <c r="EG36" s="2" t="s">
        <v>26</v>
      </c>
      <c r="EH36" s="2">
        <v>0</v>
      </c>
      <c r="EI36" s="2" t="s">
        <v>3</v>
      </c>
      <c r="EJ36" s="2">
        <v>2</v>
      </c>
      <c r="EK36" s="2">
        <v>68</v>
      </c>
      <c r="EL36" s="2" t="s">
        <v>35</v>
      </c>
      <c r="EM36" s="2" t="s">
        <v>36</v>
      </c>
      <c r="EN36" s="2"/>
      <c r="EO36" s="2" t="s">
        <v>29</v>
      </c>
      <c r="EP36" s="2"/>
      <c r="EQ36" s="2">
        <v>0</v>
      </c>
      <c r="ER36" s="2">
        <v>364.24</v>
      </c>
      <c r="ES36" s="2">
        <v>85.6</v>
      </c>
      <c r="ET36" s="2">
        <v>0</v>
      </c>
      <c r="EU36" s="2">
        <v>0</v>
      </c>
      <c r="EV36" s="2">
        <v>278.64</v>
      </c>
      <c r="EW36" s="2">
        <v>24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-1053927933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17.350000000000001</v>
      </c>
      <c r="GN36" s="2">
        <f t="shared" si="54"/>
        <v>0</v>
      </c>
      <c r="GO36" s="2">
        <f t="shared" si="55"/>
        <v>17.350000000000001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ROW(SmtRes!A70)</f>
        <v>70</v>
      </c>
      <c r="D37" s="3">
        <f>ROW(EtalonRes!A80)</f>
        <v>80</v>
      </c>
      <c r="E37" s="3" t="s">
        <v>46</v>
      </c>
      <c r="F37" s="3" t="s">
        <v>47</v>
      </c>
      <c r="G37" s="3" t="s">
        <v>48</v>
      </c>
      <c r="H37" s="3" t="s">
        <v>49</v>
      </c>
      <c r="I37" s="3">
        <f>ROUND(7/100,9)</f>
        <v>7.0000000000000007E-2</v>
      </c>
      <c r="J37" s="3">
        <v>0</v>
      </c>
      <c r="K37" s="3">
        <f>ROUND(7/100,9)</f>
        <v>7.0000000000000007E-2</v>
      </c>
      <c r="O37" s="3">
        <f t="shared" si="21"/>
        <v>414.17</v>
      </c>
      <c r="P37" s="3">
        <f t="shared" si="22"/>
        <v>0</v>
      </c>
      <c r="Q37" s="3">
        <f t="shared" si="23"/>
        <v>0</v>
      </c>
      <c r="R37" s="3">
        <f t="shared" si="24"/>
        <v>0</v>
      </c>
      <c r="S37" s="3">
        <f t="shared" si="25"/>
        <v>414.17</v>
      </c>
      <c r="T37" s="3">
        <f t="shared" si="26"/>
        <v>0</v>
      </c>
      <c r="U37" s="3">
        <f t="shared" si="27"/>
        <v>0.63322559999999994</v>
      </c>
      <c r="V37" s="3">
        <f t="shared" si="28"/>
        <v>0</v>
      </c>
      <c r="W37" s="3">
        <f t="shared" si="29"/>
        <v>0</v>
      </c>
      <c r="X37" s="3">
        <f t="shared" si="30"/>
        <v>372.75</v>
      </c>
      <c r="Y37" s="3">
        <f t="shared" si="31"/>
        <v>190.52</v>
      </c>
      <c r="AA37" s="3">
        <v>55917799</v>
      </c>
      <c r="AB37" s="3">
        <f t="shared" si="32"/>
        <v>100.3104</v>
      </c>
      <c r="AC37" s="3">
        <f t="shared" si="33"/>
        <v>0</v>
      </c>
      <c r="AD37" s="3">
        <f t="shared" si="34"/>
        <v>0</v>
      </c>
      <c r="AE37" s="3">
        <f t="shared" si="35"/>
        <v>0</v>
      </c>
      <c r="AF37" s="3">
        <f t="shared" si="36"/>
        <v>100.3104</v>
      </c>
      <c r="AG37" s="3">
        <f t="shared" si="37"/>
        <v>0</v>
      </c>
      <c r="AH37" s="3">
        <f t="shared" si="38"/>
        <v>8.6399999999999988</v>
      </c>
      <c r="AI37" s="3">
        <f t="shared" si="39"/>
        <v>0</v>
      </c>
      <c r="AJ37" s="3">
        <f t="shared" si="40"/>
        <v>0</v>
      </c>
      <c r="AK37" s="3">
        <v>364.24</v>
      </c>
      <c r="AL37" s="3">
        <v>85.6</v>
      </c>
      <c r="AM37" s="3">
        <v>0</v>
      </c>
      <c r="AN37" s="3">
        <v>0</v>
      </c>
      <c r="AO37" s="3">
        <v>278.64</v>
      </c>
      <c r="AP37" s="3">
        <v>0</v>
      </c>
      <c r="AQ37" s="3">
        <v>24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</v>
      </c>
      <c r="BC37" s="3">
        <v>5.0599999999999996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50</v>
      </c>
      <c r="BM37" s="3">
        <v>68</v>
      </c>
      <c r="BN37" s="3">
        <v>0</v>
      </c>
      <c r="BO37" s="3" t="s">
        <v>47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617</v>
      </c>
      <c r="CO37" s="3">
        <v>0</v>
      </c>
      <c r="CP37" s="3">
        <f t="shared" si="41"/>
        <v>414.17</v>
      </c>
      <c r="CQ37" s="3">
        <f t="shared" si="42"/>
        <v>0</v>
      </c>
      <c r="CR37" s="3">
        <f t="shared" si="43"/>
        <v>0</v>
      </c>
      <c r="CS37" s="3">
        <f t="shared" si="44"/>
        <v>0</v>
      </c>
      <c r="CT37" s="3">
        <f t="shared" si="45"/>
        <v>5917.88</v>
      </c>
      <c r="CU37" s="3">
        <f t="shared" si="46"/>
        <v>0</v>
      </c>
      <c r="CV37" s="3">
        <f t="shared" si="47"/>
        <v>9.0460799999999981</v>
      </c>
      <c r="CW37" s="3">
        <f t="shared" si="48"/>
        <v>0</v>
      </c>
      <c r="CX37" s="3">
        <f t="shared" si="49"/>
        <v>0</v>
      </c>
      <c r="CY37" s="3">
        <f t="shared" si="50"/>
        <v>372.75</v>
      </c>
      <c r="CZ37" s="3">
        <f t="shared" si="51"/>
        <v>190.52</v>
      </c>
      <c r="DB37" s="3">
        <v>19</v>
      </c>
      <c r="DC37" s="3" t="s">
        <v>3</v>
      </c>
      <c r="DD37" s="3" t="s">
        <v>24</v>
      </c>
      <c r="DE37" s="3" t="s">
        <v>25</v>
      </c>
      <c r="DF37" s="3" t="s">
        <v>25</v>
      </c>
      <c r="DG37" s="3" t="s">
        <v>25</v>
      </c>
      <c r="DH37" s="3" t="s">
        <v>3</v>
      </c>
      <c r="DI37" s="3" t="s">
        <v>25</v>
      </c>
      <c r="DJ37" s="3" t="s">
        <v>25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1010</v>
      </c>
      <c r="DV37" s="3" t="s">
        <v>49</v>
      </c>
      <c r="DW37" s="3" t="s">
        <v>49</v>
      </c>
      <c r="DX37" s="3">
        <v>100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55393700</v>
      </c>
      <c r="EF37" s="3">
        <v>40</v>
      </c>
      <c r="EG37" s="3" t="s">
        <v>26</v>
      </c>
      <c r="EH37" s="3">
        <v>0</v>
      </c>
      <c r="EI37" s="3" t="s">
        <v>3</v>
      </c>
      <c r="EJ37" s="3">
        <v>2</v>
      </c>
      <c r="EK37" s="3">
        <v>68</v>
      </c>
      <c r="EL37" s="3" t="s">
        <v>35</v>
      </c>
      <c r="EM37" s="3" t="s">
        <v>36</v>
      </c>
      <c r="EO37" s="3" t="s">
        <v>29</v>
      </c>
      <c r="EQ37" s="3">
        <v>0</v>
      </c>
      <c r="ER37" s="3">
        <v>364.24</v>
      </c>
      <c r="ES37" s="3">
        <v>85.6</v>
      </c>
      <c r="ET37" s="3">
        <v>0</v>
      </c>
      <c r="EU37" s="3">
        <v>0</v>
      </c>
      <c r="EV37" s="3">
        <v>278.64</v>
      </c>
      <c r="EW37" s="3">
        <v>24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-1053927933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977.44</v>
      </c>
      <c r="GN37" s="3">
        <f t="shared" si="54"/>
        <v>0</v>
      </c>
      <c r="GO37" s="3">
        <f t="shared" si="55"/>
        <v>977.44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ROW(SmtRes!A71)</f>
        <v>71</v>
      </c>
      <c r="D38" s="2">
        <f>ROW(EtalonRes!A81)</f>
        <v>81</v>
      </c>
      <c r="E38" s="2" t="s">
        <v>51</v>
      </c>
      <c r="F38" s="2" t="s">
        <v>52</v>
      </c>
      <c r="G38" s="2" t="s">
        <v>53</v>
      </c>
      <c r="H38" s="2" t="s">
        <v>49</v>
      </c>
      <c r="I38" s="2">
        <f>ROUND(6/100,9)</f>
        <v>0.06</v>
      </c>
      <c r="J38" s="2">
        <v>0</v>
      </c>
      <c r="K38" s="2">
        <f>ROUND(6/100,9)</f>
        <v>0.06</v>
      </c>
      <c r="L38" s="2"/>
      <c r="M38" s="2"/>
      <c r="N38" s="2"/>
      <c r="O38" s="2">
        <f t="shared" si="21"/>
        <v>4.5</v>
      </c>
      <c r="P38" s="2">
        <f t="shared" si="22"/>
        <v>0</v>
      </c>
      <c r="Q38" s="2">
        <f>(ROUND((ROUND((((ET38*1.2))*AV38*I38),2)*BB38),2)+ROUND((ROUND(((AE38-((EU38*1.2)))*AV38*I38),2)*BS38),2))</f>
        <v>0</v>
      </c>
      <c r="R38" s="2">
        <f>(ROUND((ROUND((((EU38*1.2))*AV38*I38),2)*BS38),2)+ROUND((ROUND(((AE38-((EU38*1.2)))*AV38*I38),2)*BS38),2))</f>
        <v>0</v>
      </c>
      <c r="S38" s="2">
        <f t="shared" si="25"/>
        <v>4.5</v>
      </c>
      <c r="T38" s="2">
        <f t="shared" si="26"/>
        <v>0</v>
      </c>
      <c r="U38" s="2">
        <f t="shared" si="27"/>
        <v>0.44024256</v>
      </c>
      <c r="V38" s="2">
        <f t="shared" si="28"/>
        <v>0</v>
      </c>
      <c r="W38" s="2">
        <f t="shared" si="29"/>
        <v>0</v>
      </c>
      <c r="X38" s="2">
        <f>(ROUND((((S38+ROUND((ROUND((((EU38*1.2))*AV38*I38),2)*BS38),2))*AT38)/100),2)+ROUND(((ROUND((ROUND(((AE38-((EU38*1.2)))*AV38*I38),2)*BS38),2)*AT38)/100),2))</f>
        <v>4.0999999999999996</v>
      </c>
      <c r="Y38" s="2">
        <f>(ROUND((((S38+ROUND((ROUND((((EU38*1.2))*AV38*I38),2)*BS38),2))*AU38)/100),2)+ROUND(((ROUND((ROUND(((AE38-((EU38*1.2)))*AV38*I38),2)*BS38),2)*AU38)/100),2))</f>
        <v>2.16</v>
      </c>
      <c r="Z38" s="2"/>
      <c r="AA38" s="2">
        <v>55917797</v>
      </c>
      <c r="AB38" s="2">
        <f t="shared" si="32"/>
        <v>71.616</v>
      </c>
      <c r="AC38" s="2">
        <f>ROUND(((ES38*1)),6)</f>
        <v>0</v>
      </c>
      <c r="AD38" s="2">
        <f>ROUND(((((ET38*1.2))-((EU38*1.2)))+AE38),6)</f>
        <v>0</v>
      </c>
      <c r="AE38" s="2">
        <f>ROUND(((EU38*1.2)),6)</f>
        <v>0</v>
      </c>
      <c r="AF38" s="2">
        <f>ROUND(((EV38*1.2)),6)</f>
        <v>71.616</v>
      </c>
      <c r="AG38" s="2">
        <f t="shared" si="37"/>
        <v>0</v>
      </c>
      <c r="AH38" s="2">
        <f>((EW38*1.2))</f>
        <v>7.008</v>
      </c>
      <c r="AI38" s="2">
        <f>((EX38*1.2))</f>
        <v>0</v>
      </c>
      <c r="AJ38" s="2">
        <f t="shared" si="40"/>
        <v>0</v>
      </c>
      <c r="AK38" s="2">
        <v>59.68</v>
      </c>
      <c r="AL38" s="2">
        <v>0</v>
      </c>
      <c r="AM38" s="2">
        <v>0</v>
      </c>
      <c r="AN38" s="2">
        <v>0</v>
      </c>
      <c r="AO38" s="2">
        <v>59.68</v>
      </c>
      <c r="AP38" s="2">
        <v>0</v>
      </c>
      <c r="AQ38" s="2">
        <v>5.84</v>
      </c>
      <c r="AR38" s="2">
        <v>0</v>
      </c>
      <c r="AS38" s="2">
        <v>0</v>
      </c>
      <c r="AT38" s="2">
        <v>91</v>
      </c>
      <c r="AU38" s="2">
        <v>48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54</v>
      </c>
      <c r="BK38" s="2"/>
      <c r="BL38" s="2"/>
      <c r="BM38" s="2">
        <v>106</v>
      </c>
      <c r="BN38" s="2">
        <v>0</v>
      </c>
      <c r="BO38" s="2" t="s">
        <v>52</v>
      </c>
      <c r="BP38" s="2">
        <v>1</v>
      </c>
      <c r="BQ38" s="2">
        <v>60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91</v>
      </c>
      <c r="CA38" s="2">
        <v>48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618</v>
      </c>
      <c r="CO38" s="2">
        <v>0</v>
      </c>
      <c r="CP38" s="2">
        <f t="shared" si="41"/>
        <v>4.5</v>
      </c>
      <c r="CQ38" s="2">
        <f t="shared" si="42"/>
        <v>0</v>
      </c>
      <c r="CR38" s="2">
        <f>(ROUND((ROUND((((ET38*1.2))*AV38*1),2)*BB38),2)+ROUND((ROUND(((AE38-((EU38*1.2)))*AV38*1),2)*BS38),2))</f>
        <v>0</v>
      </c>
      <c r="CS38" s="2">
        <f>(ROUND((ROUND((((EU38*1.2))*AV38*1),2)*BS38),2)+ROUND((ROUND(((AE38-((EU38*1.2)))*AV38*1),2)*BS38),2))</f>
        <v>0</v>
      </c>
      <c r="CT38" s="2">
        <f t="shared" si="45"/>
        <v>74.98</v>
      </c>
      <c r="CU38" s="2">
        <f t="shared" si="46"/>
        <v>0</v>
      </c>
      <c r="CV38" s="2">
        <f t="shared" si="47"/>
        <v>7.3373759999999999</v>
      </c>
      <c r="CW38" s="2">
        <f t="shared" si="48"/>
        <v>0</v>
      </c>
      <c r="CX38" s="2">
        <f t="shared" si="49"/>
        <v>0</v>
      </c>
      <c r="CY38" s="2">
        <f>(ROUND((((S38+ROUND((ROUND((((EU38*1.2))*AV38*1),2)*BS38),2))*AT38)/100),2)+ROUND(((ROUND((ROUND(((AE38-((EU38*1.2)))*AV38*1),2)*BS38),2)*AT38)/100),2))</f>
        <v>4.0999999999999996</v>
      </c>
      <c r="CZ38" s="2">
        <f>(ROUND((((S38+ROUND((ROUND((((EU38*1.2))*AV38*1),2)*BS38),2))*AU38)/100),2)+ROUND(((ROUND((ROUND(((AE38-((EU38*1.2)))*AV38*1),2)*BS38),2)*AU38)/100),2))</f>
        <v>2.16</v>
      </c>
      <c r="DA38" s="2"/>
      <c r="DB38" s="2">
        <v>21</v>
      </c>
      <c r="DC38" s="2" t="s">
        <v>3</v>
      </c>
      <c r="DD38" s="2" t="s">
        <v>55</v>
      </c>
      <c r="DE38" s="2" t="s">
        <v>56</v>
      </c>
      <c r="DF38" s="2" t="s">
        <v>56</v>
      </c>
      <c r="DG38" s="2" t="s">
        <v>56</v>
      </c>
      <c r="DH38" s="2" t="s">
        <v>3</v>
      </c>
      <c r="DI38" s="2" t="s">
        <v>56</v>
      </c>
      <c r="DJ38" s="2" t="s">
        <v>56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49</v>
      </c>
      <c r="DW38" s="2" t="s">
        <v>49</v>
      </c>
      <c r="DX38" s="2">
        <v>100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55393738</v>
      </c>
      <c r="EF38" s="2">
        <v>60</v>
      </c>
      <c r="EG38" s="2" t="s">
        <v>57</v>
      </c>
      <c r="EH38" s="2">
        <v>0</v>
      </c>
      <c r="EI38" s="2" t="s">
        <v>3</v>
      </c>
      <c r="EJ38" s="2">
        <v>1</v>
      </c>
      <c r="EK38" s="2">
        <v>106</v>
      </c>
      <c r="EL38" s="2" t="s">
        <v>58</v>
      </c>
      <c r="EM38" s="2" t="s">
        <v>59</v>
      </c>
      <c r="EN38" s="2"/>
      <c r="EO38" s="2" t="s">
        <v>60</v>
      </c>
      <c r="EP38" s="2"/>
      <c r="EQ38" s="2">
        <v>0</v>
      </c>
      <c r="ER38" s="2">
        <v>59.68</v>
      </c>
      <c r="ES38" s="2">
        <v>0</v>
      </c>
      <c r="ET38" s="2">
        <v>0</v>
      </c>
      <c r="EU38" s="2">
        <v>0</v>
      </c>
      <c r="EV38" s="2">
        <v>59.68</v>
      </c>
      <c r="EW38" s="2">
        <v>5.84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91</v>
      </c>
      <c r="FY38" s="2">
        <v>48</v>
      </c>
      <c r="FZ38" s="2"/>
      <c r="GA38" s="2" t="s">
        <v>3</v>
      </c>
      <c r="GB38" s="2"/>
      <c r="GC38" s="2"/>
      <c r="GD38" s="2">
        <v>1</v>
      </c>
      <c r="GE38" s="2"/>
      <c r="GF38" s="2">
        <v>1478850760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10.76</v>
      </c>
      <c r="GN38" s="2">
        <f t="shared" si="54"/>
        <v>10.76</v>
      </c>
      <c r="GO38" s="2">
        <f t="shared" si="55"/>
        <v>0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ROW(SmtRes!A72)</f>
        <v>72</v>
      </c>
      <c r="D39" s="3">
        <f>ROW(EtalonRes!A82)</f>
        <v>82</v>
      </c>
      <c r="E39" s="3" t="s">
        <v>51</v>
      </c>
      <c r="F39" s="3" t="s">
        <v>52</v>
      </c>
      <c r="G39" s="3" t="s">
        <v>53</v>
      </c>
      <c r="H39" s="3" t="s">
        <v>49</v>
      </c>
      <c r="I39" s="3">
        <f>ROUND(6/100,9)</f>
        <v>0.06</v>
      </c>
      <c r="J39" s="3">
        <v>0</v>
      </c>
      <c r="K39" s="3">
        <f>ROUND(6/100,9)</f>
        <v>0.06</v>
      </c>
      <c r="O39" s="3">
        <f t="shared" si="21"/>
        <v>253.58</v>
      </c>
      <c r="P39" s="3">
        <f t="shared" si="22"/>
        <v>0</v>
      </c>
      <c r="Q39" s="3">
        <f>(ROUND((ROUND((((ET39*1.2))*AV39*I39),2)*BB39),2)+ROUND((ROUND(((AE39-((EU39*1.2)))*AV39*I39),2)*BS39),2))</f>
        <v>0</v>
      </c>
      <c r="R39" s="3">
        <f>(ROUND((ROUND((((EU39*1.2))*AV39*I39),2)*BS39),2)+ROUND((ROUND(((AE39-((EU39*1.2)))*AV39*I39),2)*BS39),2))</f>
        <v>0</v>
      </c>
      <c r="S39" s="3">
        <f t="shared" si="25"/>
        <v>253.58</v>
      </c>
      <c r="T39" s="3">
        <f t="shared" si="26"/>
        <v>0</v>
      </c>
      <c r="U39" s="3">
        <f t="shared" si="27"/>
        <v>0.44024256</v>
      </c>
      <c r="V39" s="3">
        <f t="shared" si="28"/>
        <v>0</v>
      </c>
      <c r="W39" s="3">
        <f t="shared" si="29"/>
        <v>0</v>
      </c>
      <c r="X39" s="3">
        <f>(ROUND((((S39+ROUND((ROUND((((EU39*1.2))*AV39*I39),2)*BS39),2))*AT39)/100),2)+ROUND(((ROUND((ROUND(((AE39-((EU39*1.2)))*AV39*I39),2)*BS39),2)*AT39)/100),2))</f>
        <v>230.76</v>
      </c>
      <c r="Y39" s="3">
        <f>(ROUND((((S39+ROUND((ROUND((((EU39*1.2))*AV39*I39),2)*BS39),2))*AU39)/100),2)+ROUND(((ROUND((ROUND(((AE39-((EU39*1.2)))*AV39*I39),2)*BS39),2)*AU39)/100),2))</f>
        <v>121.72</v>
      </c>
      <c r="AA39" s="3">
        <v>55917799</v>
      </c>
      <c r="AB39" s="3">
        <f t="shared" si="32"/>
        <v>71.616</v>
      </c>
      <c r="AC39" s="3">
        <f>ROUND(((ES39*1)),6)</f>
        <v>0</v>
      </c>
      <c r="AD39" s="3">
        <f>ROUND(((((ET39*1.2))-((EU39*1.2)))+AE39),6)</f>
        <v>0</v>
      </c>
      <c r="AE39" s="3">
        <f>ROUND(((EU39*1.2)),6)</f>
        <v>0</v>
      </c>
      <c r="AF39" s="3">
        <f>ROUND(((EV39*1.2)),6)</f>
        <v>71.616</v>
      </c>
      <c r="AG39" s="3">
        <f t="shared" si="37"/>
        <v>0</v>
      </c>
      <c r="AH39" s="3">
        <f>((EW39*1.2))</f>
        <v>7.008</v>
      </c>
      <c r="AI39" s="3">
        <f>((EX39*1.2))</f>
        <v>0</v>
      </c>
      <c r="AJ39" s="3">
        <f t="shared" si="40"/>
        <v>0</v>
      </c>
      <c r="AK39" s="3">
        <v>59.68</v>
      </c>
      <c r="AL39" s="3">
        <v>0</v>
      </c>
      <c r="AM39" s="3">
        <v>0</v>
      </c>
      <c r="AN39" s="3">
        <v>0</v>
      </c>
      <c r="AO39" s="3">
        <v>59.68</v>
      </c>
      <c r="AP39" s="3">
        <v>0</v>
      </c>
      <c r="AQ39" s="3">
        <v>5.84</v>
      </c>
      <c r="AR39" s="3">
        <v>0</v>
      </c>
      <c r="AS39" s="3">
        <v>0</v>
      </c>
      <c r="AT39" s="3">
        <v>91</v>
      </c>
      <c r="AU39" s="3">
        <v>48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</v>
      </c>
      <c r="BC39" s="3">
        <v>1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1</v>
      </c>
      <c r="BJ39" s="3" t="s">
        <v>54</v>
      </c>
      <c r="BM39" s="3">
        <v>106</v>
      </c>
      <c r="BN39" s="3">
        <v>0</v>
      </c>
      <c r="BO39" s="3" t="s">
        <v>52</v>
      </c>
      <c r="BP39" s="3">
        <v>1</v>
      </c>
      <c r="BQ39" s="3">
        <v>60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91</v>
      </c>
      <c r="CA39" s="3">
        <v>48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618</v>
      </c>
      <c r="CO39" s="3">
        <v>0</v>
      </c>
      <c r="CP39" s="3">
        <f t="shared" si="41"/>
        <v>253.58</v>
      </c>
      <c r="CQ39" s="3">
        <f t="shared" si="42"/>
        <v>0</v>
      </c>
      <c r="CR39" s="3">
        <f>(ROUND((ROUND((((ET39*1.2))*AV39*1),2)*BB39),2)+ROUND((ROUND(((AE39-((EU39*1.2)))*AV39*1),2)*BS39),2))</f>
        <v>0</v>
      </c>
      <c r="CS39" s="3">
        <f>(ROUND((ROUND((((EU39*1.2))*AV39*1),2)*BS39),2)+ROUND((ROUND(((AE39-((EU39*1.2)))*AV39*1),2)*BS39),2))</f>
        <v>0</v>
      </c>
      <c r="CT39" s="3">
        <f t="shared" si="45"/>
        <v>4225.12</v>
      </c>
      <c r="CU39" s="3">
        <f t="shared" si="46"/>
        <v>0</v>
      </c>
      <c r="CV39" s="3">
        <f t="shared" si="47"/>
        <v>7.3373759999999999</v>
      </c>
      <c r="CW39" s="3">
        <f t="shared" si="48"/>
        <v>0</v>
      </c>
      <c r="CX39" s="3">
        <f t="shared" si="49"/>
        <v>0</v>
      </c>
      <c r="CY39" s="3">
        <f>(ROUND((((S39+ROUND((ROUND((((EU39*1.2))*AV39*1),2)*BS39),2))*AT39)/100),2)+ROUND(((ROUND((ROUND(((AE39-((EU39*1.2)))*AV39*1),2)*BS39),2)*AT39)/100),2))</f>
        <v>230.76</v>
      </c>
      <c r="CZ39" s="3">
        <f>(ROUND((((S39+ROUND((ROUND((((EU39*1.2))*AV39*1),2)*BS39),2))*AU39)/100),2)+ROUND(((ROUND((ROUND(((AE39-((EU39*1.2)))*AV39*1),2)*BS39),2)*AU39)/100),2))</f>
        <v>121.72</v>
      </c>
      <c r="DB39" s="3">
        <v>22</v>
      </c>
      <c r="DC39" s="3" t="s">
        <v>3</v>
      </c>
      <c r="DD39" s="3" t="s">
        <v>55</v>
      </c>
      <c r="DE39" s="3" t="s">
        <v>56</v>
      </c>
      <c r="DF39" s="3" t="s">
        <v>56</v>
      </c>
      <c r="DG39" s="3" t="s">
        <v>56</v>
      </c>
      <c r="DH39" s="3" t="s">
        <v>3</v>
      </c>
      <c r="DI39" s="3" t="s">
        <v>56</v>
      </c>
      <c r="DJ39" s="3" t="s">
        <v>56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1010</v>
      </c>
      <c r="DV39" s="3" t="s">
        <v>49</v>
      </c>
      <c r="DW39" s="3" t="s">
        <v>49</v>
      </c>
      <c r="DX39" s="3">
        <v>100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55393738</v>
      </c>
      <c r="EF39" s="3">
        <v>60</v>
      </c>
      <c r="EG39" s="3" t="s">
        <v>57</v>
      </c>
      <c r="EH39" s="3">
        <v>0</v>
      </c>
      <c r="EI39" s="3" t="s">
        <v>3</v>
      </c>
      <c r="EJ39" s="3">
        <v>1</v>
      </c>
      <c r="EK39" s="3">
        <v>106</v>
      </c>
      <c r="EL39" s="3" t="s">
        <v>58</v>
      </c>
      <c r="EM39" s="3" t="s">
        <v>59</v>
      </c>
      <c r="EO39" s="3" t="s">
        <v>60</v>
      </c>
      <c r="EQ39" s="3">
        <v>0</v>
      </c>
      <c r="ER39" s="3">
        <v>59.68</v>
      </c>
      <c r="ES39" s="3">
        <v>0</v>
      </c>
      <c r="ET39" s="3">
        <v>0</v>
      </c>
      <c r="EU39" s="3">
        <v>0</v>
      </c>
      <c r="EV39" s="3">
        <v>59.68</v>
      </c>
      <c r="EW39" s="3">
        <v>5.84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91</v>
      </c>
      <c r="FY39" s="3">
        <v>48</v>
      </c>
      <c r="GA39" s="3" t="s">
        <v>3</v>
      </c>
      <c r="GD39" s="3">
        <v>1</v>
      </c>
      <c r="GF39" s="3">
        <v>1478850760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606.05999999999995</v>
      </c>
      <c r="GN39" s="3">
        <f t="shared" si="54"/>
        <v>606.05999999999995</v>
      </c>
      <c r="GO39" s="3">
        <f t="shared" si="55"/>
        <v>0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ROW(SmtRes!A74)</f>
        <v>74</v>
      </c>
      <c r="D40" s="2">
        <f>ROW(EtalonRes!A85)</f>
        <v>85</v>
      </c>
      <c r="E40" s="2" t="s">
        <v>61</v>
      </c>
      <c r="F40" s="2" t="s">
        <v>62</v>
      </c>
      <c r="G40" s="2" t="s">
        <v>63</v>
      </c>
      <c r="H40" s="2" t="s">
        <v>33</v>
      </c>
      <c r="I40" s="2">
        <v>6</v>
      </c>
      <c r="J40" s="2">
        <v>0</v>
      </c>
      <c r="K40" s="2">
        <v>6</v>
      </c>
      <c r="L40" s="2"/>
      <c r="M40" s="2"/>
      <c r="N40" s="2"/>
      <c r="O40" s="2">
        <f t="shared" si="21"/>
        <v>56.13</v>
      </c>
      <c r="P40" s="2">
        <f t="shared" si="22"/>
        <v>0</v>
      </c>
      <c r="Q40" s="2">
        <f t="shared" ref="Q40:Q51" si="60">(ROUND((ROUND(((((ET40*1.2)*0.3))*AV40*I40),2)*BB40),2)+ROUND((ROUND(((AE40-(((EU40*1.2)*0.3)))*AV40*I40),2)*BS40),2))</f>
        <v>30.08</v>
      </c>
      <c r="R40" s="2">
        <f t="shared" ref="R40:R51" si="61">(ROUND((ROUND(((((EU40*1.2)*0.3))*AV40*I40),2)*BS40),2)+ROUND((ROUND(((AE40-(((EU40*1.2)*0.3)))*AV40*I40),2)*BS40),2))</f>
        <v>4.57</v>
      </c>
      <c r="S40" s="2">
        <f t="shared" si="25"/>
        <v>26.05</v>
      </c>
      <c r="T40" s="2">
        <f t="shared" si="26"/>
        <v>0</v>
      </c>
      <c r="U40" s="2">
        <f t="shared" si="27"/>
        <v>2.3293655999999996</v>
      </c>
      <c r="V40" s="2">
        <f t="shared" si="28"/>
        <v>0</v>
      </c>
      <c r="W40" s="2">
        <f t="shared" si="29"/>
        <v>0</v>
      </c>
      <c r="X40" s="2">
        <f t="shared" ref="X40:X51" si="62">(ROUND((((S40+ROUND((ROUND(((((EU40*1.2)*0.3))*AV40*I40),2)*BS40),2))*AT40)/100),2)+ROUND(((ROUND((ROUND(((AE40-(((EU40*1.2)*0.3)))*AV40*I40),2)*BS40),2)*AT40)/100),2))</f>
        <v>27.56</v>
      </c>
      <c r="Y40" s="2">
        <f t="shared" ref="Y40:Y51" si="63">(ROUND((((S40+ROUND((ROUND(((((EU40*1.2)*0.3))*AV40*I40),2)*BS40),2))*AU40)/100),2)+ROUND(((ROUND((ROUND(((AE40-(((EU40*1.2)*0.3)))*AV40*I40),2)*BS40),2)*AU40)/100),2))</f>
        <v>14.09</v>
      </c>
      <c r="Z40" s="2"/>
      <c r="AA40" s="2">
        <v>55917797</v>
      </c>
      <c r="AB40" s="2">
        <f t="shared" si="32"/>
        <v>8.9352</v>
      </c>
      <c r="AC40" s="2">
        <f t="shared" ref="AC40:AC51" si="64">ROUND((((ES40*1)*0)),6)</f>
        <v>0</v>
      </c>
      <c r="AD40" s="2">
        <f t="shared" ref="AD40:AD51" si="65">ROUND((((((ET40*1.2)*0.3))-(((EU40*1.2)*0.3)))+AE40),6)</f>
        <v>4.7880000000000003</v>
      </c>
      <c r="AE40" s="2">
        <f t="shared" ref="AE40:AE51" si="66">ROUND((((EU40*1.2)*0.3)),6)</f>
        <v>0.72719999999999996</v>
      </c>
      <c r="AF40" s="2">
        <f t="shared" ref="AF40:AF51" si="67">ROUND((((EV40*1.2)*0.3)),6)</f>
        <v>4.1471999999999998</v>
      </c>
      <c r="AG40" s="2">
        <f t="shared" si="37"/>
        <v>0</v>
      </c>
      <c r="AH40" s="2">
        <f t="shared" ref="AH40:AH51" si="68">(((EW40*1.2)*0.3))</f>
        <v>0.37079999999999996</v>
      </c>
      <c r="AI40" s="2">
        <f t="shared" ref="AI40:AI51" si="69">(((EX40*1.2)*0.3))</f>
        <v>0</v>
      </c>
      <c r="AJ40" s="2">
        <f t="shared" si="40"/>
        <v>0</v>
      </c>
      <c r="AK40" s="2">
        <v>24.82</v>
      </c>
      <c r="AL40" s="2">
        <v>0</v>
      </c>
      <c r="AM40" s="2">
        <v>13.3</v>
      </c>
      <c r="AN40" s="2">
        <v>2.02</v>
      </c>
      <c r="AO40" s="2">
        <v>11.52</v>
      </c>
      <c r="AP40" s="2">
        <v>0</v>
      </c>
      <c r="AQ40" s="2">
        <v>1.03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64</v>
      </c>
      <c r="BK40" s="2"/>
      <c r="BL40" s="2"/>
      <c r="BM40" s="2">
        <v>72</v>
      </c>
      <c r="BN40" s="2">
        <v>0</v>
      </c>
      <c r="BO40" s="2" t="s">
        <v>62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617</v>
      </c>
      <c r="CO40" s="2">
        <v>0</v>
      </c>
      <c r="CP40" s="2">
        <f t="shared" si="41"/>
        <v>56.129999999999995</v>
      </c>
      <c r="CQ40" s="2">
        <f t="shared" si="42"/>
        <v>0</v>
      </c>
      <c r="CR40" s="2">
        <f t="shared" ref="CR40:CR51" si="70">(ROUND((ROUND(((((ET40*1.2)*0.3))*AV40*1),2)*BB40),2)+ROUND((ROUND(((AE40-(((EU40*1.2)*0.3)))*AV40*1),2)*BS40),2))</f>
        <v>5.01</v>
      </c>
      <c r="CS40" s="2">
        <f t="shared" ref="CS40:CS51" si="71">(ROUND((ROUND(((((EU40*1.2)*0.3))*AV40*1),2)*BS40),2)+ROUND((ROUND(((AE40-(((EU40*1.2)*0.3)))*AV40*1),2)*BS40),2))</f>
        <v>0.76</v>
      </c>
      <c r="CT40" s="2">
        <f t="shared" si="45"/>
        <v>4.34</v>
      </c>
      <c r="CU40" s="2">
        <f t="shared" si="46"/>
        <v>0</v>
      </c>
      <c r="CV40" s="2">
        <f t="shared" si="47"/>
        <v>0.38822759999999995</v>
      </c>
      <c r="CW40" s="2">
        <f t="shared" si="48"/>
        <v>0</v>
      </c>
      <c r="CX40" s="2">
        <f t="shared" si="49"/>
        <v>0</v>
      </c>
      <c r="CY40" s="2">
        <f t="shared" ref="CY40:CY51" si="72">(ROUND((((S40+ROUND((ROUND(((((EU40*1.2)*0.3))*AV40*1),2)*BS40),2))*AT40)/100),2)+ROUND(((ROUND((ROUND(((AE40-(((EU40*1.2)*0.3)))*AV40*1),2)*BS40),2)*AT40)/100),2))</f>
        <v>24.13</v>
      </c>
      <c r="CZ40" s="2">
        <f t="shared" ref="CZ40:CZ51" si="73">(ROUND((((S40+ROUND((ROUND(((((EU40*1.2)*0.3))*AV40*1),2)*BS40),2))*AU40)/100),2)+ROUND(((ROUND((ROUND(((AE40-(((EU40*1.2)*0.3)))*AV40*1),2)*BS40),2)*AU40)/100),2))</f>
        <v>12.33</v>
      </c>
      <c r="DA40" s="2"/>
      <c r="DB40" s="2">
        <v>23</v>
      </c>
      <c r="DC40" s="2" t="s">
        <v>3</v>
      </c>
      <c r="DD40" s="2" t="s">
        <v>24</v>
      </c>
      <c r="DE40" s="2" t="s">
        <v>25</v>
      </c>
      <c r="DF40" s="2" t="s">
        <v>25</v>
      </c>
      <c r="DG40" s="2" t="s">
        <v>25</v>
      </c>
      <c r="DH40" s="2" t="s">
        <v>3</v>
      </c>
      <c r="DI40" s="2" t="s">
        <v>25</v>
      </c>
      <c r="DJ40" s="2" t="s">
        <v>25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33</v>
      </c>
      <c r="DW40" s="2" t="s">
        <v>33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55393704</v>
      </c>
      <c r="EF40" s="2">
        <v>40</v>
      </c>
      <c r="EG40" s="2" t="s">
        <v>26</v>
      </c>
      <c r="EH40" s="2">
        <v>0</v>
      </c>
      <c r="EI40" s="2" t="s">
        <v>3</v>
      </c>
      <c r="EJ40" s="2">
        <v>2</v>
      </c>
      <c r="EK40" s="2">
        <v>72</v>
      </c>
      <c r="EL40" s="2" t="s">
        <v>65</v>
      </c>
      <c r="EM40" s="2" t="s">
        <v>66</v>
      </c>
      <c r="EN40" s="2"/>
      <c r="EO40" s="2" t="s">
        <v>29</v>
      </c>
      <c r="EP40" s="2"/>
      <c r="EQ40" s="2">
        <v>0</v>
      </c>
      <c r="ER40" s="2">
        <v>24.82</v>
      </c>
      <c r="ES40" s="2">
        <v>0</v>
      </c>
      <c r="ET40" s="2">
        <v>13.3</v>
      </c>
      <c r="EU40" s="2">
        <v>2.02</v>
      </c>
      <c r="EV40" s="2">
        <v>11.52</v>
      </c>
      <c r="EW40" s="2">
        <v>1.03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381958606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97.78</v>
      </c>
      <c r="GN40" s="2">
        <f t="shared" si="54"/>
        <v>0</v>
      </c>
      <c r="GO40" s="2">
        <f t="shared" si="55"/>
        <v>97.78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ROW(SmtRes!A76)</f>
        <v>76</v>
      </c>
      <c r="D41" s="3">
        <f>ROW(EtalonRes!A88)</f>
        <v>88</v>
      </c>
      <c r="E41" s="3" t="s">
        <v>61</v>
      </c>
      <c r="F41" s="3" t="s">
        <v>62</v>
      </c>
      <c r="G41" s="3" t="s">
        <v>63</v>
      </c>
      <c r="H41" s="3" t="s">
        <v>33</v>
      </c>
      <c r="I41" s="3">
        <v>6</v>
      </c>
      <c r="J41" s="3">
        <v>0</v>
      </c>
      <c r="K41" s="3">
        <v>6</v>
      </c>
      <c r="O41" s="3">
        <f t="shared" si="21"/>
        <v>1981.08</v>
      </c>
      <c r="P41" s="3">
        <f t="shared" si="22"/>
        <v>0</v>
      </c>
      <c r="Q41" s="3">
        <f t="shared" si="60"/>
        <v>513.16</v>
      </c>
      <c r="R41" s="3">
        <f t="shared" si="61"/>
        <v>257.52</v>
      </c>
      <c r="S41" s="3">
        <f t="shared" si="25"/>
        <v>1467.92</v>
      </c>
      <c r="T41" s="3">
        <f t="shared" si="26"/>
        <v>0</v>
      </c>
      <c r="U41" s="3">
        <f t="shared" si="27"/>
        <v>2.3293655999999996</v>
      </c>
      <c r="V41" s="3">
        <f t="shared" si="28"/>
        <v>0</v>
      </c>
      <c r="W41" s="3">
        <f t="shared" si="29"/>
        <v>0</v>
      </c>
      <c r="X41" s="3">
        <f t="shared" si="62"/>
        <v>1552.9</v>
      </c>
      <c r="Y41" s="3">
        <f t="shared" si="63"/>
        <v>793.7</v>
      </c>
      <c r="AA41" s="3">
        <v>55917799</v>
      </c>
      <c r="AB41" s="3">
        <f t="shared" si="32"/>
        <v>8.9352</v>
      </c>
      <c r="AC41" s="3">
        <f t="shared" si="64"/>
        <v>0</v>
      </c>
      <c r="AD41" s="3">
        <f t="shared" si="65"/>
        <v>4.7880000000000003</v>
      </c>
      <c r="AE41" s="3">
        <f t="shared" si="66"/>
        <v>0.72719999999999996</v>
      </c>
      <c r="AF41" s="3">
        <f t="shared" si="67"/>
        <v>4.1471999999999998</v>
      </c>
      <c r="AG41" s="3">
        <f t="shared" si="37"/>
        <v>0</v>
      </c>
      <c r="AH41" s="3">
        <f t="shared" si="68"/>
        <v>0.37079999999999996</v>
      </c>
      <c r="AI41" s="3">
        <f t="shared" si="69"/>
        <v>0</v>
      </c>
      <c r="AJ41" s="3">
        <f t="shared" si="40"/>
        <v>0</v>
      </c>
      <c r="AK41" s="3">
        <v>24.82</v>
      </c>
      <c r="AL41" s="3">
        <v>0</v>
      </c>
      <c r="AM41" s="3">
        <v>13.3</v>
      </c>
      <c r="AN41" s="3">
        <v>2.02</v>
      </c>
      <c r="AO41" s="3">
        <v>11.52</v>
      </c>
      <c r="AP41" s="3">
        <v>0</v>
      </c>
      <c r="AQ41" s="3">
        <v>1.03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17.059999999999999</v>
      </c>
      <c r="BC41" s="3">
        <v>1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64</v>
      </c>
      <c r="BM41" s="3">
        <v>72</v>
      </c>
      <c r="BN41" s="3">
        <v>0</v>
      </c>
      <c r="BO41" s="3" t="s">
        <v>62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617</v>
      </c>
      <c r="CO41" s="3">
        <v>0</v>
      </c>
      <c r="CP41" s="3">
        <f t="shared" si="41"/>
        <v>1981.08</v>
      </c>
      <c r="CQ41" s="3">
        <f t="shared" si="42"/>
        <v>0</v>
      </c>
      <c r="CR41" s="3">
        <f t="shared" si="70"/>
        <v>85.47</v>
      </c>
      <c r="CS41" s="3">
        <f t="shared" si="71"/>
        <v>42.83</v>
      </c>
      <c r="CT41" s="3">
        <f t="shared" si="45"/>
        <v>244.56</v>
      </c>
      <c r="CU41" s="3">
        <f t="shared" si="46"/>
        <v>0</v>
      </c>
      <c r="CV41" s="3">
        <f t="shared" si="47"/>
        <v>0.38822759999999995</v>
      </c>
      <c r="CW41" s="3">
        <f t="shared" si="48"/>
        <v>0</v>
      </c>
      <c r="CX41" s="3">
        <f t="shared" si="49"/>
        <v>0</v>
      </c>
      <c r="CY41" s="3">
        <f t="shared" si="72"/>
        <v>1359.68</v>
      </c>
      <c r="CZ41" s="3">
        <f t="shared" si="73"/>
        <v>694.95</v>
      </c>
      <c r="DB41" s="3">
        <v>25</v>
      </c>
      <c r="DC41" s="3" t="s">
        <v>3</v>
      </c>
      <c r="DD41" s="3" t="s">
        <v>24</v>
      </c>
      <c r="DE41" s="3" t="s">
        <v>25</v>
      </c>
      <c r="DF41" s="3" t="s">
        <v>25</v>
      </c>
      <c r="DG41" s="3" t="s">
        <v>25</v>
      </c>
      <c r="DH41" s="3" t="s">
        <v>3</v>
      </c>
      <c r="DI41" s="3" t="s">
        <v>25</v>
      </c>
      <c r="DJ41" s="3" t="s">
        <v>25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33</v>
      </c>
      <c r="DW41" s="3" t="s">
        <v>33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55393704</v>
      </c>
      <c r="EF41" s="3">
        <v>40</v>
      </c>
      <c r="EG41" s="3" t="s">
        <v>26</v>
      </c>
      <c r="EH41" s="3">
        <v>0</v>
      </c>
      <c r="EI41" s="3" t="s">
        <v>3</v>
      </c>
      <c r="EJ41" s="3">
        <v>2</v>
      </c>
      <c r="EK41" s="3">
        <v>72</v>
      </c>
      <c r="EL41" s="3" t="s">
        <v>65</v>
      </c>
      <c r="EM41" s="3" t="s">
        <v>66</v>
      </c>
      <c r="EO41" s="3" t="s">
        <v>29</v>
      </c>
      <c r="EQ41" s="3">
        <v>0</v>
      </c>
      <c r="ER41" s="3">
        <v>24.82</v>
      </c>
      <c r="ES41" s="3">
        <v>0</v>
      </c>
      <c r="ET41" s="3">
        <v>13.3</v>
      </c>
      <c r="EU41" s="3">
        <v>2.02</v>
      </c>
      <c r="EV41" s="3">
        <v>11.52</v>
      </c>
      <c r="EW41" s="3">
        <v>1.03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381958606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4327.68</v>
      </c>
      <c r="GN41" s="3">
        <f t="shared" si="54"/>
        <v>0</v>
      </c>
      <c r="GO41" s="3">
        <f t="shared" si="55"/>
        <v>4327.68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ROW(SmtRes!A83)</f>
        <v>83</v>
      </c>
      <c r="D42" s="2">
        <f>ROW(EtalonRes!A96)</f>
        <v>96</v>
      </c>
      <c r="E42" s="2" t="s">
        <v>67</v>
      </c>
      <c r="F42" s="2" t="s">
        <v>68</v>
      </c>
      <c r="G42" s="2" t="s">
        <v>69</v>
      </c>
      <c r="H42" s="2" t="s">
        <v>33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1"/>
        <v>168.66</v>
      </c>
      <c r="P42" s="2">
        <f t="shared" si="22"/>
        <v>0</v>
      </c>
      <c r="Q42" s="2">
        <f t="shared" si="60"/>
        <v>0</v>
      </c>
      <c r="R42" s="2">
        <f t="shared" si="61"/>
        <v>0</v>
      </c>
      <c r="S42" s="2">
        <f t="shared" si="25"/>
        <v>168.66</v>
      </c>
      <c r="T42" s="2">
        <f t="shared" si="26"/>
        <v>0</v>
      </c>
      <c r="U42" s="2">
        <f t="shared" si="27"/>
        <v>12.438359999999999</v>
      </c>
      <c r="V42" s="2">
        <f t="shared" si="28"/>
        <v>0</v>
      </c>
      <c r="W42" s="2">
        <f t="shared" si="29"/>
        <v>0</v>
      </c>
      <c r="X42" s="2">
        <f t="shared" si="62"/>
        <v>160.22999999999999</v>
      </c>
      <c r="Y42" s="2">
        <f t="shared" si="63"/>
        <v>89.39</v>
      </c>
      <c r="Z42" s="2"/>
      <c r="AA42" s="2">
        <v>55917797</v>
      </c>
      <c r="AB42" s="2">
        <f t="shared" si="32"/>
        <v>161.09280000000001</v>
      </c>
      <c r="AC42" s="2">
        <f t="shared" si="64"/>
        <v>0</v>
      </c>
      <c r="AD42" s="2">
        <f t="shared" si="65"/>
        <v>0</v>
      </c>
      <c r="AE42" s="2">
        <f t="shared" si="66"/>
        <v>0</v>
      </c>
      <c r="AF42" s="2">
        <f t="shared" si="67"/>
        <v>161.09280000000001</v>
      </c>
      <c r="AG42" s="2">
        <f t="shared" si="37"/>
        <v>0</v>
      </c>
      <c r="AH42" s="2">
        <f t="shared" si="68"/>
        <v>11.88</v>
      </c>
      <c r="AI42" s="2">
        <f t="shared" si="69"/>
        <v>0</v>
      </c>
      <c r="AJ42" s="2">
        <f t="shared" si="40"/>
        <v>0</v>
      </c>
      <c r="AK42" s="2">
        <v>524.23</v>
      </c>
      <c r="AL42" s="2">
        <v>76.75</v>
      </c>
      <c r="AM42" s="2">
        <v>0</v>
      </c>
      <c r="AN42" s="2">
        <v>0</v>
      </c>
      <c r="AO42" s="2">
        <v>447.48</v>
      </c>
      <c r="AP42" s="2">
        <v>0</v>
      </c>
      <c r="AQ42" s="2">
        <v>33</v>
      </c>
      <c r="AR42" s="2">
        <v>0</v>
      </c>
      <c r="AS42" s="2">
        <v>0</v>
      </c>
      <c r="AT42" s="2">
        <v>95</v>
      </c>
      <c r="AU42" s="2">
        <v>53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70</v>
      </c>
      <c r="BK42" s="2"/>
      <c r="BL42" s="2"/>
      <c r="BM42" s="2">
        <v>69</v>
      </c>
      <c r="BN42" s="2">
        <v>0</v>
      </c>
      <c r="BO42" s="2" t="s">
        <v>68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95</v>
      </c>
      <c r="CA42" s="2">
        <v>53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617</v>
      </c>
      <c r="CO42" s="2">
        <v>0</v>
      </c>
      <c r="CP42" s="2">
        <f t="shared" si="41"/>
        <v>168.66</v>
      </c>
      <c r="CQ42" s="2">
        <f t="shared" si="42"/>
        <v>0</v>
      </c>
      <c r="CR42" s="2">
        <f t="shared" si="70"/>
        <v>0</v>
      </c>
      <c r="CS42" s="2">
        <f t="shared" si="71"/>
        <v>0</v>
      </c>
      <c r="CT42" s="2">
        <f t="shared" si="45"/>
        <v>168.66</v>
      </c>
      <c r="CU42" s="2">
        <f t="shared" si="46"/>
        <v>0</v>
      </c>
      <c r="CV42" s="2">
        <f t="shared" si="47"/>
        <v>12.438359999999999</v>
      </c>
      <c r="CW42" s="2">
        <f t="shared" si="48"/>
        <v>0</v>
      </c>
      <c r="CX42" s="2">
        <f t="shared" si="49"/>
        <v>0</v>
      </c>
      <c r="CY42" s="2">
        <f t="shared" si="72"/>
        <v>160.22999999999999</v>
      </c>
      <c r="CZ42" s="2">
        <f t="shared" si="73"/>
        <v>89.39</v>
      </c>
      <c r="DA42" s="2"/>
      <c r="DB42" s="2">
        <v>27</v>
      </c>
      <c r="DC42" s="2" t="s">
        <v>3</v>
      </c>
      <c r="DD42" s="2" t="s">
        <v>24</v>
      </c>
      <c r="DE42" s="2" t="s">
        <v>25</v>
      </c>
      <c r="DF42" s="2" t="s">
        <v>25</v>
      </c>
      <c r="DG42" s="2" t="s">
        <v>25</v>
      </c>
      <c r="DH42" s="2" t="s">
        <v>3</v>
      </c>
      <c r="DI42" s="2" t="s">
        <v>25</v>
      </c>
      <c r="DJ42" s="2" t="s">
        <v>25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33</v>
      </c>
      <c r="DW42" s="2" t="s">
        <v>33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55393701</v>
      </c>
      <c r="EF42" s="2">
        <v>40</v>
      </c>
      <c r="EG42" s="2" t="s">
        <v>26</v>
      </c>
      <c r="EH42" s="2">
        <v>0</v>
      </c>
      <c r="EI42" s="2" t="s">
        <v>3</v>
      </c>
      <c r="EJ42" s="2">
        <v>2</v>
      </c>
      <c r="EK42" s="2">
        <v>69</v>
      </c>
      <c r="EL42" s="2" t="s">
        <v>27</v>
      </c>
      <c r="EM42" s="2" t="s">
        <v>28</v>
      </c>
      <c r="EN42" s="2"/>
      <c r="EO42" s="2" t="s">
        <v>29</v>
      </c>
      <c r="EP42" s="2"/>
      <c r="EQ42" s="2">
        <v>0</v>
      </c>
      <c r="ER42" s="2">
        <v>524.23</v>
      </c>
      <c r="ES42" s="2">
        <v>76.75</v>
      </c>
      <c r="ET42" s="2">
        <v>0</v>
      </c>
      <c r="EU42" s="2">
        <v>0</v>
      </c>
      <c r="EV42" s="2">
        <v>447.48</v>
      </c>
      <c r="EW42" s="2">
        <v>33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95</v>
      </c>
      <c r="FY42" s="2">
        <v>53</v>
      </c>
      <c r="FZ42" s="2"/>
      <c r="GA42" s="2" t="s">
        <v>3</v>
      </c>
      <c r="GB42" s="2"/>
      <c r="GC42" s="2"/>
      <c r="GD42" s="2">
        <v>1</v>
      </c>
      <c r="GE42" s="2"/>
      <c r="GF42" s="2">
        <v>-1787952050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418.28</v>
      </c>
      <c r="GN42" s="2">
        <f t="shared" si="54"/>
        <v>0</v>
      </c>
      <c r="GO42" s="2">
        <f t="shared" si="55"/>
        <v>418.28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ROW(SmtRes!A90)</f>
        <v>90</v>
      </c>
      <c r="D43" s="3">
        <f>ROW(EtalonRes!A104)</f>
        <v>104</v>
      </c>
      <c r="E43" s="3" t="s">
        <v>67</v>
      </c>
      <c r="F43" s="3" t="s">
        <v>68</v>
      </c>
      <c r="G43" s="3" t="s">
        <v>69</v>
      </c>
      <c r="H43" s="3" t="s">
        <v>33</v>
      </c>
      <c r="I43" s="3">
        <v>1</v>
      </c>
      <c r="J43" s="3">
        <v>0</v>
      </c>
      <c r="K43" s="3">
        <v>1</v>
      </c>
      <c r="O43" s="3">
        <f t="shared" si="21"/>
        <v>9503.99</v>
      </c>
      <c r="P43" s="3">
        <f t="shared" si="22"/>
        <v>0</v>
      </c>
      <c r="Q43" s="3">
        <f t="shared" si="60"/>
        <v>0</v>
      </c>
      <c r="R43" s="3">
        <f t="shared" si="61"/>
        <v>0</v>
      </c>
      <c r="S43" s="3">
        <f t="shared" si="25"/>
        <v>9503.99</v>
      </c>
      <c r="T43" s="3">
        <f t="shared" si="26"/>
        <v>0</v>
      </c>
      <c r="U43" s="3">
        <f t="shared" si="27"/>
        <v>12.438359999999999</v>
      </c>
      <c r="V43" s="3">
        <f t="shared" si="28"/>
        <v>0</v>
      </c>
      <c r="W43" s="3">
        <f t="shared" si="29"/>
        <v>0</v>
      </c>
      <c r="X43" s="3">
        <f t="shared" si="62"/>
        <v>9028.7900000000009</v>
      </c>
      <c r="Y43" s="3">
        <f t="shared" si="63"/>
        <v>5037.1099999999997</v>
      </c>
      <c r="AA43" s="3">
        <v>55917799</v>
      </c>
      <c r="AB43" s="3">
        <f t="shared" si="32"/>
        <v>161.09280000000001</v>
      </c>
      <c r="AC43" s="3">
        <f t="shared" si="64"/>
        <v>0</v>
      </c>
      <c r="AD43" s="3">
        <f t="shared" si="65"/>
        <v>0</v>
      </c>
      <c r="AE43" s="3">
        <f t="shared" si="66"/>
        <v>0</v>
      </c>
      <c r="AF43" s="3">
        <f t="shared" si="67"/>
        <v>161.09280000000001</v>
      </c>
      <c r="AG43" s="3">
        <f t="shared" si="37"/>
        <v>0</v>
      </c>
      <c r="AH43" s="3">
        <f t="shared" si="68"/>
        <v>11.88</v>
      </c>
      <c r="AI43" s="3">
        <f t="shared" si="69"/>
        <v>0</v>
      </c>
      <c r="AJ43" s="3">
        <f t="shared" si="40"/>
        <v>0</v>
      </c>
      <c r="AK43" s="3">
        <v>524.23</v>
      </c>
      <c r="AL43" s="3">
        <v>76.75</v>
      </c>
      <c r="AM43" s="3">
        <v>0</v>
      </c>
      <c r="AN43" s="3">
        <v>0</v>
      </c>
      <c r="AO43" s="3">
        <v>447.48</v>
      </c>
      <c r="AP43" s="3">
        <v>0</v>
      </c>
      <c r="AQ43" s="3">
        <v>33</v>
      </c>
      <c r="AR43" s="3">
        <v>0</v>
      </c>
      <c r="AS43" s="3">
        <v>0</v>
      </c>
      <c r="AT43" s="3">
        <v>95</v>
      </c>
      <c r="AU43" s="3">
        <v>53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9.08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70</v>
      </c>
      <c r="BM43" s="3">
        <v>69</v>
      </c>
      <c r="BN43" s="3">
        <v>0</v>
      </c>
      <c r="BO43" s="3" t="s">
        <v>68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95</v>
      </c>
      <c r="CA43" s="3">
        <v>53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617</v>
      </c>
      <c r="CO43" s="3">
        <v>0</v>
      </c>
      <c r="CP43" s="3">
        <f t="shared" si="41"/>
        <v>9503.99</v>
      </c>
      <c r="CQ43" s="3">
        <f t="shared" si="42"/>
        <v>0</v>
      </c>
      <c r="CR43" s="3">
        <f t="shared" si="70"/>
        <v>0</v>
      </c>
      <c r="CS43" s="3">
        <f t="shared" si="71"/>
        <v>0</v>
      </c>
      <c r="CT43" s="3">
        <f t="shared" si="45"/>
        <v>9503.99</v>
      </c>
      <c r="CU43" s="3">
        <f t="shared" si="46"/>
        <v>0</v>
      </c>
      <c r="CV43" s="3">
        <f t="shared" si="47"/>
        <v>12.438359999999999</v>
      </c>
      <c r="CW43" s="3">
        <f t="shared" si="48"/>
        <v>0</v>
      </c>
      <c r="CX43" s="3">
        <f t="shared" si="49"/>
        <v>0</v>
      </c>
      <c r="CY43" s="3">
        <f t="shared" si="72"/>
        <v>9028.7900000000009</v>
      </c>
      <c r="CZ43" s="3">
        <f t="shared" si="73"/>
        <v>5037.1099999999997</v>
      </c>
      <c r="DB43" s="3">
        <v>29</v>
      </c>
      <c r="DC43" s="3" t="s">
        <v>3</v>
      </c>
      <c r="DD43" s="3" t="s">
        <v>24</v>
      </c>
      <c r="DE43" s="3" t="s">
        <v>25</v>
      </c>
      <c r="DF43" s="3" t="s">
        <v>25</v>
      </c>
      <c r="DG43" s="3" t="s">
        <v>25</v>
      </c>
      <c r="DH43" s="3" t="s">
        <v>3</v>
      </c>
      <c r="DI43" s="3" t="s">
        <v>25</v>
      </c>
      <c r="DJ43" s="3" t="s">
        <v>25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33</v>
      </c>
      <c r="DW43" s="3" t="s">
        <v>33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55393701</v>
      </c>
      <c r="EF43" s="3">
        <v>40</v>
      </c>
      <c r="EG43" s="3" t="s">
        <v>26</v>
      </c>
      <c r="EH43" s="3">
        <v>0</v>
      </c>
      <c r="EI43" s="3" t="s">
        <v>3</v>
      </c>
      <c r="EJ43" s="3">
        <v>2</v>
      </c>
      <c r="EK43" s="3">
        <v>69</v>
      </c>
      <c r="EL43" s="3" t="s">
        <v>27</v>
      </c>
      <c r="EM43" s="3" t="s">
        <v>28</v>
      </c>
      <c r="EO43" s="3" t="s">
        <v>29</v>
      </c>
      <c r="EQ43" s="3">
        <v>0</v>
      </c>
      <c r="ER43" s="3">
        <v>524.23</v>
      </c>
      <c r="ES43" s="3">
        <v>76.75</v>
      </c>
      <c r="ET43" s="3">
        <v>0</v>
      </c>
      <c r="EU43" s="3">
        <v>0</v>
      </c>
      <c r="EV43" s="3">
        <v>447.48</v>
      </c>
      <c r="EW43" s="3">
        <v>33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95</v>
      </c>
      <c r="FY43" s="3">
        <v>53</v>
      </c>
      <c r="GA43" s="3" t="s">
        <v>3</v>
      </c>
      <c r="GD43" s="3">
        <v>1</v>
      </c>
      <c r="GF43" s="3">
        <v>-1787952050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23569.89</v>
      </c>
      <c r="GN43" s="3">
        <f t="shared" si="54"/>
        <v>0</v>
      </c>
      <c r="GO43" s="3">
        <f t="shared" si="55"/>
        <v>23569.89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ROW(SmtRes!A101)</f>
        <v>101</v>
      </c>
      <c r="D44" s="2">
        <f>ROW(EtalonRes!A116)</f>
        <v>116</v>
      </c>
      <c r="E44" s="2" t="s">
        <v>71</v>
      </c>
      <c r="F44" s="2" t="s">
        <v>20</v>
      </c>
      <c r="G44" s="2" t="s">
        <v>72</v>
      </c>
      <c r="H44" s="2" t="s">
        <v>22</v>
      </c>
      <c r="I44" s="2">
        <v>1</v>
      </c>
      <c r="J44" s="2">
        <v>0</v>
      </c>
      <c r="K44" s="2">
        <v>1</v>
      </c>
      <c r="L44" s="2"/>
      <c r="M44" s="2"/>
      <c r="N44" s="2"/>
      <c r="O44" s="2">
        <f t="shared" si="21"/>
        <v>47.57</v>
      </c>
      <c r="P44" s="2">
        <f t="shared" si="22"/>
        <v>0</v>
      </c>
      <c r="Q44" s="2">
        <f t="shared" si="60"/>
        <v>0</v>
      </c>
      <c r="R44" s="2">
        <f t="shared" si="61"/>
        <v>0</v>
      </c>
      <c r="S44" s="2">
        <f t="shared" si="25"/>
        <v>47.57</v>
      </c>
      <c r="T44" s="2">
        <f t="shared" si="26"/>
        <v>0</v>
      </c>
      <c r="U44" s="2">
        <f t="shared" si="27"/>
        <v>3.7691999999999992</v>
      </c>
      <c r="V44" s="2">
        <f t="shared" si="28"/>
        <v>0</v>
      </c>
      <c r="W44" s="2">
        <f t="shared" si="29"/>
        <v>0</v>
      </c>
      <c r="X44" s="2">
        <f t="shared" si="62"/>
        <v>45.19</v>
      </c>
      <c r="Y44" s="2">
        <f t="shared" si="63"/>
        <v>25.21</v>
      </c>
      <c r="Z44" s="2"/>
      <c r="AA44" s="2">
        <v>55917797</v>
      </c>
      <c r="AB44" s="2">
        <f t="shared" si="32"/>
        <v>45.432000000000002</v>
      </c>
      <c r="AC44" s="2">
        <f t="shared" si="64"/>
        <v>0</v>
      </c>
      <c r="AD44" s="2">
        <f t="shared" si="65"/>
        <v>0</v>
      </c>
      <c r="AE44" s="2">
        <f t="shared" si="66"/>
        <v>0</v>
      </c>
      <c r="AF44" s="2">
        <f t="shared" si="67"/>
        <v>45.432000000000002</v>
      </c>
      <c r="AG44" s="2">
        <f t="shared" si="37"/>
        <v>0</v>
      </c>
      <c r="AH44" s="2">
        <f t="shared" si="68"/>
        <v>3.5999999999999996</v>
      </c>
      <c r="AI44" s="2">
        <f t="shared" si="69"/>
        <v>0</v>
      </c>
      <c r="AJ44" s="2">
        <f t="shared" si="40"/>
        <v>0</v>
      </c>
      <c r="AK44" s="2">
        <v>201.88</v>
      </c>
      <c r="AL44" s="2">
        <v>75.680000000000007</v>
      </c>
      <c r="AM44" s="2">
        <v>0</v>
      </c>
      <c r="AN44" s="2">
        <v>0</v>
      </c>
      <c r="AO44" s="2">
        <v>126.2</v>
      </c>
      <c r="AP44" s="2">
        <v>0</v>
      </c>
      <c r="AQ44" s="2">
        <v>10</v>
      </c>
      <c r="AR44" s="2">
        <v>0</v>
      </c>
      <c r="AS44" s="2">
        <v>0</v>
      </c>
      <c r="AT44" s="2">
        <v>95</v>
      </c>
      <c r="AU44" s="2">
        <v>53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23</v>
      </c>
      <c r="BK44" s="2"/>
      <c r="BL44" s="2"/>
      <c r="BM44" s="2">
        <v>69</v>
      </c>
      <c r="BN44" s="2">
        <v>0</v>
      </c>
      <c r="BO44" s="2" t="s">
        <v>20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95</v>
      </c>
      <c r="CA44" s="2">
        <v>53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617</v>
      </c>
      <c r="CO44" s="2">
        <v>0</v>
      </c>
      <c r="CP44" s="2">
        <f t="shared" si="41"/>
        <v>47.57</v>
      </c>
      <c r="CQ44" s="2">
        <f t="shared" si="42"/>
        <v>0</v>
      </c>
      <c r="CR44" s="2">
        <f t="shared" si="70"/>
        <v>0</v>
      </c>
      <c r="CS44" s="2">
        <f t="shared" si="71"/>
        <v>0</v>
      </c>
      <c r="CT44" s="2">
        <f t="shared" si="45"/>
        <v>47.57</v>
      </c>
      <c r="CU44" s="2">
        <f t="shared" si="46"/>
        <v>0</v>
      </c>
      <c r="CV44" s="2">
        <f t="shared" si="47"/>
        <v>3.7691999999999992</v>
      </c>
      <c r="CW44" s="2">
        <f t="shared" si="48"/>
        <v>0</v>
      </c>
      <c r="CX44" s="2">
        <f t="shared" si="49"/>
        <v>0</v>
      </c>
      <c r="CY44" s="2">
        <f t="shared" si="72"/>
        <v>45.19</v>
      </c>
      <c r="CZ44" s="2">
        <f t="shared" si="73"/>
        <v>25.21</v>
      </c>
      <c r="DA44" s="2"/>
      <c r="DB44" s="2">
        <v>31</v>
      </c>
      <c r="DC44" s="2" t="s">
        <v>3</v>
      </c>
      <c r="DD44" s="2" t="s">
        <v>24</v>
      </c>
      <c r="DE44" s="2" t="s">
        <v>25</v>
      </c>
      <c r="DF44" s="2" t="s">
        <v>25</v>
      </c>
      <c r="DG44" s="2" t="s">
        <v>25</v>
      </c>
      <c r="DH44" s="2" t="s">
        <v>3</v>
      </c>
      <c r="DI44" s="2" t="s">
        <v>25</v>
      </c>
      <c r="DJ44" s="2" t="s">
        <v>25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22</v>
      </c>
      <c r="DW44" s="2" t="s">
        <v>22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55393701</v>
      </c>
      <c r="EF44" s="2">
        <v>40</v>
      </c>
      <c r="EG44" s="2" t="s">
        <v>26</v>
      </c>
      <c r="EH44" s="2">
        <v>0</v>
      </c>
      <c r="EI44" s="2" t="s">
        <v>3</v>
      </c>
      <c r="EJ44" s="2">
        <v>2</v>
      </c>
      <c r="EK44" s="2">
        <v>69</v>
      </c>
      <c r="EL44" s="2" t="s">
        <v>27</v>
      </c>
      <c r="EM44" s="2" t="s">
        <v>28</v>
      </c>
      <c r="EN44" s="2"/>
      <c r="EO44" s="2" t="s">
        <v>29</v>
      </c>
      <c r="EP44" s="2"/>
      <c r="EQ44" s="2">
        <v>0</v>
      </c>
      <c r="ER44" s="2">
        <v>201.88</v>
      </c>
      <c r="ES44" s="2">
        <v>75.680000000000007</v>
      </c>
      <c r="ET44" s="2">
        <v>0</v>
      </c>
      <c r="EU44" s="2">
        <v>0</v>
      </c>
      <c r="EV44" s="2">
        <v>126.2</v>
      </c>
      <c r="EW44" s="2">
        <v>10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95</v>
      </c>
      <c r="FY44" s="2">
        <v>53</v>
      </c>
      <c r="FZ44" s="2"/>
      <c r="GA44" s="2" t="s">
        <v>3</v>
      </c>
      <c r="GB44" s="2"/>
      <c r="GC44" s="2"/>
      <c r="GD44" s="2">
        <v>1</v>
      </c>
      <c r="GE44" s="2"/>
      <c r="GF44" s="2">
        <v>99576978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117.97</v>
      </c>
      <c r="GN44" s="2">
        <f t="shared" si="54"/>
        <v>0</v>
      </c>
      <c r="GO44" s="2">
        <f t="shared" si="55"/>
        <v>117.97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ROW(SmtRes!A112)</f>
        <v>112</v>
      </c>
      <c r="D45" s="3">
        <f>ROW(EtalonRes!A128)</f>
        <v>128</v>
      </c>
      <c r="E45" s="3" t="s">
        <v>71</v>
      </c>
      <c r="F45" s="3" t="s">
        <v>20</v>
      </c>
      <c r="G45" s="3" t="s">
        <v>72</v>
      </c>
      <c r="H45" s="3" t="s">
        <v>22</v>
      </c>
      <c r="I45" s="3">
        <v>1</v>
      </c>
      <c r="J45" s="3">
        <v>0</v>
      </c>
      <c r="K45" s="3">
        <v>1</v>
      </c>
      <c r="O45" s="3">
        <f t="shared" si="21"/>
        <v>2680.57</v>
      </c>
      <c r="P45" s="3">
        <f t="shared" si="22"/>
        <v>0</v>
      </c>
      <c r="Q45" s="3">
        <f t="shared" si="60"/>
        <v>0</v>
      </c>
      <c r="R45" s="3">
        <f t="shared" si="61"/>
        <v>0</v>
      </c>
      <c r="S45" s="3">
        <f t="shared" si="25"/>
        <v>2680.57</v>
      </c>
      <c r="T45" s="3">
        <f t="shared" si="26"/>
        <v>0</v>
      </c>
      <c r="U45" s="3">
        <f t="shared" si="27"/>
        <v>3.7691999999999992</v>
      </c>
      <c r="V45" s="3">
        <f t="shared" si="28"/>
        <v>0</v>
      </c>
      <c r="W45" s="3">
        <f t="shared" si="29"/>
        <v>0</v>
      </c>
      <c r="X45" s="3">
        <f t="shared" si="62"/>
        <v>2546.54</v>
      </c>
      <c r="Y45" s="3">
        <f t="shared" si="63"/>
        <v>1420.7</v>
      </c>
      <c r="AA45" s="3">
        <v>55917799</v>
      </c>
      <c r="AB45" s="3">
        <f t="shared" si="32"/>
        <v>45.432000000000002</v>
      </c>
      <c r="AC45" s="3">
        <f t="shared" si="64"/>
        <v>0</v>
      </c>
      <c r="AD45" s="3">
        <f t="shared" si="65"/>
        <v>0</v>
      </c>
      <c r="AE45" s="3">
        <f t="shared" si="66"/>
        <v>0</v>
      </c>
      <c r="AF45" s="3">
        <f t="shared" si="67"/>
        <v>45.432000000000002</v>
      </c>
      <c r="AG45" s="3">
        <f t="shared" si="37"/>
        <v>0</v>
      </c>
      <c r="AH45" s="3">
        <f t="shared" si="68"/>
        <v>3.5999999999999996</v>
      </c>
      <c r="AI45" s="3">
        <f t="shared" si="69"/>
        <v>0</v>
      </c>
      <c r="AJ45" s="3">
        <f t="shared" si="40"/>
        <v>0</v>
      </c>
      <c r="AK45" s="3">
        <v>201.88</v>
      </c>
      <c r="AL45" s="3">
        <v>75.680000000000007</v>
      </c>
      <c r="AM45" s="3">
        <v>0</v>
      </c>
      <c r="AN45" s="3">
        <v>0</v>
      </c>
      <c r="AO45" s="3">
        <v>126.2</v>
      </c>
      <c r="AP45" s="3">
        <v>0</v>
      </c>
      <c r="AQ45" s="3">
        <v>10</v>
      </c>
      <c r="AR45" s="3">
        <v>0</v>
      </c>
      <c r="AS45" s="3">
        <v>0</v>
      </c>
      <c r="AT45" s="3">
        <v>95</v>
      </c>
      <c r="AU45" s="3">
        <v>53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9.58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23</v>
      </c>
      <c r="BM45" s="3">
        <v>69</v>
      </c>
      <c r="BN45" s="3">
        <v>0</v>
      </c>
      <c r="BO45" s="3" t="s">
        <v>20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95</v>
      </c>
      <c r="CA45" s="3">
        <v>53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617</v>
      </c>
      <c r="CO45" s="3">
        <v>0</v>
      </c>
      <c r="CP45" s="3">
        <f t="shared" si="41"/>
        <v>2680.57</v>
      </c>
      <c r="CQ45" s="3">
        <f t="shared" si="42"/>
        <v>0</v>
      </c>
      <c r="CR45" s="3">
        <f t="shared" si="70"/>
        <v>0</v>
      </c>
      <c r="CS45" s="3">
        <f t="shared" si="71"/>
        <v>0</v>
      </c>
      <c r="CT45" s="3">
        <f t="shared" si="45"/>
        <v>2680.57</v>
      </c>
      <c r="CU45" s="3">
        <f t="shared" si="46"/>
        <v>0</v>
      </c>
      <c r="CV45" s="3">
        <f t="shared" si="47"/>
        <v>3.7691999999999992</v>
      </c>
      <c r="CW45" s="3">
        <f t="shared" si="48"/>
        <v>0</v>
      </c>
      <c r="CX45" s="3">
        <f t="shared" si="49"/>
        <v>0</v>
      </c>
      <c r="CY45" s="3">
        <f t="shared" si="72"/>
        <v>2546.54</v>
      </c>
      <c r="CZ45" s="3">
        <f t="shared" si="73"/>
        <v>1420.7</v>
      </c>
      <c r="DB45" s="3">
        <v>33</v>
      </c>
      <c r="DC45" s="3" t="s">
        <v>3</v>
      </c>
      <c r="DD45" s="3" t="s">
        <v>24</v>
      </c>
      <c r="DE45" s="3" t="s">
        <v>25</v>
      </c>
      <c r="DF45" s="3" t="s">
        <v>25</v>
      </c>
      <c r="DG45" s="3" t="s">
        <v>25</v>
      </c>
      <c r="DH45" s="3" t="s">
        <v>3</v>
      </c>
      <c r="DI45" s="3" t="s">
        <v>25</v>
      </c>
      <c r="DJ45" s="3" t="s">
        <v>25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22</v>
      </c>
      <c r="DW45" s="3" t="s">
        <v>22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55393701</v>
      </c>
      <c r="EF45" s="3">
        <v>40</v>
      </c>
      <c r="EG45" s="3" t="s">
        <v>26</v>
      </c>
      <c r="EH45" s="3">
        <v>0</v>
      </c>
      <c r="EI45" s="3" t="s">
        <v>3</v>
      </c>
      <c r="EJ45" s="3">
        <v>2</v>
      </c>
      <c r="EK45" s="3">
        <v>69</v>
      </c>
      <c r="EL45" s="3" t="s">
        <v>27</v>
      </c>
      <c r="EM45" s="3" t="s">
        <v>28</v>
      </c>
      <c r="EO45" s="3" t="s">
        <v>29</v>
      </c>
      <c r="EQ45" s="3">
        <v>0</v>
      </c>
      <c r="ER45" s="3">
        <v>201.88</v>
      </c>
      <c r="ES45" s="3">
        <v>75.680000000000007</v>
      </c>
      <c r="ET45" s="3">
        <v>0</v>
      </c>
      <c r="EU45" s="3">
        <v>0</v>
      </c>
      <c r="EV45" s="3">
        <v>126.2</v>
      </c>
      <c r="EW45" s="3">
        <v>10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95</v>
      </c>
      <c r="FY45" s="3">
        <v>53</v>
      </c>
      <c r="GA45" s="3" t="s">
        <v>3</v>
      </c>
      <c r="GD45" s="3">
        <v>1</v>
      </c>
      <c r="GF45" s="3">
        <v>99576978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6647.81</v>
      </c>
      <c r="GN45" s="3">
        <f t="shared" si="54"/>
        <v>0</v>
      </c>
      <c r="GO45" s="3">
        <f t="shared" si="55"/>
        <v>6647.81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ROW(SmtRes!A114)</f>
        <v>114</v>
      </c>
      <c r="D46" s="2">
        <f>ROW(EtalonRes!A130)</f>
        <v>130</v>
      </c>
      <c r="E46" s="2" t="s">
        <v>73</v>
      </c>
      <c r="F46" s="2" t="s">
        <v>74</v>
      </c>
      <c r="G46" s="2" t="s">
        <v>75</v>
      </c>
      <c r="H46" s="2" t="s">
        <v>40</v>
      </c>
      <c r="I46" s="2">
        <v>1</v>
      </c>
      <c r="J46" s="2">
        <v>0</v>
      </c>
      <c r="K46" s="2">
        <v>1</v>
      </c>
      <c r="L46" s="2"/>
      <c r="M46" s="2"/>
      <c r="N46" s="2"/>
      <c r="O46" s="2">
        <f t="shared" si="21"/>
        <v>15.59</v>
      </c>
      <c r="P46" s="2">
        <f t="shared" si="22"/>
        <v>0</v>
      </c>
      <c r="Q46" s="2">
        <f t="shared" si="60"/>
        <v>0</v>
      </c>
      <c r="R46" s="2">
        <f t="shared" si="61"/>
        <v>0</v>
      </c>
      <c r="S46" s="2">
        <f t="shared" si="25"/>
        <v>15.59</v>
      </c>
      <c r="T46" s="2">
        <f t="shared" si="26"/>
        <v>0</v>
      </c>
      <c r="U46" s="2">
        <f t="shared" si="27"/>
        <v>1.0839563999999997</v>
      </c>
      <c r="V46" s="2">
        <f t="shared" si="28"/>
        <v>0</v>
      </c>
      <c r="W46" s="2">
        <f t="shared" si="29"/>
        <v>0</v>
      </c>
      <c r="X46" s="2">
        <f t="shared" si="62"/>
        <v>14.81</v>
      </c>
      <c r="Y46" s="2">
        <f t="shared" si="63"/>
        <v>8.26</v>
      </c>
      <c r="Z46" s="2"/>
      <c r="AA46" s="2">
        <v>55917797</v>
      </c>
      <c r="AB46" s="2">
        <f t="shared" si="32"/>
        <v>14.346</v>
      </c>
      <c r="AC46" s="2">
        <f t="shared" si="64"/>
        <v>0</v>
      </c>
      <c r="AD46" s="2">
        <f t="shared" si="65"/>
        <v>0</v>
      </c>
      <c r="AE46" s="2">
        <f t="shared" si="66"/>
        <v>0</v>
      </c>
      <c r="AF46" s="2">
        <f t="shared" si="67"/>
        <v>14.346</v>
      </c>
      <c r="AG46" s="2">
        <f t="shared" si="37"/>
        <v>0</v>
      </c>
      <c r="AH46" s="2">
        <f t="shared" si="68"/>
        <v>0.99719999999999986</v>
      </c>
      <c r="AI46" s="2">
        <f t="shared" si="69"/>
        <v>0</v>
      </c>
      <c r="AJ46" s="2">
        <f t="shared" si="40"/>
        <v>0</v>
      </c>
      <c r="AK46" s="2">
        <v>40.03</v>
      </c>
      <c r="AL46" s="2">
        <v>0.18</v>
      </c>
      <c r="AM46" s="2">
        <v>0</v>
      </c>
      <c r="AN46" s="2">
        <v>0</v>
      </c>
      <c r="AO46" s="2">
        <v>39.85</v>
      </c>
      <c r="AP46" s="2">
        <v>0</v>
      </c>
      <c r="AQ46" s="2">
        <v>2.77</v>
      </c>
      <c r="AR46" s="2">
        <v>0</v>
      </c>
      <c r="AS46" s="2">
        <v>0</v>
      </c>
      <c r="AT46" s="2">
        <v>95</v>
      </c>
      <c r="AU46" s="2">
        <v>53</v>
      </c>
      <c r="AV46" s="2">
        <v>1.087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76</v>
      </c>
      <c r="BK46" s="2"/>
      <c r="BL46" s="2"/>
      <c r="BM46" s="2">
        <v>69</v>
      </c>
      <c r="BN46" s="2">
        <v>0</v>
      </c>
      <c r="BO46" s="2" t="s">
        <v>74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95</v>
      </c>
      <c r="CA46" s="2">
        <v>53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617</v>
      </c>
      <c r="CO46" s="2">
        <v>0</v>
      </c>
      <c r="CP46" s="2">
        <f t="shared" si="41"/>
        <v>15.59</v>
      </c>
      <c r="CQ46" s="2">
        <f t="shared" si="42"/>
        <v>0</v>
      </c>
      <c r="CR46" s="2">
        <f t="shared" si="70"/>
        <v>0</v>
      </c>
      <c r="CS46" s="2">
        <f t="shared" si="71"/>
        <v>0</v>
      </c>
      <c r="CT46" s="2">
        <f t="shared" si="45"/>
        <v>15.59</v>
      </c>
      <c r="CU46" s="2">
        <f t="shared" si="46"/>
        <v>0</v>
      </c>
      <c r="CV46" s="2">
        <f t="shared" si="47"/>
        <v>1.0839563999999997</v>
      </c>
      <c r="CW46" s="2">
        <f t="shared" si="48"/>
        <v>0</v>
      </c>
      <c r="CX46" s="2">
        <f t="shared" si="49"/>
        <v>0</v>
      </c>
      <c r="CY46" s="2">
        <f t="shared" si="72"/>
        <v>14.81</v>
      </c>
      <c r="CZ46" s="2">
        <f t="shared" si="73"/>
        <v>8.26</v>
      </c>
      <c r="DA46" s="2"/>
      <c r="DB46" s="2">
        <v>35</v>
      </c>
      <c r="DC46" s="2" t="s">
        <v>3</v>
      </c>
      <c r="DD46" s="2" t="s">
        <v>24</v>
      </c>
      <c r="DE46" s="2" t="s">
        <v>25</v>
      </c>
      <c r="DF46" s="2" t="s">
        <v>25</v>
      </c>
      <c r="DG46" s="2" t="s">
        <v>25</v>
      </c>
      <c r="DH46" s="2" t="s">
        <v>3</v>
      </c>
      <c r="DI46" s="2" t="s">
        <v>25</v>
      </c>
      <c r="DJ46" s="2" t="s">
        <v>25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40</v>
      </c>
      <c r="DW46" s="2" t="s">
        <v>40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55393701</v>
      </c>
      <c r="EF46" s="2">
        <v>40</v>
      </c>
      <c r="EG46" s="2" t="s">
        <v>26</v>
      </c>
      <c r="EH46" s="2">
        <v>0</v>
      </c>
      <c r="EI46" s="2" t="s">
        <v>3</v>
      </c>
      <c r="EJ46" s="2">
        <v>2</v>
      </c>
      <c r="EK46" s="2">
        <v>69</v>
      </c>
      <c r="EL46" s="2" t="s">
        <v>27</v>
      </c>
      <c r="EM46" s="2" t="s">
        <v>28</v>
      </c>
      <c r="EN46" s="2"/>
      <c r="EO46" s="2" t="s">
        <v>29</v>
      </c>
      <c r="EP46" s="2"/>
      <c r="EQ46" s="2">
        <v>0</v>
      </c>
      <c r="ER46" s="2">
        <v>40.03</v>
      </c>
      <c r="ES46" s="2">
        <v>0.18</v>
      </c>
      <c r="ET46" s="2">
        <v>0</v>
      </c>
      <c r="EU46" s="2">
        <v>0</v>
      </c>
      <c r="EV46" s="2">
        <v>39.85</v>
      </c>
      <c r="EW46" s="2">
        <v>2.77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95</v>
      </c>
      <c r="FY46" s="2">
        <v>53</v>
      </c>
      <c r="FZ46" s="2"/>
      <c r="GA46" s="2" t="s">
        <v>3</v>
      </c>
      <c r="GB46" s="2"/>
      <c r="GC46" s="2"/>
      <c r="GD46" s="2">
        <v>1</v>
      </c>
      <c r="GE46" s="2"/>
      <c r="GF46" s="2">
        <v>668601792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38.659999999999997</v>
      </c>
      <c r="GN46" s="2">
        <f t="shared" si="54"/>
        <v>0</v>
      </c>
      <c r="GO46" s="2">
        <f t="shared" si="55"/>
        <v>38.659999999999997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ROW(SmtRes!A116)</f>
        <v>116</v>
      </c>
      <c r="D47" s="3">
        <f>ROW(EtalonRes!A132)</f>
        <v>132</v>
      </c>
      <c r="E47" s="3" t="s">
        <v>73</v>
      </c>
      <c r="F47" s="3" t="s">
        <v>74</v>
      </c>
      <c r="G47" s="3" t="s">
        <v>75</v>
      </c>
      <c r="H47" s="3" t="s">
        <v>40</v>
      </c>
      <c r="I47" s="3">
        <v>1</v>
      </c>
      <c r="J47" s="3">
        <v>0</v>
      </c>
      <c r="K47" s="3">
        <v>1</v>
      </c>
      <c r="O47" s="3">
        <f t="shared" si="21"/>
        <v>878.5</v>
      </c>
      <c r="P47" s="3">
        <f t="shared" si="22"/>
        <v>0</v>
      </c>
      <c r="Q47" s="3">
        <f t="shared" si="60"/>
        <v>0</v>
      </c>
      <c r="R47" s="3">
        <f t="shared" si="61"/>
        <v>0</v>
      </c>
      <c r="S47" s="3">
        <f t="shared" si="25"/>
        <v>878.5</v>
      </c>
      <c r="T47" s="3">
        <f t="shared" si="26"/>
        <v>0</v>
      </c>
      <c r="U47" s="3">
        <f t="shared" si="27"/>
        <v>1.0839563999999997</v>
      </c>
      <c r="V47" s="3">
        <f t="shared" si="28"/>
        <v>0</v>
      </c>
      <c r="W47" s="3">
        <f t="shared" si="29"/>
        <v>0</v>
      </c>
      <c r="X47" s="3">
        <f t="shared" si="62"/>
        <v>834.58</v>
      </c>
      <c r="Y47" s="3">
        <f t="shared" si="63"/>
        <v>465.61</v>
      </c>
      <c r="AA47" s="3">
        <v>55917799</v>
      </c>
      <c r="AB47" s="3">
        <f t="shared" si="32"/>
        <v>14.346</v>
      </c>
      <c r="AC47" s="3">
        <f t="shared" si="64"/>
        <v>0</v>
      </c>
      <c r="AD47" s="3">
        <f t="shared" si="65"/>
        <v>0</v>
      </c>
      <c r="AE47" s="3">
        <f t="shared" si="66"/>
        <v>0</v>
      </c>
      <c r="AF47" s="3">
        <f t="shared" si="67"/>
        <v>14.346</v>
      </c>
      <c r="AG47" s="3">
        <f t="shared" si="37"/>
        <v>0</v>
      </c>
      <c r="AH47" s="3">
        <f t="shared" si="68"/>
        <v>0.99719999999999986</v>
      </c>
      <c r="AI47" s="3">
        <f t="shared" si="69"/>
        <v>0</v>
      </c>
      <c r="AJ47" s="3">
        <f t="shared" si="40"/>
        <v>0</v>
      </c>
      <c r="AK47" s="3">
        <v>40.03</v>
      </c>
      <c r="AL47" s="3">
        <v>0.18</v>
      </c>
      <c r="AM47" s="3">
        <v>0</v>
      </c>
      <c r="AN47" s="3">
        <v>0</v>
      </c>
      <c r="AO47" s="3">
        <v>39.85</v>
      </c>
      <c r="AP47" s="3">
        <v>0</v>
      </c>
      <c r="AQ47" s="3">
        <v>2.77</v>
      </c>
      <c r="AR47" s="3">
        <v>0</v>
      </c>
      <c r="AS47" s="3">
        <v>0</v>
      </c>
      <c r="AT47" s="3">
        <v>95</v>
      </c>
      <c r="AU47" s="3">
        <v>53</v>
      </c>
      <c r="AV47" s="3">
        <v>1.087</v>
      </c>
      <c r="AW47" s="3">
        <v>1</v>
      </c>
      <c r="AZ47" s="3">
        <v>1</v>
      </c>
      <c r="BA47" s="3">
        <v>56.35</v>
      </c>
      <c r="BB47" s="3">
        <v>1</v>
      </c>
      <c r="BC47" s="3">
        <v>5.61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76</v>
      </c>
      <c r="BM47" s="3">
        <v>69</v>
      </c>
      <c r="BN47" s="3">
        <v>0</v>
      </c>
      <c r="BO47" s="3" t="s">
        <v>74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95</v>
      </c>
      <c r="CA47" s="3">
        <v>53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617</v>
      </c>
      <c r="CO47" s="3">
        <v>0</v>
      </c>
      <c r="CP47" s="3">
        <f t="shared" si="41"/>
        <v>878.5</v>
      </c>
      <c r="CQ47" s="3">
        <f t="shared" si="42"/>
        <v>0</v>
      </c>
      <c r="CR47" s="3">
        <f t="shared" si="70"/>
        <v>0</v>
      </c>
      <c r="CS47" s="3">
        <f t="shared" si="71"/>
        <v>0</v>
      </c>
      <c r="CT47" s="3">
        <f t="shared" si="45"/>
        <v>878.5</v>
      </c>
      <c r="CU47" s="3">
        <f t="shared" si="46"/>
        <v>0</v>
      </c>
      <c r="CV47" s="3">
        <f t="shared" si="47"/>
        <v>1.0839563999999997</v>
      </c>
      <c r="CW47" s="3">
        <f t="shared" si="48"/>
        <v>0</v>
      </c>
      <c r="CX47" s="3">
        <f t="shared" si="49"/>
        <v>0</v>
      </c>
      <c r="CY47" s="3">
        <f t="shared" si="72"/>
        <v>834.58</v>
      </c>
      <c r="CZ47" s="3">
        <f t="shared" si="73"/>
        <v>465.61</v>
      </c>
      <c r="DB47" s="3">
        <v>37</v>
      </c>
      <c r="DC47" s="3" t="s">
        <v>3</v>
      </c>
      <c r="DD47" s="3" t="s">
        <v>24</v>
      </c>
      <c r="DE47" s="3" t="s">
        <v>25</v>
      </c>
      <c r="DF47" s="3" t="s">
        <v>25</v>
      </c>
      <c r="DG47" s="3" t="s">
        <v>25</v>
      </c>
      <c r="DH47" s="3" t="s">
        <v>3</v>
      </c>
      <c r="DI47" s="3" t="s">
        <v>25</v>
      </c>
      <c r="DJ47" s="3" t="s">
        <v>25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40</v>
      </c>
      <c r="DW47" s="3" t="s">
        <v>40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55393701</v>
      </c>
      <c r="EF47" s="3">
        <v>40</v>
      </c>
      <c r="EG47" s="3" t="s">
        <v>26</v>
      </c>
      <c r="EH47" s="3">
        <v>0</v>
      </c>
      <c r="EI47" s="3" t="s">
        <v>3</v>
      </c>
      <c r="EJ47" s="3">
        <v>2</v>
      </c>
      <c r="EK47" s="3">
        <v>69</v>
      </c>
      <c r="EL47" s="3" t="s">
        <v>27</v>
      </c>
      <c r="EM47" s="3" t="s">
        <v>28</v>
      </c>
      <c r="EO47" s="3" t="s">
        <v>29</v>
      </c>
      <c r="EQ47" s="3">
        <v>0</v>
      </c>
      <c r="ER47" s="3">
        <v>40.03</v>
      </c>
      <c r="ES47" s="3">
        <v>0.18</v>
      </c>
      <c r="ET47" s="3">
        <v>0</v>
      </c>
      <c r="EU47" s="3">
        <v>0</v>
      </c>
      <c r="EV47" s="3">
        <v>39.85</v>
      </c>
      <c r="EW47" s="3">
        <v>2.77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95</v>
      </c>
      <c r="FY47" s="3">
        <v>53</v>
      </c>
      <c r="GA47" s="3" t="s">
        <v>3</v>
      </c>
      <c r="GD47" s="3">
        <v>1</v>
      </c>
      <c r="GF47" s="3">
        <v>668601792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2178.69</v>
      </c>
      <c r="GN47" s="3">
        <f t="shared" si="54"/>
        <v>0</v>
      </c>
      <c r="GO47" s="3">
        <f t="shared" si="55"/>
        <v>2178.69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17</v>
      </c>
      <c r="B48" s="2">
        <v>1</v>
      </c>
      <c r="C48" s="2">
        <f>ROW(SmtRes!A131)</f>
        <v>131</v>
      </c>
      <c r="D48" s="2">
        <f>ROW(EtalonRes!A149)</f>
        <v>149</v>
      </c>
      <c r="E48" s="2" t="s">
        <v>77</v>
      </c>
      <c r="F48" s="2" t="s">
        <v>43</v>
      </c>
      <c r="G48" s="2" t="s">
        <v>44</v>
      </c>
      <c r="H48" s="2" t="s">
        <v>22</v>
      </c>
      <c r="I48" s="2">
        <v>1</v>
      </c>
      <c r="J48" s="2">
        <v>0</v>
      </c>
      <c r="K48" s="2">
        <v>1</v>
      </c>
      <c r="L48" s="2"/>
      <c r="M48" s="2"/>
      <c r="N48" s="2"/>
      <c r="O48" s="2">
        <f t="shared" si="21"/>
        <v>14.27</v>
      </c>
      <c r="P48" s="2">
        <f t="shared" si="22"/>
        <v>0</v>
      </c>
      <c r="Q48" s="2">
        <f t="shared" si="60"/>
        <v>0</v>
      </c>
      <c r="R48" s="2">
        <f t="shared" si="61"/>
        <v>0</v>
      </c>
      <c r="S48" s="2">
        <f t="shared" si="25"/>
        <v>14.27</v>
      </c>
      <c r="T48" s="2">
        <f t="shared" si="26"/>
        <v>0</v>
      </c>
      <c r="U48" s="2">
        <f t="shared" si="27"/>
        <v>1.1307599999999998</v>
      </c>
      <c r="V48" s="2">
        <f t="shared" si="28"/>
        <v>0</v>
      </c>
      <c r="W48" s="2">
        <f t="shared" si="29"/>
        <v>0</v>
      </c>
      <c r="X48" s="2">
        <f t="shared" si="62"/>
        <v>12.84</v>
      </c>
      <c r="Y48" s="2">
        <f t="shared" si="63"/>
        <v>6.56</v>
      </c>
      <c r="Z48" s="2"/>
      <c r="AA48" s="2">
        <v>55917797</v>
      </c>
      <c r="AB48" s="2">
        <f t="shared" si="32"/>
        <v>13.6296</v>
      </c>
      <c r="AC48" s="2">
        <f t="shared" si="64"/>
        <v>0</v>
      </c>
      <c r="AD48" s="2">
        <f t="shared" si="65"/>
        <v>0</v>
      </c>
      <c r="AE48" s="2">
        <f t="shared" si="66"/>
        <v>0</v>
      </c>
      <c r="AF48" s="2">
        <f t="shared" si="67"/>
        <v>13.6296</v>
      </c>
      <c r="AG48" s="2">
        <f t="shared" si="37"/>
        <v>0</v>
      </c>
      <c r="AH48" s="2">
        <f t="shared" si="68"/>
        <v>1.0799999999999998</v>
      </c>
      <c r="AI48" s="2">
        <f t="shared" si="69"/>
        <v>0</v>
      </c>
      <c r="AJ48" s="2">
        <f t="shared" si="40"/>
        <v>0</v>
      </c>
      <c r="AK48" s="2">
        <v>80.47</v>
      </c>
      <c r="AL48" s="2">
        <v>42.61</v>
      </c>
      <c r="AM48" s="2">
        <v>0</v>
      </c>
      <c r="AN48" s="2">
        <v>0</v>
      </c>
      <c r="AO48" s="2">
        <v>37.86</v>
      </c>
      <c r="AP48" s="2">
        <v>0</v>
      </c>
      <c r="AQ48" s="2">
        <v>3</v>
      </c>
      <c r="AR48" s="2">
        <v>0</v>
      </c>
      <c r="AS48" s="2">
        <v>0</v>
      </c>
      <c r="AT48" s="2">
        <v>90</v>
      </c>
      <c r="AU48" s="2">
        <v>46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45</v>
      </c>
      <c r="BK48" s="2"/>
      <c r="BL48" s="2"/>
      <c r="BM48" s="2">
        <v>68</v>
      </c>
      <c r="BN48" s="2">
        <v>0</v>
      </c>
      <c r="BO48" s="2" t="s">
        <v>43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617</v>
      </c>
      <c r="CO48" s="2">
        <v>0</v>
      </c>
      <c r="CP48" s="2">
        <f t="shared" si="41"/>
        <v>14.27</v>
      </c>
      <c r="CQ48" s="2">
        <f t="shared" si="42"/>
        <v>0</v>
      </c>
      <c r="CR48" s="2">
        <f t="shared" si="70"/>
        <v>0</v>
      </c>
      <c r="CS48" s="2">
        <f t="shared" si="71"/>
        <v>0</v>
      </c>
      <c r="CT48" s="2">
        <f t="shared" si="45"/>
        <v>14.27</v>
      </c>
      <c r="CU48" s="2">
        <f t="shared" si="46"/>
        <v>0</v>
      </c>
      <c r="CV48" s="2">
        <f t="shared" si="47"/>
        <v>1.1307599999999998</v>
      </c>
      <c r="CW48" s="2">
        <f t="shared" si="48"/>
        <v>0</v>
      </c>
      <c r="CX48" s="2">
        <f t="shared" si="49"/>
        <v>0</v>
      </c>
      <c r="CY48" s="2">
        <f t="shared" si="72"/>
        <v>12.84</v>
      </c>
      <c r="CZ48" s="2">
        <f t="shared" si="73"/>
        <v>6.56</v>
      </c>
      <c r="DA48" s="2"/>
      <c r="DB48" s="2">
        <v>39</v>
      </c>
      <c r="DC48" s="2" t="s">
        <v>3</v>
      </c>
      <c r="DD48" s="2" t="s">
        <v>24</v>
      </c>
      <c r="DE48" s="2" t="s">
        <v>25</v>
      </c>
      <c r="DF48" s="2" t="s">
        <v>25</v>
      </c>
      <c r="DG48" s="2" t="s">
        <v>25</v>
      </c>
      <c r="DH48" s="2" t="s">
        <v>3</v>
      </c>
      <c r="DI48" s="2" t="s">
        <v>25</v>
      </c>
      <c r="DJ48" s="2" t="s">
        <v>25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22</v>
      </c>
      <c r="DW48" s="2" t="s">
        <v>22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55393700</v>
      </c>
      <c r="EF48" s="2">
        <v>40</v>
      </c>
      <c r="EG48" s="2" t="s">
        <v>26</v>
      </c>
      <c r="EH48" s="2">
        <v>0</v>
      </c>
      <c r="EI48" s="2" t="s">
        <v>3</v>
      </c>
      <c r="EJ48" s="2">
        <v>2</v>
      </c>
      <c r="EK48" s="2">
        <v>68</v>
      </c>
      <c r="EL48" s="2" t="s">
        <v>35</v>
      </c>
      <c r="EM48" s="2" t="s">
        <v>36</v>
      </c>
      <c r="EN48" s="2"/>
      <c r="EO48" s="2" t="s">
        <v>29</v>
      </c>
      <c r="EP48" s="2"/>
      <c r="EQ48" s="2">
        <v>0</v>
      </c>
      <c r="ER48" s="2">
        <v>80.47</v>
      </c>
      <c r="ES48" s="2">
        <v>42.61</v>
      </c>
      <c r="ET48" s="2">
        <v>0</v>
      </c>
      <c r="EU48" s="2">
        <v>0</v>
      </c>
      <c r="EV48" s="2">
        <v>37.86</v>
      </c>
      <c r="EW48" s="2">
        <v>3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3</v>
      </c>
      <c r="GB48" s="2"/>
      <c r="GC48" s="2"/>
      <c r="GD48" s="2">
        <v>1</v>
      </c>
      <c r="GE48" s="2"/>
      <c r="GF48" s="2">
        <v>-1588285181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33.67</v>
      </c>
      <c r="GN48" s="2">
        <f t="shared" si="54"/>
        <v>0</v>
      </c>
      <c r="GO48" s="2">
        <f t="shared" si="55"/>
        <v>33.67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17</v>
      </c>
      <c r="B49" s="3">
        <v>1</v>
      </c>
      <c r="C49" s="3">
        <f>ROW(SmtRes!A146)</f>
        <v>146</v>
      </c>
      <c r="D49" s="3">
        <f>ROW(EtalonRes!A166)</f>
        <v>166</v>
      </c>
      <c r="E49" s="3" t="s">
        <v>77</v>
      </c>
      <c r="F49" s="3" t="s">
        <v>43</v>
      </c>
      <c r="G49" s="3" t="s">
        <v>44</v>
      </c>
      <c r="H49" s="3" t="s">
        <v>22</v>
      </c>
      <c r="I49" s="3">
        <v>1</v>
      </c>
      <c r="J49" s="3">
        <v>0</v>
      </c>
      <c r="K49" s="3">
        <v>1</v>
      </c>
      <c r="O49" s="3">
        <f t="shared" si="21"/>
        <v>804.11</v>
      </c>
      <c r="P49" s="3">
        <f t="shared" si="22"/>
        <v>0</v>
      </c>
      <c r="Q49" s="3">
        <f t="shared" si="60"/>
        <v>0</v>
      </c>
      <c r="R49" s="3">
        <f t="shared" si="61"/>
        <v>0</v>
      </c>
      <c r="S49" s="3">
        <f t="shared" si="25"/>
        <v>804.11</v>
      </c>
      <c r="T49" s="3">
        <f t="shared" si="26"/>
        <v>0</v>
      </c>
      <c r="U49" s="3">
        <f t="shared" si="27"/>
        <v>1.1307599999999998</v>
      </c>
      <c r="V49" s="3">
        <f t="shared" si="28"/>
        <v>0</v>
      </c>
      <c r="W49" s="3">
        <f t="shared" si="29"/>
        <v>0</v>
      </c>
      <c r="X49" s="3">
        <f t="shared" si="62"/>
        <v>723.7</v>
      </c>
      <c r="Y49" s="3">
        <f t="shared" si="63"/>
        <v>369.89</v>
      </c>
      <c r="AA49" s="3">
        <v>55917799</v>
      </c>
      <c r="AB49" s="3">
        <f t="shared" si="32"/>
        <v>13.6296</v>
      </c>
      <c r="AC49" s="3">
        <f t="shared" si="64"/>
        <v>0</v>
      </c>
      <c r="AD49" s="3">
        <f t="shared" si="65"/>
        <v>0</v>
      </c>
      <c r="AE49" s="3">
        <f t="shared" si="66"/>
        <v>0</v>
      </c>
      <c r="AF49" s="3">
        <f t="shared" si="67"/>
        <v>13.6296</v>
      </c>
      <c r="AG49" s="3">
        <f t="shared" si="37"/>
        <v>0</v>
      </c>
      <c r="AH49" s="3">
        <f t="shared" si="68"/>
        <v>1.0799999999999998</v>
      </c>
      <c r="AI49" s="3">
        <f t="shared" si="69"/>
        <v>0</v>
      </c>
      <c r="AJ49" s="3">
        <f t="shared" si="40"/>
        <v>0</v>
      </c>
      <c r="AK49" s="3">
        <v>80.47</v>
      </c>
      <c r="AL49" s="3">
        <v>42.61</v>
      </c>
      <c r="AM49" s="3">
        <v>0</v>
      </c>
      <c r="AN49" s="3">
        <v>0</v>
      </c>
      <c r="AO49" s="3">
        <v>37.86</v>
      </c>
      <c r="AP49" s="3">
        <v>0</v>
      </c>
      <c r="AQ49" s="3">
        <v>3</v>
      </c>
      <c r="AR49" s="3">
        <v>0</v>
      </c>
      <c r="AS49" s="3">
        <v>0</v>
      </c>
      <c r="AT49" s="3">
        <v>90</v>
      </c>
      <c r="AU49" s="3">
        <v>46</v>
      </c>
      <c r="AV49" s="3">
        <v>1.0469999999999999</v>
      </c>
      <c r="AW49" s="3">
        <v>1</v>
      </c>
      <c r="AZ49" s="3">
        <v>1</v>
      </c>
      <c r="BA49" s="3">
        <v>56.35</v>
      </c>
      <c r="BB49" s="3">
        <v>1</v>
      </c>
      <c r="BC49" s="3">
        <v>5.15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2</v>
      </c>
      <c r="BJ49" s="3" t="s">
        <v>45</v>
      </c>
      <c r="BM49" s="3">
        <v>68</v>
      </c>
      <c r="BN49" s="3">
        <v>0</v>
      </c>
      <c r="BO49" s="3" t="s">
        <v>43</v>
      </c>
      <c r="BP49" s="3">
        <v>1</v>
      </c>
      <c r="BQ49" s="3">
        <v>40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90</v>
      </c>
      <c r="CA49" s="3">
        <v>46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617</v>
      </c>
      <c r="CO49" s="3">
        <v>0</v>
      </c>
      <c r="CP49" s="3">
        <f t="shared" si="41"/>
        <v>804.11</v>
      </c>
      <c r="CQ49" s="3">
        <f t="shared" si="42"/>
        <v>0</v>
      </c>
      <c r="CR49" s="3">
        <f t="shared" si="70"/>
        <v>0</v>
      </c>
      <c r="CS49" s="3">
        <f t="shared" si="71"/>
        <v>0</v>
      </c>
      <c r="CT49" s="3">
        <f t="shared" si="45"/>
        <v>804.11</v>
      </c>
      <c r="CU49" s="3">
        <f t="shared" si="46"/>
        <v>0</v>
      </c>
      <c r="CV49" s="3">
        <f t="shared" si="47"/>
        <v>1.1307599999999998</v>
      </c>
      <c r="CW49" s="3">
        <f t="shared" si="48"/>
        <v>0</v>
      </c>
      <c r="CX49" s="3">
        <f t="shared" si="49"/>
        <v>0</v>
      </c>
      <c r="CY49" s="3">
        <f t="shared" si="72"/>
        <v>723.7</v>
      </c>
      <c r="CZ49" s="3">
        <f t="shared" si="73"/>
        <v>369.89</v>
      </c>
      <c r="DB49" s="3">
        <v>41</v>
      </c>
      <c r="DC49" s="3" t="s">
        <v>3</v>
      </c>
      <c r="DD49" s="3" t="s">
        <v>24</v>
      </c>
      <c r="DE49" s="3" t="s">
        <v>25</v>
      </c>
      <c r="DF49" s="3" t="s">
        <v>25</v>
      </c>
      <c r="DG49" s="3" t="s">
        <v>25</v>
      </c>
      <c r="DH49" s="3" t="s">
        <v>3</v>
      </c>
      <c r="DI49" s="3" t="s">
        <v>25</v>
      </c>
      <c r="DJ49" s="3" t="s">
        <v>25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22</v>
      </c>
      <c r="DW49" s="3" t="s">
        <v>22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55393700</v>
      </c>
      <c r="EF49" s="3">
        <v>40</v>
      </c>
      <c r="EG49" s="3" t="s">
        <v>26</v>
      </c>
      <c r="EH49" s="3">
        <v>0</v>
      </c>
      <c r="EI49" s="3" t="s">
        <v>3</v>
      </c>
      <c r="EJ49" s="3">
        <v>2</v>
      </c>
      <c r="EK49" s="3">
        <v>68</v>
      </c>
      <c r="EL49" s="3" t="s">
        <v>35</v>
      </c>
      <c r="EM49" s="3" t="s">
        <v>36</v>
      </c>
      <c r="EO49" s="3" t="s">
        <v>29</v>
      </c>
      <c r="EQ49" s="3">
        <v>0</v>
      </c>
      <c r="ER49" s="3">
        <v>80.47</v>
      </c>
      <c r="ES49" s="3">
        <v>42.61</v>
      </c>
      <c r="ET49" s="3">
        <v>0</v>
      </c>
      <c r="EU49" s="3">
        <v>0</v>
      </c>
      <c r="EV49" s="3">
        <v>37.86</v>
      </c>
      <c r="EW49" s="3">
        <v>3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90</v>
      </c>
      <c r="FY49" s="3">
        <v>46</v>
      </c>
      <c r="GA49" s="3" t="s">
        <v>3</v>
      </c>
      <c r="GD49" s="3">
        <v>1</v>
      </c>
      <c r="GF49" s="3">
        <v>-1588285181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1897.7</v>
      </c>
      <c r="GN49" s="3">
        <f t="shared" si="54"/>
        <v>0</v>
      </c>
      <c r="GO49" s="3">
        <f t="shared" si="55"/>
        <v>1897.7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17</v>
      </c>
      <c r="B50" s="2">
        <v>1</v>
      </c>
      <c r="C50" s="2">
        <f>ROW(SmtRes!A150)</f>
        <v>150</v>
      </c>
      <c r="D50" s="2">
        <f>ROW(EtalonRes!A170)</f>
        <v>170</v>
      </c>
      <c r="E50" s="2" t="s">
        <v>78</v>
      </c>
      <c r="F50" s="2" t="s">
        <v>79</v>
      </c>
      <c r="G50" s="2" t="s">
        <v>80</v>
      </c>
      <c r="H50" s="2" t="s">
        <v>81</v>
      </c>
      <c r="I50" s="2">
        <f>ROUND((5.1+3.1)/1000,9)</f>
        <v>8.2000000000000007E-3</v>
      </c>
      <c r="J50" s="2">
        <v>0</v>
      </c>
      <c r="K50" s="2">
        <f>ROUND((5.1+3.1)/1000,9)</f>
        <v>8.2000000000000007E-3</v>
      </c>
      <c r="L50" s="2"/>
      <c r="M50" s="2"/>
      <c r="N50" s="2"/>
      <c r="O50" s="2">
        <f t="shared" si="21"/>
        <v>1.4</v>
      </c>
      <c r="P50" s="2">
        <f t="shared" si="22"/>
        <v>0</v>
      </c>
      <c r="Q50" s="2">
        <f t="shared" si="60"/>
        <v>0.01</v>
      </c>
      <c r="R50" s="2">
        <f t="shared" si="61"/>
        <v>0</v>
      </c>
      <c r="S50" s="2">
        <f t="shared" si="25"/>
        <v>1.39</v>
      </c>
      <c r="T50" s="2">
        <f t="shared" si="26"/>
        <v>0</v>
      </c>
      <c r="U50" s="2">
        <f t="shared" si="27"/>
        <v>0.102682368</v>
      </c>
      <c r="V50" s="2">
        <f t="shared" si="28"/>
        <v>0</v>
      </c>
      <c r="W50" s="2">
        <f t="shared" si="29"/>
        <v>0</v>
      </c>
      <c r="X50" s="2">
        <f t="shared" si="62"/>
        <v>1.32</v>
      </c>
      <c r="Y50" s="2">
        <f t="shared" si="63"/>
        <v>0.74</v>
      </c>
      <c r="Z50" s="2"/>
      <c r="AA50" s="2">
        <v>55917797</v>
      </c>
      <c r="AB50" s="2">
        <f t="shared" si="32"/>
        <v>157.0248</v>
      </c>
      <c r="AC50" s="2">
        <f t="shared" si="64"/>
        <v>0</v>
      </c>
      <c r="AD50" s="2">
        <f t="shared" si="65"/>
        <v>0.69840000000000002</v>
      </c>
      <c r="AE50" s="2">
        <f t="shared" si="66"/>
        <v>0</v>
      </c>
      <c r="AF50" s="2">
        <f t="shared" si="67"/>
        <v>156.32640000000001</v>
      </c>
      <c r="AG50" s="2">
        <f t="shared" si="37"/>
        <v>0</v>
      </c>
      <c r="AH50" s="2">
        <f t="shared" si="68"/>
        <v>11.52</v>
      </c>
      <c r="AI50" s="2">
        <f t="shared" si="69"/>
        <v>0</v>
      </c>
      <c r="AJ50" s="2">
        <f t="shared" si="40"/>
        <v>0</v>
      </c>
      <c r="AK50" s="2">
        <v>545.15</v>
      </c>
      <c r="AL50" s="2">
        <v>108.97</v>
      </c>
      <c r="AM50" s="2">
        <v>1.94</v>
      </c>
      <c r="AN50" s="2">
        <v>0</v>
      </c>
      <c r="AO50" s="2">
        <v>434.24</v>
      </c>
      <c r="AP50" s="2">
        <v>0</v>
      </c>
      <c r="AQ50" s="2">
        <v>32</v>
      </c>
      <c r="AR50" s="2">
        <v>0</v>
      </c>
      <c r="AS50" s="2">
        <v>0</v>
      </c>
      <c r="AT50" s="2">
        <v>95</v>
      </c>
      <c r="AU50" s="2">
        <v>53</v>
      </c>
      <c r="AV50" s="2">
        <v>1.087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82</v>
      </c>
      <c r="BK50" s="2"/>
      <c r="BL50" s="2"/>
      <c r="BM50" s="2">
        <v>69</v>
      </c>
      <c r="BN50" s="2">
        <v>0</v>
      </c>
      <c r="BO50" s="2" t="s">
        <v>79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95</v>
      </c>
      <c r="CA50" s="2">
        <v>53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617</v>
      </c>
      <c r="CO50" s="2">
        <v>0</v>
      </c>
      <c r="CP50" s="2">
        <f t="shared" si="41"/>
        <v>1.4</v>
      </c>
      <c r="CQ50" s="2">
        <f t="shared" si="42"/>
        <v>0</v>
      </c>
      <c r="CR50" s="2">
        <f t="shared" si="70"/>
        <v>0.76</v>
      </c>
      <c r="CS50" s="2">
        <f t="shared" si="71"/>
        <v>0</v>
      </c>
      <c r="CT50" s="2">
        <f t="shared" si="45"/>
        <v>169.93</v>
      </c>
      <c r="CU50" s="2">
        <f t="shared" si="46"/>
        <v>0</v>
      </c>
      <c r="CV50" s="2">
        <f t="shared" si="47"/>
        <v>12.522239999999998</v>
      </c>
      <c r="CW50" s="2">
        <f t="shared" si="48"/>
        <v>0</v>
      </c>
      <c r="CX50" s="2">
        <f t="shared" si="49"/>
        <v>0</v>
      </c>
      <c r="CY50" s="2">
        <f t="shared" si="72"/>
        <v>1.32</v>
      </c>
      <c r="CZ50" s="2">
        <f t="shared" si="73"/>
        <v>0.74</v>
      </c>
      <c r="DA50" s="2"/>
      <c r="DB50" s="2">
        <v>43</v>
      </c>
      <c r="DC50" s="2" t="s">
        <v>3</v>
      </c>
      <c r="DD50" s="2" t="s">
        <v>24</v>
      </c>
      <c r="DE50" s="2" t="s">
        <v>25</v>
      </c>
      <c r="DF50" s="2" t="s">
        <v>25</v>
      </c>
      <c r="DG50" s="2" t="s">
        <v>25</v>
      </c>
      <c r="DH50" s="2" t="s">
        <v>3</v>
      </c>
      <c r="DI50" s="2" t="s">
        <v>25</v>
      </c>
      <c r="DJ50" s="2" t="s">
        <v>25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81</v>
      </c>
      <c r="DW50" s="2" t="s">
        <v>81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55393701</v>
      </c>
      <c r="EF50" s="2">
        <v>40</v>
      </c>
      <c r="EG50" s="2" t="s">
        <v>26</v>
      </c>
      <c r="EH50" s="2">
        <v>0</v>
      </c>
      <c r="EI50" s="2" t="s">
        <v>3</v>
      </c>
      <c r="EJ50" s="2">
        <v>2</v>
      </c>
      <c r="EK50" s="2">
        <v>69</v>
      </c>
      <c r="EL50" s="2" t="s">
        <v>27</v>
      </c>
      <c r="EM50" s="2" t="s">
        <v>28</v>
      </c>
      <c r="EN50" s="2"/>
      <c r="EO50" s="2" t="s">
        <v>29</v>
      </c>
      <c r="EP50" s="2"/>
      <c r="EQ50" s="2">
        <v>0</v>
      </c>
      <c r="ER50" s="2">
        <v>545.15</v>
      </c>
      <c r="ES50" s="2">
        <v>108.97</v>
      </c>
      <c r="ET50" s="2">
        <v>1.94</v>
      </c>
      <c r="EU50" s="2">
        <v>0</v>
      </c>
      <c r="EV50" s="2">
        <v>434.24</v>
      </c>
      <c r="EW50" s="2">
        <v>32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95</v>
      </c>
      <c r="FY50" s="2">
        <v>53</v>
      </c>
      <c r="FZ50" s="2"/>
      <c r="GA50" s="2" t="s">
        <v>3</v>
      </c>
      <c r="GB50" s="2"/>
      <c r="GC50" s="2"/>
      <c r="GD50" s="2">
        <v>1</v>
      </c>
      <c r="GE50" s="2"/>
      <c r="GF50" s="2">
        <v>-1460753722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3.46</v>
      </c>
      <c r="GN50" s="2">
        <f t="shared" si="54"/>
        <v>0</v>
      </c>
      <c r="GO50" s="2">
        <f t="shared" si="55"/>
        <v>3.46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17</v>
      </c>
      <c r="B51" s="3">
        <v>1</v>
      </c>
      <c r="C51" s="3">
        <f>ROW(SmtRes!A154)</f>
        <v>154</v>
      </c>
      <c r="D51" s="3">
        <f>ROW(EtalonRes!A174)</f>
        <v>174</v>
      </c>
      <c r="E51" s="3" t="s">
        <v>78</v>
      </c>
      <c r="F51" s="3" t="s">
        <v>79</v>
      </c>
      <c r="G51" s="3" t="s">
        <v>80</v>
      </c>
      <c r="H51" s="3" t="s">
        <v>81</v>
      </c>
      <c r="I51" s="3">
        <f>ROUND((5.1+3.1)/1000,9)</f>
        <v>8.2000000000000007E-3</v>
      </c>
      <c r="J51" s="3">
        <v>0</v>
      </c>
      <c r="K51" s="3">
        <f>ROUND((5.1+3.1)/1000,9)</f>
        <v>8.2000000000000007E-3</v>
      </c>
      <c r="O51" s="3">
        <f t="shared" si="21"/>
        <v>78.430000000000007</v>
      </c>
      <c r="P51" s="3">
        <f t="shared" si="22"/>
        <v>0</v>
      </c>
      <c r="Q51" s="3">
        <f t="shared" si="60"/>
        <v>0.1</v>
      </c>
      <c r="R51" s="3">
        <f t="shared" si="61"/>
        <v>0</v>
      </c>
      <c r="S51" s="3">
        <f t="shared" si="25"/>
        <v>78.33</v>
      </c>
      <c r="T51" s="3">
        <f t="shared" si="26"/>
        <v>0</v>
      </c>
      <c r="U51" s="3">
        <f t="shared" si="27"/>
        <v>0.102682368</v>
      </c>
      <c r="V51" s="3">
        <f t="shared" si="28"/>
        <v>0</v>
      </c>
      <c r="W51" s="3">
        <f t="shared" si="29"/>
        <v>0</v>
      </c>
      <c r="X51" s="3">
        <f t="shared" si="62"/>
        <v>74.41</v>
      </c>
      <c r="Y51" s="3">
        <f t="shared" si="63"/>
        <v>41.51</v>
      </c>
      <c r="AA51" s="3">
        <v>55917799</v>
      </c>
      <c r="AB51" s="3">
        <f t="shared" si="32"/>
        <v>157.0248</v>
      </c>
      <c r="AC51" s="3">
        <f t="shared" si="64"/>
        <v>0</v>
      </c>
      <c r="AD51" s="3">
        <f t="shared" si="65"/>
        <v>0.69840000000000002</v>
      </c>
      <c r="AE51" s="3">
        <f t="shared" si="66"/>
        <v>0</v>
      </c>
      <c r="AF51" s="3">
        <f t="shared" si="67"/>
        <v>156.32640000000001</v>
      </c>
      <c r="AG51" s="3">
        <f t="shared" si="37"/>
        <v>0</v>
      </c>
      <c r="AH51" s="3">
        <f t="shared" si="68"/>
        <v>11.52</v>
      </c>
      <c r="AI51" s="3">
        <f t="shared" si="69"/>
        <v>0</v>
      </c>
      <c r="AJ51" s="3">
        <f t="shared" si="40"/>
        <v>0</v>
      </c>
      <c r="AK51" s="3">
        <v>545.15</v>
      </c>
      <c r="AL51" s="3">
        <v>108.97</v>
      </c>
      <c r="AM51" s="3">
        <v>1.94</v>
      </c>
      <c r="AN51" s="3">
        <v>0</v>
      </c>
      <c r="AO51" s="3">
        <v>434.24</v>
      </c>
      <c r="AP51" s="3">
        <v>0</v>
      </c>
      <c r="AQ51" s="3">
        <v>32</v>
      </c>
      <c r="AR51" s="3">
        <v>0</v>
      </c>
      <c r="AS51" s="3">
        <v>0</v>
      </c>
      <c r="AT51" s="3">
        <v>95</v>
      </c>
      <c r="AU51" s="3">
        <v>53</v>
      </c>
      <c r="AV51" s="3">
        <v>1.087</v>
      </c>
      <c r="AW51" s="3">
        <v>1</v>
      </c>
      <c r="AZ51" s="3">
        <v>1</v>
      </c>
      <c r="BA51" s="3">
        <v>56.35</v>
      </c>
      <c r="BB51" s="3">
        <v>9.9700000000000006</v>
      </c>
      <c r="BC51" s="3">
        <v>4.46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82</v>
      </c>
      <c r="BM51" s="3">
        <v>69</v>
      </c>
      <c r="BN51" s="3">
        <v>0</v>
      </c>
      <c r="BO51" s="3" t="s">
        <v>79</v>
      </c>
      <c r="BP51" s="3">
        <v>1</v>
      </c>
      <c r="BQ51" s="3">
        <v>40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95</v>
      </c>
      <c r="CA51" s="3">
        <v>53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617</v>
      </c>
      <c r="CO51" s="3">
        <v>0</v>
      </c>
      <c r="CP51" s="3">
        <f t="shared" si="41"/>
        <v>78.429999999999993</v>
      </c>
      <c r="CQ51" s="3">
        <f t="shared" si="42"/>
        <v>0</v>
      </c>
      <c r="CR51" s="3">
        <f t="shared" si="70"/>
        <v>7.58</v>
      </c>
      <c r="CS51" s="3">
        <f t="shared" si="71"/>
        <v>0</v>
      </c>
      <c r="CT51" s="3">
        <f t="shared" si="45"/>
        <v>9575.56</v>
      </c>
      <c r="CU51" s="3">
        <f t="shared" si="46"/>
        <v>0</v>
      </c>
      <c r="CV51" s="3">
        <f t="shared" si="47"/>
        <v>12.522239999999998</v>
      </c>
      <c r="CW51" s="3">
        <f t="shared" si="48"/>
        <v>0</v>
      </c>
      <c r="CX51" s="3">
        <f t="shared" si="49"/>
        <v>0</v>
      </c>
      <c r="CY51" s="3">
        <f t="shared" si="72"/>
        <v>74.41</v>
      </c>
      <c r="CZ51" s="3">
        <f t="shared" si="73"/>
        <v>41.51</v>
      </c>
      <c r="DB51" s="3">
        <v>45</v>
      </c>
      <c r="DC51" s="3" t="s">
        <v>3</v>
      </c>
      <c r="DD51" s="3" t="s">
        <v>24</v>
      </c>
      <c r="DE51" s="3" t="s">
        <v>25</v>
      </c>
      <c r="DF51" s="3" t="s">
        <v>25</v>
      </c>
      <c r="DG51" s="3" t="s">
        <v>25</v>
      </c>
      <c r="DH51" s="3" t="s">
        <v>3</v>
      </c>
      <c r="DI51" s="3" t="s">
        <v>25</v>
      </c>
      <c r="DJ51" s="3" t="s">
        <v>25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81</v>
      </c>
      <c r="DW51" s="3" t="s">
        <v>81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55393701</v>
      </c>
      <c r="EF51" s="3">
        <v>40</v>
      </c>
      <c r="EG51" s="3" t="s">
        <v>26</v>
      </c>
      <c r="EH51" s="3">
        <v>0</v>
      </c>
      <c r="EI51" s="3" t="s">
        <v>3</v>
      </c>
      <c r="EJ51" s="3">
        <v>2</v>
      </c>
      <c r="EK51" s="3">
        <v>69</v>
      </c>
      <c r="EL51" s="3" t="s">
        <v>27</v>
      </c>
      <c r="EM51" s="3" t="s">
        <v>28</v>
      </c>
      <c r="EO51" s="3" t="s">
        <v>29</v>
      </c>
      <c r="EQ51" s="3">
        <v>0</v>
      </c>
      <c r="ER51" s="3">
        <v>545.15</v>
      </c>
      <c r="ES51" s="3">
        <v>108.97</v>
      </c>
      <c r="ET51" s="3">
        <v>1.94</v>
      </c>
      <c r="EU51" s="3">
        <v>0</v>
      </c>
      <c r="EV51" s="3">
        <v>434.24</v>
      </c>
      <c r="EW51" s="3">
        <v>32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95</v>
      </c>
      <c r="FY51" s="3">
        <v>53</v>
      </c>
      <c r="GA51" s="3" t="s">
        <v>3</v>
      </c>
      <c r="GD51" s="3">
        <v>1</v>
      </c>
      <c r="GF51" s="3">
        <v>-1460753722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194.35</v>
      </c>
      <c r="GN51" s="3">
        <f t="shared" si="54"/>
        <v>0</v>
      </c>
      <c r="GO51" s="3">
        <f t="shared" si="55"/>
        <v>194.35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5">
      <c r="A52" s="2">
        <v>17</v>
      </c>
      <c r="B52" s="2">
        <v>1</v>
      </c>
      <c r="C52" s="2">
        <f>ROW(SmtRes!A155)</f>
        <v>155</v>
      </c>
      <c r="D52" s="2">
        <f>ROW(EtalonRes!A175)</f>
        <v>175</v>
      </c>
      <c r="E52" s="2" t="s">
        <v>83</v>
      </c>
      <c r="F52" s="2" t="s">
        <v>84</v>
      </c>
      <c r="G52" s="2" t="s">
        <v>85</v>
      </c>
      <c r="H52" s="2" t="s">
        <v>86</v>
      </c>
      <c r="I52" s="2">
        <f>ROUND((50+50+50+300+20+15)/100,9)</f>
        <v>4.8499999999999996</v>
      </c>
      <c r="J52" s="2">
        <v>0</v>
      </c>
      <c r="K52" s="2">
        <f>ROUND((50+50+50+300+20+15)/100,9)</f>
        <v>4.8499999999999996</v>
      </c>
      <c r="L52" s="2"/>
      <c r="M52" s="2"/>
      <c r="N52" s="2"/>
      <c r="O52" s="2">
        <f t="shared" si="21"/>
        <v>600.34</v>
      </c>
      <c r="P52" s="2">
        <f t="shared" si="22"/>
        <v>0</v>
      </c>
      <c r="Q52" s="2">
        <f>(ROUND((ROUND((((ET52*1.2))*AV52*I52),2)*BB52),2)+ROUND((ROUND(((AE52-((EU52*1.2)))*AV52*I52),2)*BS52),2))</f>
        <v>0</v>
      </c>
      <c r="R52" s="2">
        <f>(ROUND((ROUND((((EU52*1.2))*AV52*I52),2)*BS52),2)+ROUND((ROUND(((AE52-((EU52*1.2)))*AV52*I52),2)*BS52),2))</f>
        <v>0</v>
      </c>
      <c r="S52" s="2">
        <f t="shared" si="25"/>
        <v>600.34</v>
      </c>
      <c r="T52" s="2">
        <f t="shared" si="26"/>
        <v>0</v>
      </c>
      <c r="U52" s="2">
        <f t="shared" si="27"/>
        <v>58.741725599999988</v>
      </c>
      <c r="V52" s="2">
        <f t="shared" si="28"/>
        <v>0</v>
      </c>
      <c r="W52" s="2">
        <f t="shared" si="29"/>
        <v>0</v>
      </c>
      <c r="X52" s="2">
        <f>(ROUND((((S52+ROUND((ROUND((((EU52*1.2))*AV52*I52),2)*BS52),2))*AT52)/100),2)+ROUND(((ROUND((ROUND(((AE52-((EU52*1.2)))*AV52*I52),2)*BS52),2)*AT52)/100),2))</f>
        <v>546.30999999999995</v>
      </c>
      <c r="Y52" s="2">
        <f>(ROUND((((S52+ROUND((ROUND((((EU52*1.2))*AV52*I52),2)*BS52),2))*AU52)/100),2)+ROUND(((ROUND((ROUND(((AE52-((EU52*1.2)))*AV52*I52),2)*BS52),2)*AU52)/100),2))</f>
        <v>288.16000000000003</v>
      </c>
      <c r="Z52" s="2"/>
      <c r="AA52" s="2">
        <v>55917797</v>
      </c>
      <c r="AB52" s="2">
        <f t="shared" si="32"/>
        <v>118.224</v>
      </c>
      <c r="AC52" s="2">
        <f>ROUND(((ES52*1)),6)</f>
        <v>0</v>
      </c>
      <c r="AD52" s="2">
        <f>ROUND(((((ET52*1.2))-((EU52*1.2)))+AE52),6)</f>
        <v>0</v>
      </c>
      <c r="AE52" s="2">
        <f>ROUND(((EU52*1.2)),6)</f>
        <v>0</v>
      </c>
      <c r="AF52" s="2">
        <f>ROUND(((EV52*1.2)),6)</f>
        <v>118.224</v>
      </c>
      <c r="AG52" s="2">
        <f t="shared" si="37"/>
        <v>0</v>
      </c>
      <c r="AH52" s="2">
        <f>((EW52*1.2))</f>
        <v>11.568</v>
      </c>
      <c r="AI52" s="2">
        <f>((EX52*1.2))</f>
        <v>0</v>
      </c>
      <c r="AJ52" s="2">
        <f t="shared" si="40"/>
        <v>0</v>
      </c>
      <c r="AK52" s="2">
        <v>98.52</v>
      </c>
      <c r="AL52" s="2">
        <v>0</v>
      </c>
      <c r="AM52" s="2">
        <v>0</v>
      </c>
      <c r="AN52" s="2">
        <v>0</v>
      </c>
      <c r="AO52" s="2">
        <v>98.52</v>
      </c>
      <c r="AP52" s="2">
        <v>0</v>
      </c>
      <c r="AQ52" s="2">
        <v>9.64</v>
      </c>
      <c r="AR52" s="2">
        <v>0</v>
      </c>
      <c r="AS52" s="2">
        <v>0</v>
      </c>
      <c r="AT52" s="2">
        <v>91</v>
      </c>
      <c r="AU52" s="2">
        <v>48</v>
      </c>
      <c r="AV52" s="2">
        <v>1.0469999999999999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1</v>
      </c>
      <c r="BJ52" s="2" t="s">
        <v>87</v>
      </c>
      <c r="BK52" s="2"/>
      <c r="BL52" s="2"/>
      <c r="BM52" s="2">
        <v>106</v>
      </c>
      <c r="BN52" s="2">
        <v>0</v>
      </c>
      <c r="BO52" s="2" t="s">
        <v>84</v>
      </c>
      <c r="BP52" s="2">
        <v>1</v>
      </c>
      <c r="BQ52" s="2">
        <v>60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91</v>
      </c>
      <c r="CA52" s="2">
        <v>48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618</v>
      </c>
      <c r="CO52" s="2">
        <v>0</v>
      </c>
      <c r="CP52" s="2">
        <f t="shared" si="41"/>
        <v>600.34</v>
      </c>
      <c r="CQ52" s="2">
        <f t="shared" si="42"/>
        <v>0</v>
      </c>
      <c r="CR52" s="2">
        <f>(ROUND((ROUND((((ET52*1.2))*AV52*1),2)*BB52),2)+ROUND((ROUND(((AE52-((EU52*1.2)))*AV52*1),2)*BS52),2))</f>
        <v>0</v>
      </c>
      <c r="CS52" s="2">
        <f>(ROUND((ROUND((((EU52*1.2))*AV52*1),2)*BS52),2)+ROUND((ROUND(((AE52-((EU52*1.2)))*AV52*1),2)*BS52),2))</f>
        <v>0</v>
      </c>
      <c r="CT52" s="2">
        <f t="shared" si="45"/>
        <v>123.78</v>
      </c>
      <c r="CU52" s="2">
        <f t="shared" si="46"/>
        <v>0</v>
      </c>
      <c r="CV52" s="2">
        <f t="shared" si="47"/>
        <v>12.111695999999998</v>
      </c>
      <c r="CW52" s="2">
        <f t="shared" si="48"/>
        <v>0</v>
      </c>
      <c r="CX52" s="2">
        <f t="shared" si="49"/>
        <v>0</v>
      </c>
      <c r="CY52" s="2">
        <f>(ROUND((((S52+ROUND((ROUND((((EU52*1.2))*AV52*1),2)*BS52),2))*AT52)/100),2)+ROUND(((ROUND((ROUND(((AE52-((EU52*1.2)))*AV52*1),2)*BS52),2)*AT52)/100),2))</f>
        <v>546.30999999999995</v>
      </c>
      <c r="CZ52" s="2">
        <f>(ROUND((((S52+ROUND((ROUND((((EU52*1.2))*AV52*1),2)*BS52),2))*AU52)/100),2)+ROUND(((ROUND((ROUND(((AE52-((EU52*1.2)))*AV52*1),2)*BS52),2)*AU52)/100),2))</f>
        <v>288.16000000000003</v>
      </c>
      <c r="DA52" s="2"/>
      <c r="DB52" s="2">
        <v>47</v>
      </c>
      <c r="DC52" s="2" t="s">
        <v>3</v>
      </c>
      <c r="DD52" s="2" t="s">
        <v>55</v>
      </c>
      <c r="DE52" s="2" t="s">
        <v>56</v>
      </c>
      <c r="DF52" s="2" t="s">
        <v>56</v>
      </c>
      <c r="DG52" s="2" t="s">
        <v>56</v>
      </c>
      <c r="DH52" s="2" t="s">
        <v>3</v>
      </c>
      <c r="DI52" s="2" t="s">
        <v>56</v>
      </c>
      <c r="DJ52" s="2" t="s">
        <v>56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1003</v>
      </c>
      <c r="DV52" s="2" t="s">
        <v>86</v>
      </c>
      <c r="DW52" s="2" t="s">
        <v>86</v>
      </c>
      <c r="DX52" s="2">
        <v>100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55393738</v>
      </c>
      <c r="EF52" s="2">
        <v>60</v>
      </c>
      <c r="EG52" s="2" t="s">
        <v>57</v>
      </c>
      <c r="EH52" s="2">
        <v>0</v>
      </c>
      <c r="EI52" s="2" t="s">
        <v>3</v>
      </c>
      <c r="EJ52" s="2">
        <v>1</v>
      </c>
      <c r="EK52" s="2">
        <v>106</v>
      </c>
      <c r="EL52" s="2" t="s">
        <v>58</v>
      </c>
      <c r="EM52" s="2" t="s">
        <v>59</v>
      </c>
      <c r="EN52" s="2"/>
      <c r="EO52" s="2" t="s">
        <v>60</v>
      </c>
      <c r="EP52" s="2"/>
      <c r="EQ52" s="2">
        <v>0</v>
      </c>
      <c r="ER52" s="2">
        <v>98.52</v>
      </c>
      <c r="ES52" s="2">
        <v>0</v>
      </c>
      <c r="ET52" s="2">
        <v>0</v>
      </c>
      <c r="EU52" s="2">
        <v>0</v>
      </c>
      <c r="EV52" s="2">
        <v>98.52</v>
      </c>
      <c r="EW52" s="2">
        <v>9.64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91</v>
      </c>
      <c r="FY52" s="2">
        <v>48</v>
      </c>
      <c r="FZ52" s="2"/>
      <c r="GA52" s="2" t="s">
        <v>3</v>
      </c>
      <c r="GB52" s="2"/>
      <c r="GC52" s="2"/>
      <c r="GD52" s="2">
        <v>1</v>
      </c>
      <c r="GE52" s="2"/>
      <c r="GF52" s="2">
        <v>1114236003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1434.81</v>
      </c>
      <c r="GN52" s="2">
        <f t="shared" si="54"/>
        <v>1434.81</v>
      </c>
      <c r="GO52" s="2">
        <f t="shared" si="55"/>
        <v>0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 s="3">
        <v>17</v>
      </c>
      <c r="B53" s="3">
        <v>1</v>
      </c>
      <c r="C53" s="3">
        <f>ROW(SmtRes!A156)</f>
        <v>156</v>
      </c>
      <c r="D53" s="3">
        <f>ROW(EtalonRes!A176)</f>
        <v>176</v>
      </c>
      <c r="E53" s="3" t="s">
        <v>83</v>
      </c>
      <c r="F53" s="3" t="s">
        <v>84</v>
      </c>
      <c r="G53" s="3" t="s">
        <v>85</v>
      </c>
      <c r="H53" s="3" t="s">
        <v>86</v>
      </c>
      <c r="I53" s="3">
        <f>ROUND((50+50+50+300+20+15)/100,9)</f>
        <v>4.8499999999999996</v>
      </c>
      <c r="J53" s="3">
        <v>0</v>
      </c>
      <c r="K53" s="3">
        <f>ROUND((50+50+50+300+20+15)/100,9)</f>
        <v>4.8499999999999996</v>
      </c>
      <c r="O53" s="3">
        <f t="shared" si="21"/>
        <v>33829.160000000003</v>
      </c>
      <c r="P53" s="3">
        <f t="shared" si="22"/>
        <v>0</v>
      </c>
      <c r="Q53" s="3">
        <f>(ROUND((ROUND((((ET53*1.2))*AV53*I53),2)*BB53),2)+ROUND((ROUND(((AE53-((EU53*1.2)))*AV53*I53),2)*BS53),2))</f>
        <v>0</v>
      </c>
      <c r="R53" s="3">
        <f>(ROUND((ROUND((((EU53*1.2))*AV53*I53),2)*BS53),2)+ROUND((ROUND(((AE53-((EU53*1.2)))*AV53*I53),2)*BS53),2))</f>
        <v>0</v>
      </c>
      <c r="S53" s="3">
        <f t="shared" si="25"/>
        <v>33829.160000000003</v>
      </c>
      <c r="T53" s="3">
        <f t="shared" si="26"/>
        <v>0</v>
      </c>
      <c r="U53" s="3">
        <f t="shared" si="27"/>
        <v>58.741725599999988</v>
      </c>
      <c r="V53" s="3">
        <f t="shared" si="28"/>
        <v>0</v>
      </c>
      <c r="W53" s="3">
        <f t="shared" si="29"/>
        <v>0</v>
      </c>
      <c r="X53" s="3">
        <f>(ROUND((((S53+ROUND((ROUND((((EU53*1.2))*AV53*I53),2)*BS53),2))*AT53)/100),2)+ROUND(((ROUND((ROUND(((AE53-((EU53*1.2)))*AV53*I53),2)*BS53),2)*AT53)/100),2))</f>
        <v>30784.54</v>
      </c>
      <c r="Y53" s="3">
        <f>(ROUND((((S53+ROUND((ROUND((((EU53*1.2))*AV53*I53),2)*BS53),2))*AU53)/100),2)+ROUND(((ROUND((ROUND(((AE53-((EU53*1.2)))*AV53*I53),2)*BS53),2)*AU53)/100),2))</f>
        <v>16238</v>
      </c>
      <c r="AA53" s="3">
        <v>55917799</v>
      </c>
      <c r="AB53" s="3">
        <f t="shared" si="32"/>
        <v>118.224</v>
      </c>
      <c r="AC53" s="3">
        <f>ROUND(((ES53*1)),6)</f>
        <v>0</v>
      </c>
      <c r="AD53" s="3">
        <f>ROUND(((((ET53*1.2))-((EU53*1.2)))+AE53),6)</f>
        <v>0</v>
      </c>
      <c r="AE53" s="3">
        <f>ROUND(((EU53*1.2)),6)</f>
        <v>0</v>
      </c>
      <c r="AF53" s="3">
        <f>ROUND(((EV53*1.2)),6)</f>
        <v>118.224</v>
      </c>
      <c r="AG53" s="3">
        <f t="shared" si="37"/>
        <v>0</v>
      </c>
      <c r="AH53" s="3">
        <f>((EW53*1.2))</f>
        <v>11.568</v>
      </c>
      <c r="AI53" s="3">
        <f>((EX53*1.2))</f>
        <v>0</v>
      </c>
      <c r="AJ53" s="3">
        <f t="shared" si="40"/>
        <v>0</v>
      </c>
      <c r="AK53" s="3">
        <v>98.52</v>
      </c>
      <c r="AL53" s="3">
        <v>0</v>
      </c>
      <c r="AM53" s="3">
        <v>0</v>
      </c>
      <c r="AN53" s="3">
        <v>0</v>
      </c>
      <c r="AO53" s="3">
        <v>98.52</v>
      </c>
      <c r="AP53" s="3">
        <v>0</v>
      </c>
      <c r="AQ53" s="3">
        <v>9.64</v>
      </c>
      <c r="AR53" s="3">
        <v>0</v>
      </c>
      <c r="AS53" s="3">
        <v>0</v>
      </c>
      <c r="AT53" s="3">
        <v>91</v>
      </c>
      <c r="AU53" s="3">
        <v>48</v>
      </c>
      <c r="AV53" s="3">
        <v>1.0469999999999999</v>
      </c>
      <c r="AW53" s="3">
        <v>1</v>
      </c>
      <c r="AZ53" s="3">
        <v>1</v>
      </c>
      <c r="BA53" s="3">
        <v>56.35</v>
      </c>
      <c r="BB53" s="3">
        <v>1</v>
      </c>
      <c r="BC53" s="3">
        <v>1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1</v>
      </c>
      <c r="BJ53" s="3" t="s">
        <v>87</v>
      </c>
      <c r="BM53" s="3">
        <v>106</v>
      </c>
      <c r="BN53" s="3">
        <v>0</v>
      </c>
      <c r="BO53" s="3" t="s">
        <v>84</v>
      </c>
      <c r="BP53" s="3">
        <v>1</v>
      </c>
      <c r="BQ53" s="3">
        <v>60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91</v>
      </c>
      <c r="CA53" s="3">
        <v>48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618</v>
      </c>
      <c r="CO53" s="3">
        <v>0</v>
      </c>
      <c r="CP53" s="3">
        <f t="shared" si="41"/>
        <v>33829.160000000003</v>
      </c>
      <c r="CQ53" s="3">
        <f t="shared" si="42"/>
        <v>0</v>
      </c>
      <c r="CR53" s="3">
        <f>(ROUND((ROUND((((ET53*1.2))*AV53*1),2)*BB53),2)+ROUND((ROUND(((AE53-((EU53*1.2)))*AV53*1),2)*BS53),2))</f>
        <v>0</v>
      </c>
      <c r="CS53" s="3">
        <f>(ROUND((ROUND((((EU53*1.2))*AV53*1),2)*BS53),2)+ROUND((ROUND(((AE53-((EU53*1.2)))*AV53*1),2)*BS53),2))</f>
        <v>0</v>
      </c>
      <c r="CT53" s="3">
        <f t="shared" si="45"/>
        <v>6975</v>
      </c>
      <c r="CU53" s="3">
        <f t="shared" si="46"/>
        <v>0</v>
      </c>
      <c r="CV53" s="3">
        <f t="shared" si="47"/>
        <v>12.111695999999998</v>
      </c>
      <c r="CW53" s="3">
        <f t="shared" si="48"/>
        <v>0</v>
      </c>
      <c r="CX53" s="3">
        <f t="shared" si="49"/>
        <v>0</v>
      </c>
      <c r="CY53" s="3">
        <f>(ROUND((((S53+ROUND((ROUND((((EU53*1.2))*AV53*1),2)*BS53),2))*AT53)/100),2)+ROUND(((ROUND((ROUND(((AE53-((EU53*1.2)))*AV53*1),2)*BS53),2)*AT53)/100),2))</f>
        <v>30784.54</v>
      </c>
      <c r="CZ53" s="3">
        <f>(ROUND((((S53+ROUND((ROUND((((EU53*1.2))*AV53*1),2)*BS53),2))*AU53)/100),2)+ROUND(((ROUND((ROUND(((AE53-((EU53*1.2)))*AV53*1),2)*BS53),2)*AU53)/100),2))</f>
        <v>16238</v>
      </c>
      <c r="DB53" s="3">
        <v>48</v>
      </c>
      <c r="DC53" s="3" t="s">
        <v>3</v>
      </c>
      <c r="DD53" s="3" t="s">
        <v>55</v>
      </c>
      <c r="DE53" s="3" t="s">
        <v>56</v>
      </c>
      <c r="DF53" s="3" t="s">
        <v>56</v>
      </c>
      <c r="DG53" s="3" t="s">
        <v>56</v>
      </c>
      <c r="DH53" s="3" t="s">
        <v>3</v>
      </c>
      <c r="DI53" s="3" t="s">
        <v>56</v>
      </c>
      <c r="DJ53" s="3" t="s">
        <v>56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1003</v>
      </c>
      <c r="DV53" s="3" t="s">
        <v>86</v>
      </c>
      <c r="DW53" s="3" t="s">
        <v>86</v>
      </c>
      <c r="DX53" s="3">
        <v>100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55393738</v>
      </c>
      <c r="EF53" s="3">
        <v>60</v>
      </c>
      <c r="EG53" s="3" t="s">
        <v>57</v>
      </c>
      <c r="EH53" s="3">
        <v>0</v>
      </c>
      <c r="EI53" s="3" t="s">
        <v>3</v>
      </c>
      <c r="EJ53" s="3">
        <v>1</v>
      </c>
      <c r="EK53" s="3">
        <v>106</v>
      </c>
      <c r="EL53" s="3" t="s">
        <v>58</v>
      </c>
      <c r="EM53" s="3" t="s">
        <v>59</v>
      </c>
      <c r="EO53" s="3" t="s">
        <v>60</v>
      </c>
      <c r="EQ53" s="3">
        <v>0</v>
      </c>
      <c r="ER53" s="3">
        <v>98.52</v>
      </c>
      <c r="ES53" s="3">
        <v>0</v>
      </c>
      <c r="ET53" s="3">
        <v>0</v>
      </c>
      <c r="EU53" s="3">
        <v>0</v>
      </c>
      <c r="EV53" s="3">
        <v>98.52</v>
      </c>
      <c r="EW53" s="3">
        <v>9.64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91</v>
      </c>
      <c r="FY53" s="3">
        <v>48</v>
      </c>
      <c r="GA53" s="3" t="s">
        <v>3</v>
      </c>
      <c r="GD53" s="3">
        <v>1</v>
      </c>
      <c r="GF53" s="3">
        <v>1114236003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80851.7</v>
      </c>
      <c r="GN53" s="3">
        <f t="shared" si="54"/>
        <v>80851.7</v>
      </c>
      <c r="GO53" s="3">
        <f t="shared" si="55"/>
        <v>0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5" spans="1:255" ht="13" x14ac:dyDescent="0.3">
      <c r="A55" s="11">
        <v>51</v>
      </c>
      <c r="B55" s="11">
        <f>B24</f>
        <v>1</v>
      </c>
      <c r="C55" s="11">
        <f>A24</f>
        <v>4</v>
      </c>
      <c r="D55" s="11">
        <f>ROW(A24)</f>
        <v>24</v>
      </c>
      <c r="E55" s="11"/>
      <c r="F55" s="11" t="str">
        <f>IF(F24&lt;&gt;"",F24,"")</f>
        <v>Новый раздел</v>
      </c>
      <c r="G55" s="11" t="str">
        <f>IF(G24&lt;&gt;"",G24,"")</f>
        <v>Демонтажные работы</v>
      </c>
      <c r="H55" s="11">
        <v>0</v>
      </c>
      <c r="I55" s="11"/>
      <c r="J55" s="11"/>
      <c r="K55" s="11"/>
      <c r="L55" s="11"/>
      <c r="M55" s="11"/>
      <c r="N55" s="11"/>
      <c r="O55" s="11">
        <f t="shared" ref="O55:T55" si="74">ROUND(AB55,2)</f>
        <v>1019.76</v>
      </c>
      <c r="P55" s="11">
        <f t="shared" si="74"/>
        <v>0</v>
      </c>
      <c r="Q55" s="11">
        <f t="shared" si="74"/>
        <v>33.549999999999997</v>
      </c>
      <c r="R55" s="11">
        <f t="shared" si="74"/>
        <v>4.95</v>
      </c>
      <c r="S55" s="11">
        <f t="shared" si="74"/>
        <v>986.21</v>
      </c>
      <c r="T55" s="11">
        <f t="shared" si="74"/>
        <v>0</v>
      </c>
      <c r="U55" s="11">
        <f>AH55</f>
        <v>88.46239852799998</v>
      </c>
      <c r="V55" s="11">
        <f>AI55</f>
        <v>0</v>
      </c>
      <c r="W55" s="11">
        <f>ROUND(AJ55,2)</f>
        <v>0</v>
      </c>
      <c r="X55" s="11">
        <f>ROUND(AK55,2)</f>
        <v>913.63</v>
      </c>
      <c r="Y55" s="11">
        <f>ROUND(AL55,2)</f>
        <v>489.76</v>
      </c>
      <c r="Z55" s="11"/>
      <c r="AA55" s="11"/>
      <c r="AB55" s="11">
        <f>ROUND(SUMIF(AA28:AA53,"=55917797",O28:O53),2)</f>
        <v>1019.76</v>
      </c>
      <c r="AC55" s="11">
        <f>ROUND(SUMIF(AA28:AA53,"=55917797",P28:P53),2)</f>
        <v>0</v>
      </c>
      <c r="AD55" s="11">
        <f>ROUND(SUMIF(AA28:AA53,"=55917797",Q28:Q53),2)</f>
        <v>33.549999999999997</v>
      </c>
      <c r="AE55" s="11">
        <f>ROUND(SUMIF(AA28:AA53,"=55917797",R28:R53),2)</f>
        <v>4.95</v>
      </c>
      <c r="AF55" s="11">
        <f>ROUND(SUMIF(AA28:AA53,"=55917797",S28:S53),2)</f>
        <v>986.21</v>
      </c>
      <c r="AG55" s="11">
        <f>ROUND(SUMIF(AA28:AA53,"=55917797",T28:T53),2)</f>
        <v>0</v>
      </c>
      <c r="AH55" s="11">
        <f>SUMIF(AA28:AA53,"=55917797",U28:U53)</f>
        <v>88.46239852799998</v>
      </c>
      <c r="AI55" s="11">
        <f>SUMIF(AA28:AA53,"=55917797",V28:V53)</f>
        <v>0</v>
      </c>
      <c r="AJ55" s="11">
        <f>ROUND(SUMIF(AA28:AA53,"=55917797",W28:W53),2)</f>
        <v>0</v>
      </c>
      <c r="AK55" s="11">
        <f>ROUND(SUMIF(AA28:AA53,"=55917797",X28:X53),2)</f>
        <v>913.63</v>
      </c>
      <c r="AL55" s="11">
        <f>ROUND(SUMIF(AA28:AA53,"=55917797",Y28:Y53),2)</f>
        <v>489.76</v>
      </c>
      <c r="AM55" s="11"/>
      <c r="AN55" s="11"/>
      <c r="AO55" s="11">
        <f t="shared" ref="AO55:BD55" si="75">ROUND(BX55,2)</f>
        <v>0</v>
      </c>
      <c r="AP55" s="11">
        <f t="shared" si="75"/>
        <v>0</v>
      </c>
      <c r="AQ55" s="11">
        <f t="shared" si="75"/>
        <v>0</v>
      </c>
      <c r="AR55" s="11">
        <f t="shared" si="75"/>
        <v>2423.15</v>
      </c>
      <c r="AS55" s="11">
        <f t="shared" si="75"/>
        <v>1445.57</v>
      </c>
      <c r="AT55" s="11">
        <f t="shared" si="75"/>
        <v>977.58</v>
      </c>
      <c r="AU55" s="11">
        <f t="shared" si="75"/>
        <v>0</v>
      </c>
      <c r="AV55" s="11">
        <f t="shared" si="75"/>
        <v>0</v>
      </c>
      <c r="AW55" s="11">
        <f t="shared" si="75"/>
        <v>0</v>
      </c>
      <c r="AX55" s="11">
        <f t="shared" si="75"/>
        <v>0</v>
      </c>
      <c r="AY55" s="11">
        <f t="shared" si="75"/>
        <v>0</v>
      </c>
      <c r="AZ55" s="11">
        <f t="shared" si="75"/>
        <v>0</v>
      </c>
      <c r="BA55" s="11">
        <f t="shared" si="75"/>
        <v>0</v>
      </c>
      <c r="BB55" s="11">
        <f t="shared" si="75"/>
        <v>0</v>
      </c>
      <c r="BC55" s="11">
        <f t="shared" si="75"/>
        <v>0</v>
      </c>
      <c r="BD55" s="11">
        <f t="shared" si="75"/>
        <v>0</v>
      </c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>
        <f>ROUND(SUMIF(AA28:AA53,"=55917797",FQ28:FQ53),2)</f>
        <v>0</v>
      </c>
      <c r="BY55" s="11">
        <f>ROUND(SUMIF(AA28:AA53,"=55917797",FR28:FR53),2)</f>
        <v>0</v>
      </c>
      <c r="BZ55" s="11">
        <f>ROUND(SUMIF(AA28:AA53,"=55917797",GL28:GL53),2)</f>
        <v>0</v>
      </c>
      <c r="CA55" s="11">
        <f>ROUND(SUMIF(AA28:AA53,"=55917797",GM28:GM53),2)</f>
        <v>2423.15</v>
      </c>
      <c r="CB55" s="11">
        <f>ROUND(SUMIF(AA28:AA53,"=55917797",GN28:GN53),2)</f>
        <v>1445.57</v>
      </c>
      <c r="CC55" s="11">
        <f>ROUND(SUMIF(AA28:AA53,"=55917797",GO28:GO53),2)</f>
        <v>977.58</v>
      </c>
      <c r="CD55" s="11">
        <f>ROUND(SUMIF(AA28:AA53,"=55917797",GP28:GP53),2)</f>
        <v>0</v>
      </c>
      <c r="CE55" s="11">
        <f>AC55-BX55</f>
        <v>0</v>
      </c>
      <c r="CF55" s="11">
        <f>AC55-BY55</f>
        <v>0</v>
      </c>
      <c r="CG55" s="11">
        <f>BX55-BZ55</f>
        <v>0</v>
      </c>
      <c r="CH55" s="11">
        <f>AC55-BX55-BY55+BZ55</f>
        <v>0</v>
      </c>
      <c r="CI55" s="11">
        <f>BY55-BZ55</f>
        <v>0</v>
      </c>
      <c r="CJ55" s="11">
        <f>ROUND(SUMIF(AA28:AA53,"=55917797",GX28:GX53),2)</f>
        <v>0</v>
      </c>
      <c r="CK55" s="11">
        <f>ROUND(SUMIF(AA28:AA53,"=55917797",GY28:GY53),2)</f>
        <v>0</v>
      </c>
      <c r="CL55" s="11">
        <f>ROUND(SUMIF(AA28:AA53,"=55917797",GZ28:GZ53),2)</f>
        <v>0</v>
      </c>
      <c r="CM55" s="11">
        <f>ROUND(SUMIF(AA28:AA53,"=55917797",HD28:HD53),2)</f>
        <v>0</v>
      </c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2">
        <f t="shared" ref="DG55:DL55" si="76">ROUND(DT55,2)</f>
        <v>56142.080000000002</v>
      </c>
      <c r="DH55" s="12">
        <f t="shared" si="76"/>
        <v>0</v>
      </c>
      <c r="DI55" s="12">
        <f t="shared" si="76"/>
        <v>569.14</v>
      </c>
      <c r="DJ55" s="12">
        <f t="shared" si="76"/>
        <v>278.93</v>
      </c>
      <c r="DK55" s="12">
        <f t="shared" si="76"/>
        <v>55572.94</v>
      </c>
      <c r="DL55" s="12">
        <f t="shared" si="76"/>
        <v>0</v>
      </c>
      <c r="DM55" s="12">
        <f>DZ55</f>
        <v>88.46239852799998</v>
      </c>
      <c r="DN55" s="12">
        <f>EA55</f>
        <v>0</v>
      </c>
      <c r="DO55" s="12">
        <f>ROUND(EB55,2)</f>
        <v>0</v>
      </c>
      <c r="DP55" s="12">
        <f>ROUND(EC55,2)</f>
        <v>51482.58</v>
      </c>
      <c r="DQ55" s="12">
        <f>ROUND(ED55,2)</f>
        <v>27598.59</v>
      </c>
      <c r="DR55" s="12"/>
      <c r="DS55" s="12"/>
      <c r="DT55" s="12">
        <f>ROUND(SUMIF(AA28:AA53,"=55917799",O28:O53),2)</f>
        <v>56142.080000000002</v>
      </c>
      <c r="DU55" s="12">
        <f>ROUND(SUMIF(AA28:AA53,"=55917799",P28:P53),2)</f>
        <v>0</v>
      </c>
      <c r="DV55" s="12">
        <f>ROUND(SUMIF(AA28:AA53,"=55917799",Q28:Q53),2)</f>
        <v>569.14</v>
      </c>
      <c r="DW55" s="12">
        <f>ROUND(SUMIF(AA28:AA53,"=55917799",R28:R53),2)</f>
        <v>278.93</v>
      </c>
      <c r="DX55" s="12">
        <f>ROUND(SUMIF(AA28:AA53,"=55917799",S28:S53),2)</f>
        <v>55572.94</v>
      </c>
      <c r="DY55" s="12">
        <f>ROUND(SUMIF(AA28:AA53,"=55917799",T28:T53),2)</f>
        <v>0</v>
      </c>
      <c r="DZ55" s="12">
        <f>SUMIF(AA28:AA53,"=55917799",U28:U53)</f>
        <v>88.46239852799998</v>
      </c>
      <c r="EA55" s="12">
        <f>SUMIF(AA28:AA53,"=55917799",V28:V53)</f>
        <v>0</v>
      </c>
      <c r="EB55" s="12">
        <f>ROUND(SUMIF(AA28:AA53,"=55917799",W28:W53),2)</f>
        <v>0</v>
      </c>
      <c r="EC55" s="12">
        <f>ROUND(SUMIF(AA28:AA53,"=55917799",X28:X53),2)</f>
        <v>51482.58</v>
      </c>
      <c r="ED55" s="12">
        <f>ROUND(SUMIF(AA28:AA53,"=55917799",Y28:Y53),2)</f>
        <v>27598.59</v>
      </c>
      <c r="EE55" s="12"/>
      <c r="EF55" s="12"/>
      <c r="EG55" s="12">
        <f t="shared" ref="EG55:EV55" si="77">ROUND(FP55,2)</f>
        <v>0</v>
      </c>
      <c r="EH55" s="12">
        <f t="shared" si="77"/>
        <v>0</v>
      </c>
      <c r="EI55" s="12">
        <f t="shared" si="77"/>
        <v>0</v>
      </c>
      <c r="EJ55" s="12">
        <f t="shared" si="77"/>
        <v>135223.25</v>
      </c>
      <c r="EK55" s="12">
        <f t="shared" si="77"/>
        <v>81457.759999999995</v>
      </c>
      <c r="EL55" s="12">
        <f t="shared" si="77"/>
        <v>53765.49</v>
      </c>
      <c r="EM55" s="12">
        <f t="shared" si="77"/>
        <v>0</v>
      </c>
      <c r="EN55" s="12">
        <f t="shared" si="77"/>
        <v>0</v>
      </c>
      <c r="EO55" s="12">
        <f t="shared" si="77"/>
        <v>0</v>
      </c>
      <c r="EP55" s="12">
        <f t="shared" si="77"/>
        <v>0</v>
      </c>
      <c r="EQ55" s="12">
        <f t="shared" si="77"/>
        <v>0</v>
      </c>
      <c r="ER55" s="12">
        <f t="shared" si="77"/>
        <v>0</v>
      </c>
      <c r="ES55" s="12">
        <f t="shared" si="77"/>
        <v>0</v>
      </c>
      <c r="ET55" s="12">
        <f t="shared" si="77"/>
        <v>0</v>
      </c>
      <c r="EU55" s="12">
        <f t="shared" si="77"/>
        <v>0</v>
      </c>
      <c r="EV55" s="12">
        <f t="shared" si="77"/>
        <v>0</v>
      </c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>
        <f>ROUND(SUMIF(AA28:AA53,"=55917799",FQ28:FQ53),2)</f>
        <v>0</v>
      </c>
      <c r="FQ55" s="12">
        <f>ROUND(SUMIF(AA28:AA53,"=55917799",FR28:FR53),2)</f>
        <v>0</v>
      </c>
      <c r="FR55" s="12">
        <f>ROUND(SUMIF(AA28:AA53,"=55917799",GL28:GL53),2)</f>
        <v>0</v>
      </c>
      <c r="FS55" s="12">
        <f>ROUND(SUMIF(AA28:AA53,"=55917799",GM28:GM53),2)</f>
        <v>135223.25</v>
      </c>
      <c r="FT55" s="12">
        <f>ROUND(SUMIF(AA28:AA53,"=55917799",GN28:GN53),2)</f>
        <v>81457.759999999995</v>
      </c>
      <c r="FU55" s="12">
        <f>ROUND(SUMIF(AA28:AA53,"=55917799",GO28:GO53),2)</f>
        <v>53765.49</v>
      </c>
      <c r="FV55" s="12">
        <f>ROUND(SUMIF(AA28:AA53,"=55917799",GP28:GP53),2)</f>
        <v>0</v>
      </c>
      <c r="FW55" s="12">
        <f>DU55-FP55</f>
        <v>0</v>
      </c>
      <c r="FX55" s="12">
        <f>DU55-FQ55</f>
        <v>0</v>
      </c>
      <c r="FY55" s="12">
        <f>FP55-FR55</f>
        <v>0</v>
      </c>
      <c r="FZ55" s="12">
        <f>DU55-FP55-FQ55+FR55</f>
        <v>0</v>
      </c>
      <c r="GA55" s="12">
        <f>FQ55-FR55</f>
        <v>0</v>
      </c>
      <c r="GB55" s="12">
        <f>ROUND(SUMIF(AA28:AA53,"=55917799",GX28:GX53),2)</f>
        <v>0</v>
      </c>
      <c r="GC55" s="12">
        <f>ROUND(SUMIF(AA28:AA53,"=55917799",GY28:GY53),2)</f>
        <v>0</v>
      </c>
      <c r="GD55" s="12">
        <f>ROUND(SUMIF(AA28:AA53,"=55917799",GZ28:GZ53),2)</f>
        <v>0</v>
      </c>
      <c r="GE55" s="12">
        <f>ROUND(SUMIF(AA28:AA53,"=55917799",HD28:HD53),2)</f>
        <v>0</v>
      </c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>
        <v>0</v>
      </c>
    </row>
    <row r="57" spans="1:255" ht="13" x14ac:dyDescent="0.3">
      <c r="A57" s="13">
        <v>50</v>
      </c>
      <c r="B57" s="13">
        <v>0</v>
      </c>
      <c r="C57" s="13">
        <v>0</v>
      </c>
      <c r="D57" s="13">
        <v>1</v>
      </c>
      <c r="E57" s="13">
        <v>201</v>
      </c>
      <c r="F57" s="13">
        <f>ROUND(Source!O55,O57)</f>
        <v>1019.76</v>
      </c>
      <c r="G57" s="13" t="s">
        <v>88</v>
      </c>
      <c r="H57" s="13" t="s">
        <v>89</v>
      </c>
      <c r="I57" s="13"/>
      <c r="J57" s="13"/>
      <c r="K57" s="13">
        <v>201</v>
      </c>
      <c r="L57" s="13">
        <v>1</v>
      </c>
      <c r="M57" s="13">
        <v>3</v>
      </c>
      <c r="N57" s="13" t="s">
        <v>3</v>
      </c>
      <c r="O57" s="13">
        <v>2</v>
      </c>
      <c r="P57" s="13">
        <f>ROUND(Source!DG55,O57)</f>
        <v>56142.080000000002</v>
      </c>
      <c r="Q57" s="13"/>
      <c r="R57" s="13"/>
      <c r="S57" s="13"/>
      <c r="T57" s="13"/>
      <c r="U57" s="13"/>
      <c r="V57" s="13"/>
      <c r="W57" s="13">
        <v>1019.76</v>
      </c>
      <c r="X57" s="13">
        <v>1</v>
      </c>
      <c r="Y57" s="13">
        <v>1019.76</v>
      </c>
      <c r="Z57" s="13">
        <v>56142.080000000002</v>
      </c>
      <c r="AA57" s="13">
        <v>1</v>
      </c>
      <c r="AB57" s="13">
        <v>56142.080000000002</v>
      </c>
    </row>
    <row r="58" spans="1:255" ht="13" x14ac:dyDescent="0.3">
      <c r="A58" s="13">
        <v>50</v>
      </c>
      <c r="B58" s="13">
        <v>0</v>
      </c>
      <c r="C58" s="13">
        <v>0</v>
      </c>
      <c r="D58" s="13">
        <v>1</v>
      </c>
      <c r="E58" s="13">
        <v>202</v>
      </c>
      <c r="F58" s="13">
        <f>ROUND(Source!P55,O58)</f>
        <v>0</v>
      </c>
      <c r="G58" s="13" t="s">
        <v>90</v>
      </c>
      <c r="H58" s="13" t="s">
        <v>91</v>
      </c>
      <c r="I58" s="13"/>
      <c r="J58" s="13"/>
      <c r="K58" s="13">
        <v>202</v>
      </c>
      <c r="L58" s="13">
        <v>2</v>
      </c>
      <c r="M58" s="13">
        <v>3</v>
      </c>
      <c r="N58" s="13" t="s">
        <v>3</v>
      </c>
      <c r="O58" s="13">
        <v>2</v>
      </c>
      <c r="P58" s="13">
        <f>ROUND(Source!DH55,O58)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55" ht="13" x14ac:dyDescent="0.3">
      <c r="A59" s="13">
        <v>50</v>
      </c>
      <c r="B59" s="13">
        <v>0</v>
      </c>
      <c r="C59" s="13">
        <v>0</v>
      </c>
      <c r="D59" s="13">
        <v>1</v>
      </c>
      <c r="E59" s="13">
        <v>222</v>
      </c>
      <c r="F59" s="13">
        <f>ROUND(Source!AO55,O59)</f>
        <v>0</v>
      </c>
      <c r="G59" s="13" t="s">
        <v>92</v>
      </c>
      <c r="H59" s="13" t="s">
        <v>93</v>
      </c>
      <c r="I59" s="13"/>
      <c r="J59" s="13"/>
      <c r="K59" s="13">
        <v>222</v>
      </c>
      <c r="L59" s="13">
        <v>3</v>
      </c>
      <c r="M59" s="13">
        <v>3</v>
      </c>
      <c r="N59" s="13" t="s">
        <v>3</v>
      </c>
      <c r="O59" s="13">
        <v>2</v>
      </c>
      <c r="P59" s="13">
        <f>ROUND(Source!EG55,O59)</f>
        <v>0</v>
      </c>
      <c r="Q59" s="13"/>
      <c r="R59" s="13"/>
      <c r="S59" s="13"/>
      <c r="T59" s="13"/>
      <c r="U59" s="13"/>
      <c r="V59" s="13"/>
      <c r="W59" s="13">
        <v>0</v>
      </c>
      <c r="X59" s="13">
        <v>1</v>
      </c>
      <c r="Y59" s="13">
        <v>0</v>
      </c>
      <c r="Z59" s="13">
        <v>0</v>
      </c>
      <c r="AA59" s="13">
        <v>1</v>
      </c>
      <c r="AB59" s="13">
        <v>0</v>
      </c>
    </row>
    <row r="60" spans="1:255" ht="13" x14ac:dyDescent="0.3">
      <c r="A60" s="13">
        <v>50</v>
      </c>
      <c r="B60" s="13">
        <v>0</v>
      </c>
      <c r="C60" s="13">
        <v>0</v>
      </c>
      <c r="D60" s="13">
        <v>1</v>
      </c>
      <c r="E60" s="13">
        <v>225</v>
      </c>
      <c r="F60" s="13">
        <f>ROUND(Source!AV55,O60)</f>
        <v>0</v>
      </c>
      <c r="G60" s="13" t="s">
        <v>94</v>
      </c>
      <c r="H60" s="13" t="s">
        <v>95</v>
      </c>
      <c r="I60" s="13"/>
      <c r="J60" s="13"/>
      <c r="K60" s="13">
        <v>225</v>
      </c>
      <c r="L60" s="13">
        <v>4</v>
      </c>
      <c r="M60" s="13">
        <v>3</v>
      </c>
      <c r="N60" s="13" t="s">
        <v>3</v>
      </c>
      <c r="O60" s="13">
        <v>2</v>
      </c>
      <c r="P60" s="13">
        <f>ROUND(Source!EN55,O60)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55" ht="13" x14ac:dyDescent="0.3">
      <c r="A61" s="13">
        <v>50</v>
      </c>
      <c r="B61" s="13">
        <v>0</v>
      </c>
      <c r="C61" s="13">
        <v>0</v>
      </c>
      <c r="D61" s="13">
        <v>1</v>
      </c>
      <c r="E61" s="13">
        <v>226</v>
      </c>
      <c r="F61" s="13">
        <f>ROUND(Source!AW55,O61)</f>
        <v>0</v>
      </c>
      <c r="G61" s="13" t="s">
        <v>96</v>
      </c>
      <c r="H61" s="13" t="s">
        <v>97</v>
      </c>
      <c r="I61" s="13"/>
      <c r="J61" s="13"/>
      <c r="K61" s="13">
        <v>226</v>
      </c>
      <c r="L61" s="13">
        <v>5</v>
      </c>
      <c r="M61" s="13">
        <v>3</v>
      </c>
      <c r="N61" s="13" t="s">
        <v>3</v>
      </c>
      <c r="O61" s="13">
        <v>2</v>
      </c>
      <c r="P61" s="13">
        <f>ROUND(Source!EO55,O61)</f>
        <v>0</v>
      </c>
      <c r="Q61" s="13"/>
      <c r="R61" s="13"/>
      <c r="S61" s="13"/>
      <c r="T61" s="13"/>
      <c r="U61" s="13"/>
      <c r="V61" s="13"/>
      <c r="W61" s="13">
        <v>0</v>
      </c>
      <c r="X61" s="13">
        <v>1</v>
      </c>
      <c r="Y61" s="13">
        <v>0</v>
      </c>
      <c r="Z61" s="13">
        <v>0</v>
      </c>
      <c r="AA61" s="13">
        <v>1</v>
      </c>
      <c r="AB61" s="13">
        <v>0</v>
      </c>
    </row>
    <row r="62" spans="1:255" ht="13" x14ac:dyDescent="0.3">
      <c r="A62" s="13">
        <v>50</v>
      </c>
      <c r="B62" s="13">
        <v>0</v>
      </c>
      <c r="C62" s="13">
        <v>0</v>
      </c>
      <c r="D62" s="13">
        <v>1</v>
      </c>
      <c r="E62" s="13">
        <v>227</v>
      </c>
      <c r="F62" s="13">
        <f>ROUND(Source!AX55,O62)</f>
        <v>0</v>
      </c>
      <c r="G62" s="13" t="s">
        <v>98</v>
      </c>
      <c r="H62" s="13" t="s">
        <v>99</v>
      </c>
      <c r="I62" s="13"/>
      <c r="J62" s="13"/>
      <c r="K62" s="13">
        <v>227</v>
      </c>
      <c r="L62" s="13">
        <v>6</v>
      </c>
      <c r="M62" s="13">
        <v>3</v>
      </c>
      <c r="N62" s="13" t="s">
        <v>3</v>
      </c>
      <c r="O62" s="13">
        <v>2</v>
      </c>
      <c r="P62" s="13">
        <f>ROUND(Source!EP55,O62)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55" ht="13" x14ac:dyDescent="0.3">
      <c r="A63" s="13">
        <v>50</v>
      </c>
      <c r="B63" s="13">
        <v>0</v>
      </c>
      <c r="C63" s="13">
        <v>0</v>
      </c>
      <c r="D63" s="13">
        <v>1</v>
      </c>
      <c r="E63" s="13">
        <v>228</v>
      </c>
      <c r="F63" s="13">
        <f>ROUND(Source!AY55,O63)</f>
        <v>0</v>
      </c>
      <c r="G63" s="13" t="s">
        <v>100</v>
      </c>
      <c r="H63" s="13" t="s">
        <v>101</v>
      </c>
      <c r="I63" s="13"/>
      <c r="J63" s="13"/>
      <c r="K63" s="13">
        <v>228</v>
      </c>
      <c r="L63" s="13">
        <v>7</v>
      </c>
      <c r="M63" s="13">
        <v>3</v>
      </c>
      <c r="N63" s="13" t="s">
        <v>3</v>
      </c>
      <c r="O63" s="13">
        <v>2</v>
      </c>
      <c r="P63" s="13">
        <f>ROUND(Source!EQ55,O63)</f>
        <v>0</v>
      </c>
      <c r="Q63" s="13"/>
      <c r="R63" s="13"/>
      <c r="S63" s="13"/>
      <c r="T63" s="13"/>
      <c r="U63" s="13"/>
      <c r="V63" s="13"/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</row>
    <row r="64" spans="1:255" ht="13" x14ac:dyDescent="0.3">
      <c r="A64" s="13">
        <v>50</v>
      </c>
      <c r="B64" s="13">
        <v>0</v>
      </c>
      <c r="C64" s="13">
        <v>0</v>
      </c>
      <c r="D64" s="13">
        <v>1</v>
      </c>
      <c r="E64" s="13">
        <v>216</v>
      </c>
      <c r="F64" s="13">
        <f>ROUND(Source!AP55,O64)</f>
        <v>0</v>
      </c>
      <c r="G64" s="13" t="s">
        <v>102</v>
      </c>
      <c r="H64" s="13" t="s">
        <v>103</v>
      </c>
      <c r="I64" s="13"/>
      <c r="J64" s="13"/>
      <c r="K64" s="13">
        <v>216</v>
      </c>
      <c r="L64" s="13">
        <v>8</v>
      </c>
      <c r="M64" s="13">
        <v>3</v>
      </c>
      <c r="N64" s="13" t="s">
        <v>3</v>
      </c>
      <c r="O64" s="13">
        <v>2</v>
      </c>
      <c r="P64" s="13">
        <f>ROUND(Source!EH55,O64)</f>
        <v>0</v>
      </c>
      <c r="Q64" s="13"/>
      <c r="R64" s="13"/>
      <c r="S64" s="13"/>
      <c r="T64" s="13"/>
      <c r="U64" s="13"/>
      <c r="V64" s="13"/>
      <c r="W64" s="13">
        <v>0</v>
      </c>
      <c r="X64" s="13">
        <v>1</v>
      </c>
      <c r="Y64" s="13">
        <v>0</v>
      </c>
      <c r="Z64" s="13">
        <v>0</v>
      </c>
      <c r="AA64" s="13">
        <v>1</v>
      </c>
      <c r="AB64" s="13">
        <v>0</v>
      </c>
    </row>
    <row r="65" spans="1:28" ht="13" x14ac:dyDescent="0.3">
      <c r="A65" s="13">
        <v>50</v>
      </c>
      <c r="B65" s="13">
        <v>0</v>
      </c>
      <c r="C65" s="13">
        <v>0</v>
      </c>
      <c r="D65" s="13">
        <v>1</v>
      </c>
      <c r="E65" s="13">
        <v>223</v>
      </c>
      <c r="F65" s="13">
        <f>ROUND(Source!AQ55,O65)</f>
        <v>0</v>
      </c>
      <c r="G65" s="13" t="s">
        <v>104</v>
      </c>
      <c r="H65" s="13" t="s">
        <v>105</v>
      </c>
      <c r="I65" s="13"/>
      <c r="J65" s="13"/>
      <c r="K65" s="13">
        <v>223</v>
      </c>
      <c r="L65" s="13">
        <v>9</v>
      </c>
      <c r="M65" s="13">
        <v>3</v>
      </c>
      <c r="N65" s="13" t="s">
        <v>3</v>
      </c>
      <c r="O65" s="13">
        <v>2</v>
      </c>
      <c r="P65" s="13">
        <f>ROUND(Source!EI55,O65)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28" ht="13" x14ac:dyDescent="0.3">
      <c r="A66" s="13">
        <v>50</v>
      </c>
      <c r="B66" s="13">
        <v>0</v>
      </c>
      <c r="C66" s="13">
        <v>0</v>
      </c>
      <c r="D66" s="13">
        <v>1</v>
      </c>
      <c r="E66" s="13">
        <v>229</v>
      </c>
      <c r="F66" s="13">
        <f>ROUND(Source!AZ55,O66)</f>
        <v>0</v>
      </c>
      <c r="G66" s="13" t="s">
        <v>106</v>
      </c>
      <c r="H66" s="13" t="s">
        <v>107</v>
      </c>
      <c r="I66" s="13"/>
      <c r="J66" s="13"/>
      <c r="K66" s="13">
        <v>229</v>
      </c>
      <c r="L66" s="13">
        <v>10</v>
      </c>
      <c r="M66" s="13">
        <v>3</v>
      </c>
      <c r="N66" s="13" t="s">
        <v>3</v>
      </c>
      <c r="O66" s="13">
        <v>2</v>
      </c>
      <c r="P66" s="13">
        <f>ROUND(Source!ER55,O66)</f>
        <v>0</v>
      </c>
      <c r="Q66" s="13"/>
      <c r="R66" s="13"/>
      <c r="S66" s="13"/>
      <c r="T66" s="13"/>
      <c r="U66" s="13"/>
      <c r="V66" s="13"/>
      <c r="W66" s="13">
        <v>0</v>
      </c>
      <c r="X66" s="13">
        <v>1</v>
      </c>
      <c r="Y66" s="13">
        <v>0</v>
      </c>
      <c r="Z66" s="13">
        <v>0</v>
      </c>
      <c r="AA66" s="13">
        <v>1</v>
      </c>
      <c r="AB66" s="13">
        <v>0</v>
      </c>
    </row>
    <row r="67" spans="1:28" ht="13" x14ac:dyDescent="0.3">
      <c r="A67" s="13">
        <v>50</v>
      </c>
      <c r="B67" s="13">
        <v>0</v>
      </c>
      <c r="C67" s="13">
        <v>0</v>
      </c>
      <c r="D67" s="13">
        <v>1</v>
      </c>
      <c r="E67" s="13">
        <v>203</v>
      </c>
      <c r="F67" s="13">
        <f>ROUND(Source!Q55,O67)</f>
        <v>33.549999999999997</v>
      </c>
      <c r="G67" s="13" t="s">
        <v>108</v>
      </c>
      <c r="H67" s="13" t="s">
        <v>109</v>
      </c>
      <c r="I67" s="13"/>
      <c r="J67" s="13"/>
      <c r="K67" s="13">
        <v>203</v>
      </c>
      <c r="L67" s="13">
        <v>11</v>
      </c>
      <c r="M67" s="13">
        <v>3</v>
      </c>
      <c r="N67" s="13" t="s">
        <v>3</v>
      </c>
      <c r="O67" s="13">
        <v>2</v>
      </c>
      <c r="P67" s="13">
        <f>ROUND(Source!DI55,O67)</f>
        <v>569.14</v>
      </c>
      <c r="Q67" s="13"/>
      <c r="R67" s="13"/>
      <c r="S67" s="13"/>
      <c r="T67" s="13"/>
      <c r="U67" s="13"/>
      <c r="V67" s="13"/>
      <c r="W67" s="13">
        <v>33.549999999999997</v>
      </c>
      <c r="X67" s="13">
        <v>1</v>
      </c>
      <c r="Y67" s="13">
        <v>33.549999999999997</v>
      </c>
      <c r="Z67" s="13">
        <v>569.14</v>
      </c>
      <c r="AA67" s="13">
        <v>1</v>
      </c>
      <c r="AB67" s="13">
        <v>569.14</v>
      </c>
    </row>
    <row r="68" spans="1:28" ht="13" x14ac:dyDescent="0.3">
      <c r="A68" s="13">
        <v>50</v>
      </c>
      <c r="B68" s="13">
        <v>0</v>
      </c>
      <c r="C68" s="13">
        <v>0</v>
      </c>
      <c r="D68" s="13">
        <v>1</v>
      </c>
      <c r="E68" s="13">
        <v>231</v>
      </c>
      <c r="F68" s="13">
        <f>ROUND(Source!BB55,O68)</f>
        <v>0</v>
      </c>
      <c r="G68" s="13" t="s">
        <v>110</v>
      </c>
      <c r="H68" s="13" t="s">
        <v>111</v>
      </c>
      <c r="I68" s="13"/>
      <c r="J68" s="13"/>
      <c r="K68" s="13">
        <v>231</v>
      </c>
      <c r="L68" s="13">
        <v>12</v>
      </c>
      <c r="M68" s="13">
        <v>3</v>
      </c>
      <c r="N68" s="13" t="s">
        <v>3</v>
      </c>
      <c r="O68" s="13">
        <v>2</v>
      </c>
      <c r="P68" s="13">
        <f>ROUND(Source!ET55,O68)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28" ht="13" x14ac:dyDescent="0.3">
      <c r="A69" s="13">
        <v>50</v>
      </c>
      <c r="B69" s="13">
        <v>0</v>
      </c>
      <c r="C69" s="13">
        <v>0</v>
      </c>
      <c r="D69" s="13">
        <v>1</v>
      </c>
      <c r="E69" s="13">
        <v>204</v>
      </c>
      <c r="F69" s="13">
        <f>ROUND(Source!R55,O69)</f>
        <v>4.95</v>
      </c>
      <c r="G69" s="13" t="s">
        <v>112</v>
      </c>
      <c r="H69" s="13" t="s">
        <v>113</v>
      </c>
      <c r="I69" s="13"/>
      <c r="J69" s="13"/>
      <c r="K69" s="13">
        <v>204</v>
      </c>
      <c r="L69" s="13">
        <v>13</v>
      </c>
      <c r="M69" s="13">
        <v>3</v>
      </c>
      <c r="N69" s="13" t="s">
        <v>3</v>
      </c>
      <c r="O69" s="13">
        <v>2</v>
      </c>
      <c r="P69" s="13">
        <f>ROUND(Source!DJ55,O69)</f>
        <v>278.93</v>
      </c>
      <c r="Q69" s="13"/>
      <c r="R69" s="13"/>
      <c r="S69" s="13"/>
      <c r="T69" s="13"/>
      <c r="U69" s="13"/>
      <c r="V69" s="13"/>
      <c r="W69" s="13">
        <v>4.95</v>
      </c>
      <c r="X69" s="13">
        <v>1</v>
      </c>
      <c r="Y69" s="13">
        <v>4.95</v>
      </c>
      <c r="Z69" s="13">
        <v>278.93</v>
      </c>
      <c r="AA69" s="13">
        <v>1</v>
      </c>
      <c r="AB69" s="13">
        <v>278.93</v>
      </c>
    </row>
    <row r="70" spans="1:28" ht="13" x14ac:dyDescent="0.3">
      <c r="A70" s="13">
        <v>50</v>
      </c>
      <c r="B70" s="13">
        <v>0</v>
      </c>
      <c r="C70" s="13">
        <v>0</v>
      </c>
      <c r="D70" s="13">
        <v>1</v>
      </c>
      <c r="E70" s="13">
        <v>205</v>
      </c>
      <c r="F70" s="13">
        <f>ROUND(Source!S55,O70)</f>
        <v>986.21</v>
      </c>
      <c r="G70" s="13" t="s">
        <v>114</v>
      </c>
      <c r="H70" s="13" t="s">
        <v>115</v>
      </c>
      <c r="I70" s="13"/>
      <c r="J70" s="13"/>
      <c r="K70" s="13">
        <v>205</v>
      </c>
      <c r="L70" s="13">
        <v>14</v>
      </c>
      <c r="M70" s="13">
        <v>3</v>
      </c>
      <c r="N70" s="13" t="s">
        <v>3</v>
      </c>
      <c r="O70" s="13">
        <v>2</v>
      </c>
      <c r="P70" s="13">
        <f>ROUND(Source!DK55,O70)</f>
        <v>55572.94</v>
      </c>
      <c r="Q70" s="13"/>
      <c r="R70" s="13"/>
      <c r="S70" s="13"/>
      <c r="T70" s="13"/>
      <c r="U70" s="13"/>
      <c r="V70" s="13"/>
      <c r="W70" s="13">
        <v>986.21</v>
      </c>
      <c r="X70" s="13">
        <v>1</v>
      </c>
      <c r="Y70" s="13">
        <v>986.21</v>
      </c>
      <c r="Z70" s="13">
        <v>55572.94</v>
      </c>
      <c r="AA70" s="13">
        <v>1</v>
      </c>
      <c r="AB70" s="13">
        <v>55572.94</v>
      </c>
    </row>
    <row r="71" spans="1:28" ht="13" x14ac:dyDescent="0.3">
      <c r="A71" s="13">
        <v>50</v>
      </c>
      <c r="B71" s="13">
        <v>0</v>
      </c>
      <c r="C71" s="13">
        <v>0</v>
      </c>
      <c r="D71" s="13">
        <v>1</v>
      </c>
      <c r="E71" s="13">
        <v>232</v>
      </c>
      <c r="F71" s="13">
        <f>ROUND(Source!BC55,O71)</f>
        <v>0</v>
      </c>
      <c r="G71" s="13" t="s">
        <v>116</v>
      </c>
      <c r="H71" s="13" t="s">
        <v>117</v>
      </c>
      <c r="I71" s="13"/>
      <c r="J71" s="13"/>
      <c r="K71" s="13">
        <v>232</v>
      </c>
      <c r="L71" s="13">
        <v>15</v>
      </c>
      <c r="M71" s="13">
        <v>3</v>
      </c>
      <c r="N71" s="13" t="s">
        <v>3</v>
      </c>
      <c r="O71" s="13">
        <v>2</v>
      </c>
      <c r="P71" s="13">
        <f>ROUND(Source!EU55,O71)</f>
        <v>0</v>
      </c>
      <c r="Q71" s="13"/>
      <c r="R71" s="13"/>
      <c r="S71" s="13"/>
      <c r="T71" s="13"/>
      <c r="U71" s="13"/>
      <c r="V71" s="13"/>
      <c r="W71" s="13">
        <v>0</v>
      </c>
      <c r="X71" s="13">
        <v>1</v>
      </c>
      <c r="Y71" s="13">
        <v>0</v>
      </c>
      <c r="Z71" s="13">
        <v>0</v>
      </c>
      <c r="AA71" s="13">
        <v>1</v>
      </c>
      <c r="AB71" s="13">
        <v>0</v>
      </c>
    </row>
    <row r="72" spans="1:28" ht="13" x14ac:dyDescent="0.3">
      <c r="A72" s="13">
        <v>50</v>
      </c>
      <c r="B72" s="13">
        <v>0</v>
      </c>
      <c r="C72" s="13">
        <v>0</v>
      </c>
      <c r="D72" s="13">
        <v>1</v>
      </c>
      <c r="E72" s="13">
        <v>214</v>
      </c>
      <c r="F72" s="13">
        <f>ROUND(Source!AS55,O72)</f>
        <v>1445.57</v>
      </c>
      <c r="G72" s="13" t="s">
        <v>118</v>
      </c>
      <c r="H72" s="13" t="s">
        <v>119</v>
      </c>
      <c r="I72" s="13"/>
      <c r="J72" s="13"/>
      <c r="K72" s="13">
        <v>214</v>
      </c>
      <c r="L72" s="13">
        <v>16</v>
      </c>
      <c r="M72" s="13">
        <v>3</v>
      </c>
      <c r="N72" s="13" t="s">
        <v>3</v>
      </c>
      <c r="O72" s="13">
        <v>2</v>
      </c>
      <c r="P72" s="13">
        <f>ROUND(Source!EK55,O72)</f>
        <v>81457.759999999995</v>
      </c>
      <c r="Q72" s="13"/>
      <c r="R72" s="13"/>
      <c r="S72" s="13"/>
      <c r="T72" s="13"/>
      <c r="U72" s="13"/>
      <c r="V72" s="13"/>
      <c r="W72" s="13">
        <v>1445.57</v>
      </c>
      <c r="X72" s="13">
        <v>1</v>
      </c>
      <c r="Y72" s="13">
        <v>1445.57</v>
      </c>
      <c r="Z72" s="13">
        <v>81457.759999999995</v>
      </c>
      <c r="AA72" s="13">
        <v>1</v>
      </c>
      <c r="AB72" s="13">
        <v>81457.759999999995</v>
      </c>
    </row>
    <row r="73" spans="1:28" ht="13" x14ac:dyDescent="0.3">
      <c r="A73" s="13">
        <v>50</v>
      </c>
      <c r="B73" s="13">
        <v>0</v>
      </c>
      <c r="C73" s="13">
        <v>0</v>
      </c>
      <c r="D73" s="13">
        <v>1</v>
      </c>
      <c r="E73" s="13">
        <v>215</v>
      </c>
      <c r="F73" s="13">
        <f>ROUND(Source!AT55,O73)</f>
        <v>977.58</v>
      </c>
      <c r="G73" s="13" t="s">
        <v>120</v>
      </c>
      <c r="H73" s="13" t="s">
        <v>121</v>
      </c>
      <c r="I73" s="13"/>
      <c r="J73" s="13"/>
      <c r="K73" s="13">
        <v>215</v>
      </c>
      <c r="L73" s="13">
        <v>17</v>
      </c>
      <c r="M73" s="13">
        <v>3</v>
      </c>
      <c r="N73" s="13" t="s">
        <v>3</v>
      </c>
      <c r="O73" s="13">
        <v>2</v>
      </c>
      <c r="P73" s="13">
        <f>ROUND(Source!EL55,O73)</f>
        <v>53765.49</v>
      </c>
      <c r="Q73" s="13"/>
      <c r="R73" s="13"/>
      <c r="S73" s="13"/>
      <c r="T73" s="13"/>
      <c r="U73" s="13"/>
      <c r="V73" s="13"/>
      <c r="W73" s="13">
        <v>977.58</v>
      </c>
      <c r="X73" s="13">
        <v>1</v>
      </c>
      <c r="Y73" s="13">
        <v>977.58</v>
      </c>
      <c r="Z73" s="13">
        <v>53765.49</v>
      </c>
      <c r="AA73" s="13">
        <v>1</v>
      </c>
      <c r="AB73" s="13">
        <v>53765.49</v>
      </c>
    </row>
    <row r="74" spans="1:28" ht="13" x14ac:dyDescent="0.3">
      <c r="A74" s="13">
        <v>50</v>
      </c>
      <c r="B74" s="13">
        <v>0</v>
      </c>
      <c r="C74" s="13">
        <v>0</v>
      </c>
      <c r="D74" s="13">
        <v>1</v>
      </c>
      <c r="E74" s="13">
        <v>217</v>
      </c>
      <c r="F74" s="13">
        <f>ROUND(Source!AU55,O74)</f>
        <v>0</v>
      </c>
      <c r="G74" s="13" t="s">
        <v>122</v>
      </c>
      <c r="H74" s="13" t="s">
        <v>123</v>
      </c>
      <c r="I74" s="13"/>
      <c r="J74" s="13"/>
      <c r="K74" s="13">
        <v>217</v>
      </c>
      <c r="L74" s="13">
        <v>18</v>
      </c>
      <c r="M74" s="13">
        <v>3</v>
      </c>
      <c r="N74" s="13" t="s">
        <v>3</v>
      </c>
      <c r="O74" s="13">
        <v>2</v>
      </c>
      <c r="P74" s="13">
        <f>ROUND(Source!EM55,O74)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28" ht="13" x14ac:dyDescent="0.3">
      <c r="A75" s="13">
        <v>50</v>
      </c>
      <c r="B75" s="13">
        <v>0</v>
      </c>
      <c r="C75" s="13">
        <v>0</v>
      </c>
      <c r="D75" s="13">
        <v>1</v>
      </c>
      <c r="E75" s="13">
        <v>230</v>
      </c>
      <c r="F75" s="13">
        <f>ROUND(Source!BA55,O75)</f>
        <v>0</v>
      </c>
      <c r="G75" s="13" t="s">
        <v>124</v>
      </c>
      <c r="H75" s="13" t="s">
        <v>125</v>
      </c>
      <c r="I75" s="13"/>
      <c r="J75" s="13"/>
      <c r="K75" s="13">
        <v>230</v>
      </c>
      <c r="L75" s="13">
        <v>19</v>
      </c>
      <c r="M75" s="13">
        <v>3</v>
      </c>
      <c r="N75" s="13" t="s">
        <v>3</v>
      </c>
      <c r="O75" s="13">
        <v>2</v>
      </c>
      <c r="P75" s="13">
        <f>ROUND(Source!ES55,O75)</f>
        <v>0</v>
      </c>
      <c r="Q75" s="13"/>
      <c r="R75" s="13"/>
      <c r="S75" s="13"/>
      <c r="T75" s="13"/>
      <c r="U75" s="13"/>
      <c r="V75" s="13"/>
      <c r="W75" s="13">
        <v>0</v>
      </c>
      <c r="X75" s="13">
        <v>1</v>
      </c>
      <c r="Y75" s="13">
        <v>0</v>
      </c>
      <c r="Z75" s="13">
        <v>0</v>
      </c>
      <c r="AA75" s="13">
        <v>1</v>
      </c>
      <c r="AB75" s="13">
        <v>0</v>
      </c>
    </row>
    <row r="76" spans="1:28" ht="13" x14ac:dyDescent="0.3">
      <c r="A76" s="13">
        <v>50</v>
      </c>
      <c r="B76" s="13">
        <v>0</v>
      </c>
      <c r="C76" s="13">
        <v>0</v>
      </c>
      <c r="D76" s="13">
        <v>1</v>
      </c>
      <c r="E76" s="13">
        <v>206</v>
      </c>
      <c r="F76" s="13">
        <f>ROUND(Source!T55,O76)</f>
        <v>0</v>
      </c>
      <c r="G76" s="13" t="s">
        <v>126</v>
      </c>
      <c r="H76" s="13" t="s">
        <v>127</v>
      </c>
      <c r="I76" s="13"/>
      <c r="J76" s="13"/>
      <c r="K76" s="13">
        <v>206</v>
      </c>
      <c r="L76" s="13">
        <v>20</v>
      </c>
      <c r="M76" s="13">
        <v>3</v>
      </c>
      <c r="N76" s="13" t="s">
        <v>3</v>
      </c>
      <c r="O76" s="13">
        <v>2</v>
      </c>
      <c r="P76" s="13">
        <f>ROUND(Source!DL55,O76)</f>
        <v>0</v>
      </c>
      <c r="Q76" s="13"/>
      <c r="R76" s="13"/>
      <c r="S76" s="13"/>
      <c r="T76" s="13"/>
      <c r="U76" s="13"/>
      <c r="V76" s="13"/>
      <c r="W76" s="13">
        <v>0</v>
      </c>
      <c r="X76" s="13">
        <v>1</v>
      </c>
      <c r="Y76" s="13">
        <v>0</v>
      </c>
      <c r="Z76" s="13">
        <v>0</v>
      </c>
      <c r="AA76" s="13">
        <v>1</v>
      </c>
      <c r="AB76" s="13">
        <v>0</v>
      </c>
    </row>
    <row r="77" spans="1:28" ht="13" x14ac:dyDescent="0.3">
      <c r="A77" s="13">
        <v>50</v>
      </c>
      <c r="B77" s="13">
        <v>0</v>
      </c>
      <c r="C77" s="13">
        <v>0</v>
      </c>
      <c r="D77" s="13">
        <v>1</v>
      </c>
      <c r="E77" s="13">
        <v>207</v>
      </c>
      <c r="F77" s="13">
        <f>Source!U55</f>
        <v>88.46239852799998</v>
      </c>
      <c r="G77" s="13" t="s">
        <v>128</v>
      </c>
      <c r="H77" s="13" t="s">
        <v>129</v>
      </c>
      <c r="I77" s="13"/>
      <c r="J77" s="13"/>
      <c r="K77" s="13">
        <v>207</v>
      </c>
      <c r="L77" s="13">
        <v>21</v>
      </c>
      <c r="M77" s="13">
        <v>3</v>
      </c>
      <c r="N77" s="13" t="s">
        <v>3</v>
      </c>
      <c r="O77" s="13">
        <v>-1</v>
      </c>
      <c r="P77" s="13">
        <f>Source!DM55</f>
        <v>88.46239852799998</v>
      </c>
      <c r="Q77" s="13"/>
      <c r="R77" s="13"/>
      <c r="S77" s="13"/>
      <c r="T77" s="13"/>
      <c r="U77" s="13"/>
      <c r="V77" s="13"/>
      <c r="W77" s="13">
        <v>88.462398527999994</v>
      </c>
      <c r="X77" s="13">
        <v>1</v>
      </c>
      <c r="Y77" s="13">
        <v>88.462398527999994</v>
      </c>
      <c r="Z77" s="13">
        <v>88.462398527999994</v>
      </c>
      <c r="AA77" s="13">
        <v>1</v>
      </c>
      <c r="AB77" s="13">
        <v>88.462398527999994</v>
      </c>
    </row>
    <row r="78" spans="1:28" ht="13" x14ac:dyDescent="0.3">
      <c r="A78" s="13">
        <v>50</v>
      </c>
      <c r="B78" s="13">
        <v>0</v>
      </c>
      <c r="C78" s="13">
        <v>0</v>
      </c>
      <c r="D78" s="13">
        <v>1</v>
      </c>
      <c r="E78" s="13">
        <v>208</v>
      </c>
      <c r="F78" s="13">
        <f>Source!V55</f>
        <v>0</v>
      </c>
      <c r="G78" s="13" t="s">
        <v>130</v>
      </c>
      <c r="H78" s="13" t="s">
        <v>131</v>
      </c>
      <c r="I78" s="13"/>
      <c r="J78" s="13"/>
      <c r="K78" s="13">
        <v>208</v>
      </c>
      <c r="L78" s="13">
        <v>22</v>
      </c>
      <c r="M78" s="13">
        <v>3</v>
      </c>
      <c r="N78" s="13" t="s">
        <v>3</v>
      </c>
      <c r="O78" s="13">
        <v>-1</v>
      </c>
      <c r="P78" s="13">
        <f>Source!DN55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8" ht="13" x14ac:dyDescent="0.3">
      <c r="A79" s="13">
        <v>50</v>
      </c>
      <c r="B79" s="13">
        <v>0</v>
      </c>
      <c r="C79" s="13">
        <v>0</v>
      </c>
      <c r="D79" s="13">
        <v>1</v>
      </c>
      <c r="E79" s="13">
        <v>209</v>
      </c>
      <c r="F79" s="13">
        <f>ROUND(Source!W55,O79)</f>
        <v>0</v>
      </c>
      <c r="G79" s="13" t="s">
        <v>132</v>
      </c>
      <c r="H79" s="13" t="s">
        <v>133</v>
      </c>
      <c r="I79" s="13"/>
      <c r="J79" s="13"/>
      <c r="K79" s="13">
        <v>209</v>
      </c>
      <c r="L79" s="13">
        <v>23</v>
      </c>
      <c r="M79" s="13">
        <v>3</v>
      </c>
      <c r="N79" s="13" t="s">
        <v>3</v>
      </c>
      <c r="O79" s="13">
        <v>2</v>
      </c>
      <c r="P79" s="13">
        <f>ROUND(Source!DO55,O79)</f>
        <v>0</v>
      </c>
      <c r="Q79" s="13"/>
      <c r="R79" s="13"/>
      <c r="S79" s="13"/>
      <c r="T79" s="13"/>
      <c r="U79" s="13"/>
      <c r="V79" s="13"/>
      <c r="W79" s="13">
        <v>0</v>
      </c>
      <c r="X79" s="13">
        <v>1</v>
      </c>
      <c r="Y79" s="13">
        <v>0</v>
      </c>
      <c r="Z79" s="13">
        <v>0</v>
      </c>
      <c r="AA79" s="13">
        <v>1</v>
      </c>
      <c r="AB79" s="13">
        <v>0</v>
      </c>
    </row>
    <row r="80" spans="1:28" ht="13" x14ac:dyDescent="0.3">
      <c r="A80" s="13">
        <v>50</v>
      </c>
      <c r="B80" s="13">
        <v>0</v>
      </c>
      <c r="C80" s="13">
        <v>0</v>
      </c>
      <c r="D80" s="13">
        <v>1</v>
      </c>
      <c r="E80" s="13">
        <v>233</v>
      </c>
      <c r="F80" s="13">
        <f>ROUND(Source!BD55,O80)</f>
        <v>0</v>
      </c>
      <c r="G80" s="13" t="s">
        <v>134</v>
      </c>
      <c r="H80" s="13" t="s">
        <v>135</v>
      </c>
      <c r="I80" s="13"/>
      <c r="J80" s="13"/>
      <c r="K80" s="13">
        <v>233</v>
      </c>
      <c r="L80" s="13">
        <v>24</v>
      </c>
      <c r="M80" s="13">
        <v>3</v>
      </c>
      <c r="N80" s="13" t="s">
        <v>3</v>
      </c>
      <c r="O80" s="13">
        <v>2</v>
      </c>
      <c r="P80" s="13">
        <f>ROUND(Source!EV55,O80)</f>
        <v>0</v>
      </c>
      <c r="Q80" s="13"/>
      <c r="R80" s="13"/>
      <c r="S80" s="13"/>
      <c r="T80" s="13"/>
      <c r="U80" s="13"/>
      <c r="V80" s="13"/>
      <c r="W80" s="13">
        <v>0</v>
      </c>
      <c r="X80" s="13">
        <v>1</v>
      </c>
      <c r="Y80" s="13">
        <v>0</v>
      </c>
      <c r="Z80" s="13">
        <v>0</v>
      </c>
      <c r="AA80" s="13">
        <v>1</v>
      </c>
      <c r="AB80" s="13">
        <v>0</v>
      </c>
    </row>
    <row r="81" spans="1:255" ht="13" x14ac:dyDescent="0.3">
      <c r="A81" s="13">
        <v>50</v>
      </c>
      <c r="B81" s="13">
        <v>0</v>
      </c>
      <c r="C81" s="13">
        <v>0</v>
      </c>
      <c r="D81" s="13">
        <v>1</v>
      </c>
      <c r="E81" s="13">
        <v>210</v>
      </c>
      <c r="F81" s="13">
        <f>ROUND(Source!X55,O81)</f>
        <v>913.63</v>
      </c>
      <c r="G81" s="13" t="s">
        <v>136</v>
      </c>
      <c r="H81" s="13" t="s">
        <v>137</v>
      </c>
      <c r="I81" s="13"/>
      <c r="J81" s="13"/>
      <c r="K81" s="13">
        <v>210</v>
      </c>
      <c r="L81" s="13">
        <v>25</v>
      </c>
      <c r="M81" s="13">
        <v>3</v>
      </c>
      <c r="N81" s="13" t="s">
        <v>3</v>
      </c>
      <c r="O81" s="13">
        <v>2</v>
      </c>
      <c r="P81" s="13">
        <f>ROUND(Source!DP55,O81)</f>
        <v>51482.58</v>
      </c>
      <c r="Q81" s="13"/>
      <c r="R81" s="13"/>
      <c r="S81" s="13"/>
      <c r="T81" s="13"/>
      <c r="U81" s="13"/>
      <c r="V81" s="13"/>
      <c r="W81" s="13">
        <v>913.63</v>
      </c>
      <c r="X81" s="13">
        <v>1</v>
      </c>
      <c r="Y81" s="13">
        <v>913.63</v>
      </c>
      <c r="Z81" s="13">
        <v>51482.58</v>
      </c>
      <c r="AA81" s="13">
        <v>1</v>
      </c>
      <c r="AB81" s="13">
        <v>51482.58</v>
      </c>
    </row>
    <row r="82" spans="1:255" ht="13" x14ac:dyDescent="0.3">
      <c r="A82" s="13">
        <v>50</v>
      </c>
      <c r="B82" s="13">
        <v>0</v>
      </c>
      <c r="C82" s="13">
        <v>0</v>
      </c>
      <c r="D82" s="13">
        <v>1</v>
      </c>
      <c r="E82" s="13">
        <v>211</v>
      </c>
      <c r="F82" s="13">
        <f>ROUND(Source!Y55,O82)</f>
        <v>489.76</v>
      </c>
      <c r="G82" s="13" t="s">
        <v>138</v>
      </c>
      <c r="H82" s="13" t="s">
        <v>139</v>
      </c>
      <c r="I82" s="13"/>
      <c r="J82" s="13"/>
      <c r="K82" s="13">
        <v>211</v>
      </c>
      <c r="L82" s="13">
        <v>26</v>
      </c>
      <c r="M82" s="13">
        <v>3</v>
      </c>
      <c r="N82" s="13" t="s">
        <v>3</v>
      </c>
      <c r="O82" s="13">
        <v>2</v>
      </c>
      <c r="P82" s="13">
        <f>ROUND(Source!DQ55,O82)</f>
        <v>27598.59</v>
      </c>
      <c r="Q82" s="13"/>
      <c r="R82" s="13"/>
      <c r="S82" s="13"/>
      <c r="T82" s="13"/>
      <c r="U82" s="13"/>
      <c r="V82" s="13"/>
      <c r="W82" s="13">
        <v>489.76</v>
      </c>
      <c r="X82" s="13">
        <v>1</v>
      </c>
      <c r="Y82" s="13">
        <v>489.76</v>
      </c>
      <c r="Z82" s="13">
        <v>27598.59</v>
      </c>
      <c r="AA82" s="13">
        <v>1</v>
      </c>
      <c r="AB82" s="13">
        <v>27598.59</v>
      </c>
    </row>
    <row r="83" spans="1:255" ht="13" x14ac:dyDescent="0.3">
      <c r="A83" s="13">
        <v>50</v>
      </c>
      <c r="B83" s="13">
        <v>0</v>
      </c>
      <c r="C83" s="13">
        <v>0</v>
      </c>
      <c r="D83" s="13">
        <v>1</v>
      </c>
      <c r="E83" s="13">
        <v>224</v>
      </c>
      <c r="F83" s="13">
        <f>ROUND(Source!AR55,O83)</f>
        <v>2423.15</v>
      </c>
      <c r="G83" s="13" t="s">
        <v>140</v>
      </c>
      <c r="H83" s="13" t="s">
        <v>141</v>
      </c>
      <c r="I83" s="13"/>
      <c r="J83" s="13"/>
      <c r="K83" s="13">
        <v>224</v>
      </c>
      <c r="L83" s="13">
        <v>27</v>
      </c>
      <c r="M83" s="13">
        <v>3</v>
      </c>
      <c r="N83" s="13" t="s">
        <v>3</v>
      </c>
      <c r="O83" s="13">
        <v>2</v>
      </c>
      <c r="P83" s="13">
        <f>ROUND(Source!EJ55,O83)</f>
        <v>135223.25</v>
      </c>
      <c r="Q83" s="13"/>
      <c r="R83" s="13"/>
      <c r="S83" s="13"/>
      <c r="T83" s="13"/>
      <c r="U83" s="13"/>
      <c r="V83" s="13"/>
      <c r="W83" s="13">
        <v>2423.15</v>
      </c>
      <c r="X83" s="13">
        <v>1</v>
      </c>
      <c r="Y83" s="13">
        <v>2423.15</v>
      </c>
      <c r="Z83" s="13">
        <v>135223.25</v>
      </c>
      <c r="AA83" s="13">
        <v>1</v>
      </c>
      <c r="AB83" s="13">
        <v>135223.25</v>
      </c>
    </row>
    <row r="85" spans="1:255" ht="13" x14ac:dyDescent="0.3">
      <c r="A85" s="10">
        <v>4</v>
      </c>
      <c r="B85" s="10">
        <v>1</v>
      </c>
      <c r="C85" s="10"/>
      <c r="D85" s="10">
        <f>ROW(A120)</f>
        <v>120</v>
      </c>
      <c r="E85" s="10"/>
      <c r="F85" s="10" t="s">
        <v>19</v>
      </c>
      <c r="G85" s="10" t="s">
        <v>142</v>
      </c>
      <c r="H85" s="10" t="s">
        <v>3</v>
      </c>
      <c r="I85" s="10">
        <v>0</v>
      </c>
      <c r="J85" s="10"/>
      <c r="K85" s="10">
        <v>-1</v>
      </c>
      <c r="L85" s="10"/>
      <c r="M85" s="10" t="s">
        <v>3</v>
      </c>
      <c r="N85" s="10"/>
      <c r="O85" s="10"/>
      <c r="P85" s="10"/>
      <c r="Q85" s="10"/>
      <c r="R85" s="10"/>
      <c r="S85" s="10">
        <v>0</v>
      </c>
      <c r="T85" s="10">
        <v>0</v>
      </c>
      <c r="U85" s="10" t="s">
        <v>3</v>
      </c>
      <c r="V85" s="10">
        <v>0</v>
      </c>
      <c r="W85" s="10"/>
      <c r="X85" s="10"/>
      <c r="Y85" s="10"/>
      <c r="Z85" s="10"/>
      <c r="AA85" s="10"/>
      <c r="AB85" s="10" t="s">
        <v>3</v>
      </c>
      <c r="AC85" s="10" t="s">
        <v>3</v>
      </c>
      <c r="AD85" s="10" t="s">
        <v>3</v>
      </c>
      <c r="AE85" s="10" t="s">
        <v>3</v>
      </c>
      <c r="AF85" s="10" t="s">
        <v>3</v>
      </c>
      <c r="AG85" s="10" t="s">
        <v>3</v>
      </c>
      <c r="AH85" s="10"/>
      <c r="AI85" s="10"/>
      <c r="AJ85" s="10"/>
      <c r="AK85" s="10"/>
      <c r="AL85" s="10"/>
      <c r="AM85" s="10"/>
      <c r="AN85" s="10"/>
      <c r="AO85" s="10"/>
      <c r="AP85" s="10" t="s">
        <v>3</v>
      </c>
      <c r="AQ85" s="10" t="s">
        <v>3</v>
      </c>
      <c r="AR85" s="10" t="s">
        <v>3</v>
      </c>
      <c r="AS85" s="10"/>
      <c r="AT85" s="10"/>
      <c r="AU85" s="10"/>
      <c r="AV85" s="10"/>
      <c r="AW85" s="10"/>
      <c r="AX85" s="10"/>
      <c r="AY85" s="10"/>
      <c r="AZ85" s="10" t="s">
        <v>3</v>
      </c>
      <c r="BA85" s="10"/>
      <c r="BB85" s="10" t="s">
        <v>3</v>
      </c>
      <c r="BC85" s="10" t="s">
        <v>3</v>
      </c>
      <c r="BD85" s="10" t="s">
        <v>3</v>
      </c>
      <c r="BE85" s="10" t="s">
        <v>3</v>
      </c>
      <c r="BF85" s="10" t="s">
        <v>3</v>
      </c>
      <c r="BG85" s="10" t="s">
        <v>3</v>
      </c>
      <c r="BH85" s="10" t="s">
        <v>3</v>
      </c>
      <c r="BI85" s="10" t="s">
        <v>3</v>
      </c>
      <c r="BJ85" s="10" t="s">
        <v>3</v>
      </c>
      <c r="BK85" s="10" t="s">
        <v>3</v>
      </c>
      <c r="BL85" s="10" t="s">
        <v>3</v>
      </c>
      <c r="BM85" s="10" t="s">
        <v>3</v>
      </c>
      <c r="BN85" s="10" t="s">
        <v>3</v>
      </c>
      <c r="BO85" s="10" t="s">
        <v>3</v>
      </c>
      <c r="BP85" s="10" t="s">
        <v>3</v>
      </c>
      <c r="BQ85" s="10"/>
      <c r="BR85" s="10"/>
      <c r="BS85" s="10"/>
      <c r="BT85" s="10"/>
      <c r="BU85" s="10"/>
      <c r="BV85" s="10"/>
      <c r="BW85" s="10"/>
      <c r="BX85" s="10">
        <v>0</v>
      </c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>
        <v>0</v>
      </c>
    </row>
    <row r="87" spans="1:255" ht="13" x14ac:dyDescent="0.3">
      <c r="A87" s="11">
        <v>52</v>
      </c>
      <c r="B87" s="11">
        <f t="shared" ref="B87:G87" si="78">B120</f>
        <v>1</v>
      </c>
      <c r="C87" s="11">
        <f t="shared" si="78"/>
        <v>4</v>
      </c>
      <c r="D87" s="11">
        <f t="shared" si="78"/>
        <v>85</v>
      </c>
      <c r="E87" s="11">
        <f t="shared" si="78"/>
        <v>0</v>
      </c>
      <c r="F87" s="11" t="str">
        <f t="shared" si="78"/>
        <v>1</v>
      </c>
      <c r="G87" s="11" t="str">
        <f t="shared" si="78"/>
        <v>Комплект основного оборудования (радиофикация)</v>
      </c>
      <c r="H87" s="11"/>
      <c r="I87" s="11"/>
      <c r="J87" s="11"/>
      <c r="K87" s="11"/>
      <c r="L87" s="11"/>
      <c r="M87" s="11"/>
      <c r="N87" s="11"/>
      <c r="O87" s="11">
        <f t="shared" ref="O87:AT87" si="79">O120</f>
        <v>68109.38</v>
      </c>
      <c r="P87" s="11">
        <f t="shared" si="79"/>
        <v>67535.33</v>
      </c>
      <c r="Q87" s="11">
        <f t="shared" si="79"/>
        <v>111.87</v>
      </c>
      <c r="R87" s="11">
        <f t="shared" si="79"/>
        <v>16.510000000000002</v>
      </c>
      <c r="S87" s="11">
        <f t="shared" si="79"/>
        <v>462.18</v>
      </c>
      <c r="T87" s="11">
        <f t="shared" si="79"/>
        <v>0</v>
      </c>
      <c r="U87" s="11">
        <f t="shared" si="79"/>
        <v>37.271806559999995</v>
      </c>
      <c r="V87" s="11">
        <f t="shared" si="79"/>
        <v>0</v>
      </c>
      <c r="W87" s="11">
        <f t="shared" si="79"/>
        <v>0</v>
      </c>
      <c r="X87" s="11">
        <f t="shared" si="79"/>
        <v>444.81</v>
      </c>
      <c r="Y87" s="11">
        <f t="shared" si="79"/>
        <v>239.03</v>
      </c>
      <c r="Z87" s="11">
        <f t="shared" si="79"/>
        <v>0</v>
      </c>
      <c r="AA87" s="11">
        <f t="shared" si="79"/>
        <v>0</v>
      </c>
      <c r="AB87" s="11">
        <f t="shared" si="79"/>
        <v>68109.38</v>
      </c>
      <c r="AC87" s="11">
        <f t="shared" si="79"/>
        <v>67535.33</v>
      </c>
      <c r="AD87" s="11">
        <f t="shared" si="79"/>
        <v>111.87</v>
      </c>
      <c r="AE87" s="11">
        <f t="shared" si="79"/>
        <v>16.510000000000002</v>
      </c>
      <c r="AF87" s="11">
        <f t="shared" si="79"/>
        <v>462.18</v>
      </c>
      <c r="AG87" s="11">
        <f t="shared" si="79"/>
        <v>0</v>
      </c>
      <c r="AH87" s="11">
        <f t="shared" si="79"/>
        <v>37.271806559999995</v>
      </c>
      <c r="AI87" s="11">
        <f t="shared" si="79"/>
        <v>0</v>
      </c>
      <c r="AJ87" s="11">
        <f t="shared" si="79"/>
        <v>0</v>
      </c>
      <c r="AK87" s="11">
        <f t="shared" si="79"/>
        <v>444.81</v>
      </c>
      <c r="AL87" s="11">
        <f t="shared" si="79"/>
        <v>239.03</v>
      </c>
      <c r="AM87" s="11">
        <f t="shared" si="79"/>
        <v>0</v>
      </c>
      <c r="AN87" s="11">
        <f t="shared" si="79"/>
        <v>0</v>
      </c>
      <c r="AO87" s="11">
        <f t="shared" si="79"/>
        <v>0</v>
      </c>
      <c r="AP87" s="11">
        <f t="shared" si="79"/>
        <v>67061.38</v>
      </c>
      <c r="AQ87" s="11">
        <f t="shared" si="79"/>
        <v>0</v>
      </c>
      <c r="AR87" s="11">
        <f t="shared" si="79"/>
        <v>68793.22</v>
      </c>
      <c r="AS87" s="11">
        <f t="shared" si="79"/>
        <v>0</v>
      </c>
      <c r="AT87" s="11">
        <f t="shared" si="79"/>
        <v>1731.84</v>
      </c>
      <c r="AU87" s="11">
        <f t="shared" ref="AU87:BZ87" si="80">AU120</f>
        <v>0</v>
      </c>
      <c r="AV87" s="11">
        <f t="shared" si="80"/>
        <v>67535.33</v>
      </c>
      <c r="AW87" s="11">
        <f t="shared" si="80"/>
        <v>473.95</v>
      </c>
      <c r="AX87" s="11">
        <f t="shared" si="80"/>
        <v>0</v>
      </c>
      <c r="AY87" s="11">
        <f t="shared" si="80"/>
        <v>473.95</v>
      </c>
      <c r="AZ87" s="11">
        <f t="shared" si="80"/>
        <v>67061.38</v>
      </c>
      <c r="BA87" s="11">
        <f t="shared" si="80"/>
        <v>0</v>
      </c>
      <c r="BB87" s="11">
        <f t="shared" si="80"/>
        <v>0</v>
      </c>
      <c r="BC87" s="11">
        <f t="shared" si="80"/>
        <v>0</v>
      </c>
      <c r="BD87" s="11">
        <f t="shared" si="80"/>
        <v>0</v>
      </c>
      <c r="BE87" s="11">
        <f t="shared" si="80"/>
        <v>0</v>
      </c>
      <c r="BF87" s="11">
        <f t="shared" si="80"/>
        <v>0</v>
      </c>
      <c r="BG87" s="11">
        <f t="shared" si="80"/>
        <v>0</v>
      </c>
      <c r="BH87" s="11">
        <f t="shared" si="80"/>
        <v>0</v>
      </c>
      <c r="BI87" s="11">
        <f t="shared" si="80"/>
        <v>0</v>
      </c>
      <c r="BJ87" s="11">
        <f t="shared" si="80"/>
        <v>0</v>
      </c>
      <c r="BK87" s="11">
        <f t="shared" si="80"/>
        <v>0</v>
      </c>
      <c r="BL87" s="11">
        <f t="shared" si="80"/>
        <v>0</v>
      </c>
      <c r="BM87" s="11">
        <f t="shared" si="80"/>
        <v>0</v>
      </c>
      <c r="BN87" s="11">
        <f t="shared" si="80"/>
        <v>0</v>
      </c>
      <c r="BO87" s="11">
        <f t="shared" si="80"/>
        <v>0</v>
      </c>
      <c r="BP87" s="11">
        <f t="shared" si="80"/>
        <v>0</v>
      </c>
      <c r="BQ87" s="11">
        <f t="shared" si="80"/>
        <v>0</v>
      </c>
      <c r="BR87" s="11">
        <f t="shared" si="80"/>
        <v>0</v>
      </c>
      <c r="BS87" s="11">
        <f t="shared" si="80"/>
        <v>0</v>
      </c>
      <c r="BT87" s="11">
        <f t="shared" si="80"/>
        <v>0</v>
      </c>
      <c r="BU87" s="11">
        <f t="shared" si="80"/>
        <v>0</v>
      </c>
      <c r="BV87" s="11">
        <f t="shared" si="80"/>
        <v>0</v>
      </c>
      <c r="BW87" s="11">
        <f t="shared" si="80"/>
        <v>0</v>
      </c>
      <c r="BX87" s="11">
        <f t="shared" si="80"/>
        <v>0</v>
      </c>
      <c r="BY87" s="11">
        <f t="shared" si="80"/>
        <v>67061.38</v>
      </c>
      <c r="BZ87" s="11">
        <f t="shared" si="80"/>
        <v>0</v>
      </c>
      <c r="CA87" s="11">
        <f t="shared" ref="CA87:DF87" si="81">CA120</f>
        <v>68793.22</v>
      </c>
      <c r="CB87" s="11">
        <f t="shared" si="81"/>
        <v>0</v>
      </c>
      <c r="CC87" s="11">
        <f t="shared" si="81"/>
        <v>1731.84</v>
      </c>
      <c r="CD87" s="11">
        <f t="shared" si="81"/>
        <v>0</v>
      </c>
      <c r="CE87" s="11">
        <f t="shared" si="81"/>
        <v>67535.33</v>
      </c>
      <c r="CF87" s="11">
        <f t="shared" si="81"/>
        <v>473.94999999999709</v>
      </c>
      <c r="CG87" s="11">
        <f t="shared" si="81"/>
        <v>0</v>
      </c>
      <c r="CH87" s="11">
        <f t="shared" si="81"/>
        <v>473.94999999999709</v>
      </c>
      <c r="CI87" s="11">
        <f t="shared" si="81"/>
        <v>67061.38</v>
      </c>
      <c r="CJ87" s="11">
        <f t="shared" si="81"/>
        <v>0</v>
      </c>
      <c r="CK87" s="11">
        <f t="shared" si="81"/>
        <v>0</v>
      </c>
      <c r="CL87" s="11">
        <f t="shared" si="81"/>
        <v>0</v>
      </c>
      <c r="CM87" s="11">
        <f t="shared" si="81"/>
        <v>0</v>
      </c>
      <c r="CN87" s="11">
        <f t="shared" si="81"/>
        <v>0</v>
      </c>
      <c r="CO87" s="11">
        <f t="shared" si="81"/>
        <v>0</v>
      </c>
      <c r="CP87" s="11">
        <f t="shared" si="81"/>
        <v>0</v>
      </c>
      <c r="CQ87" s="11">
        <f t="shared" si="81"/>
        <v>0</v>
      </c>
      <c r="CR87" s="11">
        <f t="shared" si="81"/>
        <v>0</v>
      </c>
      <c r="CS87" s="11">
        <f t="shared" si="81"/>
        <v>0</v>
      </c>
      <c r="CT87" s="11">
        <f t="shared" si="81"/>
        <v>0</v>
      </c>
      <c r="CU87" s="11">
        <f t="shared" si="81"/>
        <v>0</v>
      </c>
      <c r="CV87" s="11">
        <f t="shared" si="81"/>
        <v>0</v>
      </c>
      <c r="CW87" s="11">
        <f t="shared" si="81"/>
        <v>0</v>
      </c>
      <c r="CX87" s="11">
        <f t="shared" si="81"/>
        <v>0</v>
      </c>
      <c r="CY87" s="11">
        <f t="shared" si="81"/>
        <v>0</v>
      </c>
      <c r="CZ87" s="11">
        <f t="shared" si="81"/>
        <v>0</v>
      </c>
      <c r="DA87" s="11">
        <f t="shared" si="81"/>
        <v>0</v>
      </c>
      <c r="DB87" s="11">
        <f t="shared" si="81"/>
        <v>0</v>
      </c>
      <c r="DC87" s="11">
        <f t="shared" si="81"/>
        <v>0</v>
      </c>
      <c r="DD87" s="11">
        <f t="shared" si="81"/>
        <v>0</v>
      </c>
      <c r="DE87" s="11">
        <f t="shared" si="81"/>
        <v>0</v>
      </c>
      <c r="DF87" s="11">
        <f t="shared" si="81"/>
        <v>0</v>
      </c>
      <c r="DG87" s="12">
        <f t="shared" ref="DG87:EL87" si="82">DG120</f>
        <v>541190.80000000005</v>
      </c>
      <c r="DH87" s="12">
        <f t="shared" si="82"/>
        <v>513248.95</v>
      </c>
      <c r="DI87" s="12">
        <f t="shared" si="82"/>
        <v>1898</v>
      </c>
      <c r="DJ87" s="12">
        <f t="shared" si="82"/>
        <v>930.33</v>
      </c>
      <c r="DK87" s="12">
        <f t="shared" si="82"/>
        <v>26043.85</v>
      </c>
      <c r="DL87" s="12">
        <f t="shared" si="82"/>
        <v>0</v>
      </c>
      <c r="DM87" s="12">
        <f t="shared" si="82"/>
        <v>37.271806559999995</v>
      </c>
      <c r="DN87" s="12">
        <f t="shared" si="82"/>
        <v>0</v>
      </c>
      <c r="DO87" s="12">
        <f t="shared" si="82"/>
        <v>0</v>
      </c>
      <c r="DP87" s="12">
        <f t="shared" si="82"/>
        <v>25066.02</v>
      </c>
      <c r="DQ87" s="12">
        <f t="shared" si="82"/>
        <v>13470.1</v>
      </c>
      <c r="DR87" s="12">
        <f t="shared" si="82"/>
        <v>0</v>
      </c>
      <c r="DS87" s="12">
        <f t="shared" si="82"/>
        <v>0</v>
      </c>
      <c r="DT87" s="12">
        <f t="shared" si="82"/>
        <v>541190.80000000005</v>
      </c>
      <c r="DU87" s="12">
        <f t="shared" si="82"/>
        <v>513248.95</v>
      </c>
      <c r="DV87" s="12">
        <f t="shared" si="82"/>
        <v>1898</v>
      </c>
      <c r="DW87" s="12">
        <f t="shared" si="82"/>
        <v>930.33</v>
      </c>
      <c r="DX87" s="12">
        <f t="shared" si="82"/>
        <v>26043.85</v>
      </c>
      <c r="DY87" s="12">
        <f t="shared" si="82"/>
        <v>0</v>
      </c>
      <c r="DZ87" s="12">
        <f t="shared" si="82"/>
        <v>37.271806559999995</v>
      </c>
      <c r="EA87" s="12">
        <f t="shared" si="82"/>
        <v>0</v>
      </c>
      <c r="EB87" s="12">
        <f t="shared" si="82"/>
        <v>0</v>
      </c>
      <c r="EC87" s="12">
        <f t="shared" si="82"/>
        <v>25066.02</v>
      </c>
      <c r="ED87" s="12">
        <f t="shared" si="82"/>
        <v>13470.1</v>
      </c>
      <c r="EE87" s="12">
        <f t="shared" si="82"/>
        <v>0</v>
      </c>
      <c r="EF87" s="12">
        <f t="shared" si="82"/>
        <v>0</v>
      </c>
      <c r="EG87" s="12">
        <f t="shared" si="82"/>
        <v>0</v>
      </c>
      <c r="EH87" s="12">
        <f t="shared" si="82"/>
        <v>509739.71</v>
      </c>
      <c r="EI87" s="12">
        <f t="shared" si="82"/>
        <v>0</v>
      </c>
      <c r="EJ87" s="12">
        <f t="shared" si="82"/>
        <v>579726.92000000004</v>
      </c>
      <c r="EK87" s="12">
        <f t="shared" si="82"/>
        <v>0</v>
      </c>
      <c r="EL87" s="12">
        <f t="shared" si="82"/>
        <v>69987.210000000006</v>
      </c>
      <c r="EM87" s="12">
        <f t="shared" ref="EM87:FR87" si="83">EM120</f>
        <v>0</v>
      </c>
      <c r="EN87" s="12">
        <f t="shared" si="83"/>
        <v>513248.95</v>
      </c>
      <c r="EO87" s="12">
        <f t="shared" si="83"/>
        <v>3509.24</v>
      </c>
      <c r="EP87" s="12">
        <f t="shared" si="83"/>
        <v>0</v>
      </c>
      <c r="EQ87" s="12">
        <f t="shared" si="83"/>
        <v>3509.24</v>
      </c>
      <c r="ER87" s="12">
        <f t="shared" si="83"/>
        <v>509739.71</v>
      </c>
      <c r="ES87" s="12">
        <f t="shared" si="83"/>
        <v>0</v>
      </c>
      <c r="ET87" s="12">
        <f t="shared" si="83"/>
        <v>0</v>
      </c>
      <c r="EU87" s="12">
        <f t="shared" si="83"/>
        <v>0</v>
      </c>
      <c r="EV87" s="12">
        <f t="shared" si="83"/>
        <v>0</v>
      </c>
      <c r="EW87" s="12">
        <f t="shared" si="83"/>
        <v>0</v>
      </c>
      <c r="EX87" s="12">
        <f t="shared" si="83"/>
        <v>0</v>
      </c>
      <c r="EY87" s="12">
        <f t="shared" si="83"/>
        <v>0</v>
      </c>
      <c r="EZ87" s="12">
        <f t="shared" si="83"/>
        <v>0</v>
      </c>
      <c r="FA87" s="12">
        <f t="shared" si="83"/>
        <v>0</v>
      </c>
      <c r="FB87" s="12">
        <f t="shared" si="83"/>
        <v>0</v>
      </c>
      <c r="FC87" s="12">
        <f t="shared" si="83"/>
        <v>0</v>
      </c>
      <c r="FD87" s="12">
        <f t="shared" si="83"/>
        <v>0</v>
      </c>
      <c r="FE87" s="12">
        <f t="shared" si="83"/>
        <v>0</v>
      </c>
      <c r="FF87" s="12">
        <f t="shared" si="83"/>
        <v>0</v>
      </c>
      <c r="FG87" s="12">
        <f t="shared" si="83"/>
        <v>0</v>
      </c>
      <c r="FH87" s="12">
        <f t="shared" si="83"/>
        <v>0</v>
      </c>
      <c r="FI87" s="12">
        <f t="shared" si="83"/>
        <v>0</v>
      </c>
      <c r="FJ87" s="12">
        <f t="shared" si="83"/>
        <v>0</v>
      </c>
      <c r="FK87" s="12">
        <f t="shared" si="83"/>
        <v>0</v>
      </c>
      <c r="FL87" s="12">
        <f t="shared" si="83"/>
        <v>0</v>
      </c>
      <c r="FM87" s="12">
        <f t="shared" si="83"/>
        <v>0</v>
      </c>
      <c r="FN87" s="12">
        <f t="shared" si="83"/>
        <v>0</v>
      </c>
      <c r="FO87" s="12">
        <f t="shared" si="83"/>
        <v>0</v>
      </c>
      <c r="FP87" s="12">
        <f t="shared" si="83"/>
        <v>0</v>
      </c>
      <c r="FQ87" s="12">
        <f t="shared" si="83"/>
        <v>509739.71</v>
      </c>
      <c r="FR87" s="12">
        <f t="shared" si="83"/>
        <v>0</v>
      </c>
      <c r="FS87" s="12">
        <f t="shared" ref="FS87:GX87" si="84">FS120</f>
        <v>579726.92000000004</v>
      </c>
      <c r="FT87" s="12">
        <f t="shared" si="84"/>
        <v>0</v>
      </c>
      <c r="FU87" s="12">
        <f t="shared" si="84"/>
        <v>69987.210000000006</v>
      </c>
      <c r="FV87" s="12">
        <f t="shared" si="84"/>
        <v>0</v>
      </c>
      <c r="FW87" s="12">
        <f t="shared" si="84"/>
        <v>513248.95</v>
      </c>
      <c r="FX87" s="12">
        <f t="shared" si="84"/>
        <v>3509.2399999999907</v>
      </c>
      <c r="FY87" s="12">
        <f t="shared" si="84"/>
        <v>0</v>
      </c>
      <c r="FZ87" s="12">
        <f t="shared" si="84"/>
        <v>3509.2399999999907</v>
      </c>
      <c r="GA87" s="12">
        <f t="shared" si="84"/>
        <v>509739.71</v>
      </c>
      <c r="GB87" s="12">
        <f t="shared" si="84"/>
        <v>0</v>
      </c>
      <c r="GC87" s="12">
        <f t="shared" si="84"/>
        <v>0</v>
      </c>
      <c r="GD87" s="12">
        <f t="shared" si="84"/>
        <v>0</v>
      </c>
      <c r="GE87" s="12">
        <f t="shared" si="84"/>
        <v>0</v>
      </c>
      <c r="GF87" s="12">
        <f t="shared" si="84"/>
        <v>0</v>
      </c>
      <c r="GG87" s="12">
        <f t="shared" si="84"/>
        <v>0</v>
      </c>
      <c r="GH87" s="12">
        <f t="shared" si="84"/>
        <v>0</v>
      </c>
      <c r="GI87" s="12">
        <f t="shared" si="84"/>
        <v>0</v>
      </c>
      <c r="GJ87" s="12">
        <f t="shared" si="84"/>
        <v>0</v>
      </c>
      <c r="GK87" s="12">
        <f t="shared" si="84"/>
        <v>0</v>
      </c>
      <c r="GL87" s="12">
        <f t="shared" si="84"/>
        <v>0</v>
      </c>
      <c r="GM87" s="12">
        <f t="shared" si="84"/>
        <v>0</v>
      </c>
      <c r="GN87" s="12">
        <f t="shared" si="84"/>
        <v>0</v>
      </c>
      <c r="GO87" s="12">
        <f t="shared" si="84"/>
        <v>0</v>
      </c>
      <c r="GP87" s="12">
        <f t="shared" si="84"/>
        <v>0</v>
      </c>
      <c r="GQ87" s="12">
        <f t="shared" si="84"/>
        <v>0</v>
      </c>
      <c r="GR87" s="12">
        <f t="shared" si="84"/>
        <v>0</v>
      </c>
      <c r="GS87" s="12">
        <f t="shared" si="84"/>
        <v>0</v>
      </c>
      <c r="GT87" s="12">
        <f t="shared" si="84"/>
        <v>0</v>
      </c>
      <c r="GU87" s="12">
        <f t="shared" si="84"/>
        <v>0</v>
      </c>
      <c r="GV87" s="12">
        <f t="shared" si="84"/>
        <v>0</v>
      </c>
      <c r="GW87" s="12">
        <f t="shared" si="84"/>
        <v>0</v>
      </c>
      <c r="GX87" s="12">
        <f t="shared" si="84"/>
        <v>0</v>
      </c>
    </row>
    <row r="89" spans="1:255" x14ac:dyDescent="0.25">
      <c r="A89" s="2">
        <v>17</v>
      </c>
      <c r="B89" s="2">
        <v>1</v>
      </c>
      <c r="C89" s="2">
        <f>ROW(SmtRes!A167)</f>
        <v>167</v>
      </c>
      <c r="D89" s="2">
        <f>ROW(EtalonRes!A188)</f>
        <v>188</v>
      </c>
      <c r="E89" s="2" t="s">
        <v>143</v>
      </c>
      <c r="F89" s="2" t="s">
        <v>20</v>
      </c>
      <c r="G89" s="2" t="s">
        <v>144</v>
      </c>
      <c r="H89" s="2" t="s">
        <v>22</v>
      </c>
      <c r="I89" s="2">
        <v>1</v>
      </c>
      <c r="J89" s="2">
        <v>0</v>
      </c>
      <c r="K89" s="2">
        <v>1</v>
      </c>
      <c r="L89" s="2"/>
      <c r="M89" s="2"/>
      <c r="N89" s="2"/>
      <c r="O89" s="2">
        <f t="shared" ref="O89:O118" si="85">ROUND(CP89,2)</f>
        <v>234.24</v>
      </c>
      <c r="P89" s="2">
        <f t="shared" ref="P89:P98" si="86">ROUND((ROUND((AC89*AW89*I89),2)*BC89),2)</f>
        <v>75.680000000000007</v>
      </c>
      <c r="Q89" s="2">
        <f>(ROUND((ROUND((((ET89*1.2))*AV89*I89),2)*BB89),2)+ROUND((ROUND(((AE89-((EU89*1.2)))*AV89*I89),2)*BS89),2))</f>
        <v>0</v>
      </c>
      <c r="R89" s="2">
        <f>(ROUND((ROUND((((EU89*1.2))*AV89*I89),2)*BS89),2)+ROUND((ROUND(((AE89-((EU89*1.2)))*AV89*I89),2)*BS89),2))</f>
        <v>0</v>
      </c>
      <c r="S89" s="2">
        <f t="shared" ref="S89:S118" si="87">ROUND((ROUND((AF89*AV89*I89),2)*BA89),2)</f>
        <v>158.56</v>
      </c>
      <c r="T89" s="2">
        <f t="shared" ref="T89:T118" si="88">ROUND(CU89*I89,2)</f>
        <v>0</v>
      </c>
      <c r="U89" s="2">
        <f t="shared" ref="U89:U118" si="89">CV89*I89</f>
        <v>12.564</v>
      </c>
      <c r="V89" s="2">
        <f t="shared" ref="V89:V118" si="90">CW89*I89</f>
        <v>0</v>
      </c>
      <c r="W89" s="2">
        <f t="shared" ref="W89:W118" si="91">ROUND(CX89*I89,2)</f>
        <v>0</v>
      </c>
      <c r="X89" s="2">
        <f>(ROUND((((S89+ROUND((ROUND((((EU89*1.2))*AV89*I89),2)*BS89),2))*AT89)/100),2)+ROUND(((ROUND((ROUND(((AE89-((EU89*1.2)))*AV89*I89),2)*BS89),2)*AT89)/100),2))</f>
        <v>150.63</v>
      </c>
      <c r="Y89" s="2">
        <f>(ROUND((((S89+ROUND((ROUND((((EU89*1.2))*AV89*I89),2)*BS89),2))*AU89)/100),2)+ROUND(((ROUND((ROUND(((AE89-((EU89*1.2)))*AV89*I89),2)*BS89),2)*AU89)/100),2))</f>
        <v>84.04</v>
      </c>
      <c r="Z89" s="2"/>
      <c r="AA89" s="2">
        <v>55917797</v>
      </c>
      <c r="AB89" s="2">
        <f t="shared" ref="AB89:AB118" si="92">ROUND((AC89+AD89+AF89),6)</f>
        <v>227.12</v>
      </c>
      <c r="AC89" s="2">
        <f>ROUND(((ES89*1)),6)</f>
        <v>75.680000000000007</v>
      </c>
      <c r="AD89" s="2">
        <f>ROUND(((((ET89*1.2))-((EU89*1.2)))+AE89),6)</f>
        <v>0</v>
      </c>
      <c r="AE89" s="2">
        <f>ROUND(((EU89*1.2)),6)</f>
        <v>0</v>
      </c>
      <c r="AF89" s="2">
        <f>ROUND(((EV89*1.2)),6)</f>
        <v>151.44</v>
      </c>
      <c r="AG89" s="2">
        <f t="shared" ref="AG89:AG118" si="93">ROUND((AP89),6)</f>
        <v>0</v>
      </c>
      <c r="AH89" s="2">
        <f>((EW89*1.2))</f>
        <v>12</v>
      </c>
      <c r="AI89" s="2">
        <f>((EX89*1.2))</f>
        <v>0</v>
      </c>
      <c r="AJ89" s="2">
        <f t="shared" ref="AJ89:AJ118" si="94">(AS89)</f>
        <v>0</v>
      </c>
      <c r="AK89" s="2">
        <v>201.88</v>
      </c>
      <c r="AL89" s="2">
        <v>75.680000000000007</v>
      </c>
      <c r="AM89" s="2">
        <v>0</v>
      </c>
      <c r="AN89" s="2">
        <v>0</v>
      </c>
      <c r="AO89" s="2">
        <v>126.2</v>
      </c>
      <c r="AP89" s="2">
        <v>0</v>
      </c>
      <c r="AQ89" s="2">
        <v>10</v>
      </c>
      <c r="AR89" s="2">
        <v>0</v>
      </c>
      <c r="AS89" s="2">
        <v>0</v>
      </c>
      <c r="AT89" s="2">
        <v>95</v>
      </c>
      <c r="AU89" s="2">
        <v>53</v>
      </c>
      <c r="AV89" s="2">
        <v>1.0469999999999999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0</v>
      </c>
      <c r="BI89" s="2">
        <v>2</v>
      </c>
      <c r="BJ89" s="2" t="s">
        <v>23</v>
      </c>
      <c r="BK89" s="2"/>
      <c r="BL89" s="2"/>
      <c r="BM89" s="2">
        <v>69</v>
      </c>
      <c r="BN89" s="2">
        <v>0</v>
      </c>
      <c r="BO89" s="2" t="s">
        <v>20</v>
      </c>
      <c r="BP89" s="2">
        <v>1</v>
      </c>
      <c r="BQ89" s="2">
        <v>40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95</v>
      </c>
      <c r="CA89" s="2">
        <v>53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618</v>
      </c>
      <c r="CO89" s="2">
        <v>0</v>
      </c>
      <c r="CP89" s="2">
        <f t="shared" ref="CP89:CP118" si="95">(P89+Q89+S89)</f>
        <v>234.24</v>
      </c>
      <c r="CQ89" s="2">
        <f t="shared" ref="CQ89:CQ98" si="96">ROUND((ROUND((AC89*AW89*1),2)*BC89),2)</f>
        <v>75.680000000000007</v>
      </c>
      <c r="CR89" s="2">
        <f>(ROUND((ROUND((((ET89*1.2))*AV89*1),2)*BB89),2)+ROUND((ROUND(((AE89-((EU89*1.2)))*AV89*1),2)*BS89),2))</f>
        <v>0</v>
      </c>
      <c r="CS89" s="2">
        <f>(ROUND((ROUND((((EU89*1.2))*AV89*1),2)*BS89),2)+ROUND((ROUND(((AE89-((EU89*1.2)))*AV89*1),2)*BS89),2))</f>
        <v>0</v>
      </c>
      <c r="CT89" s="2">
        <f t="shared" ref="CT89:CT118" si="97">ROUND((ROUND((AF89*AV89*1),2)*BA89),2)</f>
        <v>158.56</v>
      </c>
      <c r="CU89" s="2">
        <f t="shared" ref="CU89:CU118" si="98">AG89</f>
        <v>0</v>
      </c>
      <c r="CV89" s="2">
        <f t="shared" ref="CV89:CV118" si="99">(AH89*AV89)</f>
        <v>12.564</v>
      </c>
      <c r="CW89" s="2">
        <f t="shared" ref="CW89:CW118" si="100">AI89</f>
        <v>0</v>
      </c>
      <c r="CX89" s="2">
        <f t="shared" ref="CX89:CX118" si="101">AJ89</f>
        <v>0</v>
      </c>
      <c r="CY89" s="2">
        <f>(ROUND((((S89+ROUND((ROUND((((EU89*1.2))*AV89*1),2)*BS89),2))*AT89)/100),2)+ROUND(((ROUND((ROUND(((AE89-((EU89*1.2)))*AV89*1),2)*BS89),2)*AT89)/100),2))</f>
        <v>150.63</v>
      </c>
      <c r="CZ89" s="2">
        <f>(ROUND((((S89+ROUND((ROUND((((EU89*1.2))*AV89*1),2)*BS89),2))*AU89)/100),2)+ROUND(((ROUND((ROUND(((AE89-((EU89*1.2)))*AV89*1),2)*BS89),2)*AU89)/100),2))</f>
        <v>84.04</v>
      </c>
      <c r="DA89" s="2"/>
      <c r="DB89" s="2">
        <v>49</v>
      </c>
      <c r="DC89" s="2" t="s">
        <v>3</v>
      </c>
      <c r="DD89" s="2" t="s">
        <v>55</v>
      </c>
      <c r="DE89" s="2" t="s">
        <v>56</v>
      </c>
      <c r="DF89" s="2" t="s">
        <v>56</v>
      </c>
      <c r="DG89" s="2" t="s">
        <v>56</v>
      </c>
      <c r="DH89" s="2" t="s">
        <v>3</v>
      </c>
      <c r="DI89" s="2" t="s">
        <v>56</v>
      </c>
      <c r="DJ89" s="2" t="s">
        <v>56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1013</v>
      </c>
      <c r="DV89" s="2" t="s">
        <v>22</v>
      </c>
      <c r="DW89" s="2" t="s">
        <v>22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55393701</v>
      </c>
      <c r="EF89" s="2">
        <v>40</v>
      </c>
      <c r="EG89" s="2" t="s">
        <v>26</v>
      </c>
      <c r="EH89" s="2">
        <v>0</v>
      </c>
      <c r="EI89" s="2" t="s">
        <v>3</v>
      </c>
      <c r="EJ89" s="2">
        <v>2</v>
      </c>
      <c r="EK89" s="2">
        <v>69</v>
      </c>
      <c r="EL89" s="2" t="s">
        <v>27</v>
      </c>
      <c r="EM89" s="2" t="s">
        <v>28</v>
      </c>
      <c r="EN89" s="2"/>
      <c r="EO89" s="2" t="s">
        <v>60</v>
      </c>
      <c r="EP89" s="2"/>
      <c r="EQ89" s="2">
        <v>0</v>
      </c>
      <c r="ER89" s="2">
        <v>201.88</v>
      </c>
      <c r="ES89" s="2">
        <v>75.680000000000007</v>
      </c>
      <c r="ET89" s="2">
        <v>0</v>
      </c>
      <c r="EU89" s="2">
        <v>0</v>
      </c>
      <c r="EV89" s="2">
        <v>126.2</v>
      </c>
      <c r="EW89" s="2">
        <v>10</v>
      </c>
      <c r="EX89" s="2">
        <v>0</v>
      </c>
      <c r="EY89" s="2">
        <v>0</v>
      </c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95</v>
      </c>
      <c r="FY89" s="2">
        <v>53</v>
      </c>
      <c r="FZ89" s="2"/>
      <c r="GA89" s="2" t="s">
        <v>3</v>
      </c>
      <c r="GB89" s="2"/>
      <c r="GC89" s="2"/>
      <c r="GD89" s="2">
        <v>1</v>
      </c>
      <c r="GE89" s="2"/>
      <c r="GF89" s="2">
        <v>-542777880</v>
      </c>
      <c r="GG89" s="2">
        <v>2</v>
      </c>
      <c r="GH89" s="2">
        <v>1</v>
      </c>
      <c r="GI89" s="2">
        <v>2</v>
      </c>
      <c r="GJ89" s="2">
        <v>0</v>
      </c>
      <c r="GK89" s="2">
        <v>0</v>
      </c>
      <c r="GL89" s="2">
        <f t="shared" ref="GL89:GL118" si="102">ROUND(IF(AND(BH89=3,BI89=3,FS89&lt;&gt;0),P89,0),2)</f>
        <v>0</v>
      </c>
      <c r="GM89" s="2">
        <f t="shared" ref="GM89:GM118" si="103">ROUND(O89+X89+Y89,2)+GX89</f>
        <v>468.91</v>
      </c>
      <c r="GN89" s="2">
        <f t="shared" ref="GN89:GN118" si="104">IF(OR(BI89=0,BI89=1),GM89-GX89,0)</f>
        <v>0</v>
      </c>
      <c r="GO89" s="2">
        <f t="shared" ref="GO89:GO118" si="105">IF(BI89=2,GM89-GX89,0)</f>
        <v>468.91</v>
      </c>
      <c r="GP89" s="2">
        <f t="shared" ref="GP89:GP118" si="106">IF(BI89=4,GM89-GX89,0)</f>
        <v>0</v>
      </c>
      <c r="GQ89" s="2"/>
      <c r="GR89" s="2">
        <v>0</v>
      </c>
      <c r="GS89" s="2">
        <v>3</v>
      </c>
      <c r="GT89" s="2">
        <v>0</v>
      </c>
      <c r="GU89" s="2" t="s">
        <v>3</v>
      </c>
      <c r="GV89" s="2">
        <f t="shared" ref="GV89:GV118" si="107">ROUND((GT89),6)</f>
        <v>0</v>
      </c>
      <c r="GW89" s="2">
        <v>1</v>
      </c>
      <c r="GX89" s="2">
        <f t="shared" ref="GX89:GX118" si="108">ROUND(HC89*I89,2)</f>
        <v>0</v>
      </c>
      <c r="GY89" s="2"/>
      <c r="GZ89" s="2"/>
      <c r="HA89" s="2">
        <v>0</v>
      </c>
      <c r="HB89" s="2">
        <v>0</v>
      </c>
      <c r="HC89" s="2">
        <f t="shared" ref="HC89:HC118" si="109">GV89*GW89</f>
        <v>0</v>
      </c>
      <c r="HD89" s="2"/>
      <c r="HE89" s="2" t="s">
        <v>3</v>
      </c>
      <c r="HF89" s="2" t="s">
        <v>3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5">
      <c r="A90" s="3">
        <v>17</v>
      </c>
      <c r="B90" s="3">
        <v>1</v>
      </c>
      <c r="C90" s="3">
        <f>ROW(SmtRes!A178)</f>
        <v>178</v>
      </c>
      <c r="D90" s="3">
        <f>ROW(EtalonRes!A200)</f>
        <v>200</v>
      </c>
      <c r="E90" s="3" t="s">
        <v>143</v>
      </c>
      <c r="F90" s="3" t="s">
        <v>20</v>
      </c>
      <c r="G90" s="3" t="s">
        <v>144</v>
      </c>
      <c r="H90" s="3" t="s">
        <v>22</v>
      </c>
      <c r="I90" s="3">
        <v>1</v>
      </c>
      <c r="J90" s="3">
        <v>0</v>
      </c>
      <c r="K90" s="3">
        <v>1</v>
      </c>
      <c r="O90" s="3">
        <f t="shared" si="85"/>
        <v>9659.8700000000008</v>
      </c>
      <c r="P90" s="3">
        <f t="shared" si="86"/>
        <v>725.01</v>
      </c>
      <c r="Q90" s="3">
        <f>(ROUND((ROUND((((ET90*1.2))*AV90*I90),2)*BB90),2)+ROUND((ROUND(((AE90-((EU90*1.2)))*AV90*I90),2)*BS90),2))</f>
        <v>0</v>
      </c>
      <c r="R90" s="3">
        <f>(ROUND((ROUND((((EU90*1.2))*AV90*I90),2)*BS90),2)+ROUND((ROUND(((AE90-((EU90*1.2)))*AV90*I90),2)*BS90),2))</f>
        <v>0</v>
      </c>
      <c r="S90" s="3">
        <f t="shared" si="87"/>
        <v>8934.86</v>
      </c>
      <c r="T90" s="3">
        <f t="shared" si="88"/>
        <v>0</v>
      </c>
      <c r="U90" s="3">
        <f t="shared" si="89"/>
        <v>12.564</v>
      </c>
      <c r="V90" s="3">
        <f t="shared" si="90"/>
        <v>0</v>
      </c>
      <c r="W90" s="3">
        <f t="shared" si="91"/>
        <v>0</v>
      </c>
      <c r="X90" s="3">
        <f>(ROUND((((S90+ROUND((ROUND((((EU90*1.2))*AV90*I90),2)*BS90),2))*AT90)/100),2)+ROUND(((ROUND((ROUND(((AE90-((EU90*1.2)))*AV90*I90),2)*BS90),2)*AT90)/100),2))</f>
        <v>8488.1200000000008</v>
      </c>
      <c r="Y90" s="3">
        <f>(ROUND((((S90+ROUND((ROUND((((EU90*1.2))*AV90*I90),2)*BS90),2))*AU90)/100),2)+ROUND(((ROUND((ROUND(((AE90-((EU90*1.2)))*AV90*I90),2)*BS90),2)*AU90)/100),2))</f>
        <v>4735.4799999999996</v>
      </c>
      <c r="AA90" s="3">
        <v>55917799</v>
      </c>
      <c r="AB90" s="3">
        <f t="shared" si="92"/>
        <v>227.12</v>
      </c>
      <c r="AC90" s="3">
        <f>ROUND(((ES90*1)),6)</f>
        <v>75.680000000000007</v>
      </c>
      <c r="AD90" s="3">
        <f>ROUND(((((ET90*1.2))-((EU90*1.2)))+AE90),6)</f>
        <v>0</v>
      </c>
      <c r="AE90" s="3">
        <f>ROUND(((EU90*1.2)),6)</f>
        <v>0</v>
      </c>
      <c r="AF90" s="3">
        <f>ROUND(((EV90*1.2)),6)</f>
        <v>151.44</v>
      </c>
      <c r="AG90" s="3">
        <f t="shared" si="93"/>
        <v>0</v>
      </c>
      <c r="AH90" s="3">
        <f>((EW90*1.2))</f>
        <v>12</v>
      </c>
      <c r="AI90" s="3">
        <f>((EX90*1.2))</f>
        <v>0</v>
      </c>
      <c r="AJ90" s="3">
        <f t="shared" si="94"/>
        <v>0</v>
      </c>
      <c r="AK90" s="3">
        <v>201.88</v>
      </c>
      <c r="AL90" s="3">
        <v>75.680000000000007</v>
      </c>
      <c r="AM90" s="3">
        <v>0</v>
      </c>
      <c r="AN90" s="3">
        <v>0</v>
      </c>
      <c r="AO90" s="3">
        <v>126.2</v>
      </c>
      <c r="AP90" s="3">
        <v>0</v>
      </c>
      <c r="AQ90" s="3">
        <v>10</v>
      </c>
      <c r="AR90" s="3">
        <v>0</v>
      </c>
      <c r="AS90" s="3">
        <v>0</v>
      </c>
      <c r="AT90" s="3">
        <v>95</v>
      </c>
      <c r="AU90" s="3">
        <v>53</v>
      </c>
      <c r="AV90" s="3">
        <v>1.0469999999999999</v>
      </c>
      <c r="AW90" s="3">
        <v>1</v>
      </c>
      <c r="AZ90" s="3">
        <v>1</v>
      </c>
      <c r="BA90" s="3">
        <v>56.35</v>
      </c>
      <c r="BB90" s="3">
        <v>1</v>
      </c>
      <c r="BC90" s="3">
        <v>9.58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0</v>
      </c>
      <c r="BI90" s="3">
        <v>2</v>
      </c>
      <c r="BJ90" s="3" t="s">
        <v>23</v>
      </c>
      <c r="BM90" s="3">
        <v>69</v>
      </c>
      <c r="BN90" s="3">
        <v>0</v>
      </c>
      <c r="BO90" s="3" t="s">
        <v>20</v>
      </c>
      <c r="BP90" s="3">
        <v>1</v>
      </c>
      <c r="BQ90" s="3">
        <v>40</v>
      </c>
      <c r="BR90" s="3">
        <v>0</v>
      </c>
      <c r="BS90" s="3">
        <v>56.35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95</v>
      </c>
      <c r="CA90" s="3">
        <v>53</v>
      </c>
      <c r="CB90" s="3" t="s">
        <v>3</v>
      </c>
      <c r="CE90" s="3">
        <v>1566</v>
      </c>
      <c r="CF90" s="3">
        <v>0</v>
      </c>
      <c r="CG90" s="3">
        <v>0</v>
      </c>
      <c r="CM90" s="3">
        <v>0</v>
      </c>
      <c r="CN90" s="3" t="s">
        <v>618</v>
      </c>
      <c r="CO90" s="3">
        <v>0</v>
      </c>
      <c r="CP90" s="3">
        <f t="shared" si="95"/>
        <v>9659.8700000000008</v>
      </c>
      <c r="CQ90" s="3">
        <f t="shared" si="96"/>
        <v>725.01</v>
      </c>
      <c r="CR90" s="3">
        <f>(ROUND((ROUND((((ET90*1.2))*AV90*1),2)*BB90),2)+ROUND((ROUND(((AE90-((EU90*1.2)))*AV90*1),2)*BS90),2))</f>
        <v>0</v>
      </c>
      <c r="CS90" s="3">
        <f>(ROUND((ROUND((((EU90*1.2))*AV90*1),2)*BS90),2)+ROUND((ROUND(((AE90-((EU90*1.2)))*AV90*1),2)*BS90),2))</f>
        <v>0</v>
      </c>
      <c r="CT90" s="3">
        <f t="shared" si="97"/>
        <v>8934.86</v>
      </c>
      <c r="CU90" s="3">
        <f t="shared" si="98"/>
        <v>0</v>
      </c>
      <c r="CV90" s="3">
        <f t="shared" si="99"/>
        <v>12.564</v>
      </c>
      <c r="CW90" s="3">
        <f t="shared" si="100"/>
        <v>0</v>
      </c>
      <c r="CX90" s="3">
        <f t="shared" si="101"/>
        <v>0</v>
      </c>
      <c r="CY90" s="3">
        <f>(ROUND((((S90+ROUND((ROUND((((EU90*1.2))*AV90*1),2)*BS90),2))*AT90)/100),2)+ROUND(((ROUND((ROUND(((AE90-((EU90*1.2)))*AV90*1),2)*BS90),2)*AT90)/100),2))</f>
        <v>8488.1200000000008</v>
      </c>
      <c r="CZ90" s="3">
        <f>(ROUND((((S90+ROUND((ROUND((((EU90*1.2))*AV90*1),2)*BS90),2))*AU90)/100),2)+ROUND(((ROUND((ROUND(((AE90-((EU90*1.2)))*AV90*1),2)*BS90),2)*AU90)/100),2))</f>
        <v>4735.4799999999996</v>
      </c>
      <c r="DB90" s="3">
        <v>50</v>
      </c>
      <c r="DC90" s="3" t="s">
        <v>3</v>
      </c>
      <c r="DD90" s="3" t="s">
        <v>55</v>
      </c>
      <c r="DE90" s="3" t="s">
        <v>56</v>
      </c>
      <c r="DF90" s="3" t="s">
        <v>56</v>
      </c>
      <c r="DG90" s="3" t="s">
        <v>56</v>
      </c>
      <c r="DH90" s="3" t="s">
        <v>3</v>
      </c>
      <c r="DI90" s="3" t="s">
        <v>56</v>
      </c>
      <c r="DJ90" s="3" t="s">
        <v>56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U90" s="3">
        <v>1013</v>
      </c>
      <c r="DV90" s="3" t="s">
        <v>22</v>
      </c>
      <c r="DW90" s="3" t="s">
        <v>22</v>
      </c>
      <c r="DX90" s="3">
        <v>1</v>
      </c>
      <c r="DZ90" s="3" t="s">
        <v>3</v>
      </c>
      <c r="EA90" s="3" t="s">
        <v>3</v>
      </c>
      <c r="EB90" s="3" t="s">
        <v>3</v>
      </c>
      <c r="EC90" s="3" t="s">
        <v>3</v>
      </c>
      <c r="EE90" s="3">
        <v>55393701</v>
      </c>
      <c r="EF90" s="3">
        <v>40</v>
      </c>
      <c r="EG90" s="3" t="s">
        <v>26</v>
      </c>
      <c r="EH90" s="3">
        <v>0</v>
      </c>
      <c r="EI90" s="3" t="s">
        <v>3</v>
      </c>
      <c r="EJ90" s="3">
        <v>2</v>
      </c>
      <c r="EK90" s="3">
        <v>69</v>
      </c>
      <c r="EL90" s="3" t="s">
        <v>27</v>
      </c>
      <c r="EM90" s="3" t="s">
        <v>28</v>
      </c>
      <c r="EO90" s="3" t="s">
        <v>60</v>
      </c>
      <c r="EQ90" s="3">
        <v>0</v>
      </c>
      <c r="ER90" s="3">
        <v>201.88</v>
      </c>
      <c r="ES90" s="3">
        <v>75.680000000000007</v>
      </c>
      <c r="ET90" s="3">
        <v>0</v>
      </c>
      <c r="EU90" s="3">
        <v>0</v>
      </c>
      <c r="EV90" s="3">
        <v>126.2</v>
      </c>
      <c r="EW90" s="3">
        <v>10</v>
      </c>
      <c r="EX90" s="3">
        <v>0</v>
      </c>
      <c r="EY90" s="3">
        <v>0</v>
      </c>
      <c r="FQ90" s="3">
        <v>0</v>
      </c>
      <c r="FR90" s="3">
        <v>0</v>
      </c>
      <c r="FS90" s="3">
        <v>0</v>
      </c>
      <c r="FX90" s="3">
        <v>95</v>
      </c>
      <c r="FY90" s="3">
        <v>53</v>
      </c>
      <c r="GA90" s="3" t="s">
        <v>3</v>
      </c>
      <c r="GD90" s="3">
        <v>1</v>
      </c>
      <c r="GF90" s="3">
        <v>-542777880</v>
      </c>
      <c r="GG90" s="3">
        <v>2</v>
      </c>
      <c r="GH90" s="3">
        <v>1</v>
      </c>
      <c r="GI90" s="3">
        <v>2</v>
      </c>
      <c r="GJ90" s="3">
        <v>0</v>
      </c>
      <c r="GK90" s="3">
        <v>0</v>
      </c>
      <c r="GL90" s="3">
        <f t="shared" si="102"/>
        <v>0</v>
      </c>
      <c r="GM90" s="3">
        <f t="shared" si="103"/>
        <v>22883.47</v>
      </c>
      <c r="GN90" s="3">
        <f t="shared" si="104"/>
        <v>0</v>
      </c>
      <c r="GO90" s="3">
        <f t="shared" si="105"/>
        <v>22883.47</v>
      </c>
      <c r="GP90" s="3">
        <f t="shared" si="106"/>
        <v>0</v>
      </c>
      <c r="GR90" s="3">
        <v>0</v>
      </c>
      <c r="GS90" s="3">
        <v>3</v>
      </c>
      <c r="GT90" s="3">
        <v>0</v>
      </c>
      <c r="GU90" s="3" t="s">
        <v>3</v>
      </c>
      <c r="GV90" s="3">
        <f t="shared" si="107"/>
        <v>0</v>
      </c>
      <c r="GW90" s="3">
        <v>1</v>
      </c>
      <c r="GX90" s="3">
        <f t="shared" si="108"/>
        <v>0</v>
      </c>
      <c r="HA90" s="3">
        <v>0</v>
      </c>
      <c r="HB90" s="3">
        <v>0</v>
      </c>
      <c r="HC90" s="3">
        <f t="shared" si="109"/>
        <v>0</v>
      </c>
      <c r="HE90" s="3" t="s">
        <v>3</v>
      </c>
      <c r="HF90" s="3" t="s">
        <v>3</v>
      </c>
      <c r="HM90" s="3" t="s">
        <v>3</v>
      </c>
      <c r="HN90" s="3" t="s">
        <v>3</v>
      </c>
      <c r="HO90" s="3" t="s">
        <v>3</v>
      </c>
      <c r="HP90" s="3" t="s">
        <v>3</v>
      </c>
      <c r="HQ90" s="3" t="s">
        <v>3</v>
      </c>
      <c r="HS90" s="3">
        <v>0</v>
      </c>
      <c r="IK90" s="3">
        <v>0</v>
      </c>
    </row>
    <row r="91" spans="1:255" x14ac:dyDescent="0.25">
      <c r="A91" s="2">
        <v>17</v>
      </c>
      <c r="B91" s="2">
        <v>1</v>
      </c>
      <c r="C91" s="2"/>
      <c r="D91" s="2"/>
      <c r="E91" s="2" t="s">
        <v>145</v>
      </c>
      <c r="F91" s="2" t="s">
        <v>146</v>
      </c>
      <c r="G91" s="2" t="s">
        <v>147</v>
      </c>
      <c r="H91" s="2" t="s">
        <v>148</v>
      </c>
      <c r="I91" s="2">
        <v>1</v>
      </c>
      <c r="J91" s="2">
        <v>0</v>
      </c>
      <c r="K91" s="2">
        <v>1</v>
      </c>
      <c r="L91" s="2"/>
      <c r="M91" s="2"/>
      <c r="N91" s="2"/>
      <c r="O91" s="2">
        <f t="shared" si="85"/>
        <v>58238.71</v>
      </c>
      <c r="P91" s="2">
        <f t="shared" si="86"/>
        <v>58238.71</v>
      </c>
      <c r="Q91" s="2">
        <f>(ROUND((ROUND(((ET91)*AV91*I91),2)*BB91),2)+ROUND((ROUND(((AE91-(EU91))*AV91*I91),2)*BS91),2))</f>
        <v>0</v>
      </c>
      <c r="R91" s="2">
        <f>(ROUND((ROUND(((EU91)*AV91*I91),2)*BS91),2)+ROUND((ROUND(((AE91-(EU91))*AV91*I91),2)*BS91),2))</f>
        <v>0</v>
      </c>
      <c r="S91" s="2">
        <f t="shared" si="87"/>
        <v>0</v>
      </c>
      <c r="T91" s="2">
        <f t="shared" si="88"/>
        <v>0</v>
      </c>
      <c r="U91" s="2">
        <f t="shared" si="89"/>
        <v>0</v>
      </c>
      <c r="V91" s="2">
        <f t="shared" si="90"/>
        <v>0</v>
      </c>
      <c r="W91" s="2">
        <f t="shared" si="91"/>
        <v>0</v>
      </c>
      <c r="X91" s="2">
        <f>(ROUND((((S91+ROUND((ROUND(((EU91)*AV91*I91),2)*BS91),2))*AT91)/100),2)+ROUND(((ROUND((ROUND(((AE91-(EU91))*AV91*I91),2)*BS91),2)*AT91)/100),2))</f>
        <v>0</v>
      </c>
      <c r="Y91" s="2">
        <f>(ROUND((((S91+ROUND((ROUND(((EU91)*AV91*I91),2)*BS91),2))*AU91)/100),2)+ROUND(((ROUND((ROUND(((AE91-(EU91))*AV91*I91),2)*BS91),2)*AU91)/100),2))</f>
        <v>0</v>
      </c>
      <c r="Z91" s="2"/>
      <c r="AA91" s="2">
        <v>55917797</v>
      </c>
      <c r="AB91" s="2">
        <f t="shared" si="92"/>
        <v>58238.71</v>
      </c>
      <c r="AC91" s="2">
        <f>ROUND((ES91),6)</f>
        <v>58238.71</v>
      </c>
      <c r="AD91" s="2">
        <f>ROUND((((ET91)-(EU91))+AE91),6)</f>
        <v>0</v>
      </c>
      <c r="AE91" s="2">
        <f>ROUND((EU91),6)</f>
        <v>0</v>
      </c>
      <c r="AF91" s="2">
        <f>ROUND((EV91),6)</f>
        <v>0</v>
      </c>
      <c r="AG91" s="2">
        <f t="shared" si="93"/>
        <v>0</v>
      </c>
      <c r="AH91" s="2">
        <f>(EW91)</f>
        <v>0</v>
      </c>
      <c r="AI91" s="2">
        <f>(EX91)</f>
        <v>0</v>
      </c>
      <c r="AJ91" s="2">
        <f t="shared" si="94"/>
        <v>0</v>
      </c>
      <c r="AK91" s="2">
        <v>58238.710000000006</v>
      </c>
      <c r="AL91" s="2">
        <v>58238.710000000006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3</v>
      </c>
      <c r="BI91" s="2">
        <v>3</v>
      </c>
      <c r="BJ91" s="2" t="s">
        <v>146</v>
      </c>
      <c r="BK91" s="2"/>
      <c r="BL91" s="2"/>
      <c r="BM91" s="2">
        <v>400007</v>
      </c>
      <c r="BN91" s="2">
        <v>0</v>
      </c>
      <c r="BO91" s="2" t="s">
        <v>3</v>
      </c>
      <c r="BP91" s="2">
        <v>0</v>
      </c>
      <c r="BQ91" s="2">
        <v>214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0</v>
      </c>
      <c r="CA91" s="2">
        <v>0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3</v>
      </c>
      <c r="CO91" s="2">
        <v>0</v>
      </c>
      <c r="CP91" s="2">
        <f t="shared" si="95"/>
        <v>58238.71</v>
      </c>
      <c r="CQ91" s="2">
        <f t="shared" si="96"/>
        <v>58238.71</v>
      </c>
      <c r="CR91" s="2">
        <f>(ROUND((ROUND(((ET91)*AV91*1),2)*BB91),2)+ROUND((ROUND(((AE91-(EU91))*AV91*1),2)*BS91),2))</f>
        <v>0</v>
      </c>
      <c r="CS91" s="2">
        <f>(ROUND((ROUND(((EU91)*AV91*1),2)*BS91),2)+ROUND((ROUND(((AE91-(EU91))*AV91*1),2)*BS91),2))</f>
        <v>0</v>
      </c>
      <c r="CT91" s="2">
        <f t="shared" si="97"/>
        <v>0</v>
      </c>
      <c r="CU91" s="2">
        <f t="shared" si="98"/>
        <v>0</v>
      </c>
      <c r="CV91" s="2">
        <f t="shared" si="99"/>
        <v>0</v>
      </c>
      <c r="CW91" s="2">
        <f t="shared" si="100"/>
        <v>0</v>
      </c>
      <c r="CX91" s="2">
        <f t="shared" si="101"/>
        <v>0</v>
      </c>
      <c r="CY91" s="2">
        <f>(ROUND((((S91+ROUND((ROUND(((EU91)*AV91*1),2)*BS91),2))*AT91)/100),2)+ROUND(((ROUND((ROUND(((AE91-(EU91))*AV91*1),2)*BS91),2)*AT91)/100),2))</f>
        <v>0</v>
      </c>
      <c r="CZ91" s="2">
        <f>(ROUND((((S91+ROUND((ROUND(((EU91)*AV91*1),2)*BS91),2))*AU91)/100),2)+ROUND(((ROUND((ROUND(((AE91-(EU91))*AV91*1),2)*BS91),2)*AU91)/100),2))</f>
        <v>0</v>
      </c>
      <c r="DA91" s="2"/>
      <c r="DB91" s="2"/>
      <c r="DC91" s="2" t="s">
        <v>3</v>
      </c>
      <c r="DD91" s="2" t="s">
        <v>3</v>
      </c>
      <c r="DE91" s="2" t="s">
        <v>3</v>
      </c>
      <c r="DF91" s="2" t="s">
        <v>3</v>
      </c>
      <c r="DG91" s="2" t="s">
        <v>3</v>
      </c>
      <c r="DH91" s="2" t="s">
        <v>3</v>
      </c>
      <c r="DI91" s="2" t="s">
        <v>3</v>
      </c>
      <c r="DJ91" s="2" t="s">
        <v>3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148</v>
      </c>
      <c r="DW91" s="2" t="s">
        <v>148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55393630</v>
      </c>
      <c r="EF91" s="2">
        <v>214</v>
      </c>
      <c r="EG91" s="2" t="s">
        <v>149</v>
      </c>
      <c r="EH91" s="2">
        <v>0</v>
      </c>
      <c r="EI91" s="2" t="s">
        <v>3</v>
      </c>
      <c r="EJ91" s="2">
        <v>3</v>
      </c>
      <c r="EK91" s="2">
        <v>400007</v>
      </c>
      <c r="EL91" s="2" t="s">
        <v>149</v>
      </c>
      <c r="EM91" s="2" t="s">
        <v>150</v>
      </c>
      <c r="EN91" s="2"/>
      <c r="EO91" s="2" t="s">
        <v>3</v>
      </c>
      <c r="EP91" s="2"/>
      <c r="EQ91" s="2">
        <v>16</v>
      </c>
      <c r="ER91" s="2">
        <v>0</v>
      </c>
      <c r="ES91" s="2">
        <v>58238.710000000006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f>P91</f>
        <v>58238.71</v>
      </c>
      <c r="FS91" s="2">
        <v>0</v>
      </c>
      <c r="FT91" s="2"/>
      <c r="FU91" s="2"/>
      <c r="FV91" s="2"/>
      <c r="FW91" s="2"/>
      <c r="FX91" s="2">
        <v>0</v>
      </c>
      <c r="FY91" s="2">
        <v>0</v>
      </c>
      <c r="FZ91" s="2"/>
      <c r="GA91" s="2" t="s">
        <v>151</v>
      </c>
      <c r="GB91" s="2"/>
      <c r="GC91" s="2"/>
      <c r="GD91" s="2">
        <v>1</v>
      </c>
      <c r="GE91" s="2"/>
      <c r="GF91" s="2">
        <v>1695877574</v>
      </c>
      <c r="GG91" s="2">
        <v>2</v>
      </c>
      <c r="GH91" s="2">
        <v>4</v>
      </c>
      <c r="GI91" s="2">
        <v>-2</v>
      </c>
      <c r="GJ91" s="2">
        <v>0</v>
      </c>
      <c r="GK91" s="2">
        <v>0</v>
      </c>
      <c r="GL91" s="2">
        <f t="shared" si="102"/>
        <v>0</v>
      </c>
      <c r="GM91" s="2">
        <f t="shared" si="103"/>
        <v>58238.71</v>
      </c>
      <c r="GN91" s="2">
        <f t="shared" si="104"/>
        <v>0</v>
      </c>
      <c r="GO91" s="2">
        <f t="shared" si="105"/>
        <v>0</v>
      </c>
      <c r="GP91" s="2">
        <f t="shared" si="106"/>
        <v>0</v>
      </c>
      <c r="GQ91" s="2"/>
      <c r="GR91" s="2">
        <v>1</v>
      </c>
      <c r="GS91" s="2">
        <v>2</v>
      </c>
      <c r="GT91" s="2">
        <v>0</v>
      </c>
      <c r="GU91" s="2" t="s">
        <v>3</v>
      </c>
      <c r="GV91" s="2">
        <f t="shared" si="107"/>
        <v>0</v>
      </c>
      <c r="GW91" s="2">
        <v>1</v>
      </c>
      <c r="GX91" s="2">
        <f t="shared" si="108"/>
        <v>0</v>
      </c>
      <c r="GY91" s="2"/>
      <c r="GZ91" s="2"/>
      <c r="HA91" s="2">
        <v>0</v>
      </c>
      <c r="HB91" s="2">
        <v>0</v>
      </c>
      <c r="HC91" s="2">
        <f t="shared" si="109"/>
        <v>0</v>
      </c>
      <c r="HD91" s="2"/>
      <c r="HE91" s="2" t="s">
        <v>37</v>
      </c>
      <c r="HF91" s="2" t="s">
        <v>152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5">
      <c r="A92" s="3">
        <v>17</v>
      </c>
      <c r="B92" s="3">
        <v>1</v>
      </c>
      <c r="E92" s="3" t="s">
        <v>145</v>
      </c>
      <c r="F92" s="3" t="s">
        <v>146</v>
      </c>
      <c r="G92" s="3" t="s">
        <v>147</v>
      </c>
      <c r="H92" s="3" t="s">
        <v>148</v>
      </c>
      <c r="I92" s="3">
        <v>1</v>
      </c>
      <c r="J92" s="3">
        <v>0</v>
      </c>
      <c r="K92" s="3">
        <v>1</v>
      </c>
      <c r="O92" s="3">
        <f t="shared" si="85"/>
        <v>440867.03</v>
      </c>
      <c r="P92" s="3">
        <f t="shared" si="86"/>
        <v>440867.03</v>
      </c>
      <c r="Q92" s="3">
        <f>(ROUND((ROUND(((ET92)*AV92*I92),2)*BB92),2)+ROUND((ROUND(((AE92-(EU92))*AV92*I92),2)*BS92),2))</f>
        <v>0</v>
      </c>
      <c r="R92" s="3">
        <f>(ROUND((ROUND(((EU92)*AV92*I92),2)*BS92),2)+ROUND((ROUND(((AE92-(EU92))*AV92*I92),2)*BS92),2))</f>
        <v>0</v>
      </c>
      <c r="S92" s="3">
        <f t="shared" si="87"/>
        <v>0</v>
      </c>
      <c r="T92" s="3">
        <f t="shared" si="88"/>
        <v>0</v>
      </c>
      <c r="U92" s="3">
        <f t="shared" si="89"/>
        <v>0</v>
      </c>
      <c r="V92" s="3">
        <f t="shared" si="90"/>
        <v>0</v>
      </c>
      <c r="W92" s="3">
        <f t="shared" si="91"/>
        <v>0</v>
      </c>
      <c r="X92" s="3">
        <f>(ROUND((((S92+ROUND((ROUND(((EU92)*AV92*I92),2)*BS92),2))*AT92)/100),2)+ROUND(((ROUND((ROUND(((AE92-(EU92))*AV92*I92),2)*BS92),2)*AT92)/100),2))</f>
        <v>0</v>
      </c>
      <c r="Y92" s="3">
        <f>(ROUND((((S92+ROUND((ROUND(((EU92)*AV92*I92),2)*BS92),2))*AU92)/100),2)+ROUND(((ROUND((ROUND(((AE92-(EU92))*AV92*I92),2)*BS92),2)*AU92)/100),2))</f>
        <v>0</v>
      </c>
      <c r="AA92" s="3">
        <v>55917799</v>
      </c>
      <c r="AB92" s="3">
        <f t="shared" si="92"/>
        <v>58238.71</v>
      </c>
      <c r="AC92" s="3">
        <f>ROUND((ES92),6)</f>
        <v>58238.71</v>
      </c>
      <c r="AD92" s="3">
        <f>ROUND((((ET92)-(EU92))+AE92),6)</f>
        <v>0</v>
      </c>
      <c r="AE92" s="3">
        <f>ROUND((EU92),6)</f>
        <v>0</v>
      </c>
      <c r="AF92" s="3">
        <f>ROUND((EV92),6)</f>
        <v>0</v>
      </c>
      <c r="AG92" s="3">
        <f t="shared" si="93"/>
        <v>0</v>
      </c>
      <c r="AH92" s="3">
        <f>(EW92)</f>
        <v>0</v>
      </c>
      <c r="AI92" s="3">
        <f>(EX92)</f>
        <v>0</v>
      </c>
      <c r="AJ92" s="3">
        <f t="shared" si="94"/>
        <v>0</v>
      </c>
      <c r="AK92" s="3">
        <v>58238.710000000006</v>
      </c>
      <c r="AL92" s="3">
        <v>58238.710000000006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1</v>
      </c>
      <c r="AW92" s="3">
        <v>1</v>
      </c>
      <c r="AZ92" s="3">
        <v>1</v>
      </c>
      <c r="BA92" s="3">
        <v>1</v>
      </c>
      <c r="BB92" s="3">
        <v>1</v>
      </c>
      <c r="BC92" s="3">
        <v>7.57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3</v>
      </c>
      <c r="BI92" s="3">
        <v>3</v>
      </c>
      <c r="BJ92" s="3" t="s">
        <v>146</v>
      </c>
      <c r="BM92" s="3">
        <v>400007</v>
      </c>
      <c r="BN92" s="3">
        <v>0</v>
      </c>
      <c r="BO92" s="3" t="s">
        <v>3</v>
      </c>
      <c r="BP92" s="3">
        <v>0</v>
      </c>
      <c r="BQ92" s="3">
        <v>214</v>
      </c>
      <c r="BR92" s="3">
        <v>0</v>
      </c>
      <c r="BS92" s="3">
        <v>1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0</v>
      </c>
      <c r="CA92" s="3">
        <v>0</v>
      </c>
      <c r="CB92" s="3" t="s">
        <v>3</v>
      </c>
      <c r="CE92" s="3">
        <v>1566</v>
      </c>
      <c r="CF92" s="3">
        <v>0</v>
      </c>
      <c r="CG92" s="3">
        <v>0</v>
      </c>
      <c r="CM92" s="3">
        <v>0</v>
      </c>
      <c r="CN92" s="3" t="s">
        <v>3</v>
      </c>
      <c r="CO92" s="3">
        <v>0</v>
      </c>
      <c r="CP92" s="3">
        <f t="shared" si="95"/>
        <v>440867.03</v>
      </c>
      <c r="CQ92" s="3">
        <f t="shared" si="96"/>
        <v>440867.03</v>
      </c>
      <c r="CR92" s="3">
        <f>(ROUND((ROUND(((ET92)*AV92*1),2)*BB92),2)+ROUND((ROUND(((AE92-(EU92))*AV92*1),2)*BS92),2))</f>
        <v>0</v>
      </c>
      <c r="CS92" s="3">
        <f>(ROUND((ROUND(((EU92)*AV92*1),2)*BS92),2)+ROUND((ROUND(((AE92-(EU92))*AV92*1),2)*BS92),2))</f>
        <v>0</v>
      </c>
      <c r="CT92" s="3">
        <f t="shared" si="97"/>
        <v>0</v>
      </c>
      <c r="CU92" s="3">
        <f t="shared" si="98"/>
        <v>0</v>
      </c>
      <c r="CV92" s="3">
        <f t="shared" si="99"/>
        <v>0</v>
      </c>
      <c r="CW92" s="3">
        <f t="shared" si="100"/>
        <v>0</v>
      </c>
      <c r="CX92" s="3">
        <f t="shared" si="101"/>
        <v>0</v>
      </c>
      <c r="CY92" s="3">
        <f>(ROUND((((S92+ROUND((ROUND(((EU92)*AV92*1),2)*BS92),2))*AT92)/100),2)+ROUND(((ROUND((ROUND(((AE92-(EU92))*AV92*1),2)*BS92),2)*AT92)/100),2))</f>
        <v>0</v>
      </c>
      <c r="CZ92" s="3">
        <f>(ROUND((((S92+ROUND((ROUND(((EU92)*AV92*1),2)*BS92),2))*AU92)/100),2)+ROUND(((ROUND((ROUND(((AE92-(EU92))*AV92*1),2)*BS92),2)*AU92)/100),2))</f>
        <v>0</v>
      </c>
      <c r="DC92" s="3" t="s">
        <v>3</v>
      </c>
      <c r="DD92" s="3" t="s">
        <v>3</v>
      </c>
      <c r="DE92" s="3" t="s">
        <v>3</v>
      </c>
      <c r="DF92" s="3" t="s">
        <v>3</v>
      </c>
      <c r="DG92" s="3" t="s">
        <v>3</v>
      </c>
      <c r="DH92" s="3" t="s">
        <v>3</v>
      </c>
      <c r="DI92" s="3" t="s">
        <v>3</v>
      </c>
      <c r="DJ92" s="3" t="s">
        <v>3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U92" s="3">
        <v>1013</v>
      </c>
      <c r="DV92" s="3" t="s">
        <v>148</v>
      </c>
      <c r="DW92" s="3" t="s">
        <v>148</v>
      </c>
      <c r="DX92" s="3">
        <v>1</v>
      </c>
      <c r="DZ92" s="3" t="s">
        <v>3</v>
      </c>
      <c r="EA92" s="3" t="s">
        <v>3</v>
      </c>
      <c r="EB92" s="3" t="s">
        <v>3</v>
      </c>
      <c r="EC92" s="3" t="s">
        <v>3</v>
      </c>
      <c r="EE92" s="3">
        <v>55393630</v>
      </c>
      <c r="EF92" s="3">
        <v>214</v>
      </c>
      <c r="EG92" s="3" t="s">
        <v>149</v>
      </c>
      <c r="EH92" s="3">
        <v>0</v>
      </c>
      <c r="EI92" s="3" t="s">
        <v>3</v>
      </c>
      <c r="EJ92" s="3">
        <v>3</v>
      </c>
      <c r="EK92" s="3">
        <v>400007</v>
      </c>
      <c r="EL92" s="3" t="s">
        <v>149</v>
      </c>
      <c r="EM92" s="3" t="s">
        <v>150</v>
      </c>
      <c r="EO92" s="3" t="s">
        <v>3</v>
      </c>
      <c r="EQ92" s="3">
        <v>16</v>
      </c>
      <c r="ER92" s="3">
        <v>0</v>
      </c>
      <c r="ES92" s="3">
        <v>58238.710000000006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5</v>
      </c>
      <c r="FC92" s="3">
        <v>1</v>
      </c>
      <c r="FD92" s="3">
        <v>18</v>
      </c>
      <c r="FF92" s="3">
        <v>516000</v>
      </c>
      <c r="FQ92" s="3">
        <v>0</v>
      </c>
      <c r="FR92" s="3">
        <f>P92</f>
        <v>440867.03</v>
      </c>
      <c r="FS92" s="3">
        <v>0</v>
      </c>
      <c r="FX92" s="3">
        <v>0</v>
      </c>
      <c r="FY92" s="3">
        <v>0</v>
      </c>
      <c r="GA92" s="3" t="s">
        <v>151</v>
      </c>
      <c r="GD92" s="3">
        <v>1</v>
      </c>
      <c r="GF92" s="3">
        <v>1695877574</v>
      </c>
      <c r="GG92" s="3">
        <v>2</v>
      </c>
      <c r="GH92" s="3">
        <v>3</v>
      </c>
      <c r="GI92" s="3">
        <v>5</v>
      </c>
      <c r="GJ92" s="3">
        <v>0</v>
      </c>
      <c r="GK92" s="3">
        <v>0</v>
      </c>
      <c r="GL92" s="3">
        <f t="shared" si="102"/>
        <v>0</v>
      </c>
      <c r="GM92" s="3">
        <f t="shared" si="103"/>
        <v>440867.03</v>
      </c>
      <c r="GN92" s="3">
        <f t="shared" si="104"/>
        <v>0</v>
      </c>
      <c r="GO92" s="3">
        <f t="shared" si="105"/>
        <v>0</v>
      </c>
      <c r="GP92" s="3">
        <f t="shared" si="106"/>
        <v>0</v>
      </c>
      <c r="GR92" s="3">
        <v>1</v>
      </c>
      <c r="GS92" s="3">
        <v>1</v>
      </c>
      <c r="GT92" s="3">
        <v>0</v>
      </c>
      <c r="GU92" s="3" t="s">
        <v>3</v>
      </c>
      <c r="GV92" s="3">
        <f t="shared" si="107"/>
        <v>0</v>
      </c>
      <c r="GW92" s="3">
        <v>1</v>
      </c>
      <c r="GX92" s="3">
        <f t="shared" si="108"/>
        <v>0</v>
      </c>
      <c r="HA92" s="3">
        <v>0</v>
      </c>
      <c r="HB92" s="3">
        <v>0</v>
      </c>
      <c r="HC92" s="3">
        <f t="shared" si="109"/>
        <v>0</v>
      </c>
      <c r="HE92" s="3" t="s">
        <v>37</v>
      </c>
      <c r="HF92" s="3" t="s">
        <v>152</v>
      </c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S92" s="3">
        <v>0</v>
      </c>
      <c r="IK92" s="3">
        <v>0</v>
      </c>
    </row>
    <row r="93" spans="1:255" x14ac:dyDescent="0.25">
      <c r="A93" s="2">
        <v>17</v>
      </c>
      <c r="B93" s="2">
        <v>1</v>
      </c>
      <c r="C93" s="2">
        <f>ROW(SmtRes!A180)</f>
        <v>180</v>
      </c>
      <c r="D93" s="2">
        <f>ROW(EtalonRes!A203)</f>
        <v>203</v>
      </c>
      <c r="E93" s="2" t="s">
        <v>153</v>
      </c>
      <c r="F93" s="2" t="s">
        <v>31</v>
      </c>
      <c r="G93" s="2" t="s">
        <v>154</v>
      </c>
      <c r="H93" s="2" t="s">
        <v>33</v>
      </c>
      <c r="I93" s="2">
        <v>1</v>
      </c>
      <c r="J93" s="2">
        <v>0</v>
      </c>
      <c r="K93" s="2">
        <v>1</v>
      </c>
      <c r="L93" s="2"/>
      <c r="M93" s="2"/>
      <c r="N93" s="2"/>
      <c r="O93" s="2">
        <f t="shared" si="85"/>
        <v>41.05</v>
      </c>
      <c r="P93" s="2">
        <f t="shared" si="86"/>
        <v>0</v>
      </c>
      <c r="Q93" s="2">
        <f>(ROUND((ROUND((((ET93*1.2))*AV93*I93),2)*BB93),2)+ROUND((ROUND(((AE93-((EU93*1.2)))*AV93*I93),2)*BS93),2))</f>
        <v>11.55</v>
      </c>
      <c r="R93" s="2">
        <f>(ROUND((ROUND((((EU93*1.2))*AV93*I93),2)*BS93),2)+ROUND((ROUND(((AE93-((EU93*1.2)))*AV93*I93),2)*BS93),2))</f>
        <v>1.27</v>
      </c>
      <c r="S93" s="2">
        <f t="shared" si="87"/>
        <v>29.5</v>
      </c>
      <c r="T93" s="2">
        <f t="shared" si="88"/>
        <v>0</v>
      </c>
      <c r="U93" s="2">
        <f t="shared" si="89"/>
        <v>2.6384399999999997</v>
      </c>
      <c r="V93" s="2">
        <f t="shared" si="90"/>
        <v>0</v>
      </c>
      <c r="W93" s="2">
        <f t="shared" si="91"/>
        <v>0</v>
      </c>
      <c r="X93" s="2">
        <f>(ROUND((((S93+ROUND((ROUND((((EU93*1.2))*AV93*I93),2)*BS93),2))*AT93)/100),2)+ROUND(((ROUND((ROUND(((AE93-((EU93*1.2)))*AV93*I93),2)*BS93),2)*AT93)/100),2))</f>
        <v>27.69</v>
      </c>
      <c r="Y93" s="2">
        <f>(ROUND((((S93+ROUND((ROUND((((EU93*1.2))*AV93*I93),2)*BS93),2))*AU93)/100),2)+ROUND(((ROUND((ROUND(((AE93-((EU93*1.2)))*AV93*I93),2)*BS93),2)*AU93)/100),2))</f>
        <v>14.15</v>
      </c>
      <c r="Z93" s="2"/>
      <c r="AA93" s="2">
        <v>55917797</v>
      </c>
      <c r="AB93" s="2">
        <f t="shared" si="92"/>
        <v>39.204000000000001</v>
      </c>
      <c r="AC93" s="2">
        <f>ROUND(((ES93*1)),6)</f>
        <v>0</v>
      </c>
      <c r="AD93" s="2">
        <f>ROUND(((((ET93*1.2))-((EU93*1.2)))+AE93),6)</f>
        <v>11.028</v>
      </c>
      <c r="AE93" s="2">
        <f>ROUND(((EU93*1.2)),6)</f>
        <v>1.212</v>
      </c>
      <c r="AF93" s="2">
        <f>ROUND(((EV93*1.2)),6)</f>
        <v>28.175999999999998</v>
      </c>
      <c r="AG93" s="2">
        <f t="shared" si="93"/>
        <v>0</v>
      </c>
      <c r="AH93" s="2">
        <f>((EW93*1.2))</f>
        <v>2.52</v>
      </c>
      <c r="AI93" s="2">
        <f>((EX93*1.2))</f>
        <v>0</v>
      </c>
      <c r="AJ93" s="2">
        <f t="shared" si="94"/>
        <v>0</v>
      </c>
      <c r="AK93" s="2">
        <v>32.67</v>
      </c>
      <c r="AL93" s="2">
        <v>0</v>
      </c>
      <c r="AM93" s="2">
        <v>9.19</v>
      </c>
      <c r="AN93" s="2">
        <v>1.01</v>
      </c>
      <c r="AO93" s="2">
        <v>23.48</v>
      </c>
      <c r="AP93" s="2">
        <v>0</v>
      </c>
      <c r="AQ93" s="2">
        <v>2.1</v>
      </c>
      <c r="AR93" s="2">
        <v>0</v>
      </c>
      <c r="AS93" s="2">
        <v>0</v>
      </c>
      <c r="AT93" s="2">
        <v>90</v>
      </c>
      <c r="AU93" s="2">
        <v>46</v>
      </c>
      <c r="AV93" s="2">
        <v>1.0469999999999999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0</v>
      </c>
      <c r="BI93" s="2">
        <v>2</v>
      </c>
      <c r="BJ93" s="2" t="s">
        <v>34</v>
      </c>
      <c r="BK93" s="2"/>
      <c r="BL93" s="2"/>
      <c r="BM93" s="2">
        <v>68</v>
      </c>
      <c r="BN93" s="2">
        <v>0</v>
      </c>
      <c r="BO93" s="2" t="s">
        <v>31</v>
      </c>
      <c r="BP93" s="2">
        <v>1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90</v>
      </c>
      <c r="CA93" s="2">
        <v>46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618</v>
      </c>
      <c r="CO93" s="2">
        <v>0</v>
      </c>
      <c r="CP93" s="2">
        <f t="shared" si="95"/>
        <v>41.05</v>
      </c>
      <c r="CQ93" s="2">
        <f t="shared" si="96"/>
        <v>0</v>
      </c>
      <c r="CR93" s="2">
        <f>(ROUND((ROUND((((ET93*1.2))*AV93*1),2)*BB93),2)+ROUND((ROUND(((AE93-((EU93*1.2)))*AV93*1),2)*BS93),2))</f>
        <v>11.55</v>
      </c>
      <c r="CS93" s="2">
        <f>(ROUND((ROUND((((EU93*1.2))*AV93*1),2)*BS93),2)+ROUND((ROUND(((AE93-((EU93*1.2)))*AV93*1),2)*BS93),2))</f>
        <v>1.27</v>
      </c>
      <c r="CT93" s="2">
        <f t="shared" si="97"/>
        <v>29.5</v>
      </c>
      <c r="CU93" s="2">
        <f t="shared" si="98"/>
        <v>0</v>
      </c>
      <c r="CV93" s="2">
        <f t="shared" si="99"/>
        <v>2.6384399999999997</v>
      </c>
      <c r="CW93" s="2">
        <f t="shared" si="100"/>
        <v>0</v>
      </c>
      <c r="CX93" s="2">
        <f t="shared" si="101"/>
        <v>0</v>
      </c>
      <c r="CY93" s="2">
        <f>(ROUND((((S93+ROUND((ROUND((((EU93*1.2))*AV93*1),2)*BS93),2))*AT93)/100),2)+ROUND(((ROUND((ROUND(((AE93-((EU93*1.2)))*AV93*1),2)*BS93),2)*AT93)/100),2))</f>
        <v>27.69</v>
      </c>
      <c r="CZ93" s="2">
        <f>(ROUND((((S93+ROUND((ROUND((((EU93*1.2))*AV93*1),2)*BS93),2))*AU93)/100),2)+ROUND(((ROUND((ROUND(((AE93-((EU93*1.2)))*AV93*1),2)*BS93),2)*AU93)/100),2))</f>
        <v>14.15</v>
      </c>
      <c r="DA93" s="2"/>
      <c r="DB93" s="2">
        <v>51</v>
      </c>
      <c r="DC93" s="2" t="s">
        <v>3</v>
      </c>
      <c r="DD93" s="2" t="s">
        <v>55</v>
      </c>
      <c r="DE93" s="2" t="s">
        <v>56</v>
      </c>
      <c r="DF93" s="2" t="s">
        <v>56</v>
      </c>
      <c r="DG93" s="2" t="s">
        <v>56</v>
      </c>
      <c r="DH93" s="2" t="s">
        <v>3</v>
      </c>
      <c r="DI93" s="2" t="s">
        <v>56</v>
      </c>
      <c r="DJ93" s="2" t="s">
        <v>56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33</v>
      </c>
      <c r="DW93" s="2" t="s">
        <v>33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55393700</v>
      </c>
      <c r="EF93" s="2">
        <v>40</v>
      </c>
      <c r="EG93" s="2" t="s">
        <v>26</v>
      </c>
      <c r="EH93" s="2">
        <v>0</v>
      </c>
      <c r="EI93" s="2" t="s">
        <v>3</v>
      </c>
      <c r="EJ93" s="2">
        <v>2</v>
      </c>
      <c r="EK93" s="2">
        <v>68</v>
      </c>
      <c r="EL93" s="2" t="s">
        <v>35</v>
      </c>
      <c r="EM93" s="2" t="s">
        <v>36</v>
      </c>
      <c r="EN93" s="2"/>
      <c r="EO93" s="2" t="s">
        <v>60</v>
      </c>
      <c r="EP93" s="2"/>
      <c r="EQ93" s="2">
        <v>0</v>
      </c>
      <c r="ER93" s="2">
        <v>32.67</v>
      </c>
      <c r="ES93" s="2">
        <v>0</v>
      </c>
      <c r="ET93" s="2">
        <v>9.19</v>
      </c>
      <c r="EU93" s="2">
        <v>1.01</v>
      </c>
      <c r="EV93" s="2">
        <v>23.48</v>
      </c>
      <c r="EW93" s="2">
        <v>2.1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90</v>
      </c>
      <c r="FY93" s="2">
        <v>46</v>
      </c>
      <c r="FZ93" s="2"/>
      <c r="GA93" s="2" t="s">
        <v>3</v>
      </c>
      <c r="GB93" s="2"/>
      <c r="GC93" s="2"/>
      <c r="GD93" s="2">
        <v>1</v>
      </c>
      <c r="GE93" s="2"/>
      <c r="GF93" s="2">
        <v>1604197288</v>
      </c>
      <c r="GG93" s="2">
        <v>2</v>
      </c>
      <c r="GH93" s="2">
        <v>1</v>
      </c>
      <c r="GI93" s="2">
        <v>2</v>
      </c>
      <c r="GJ93" s="2">
        <v>0</v>
      </c>
      <c r="GK93" s="2">
        <v>0</v>
      </c>
      <c r="GL93" s="2">
        <f t="shared" si="102"/>
        <v>0</v>
      </c>
      <c r="GM93" s="2">
        <f t="shared" si="103"/>
        <v>82.89</v>
      </c>
      <c r="GN93" s="2">
        <f t="shared" si="104"/>
        <v>0</v>
      </c>
      <c r="GO93" s="2">
        <f t="shared" si="105"/>
        <v>82.89</v>
      </c>
      <c r="GP93" s="2">
        <f t="shared" si="106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107"/>
        <v>0</v>
      </c>
      <c r="GW93" s="2">
        <v>1</v>
      </c>
      <c r="GX93" s="2">
        <f t="shared" si="108"/>
        <v>0</v>
      </c>
      <c r="GY93" s="2"/>
      <c r="GZ93" s="2"/>
      <c r="HA93" s="2">
        <v>0</v>
      </c>
      <c r="HB93" s="2">
        <v>0</v>
      </c>
      <c r="HC93" s="2">
        <f t="shared" si="109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5">
      <c r="A94" s="3">
        <v>17</v>
      </c>
      <c r="B94" s="3">
        <v>1</v>
      </c>
      <c r="C94" s="3">
        <f>ROW(SmtRes!A182)</f>
        <v>182</v>
      </c>
      <c r="D94" s="3">
        <f>ROW(EtalonRes!A206)</f>
        <v>206</v>
      </c>
      <c r="E94" s="3" t="s">
        <v>153</v>
      </c>
      <c r="F94" s="3" t="s">
        <v>31</v>
      </c>
      <c r="G94" s="3" t="s">
        <v>154</v>
      </c>
      <c r="H94" s="3" t="s">
        <v>33</v>
      </c>
      <c r="I94" s="3">
        <v>1</v>
      </c>
      <c r="J94" s="3">
        <v>0</v>
      </c>
      <c r="K94" s="3">
        <v>1</v>
      </c>
      <c r="O94" s="3">
        <f t="shared" si="85"/>
        <v>1848.86</v>
      </c>
      <c r="P94" s="3">
        <f t="shared" si="86"/>
        <v>0</v>
      </c>
      <c r="Q94" s="3">
        <f>(ROUND((ROUND((((ET94*1.2))*AV94*I94),2)*BB94),2)+ROUND((ROUND(((AE94-((EU94*1.2)))*AV94*I94),2)*BS94),2))</f>
        <v>186.53</v>
      </c>
      <c r="R94" s="3">
        <f>(ROUND((ROUND((((EU94*1.2))*AV94*I94),2)*BS94),2)+ROUND((ROUND(((AE94-((EU94*1.2)))*AV94*I94),2)*BS94),2))</f>
        <v>71.56</v>
      </c>
      <c r="S94" s="3">
        <f t="shared" si="87"/>
        <v>1662.33</v>
      </c>
      <c r="T94" s="3">
        <f t="shared" si="88"/>
        <v>0</v>
      </c>
      <c r="U94" s="3">
        <f t="shared" si="89"/>
        <v>2.6384399999999997</v>
      </c>
      <c r="V94" s="3">
        <f t="shared" si="90"/>
        <v>0</v>
      </c>
      <c r="W94" s="3">
        <f t="shared" si="91"/>
        <v>0</v>
      </c>
      <c r="X94" s="3">
        <f>(ROUND((((S94+ROUND((ROUND((((EU94*1.2))*AV94*I94),2)*BS94),2))*AT94)/100),2)+ROUND(((ROUND((ROUND(((AE94-((EU94*1.2)))*AV94*I94),2)*BS94),2)*AT94)/100),2))</f>
        <v>1560.5</v>
      </c>
      <c r="Y94" s="3">
        <f>(ROUND((((S94+ROUND((ROUND((((EU94*1.2))*AV94*I94),2)*BS94),2))*AU94)/100),2)+ROUND(((ROUND((ROUND(((AE94-((EU94*1.2)))*AV94*I94),2)*BS94),2)*AU94)/100),2))</f>
        <v>797.59</v>
      </c>
      <c r="AA94" s="3">
        <v>55917799</v>
      </c>
      <c r="AB94" s="3">
        <f t="shared" si="92"/>
        <v>39.204000000000001</v>
      </c>
      <c r="AC94" s="3">
        <f>ROUND(((ES94*1)),6)</f>
        <v>0</v>
      </c>
      <c r="AD94" s="3">
        <f>ROUND(((((ET94*1.2))-((EU94*1.2)))+AE94),6)</f>
        <v>11.028</v>
      </c>
      <c r="AE94" s="3">
        <f>ROUND(((EU94*1.2)),6)</f>
        <v>1.212</v>
      </c>
      <c r="AF94" s="3">
        <f>ROUND(((EV94*1.2)),6)</f>
        <v>28.175999999999998</v>
      </c>
      <c r="AG94" s="3">
        <f t="shared" si="93"/>
        <v>0</v>
      </c>
      <c r="AH94" s="3">
        <f>((EW94*1.2))</f>
        <v>2.52</v>
      </c>
      <c r="AI94" s="3">
        <f>((EX94*1.2))</f>
        <v>0</v>
      </c>
      <c r="AJ94" s="3">
        <f t="shared" si="94"/>
        <v>0</v>
      </c>
      <c r="AK94" s="3">
        <v>32.67</v>
      </c>
      <c r="AL94" s="3">
        <v>0</v>
      </c>
      <c r="AM94" s="3">
        <v>9.19</v>
      </c>
      <c r="AN94" s="3">
        <v>1.01</v>
      </c>
      <c r="AO94" s="3">
        <v>23.48</v>
      </c>
      <c r="AP94" s="3">
        <v>0</v>
      </c>
      <c r="AQ94" s="3">
        <v>2.1</v>
      </c>
      <c r="AR94" s="3">
        <v>0</v>
      </c>
      <c r="AS94" s="3">
        <v>0</v>
      </c>
      <c r="AT94" s="3">
        <v>90</v>
      </c>
      <c r="AU94" s="3">
        <v>46</v>
      </c>
      <c r="AV94" s="3">
        <v>1.0469999999999999</v>
      </c>
      <c r="AW94" s="3">
        <v>1</v>
      </c>
      <c r="AZ94" s="3">
        <v>1</v>
      </c>
      <c r="BA94" s="3">
        <v>56.35</v>
      </c>
      <c r="BB94" s="3">
        <v>16.149999999999999</v>
      </c>
      <c r="BC94" s="3">
        <v>1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0</v>
      </c>
      <c r="BI94" s="3">
        <v>2</v>
      </c>
      <c r="BJ94" s="3" t="s">
        <v>34</v>
      </c>
      <c r="BM94" s="3">
        <v>68</v>
      </c>
      <c r="BN94" s="3">
        <v>0</v>
      </c>
      <c r="BO94" s="3" t="s">
        <v>31</v>
      </c>
      <c r="BP94" s="3">
        <v>1</v>
      </c>
      <c r="BQ94" s="3">
        <v>40</v>
      </c>
      <c r="BR94" s="3">
        <v>0</v>
      </c>
      <c r="BS94" s="3">
        <v>56.35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90</v>
      </c>
      <c r="CA94" s="3">
        <v>46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618</v>
      </c>
      <c r="CO94" s="3">
        <v>0</v>
      </c>
      <c r="CP94" s="3">
        <f t="shared" si="95"/>
        <v>1848.86</v>
      </c>
      <c r="CQ94" s="3">
        <f t="shared" si="96"/>
        <v>0</v>
      </c>
      <c r="CR94" s="3">
        <f>(ROUND((ROUND((((ET94*1.2))*AV94*1),2)*BB94),2)+ROUND((ROUND(((AE94-((EU94*1.2)))*AV94*1),2)*BS94),2))</f>
        <v>186.53</v>
      </c>
      <c r="CS94" s="3">
        <f>(ROUND((ROUND((((EU94*1.2))*AV94*1),2)*BS94),2)+ROUND((ROUND(((AE94-((EU94*1.2)))*AV94*1),2)*BS94),2))</f>
        <v>71.56</v>
      </c>
      <c r="CT94" s="3">
        <f t="shared" si="97"/>
        <v>1662.33</v>
      </c>
      <c r="CU94" s="3">
        <f t="shared" si="98"/>
        <v>0</v>
      </c>
      <c r="CV94" s="3">
        <f t="shared" si="99"/>
        <v>2.6384399999999997</v>
      </c>
      <c r="CW94" s="3">
        <f t="shared" si="100"/>
        <v>0</v>
      </c>
      <c r="CX94" s="3">
        <f t="shared" si="101"/>
        <v>0</v>
      </c>
      <c r="CY94" s="3">
        <f>(ROUND((((S94+ROUND((ROUND((((EU94*1.2))*AV94*1),2)*BS94),2))*AT94)/100),2)+ROUND(((ROUND((ROUND(((AE94-((EU94*1.2)))*AV94*1),2)*BS94),2)*AT94)/100),2))</f>
        <v>1560.5</v>
      </c>
      <c r="CZ94" s="3">
        <f>(ROUND((((S94+ROUND((ROUND((((EU94*1.2))*AV94*1),2)*BS94),2))*AU94)/100),2)+ROUND(((ROUND((ROUND(((AE94-((EU94*1.2)))*AV94*1),2)*BS94),2)*AU94)/100),2))</f>
        <v>797.59</v>
      </c>
      <c r="DB94" s="3">
        <v>52</v>
      </c>
      <c r="DC94" s="3" t="s">
        <v>3</v>
      </c>
      <c r="DD94" s="3" t="s">
        <v>55</v>
      </c>
      <c r="DE94" s="3" t="s">
        <v>56</v>
      </c>
      <c r="DF94" s="3" t="s">
        <v>56</v>
      </c>
      <c r="DG94" s="3" t="s">
        <v>56</v>
      </c>
      <c r="DH94" s="3" t="s">
        <v>3</v>
      </c>
      <c r="DI94" s="3" t="s">
        <v>56</v>
      </c>
      <c r="DJ94" s="3" t="s">
        <v>56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1013</v>
      </c>
      <c r="DV94" s="3" t="s">
        <v>33</v>
      </c>
      <c r="DW94" s="3" t="s">
        <v>33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55393700</v>
      </c>
      <c r="EF94" s="3">
        <v>40</v>
      </c>
      <c r="EG94" s="3" t="s">
        <v>26</v>
      </c>
      <c r="EH94" s="3">
        <v>0</v>
      </c>
      <c r="EI94" s="3" t="s">
        <v>3</v>
      </c>
      <c r="EJ94" s="3">
        <v>2</v>
      </c>
      <c r="EK94" s="3">
        <v>68</v>
      </c>
      <c r="EL94" s="3" t="s">
        <v>35</v>
      </c>
      <c r="EM94" s="3" t="s">
        <v>36</v>
      </c>
      <c r="EO94" s="3" t="s">
        <v>60</v>
      </c>
      <c r="EQ94" s="3">
        <v>0</v>
      </c>
      <c r="ER94" s="3">
        <v>32.67</v>
      </c>
      <c r="ES94" s="3">
        <v>0</v>
      </c>
      <c r="ET94" s="3">
        <v>9.19</v>
      </c>
      <c r="EU94" s="3">
        <v>1.01</v>
      </c>
      <c r="EV94" s="3">
        <v>23.48</v>
      </c>
      <c r="EW94" s="3">
        <v>2.1</v>
      </c>
      <c r="EX94" s="3">
        <v>0</v>
      </c>
      <c r="EY94" s="3">
        <v>0</v>
      </c>
      <c r="FQ94" s="3">
        <v>0</v>
      </c>
      <c r="FR94" s="3">
        <v>0</v>
      </c>
      <c r="FS94" s="3">
        <v>0</v>
      </c>
      <c r="FX94" s="3">
        <v>90</v>
      </c>
      <c r="FY94" s="3">
        <v>46</v>
      </c>
      <c r="GA94" s="3" t="s">
        <v>3</v>
      </c>
      <c r="GD94" s="3">
        <v>1</v>
      </c>
      <c r="GF94" s="3">
        <v>1604197288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102"/>
        <v>0</v>
      </c>
      <c r="GM94" s="3">
        <f t="shared" si="103"/>
        <v>4206.95</v>
      </c>
      <c r="GN94" s="3">
        <f t="shared" si="104"/>
        <v>0</v>
      </c>
      <c r="GO94" s="3">
        <f t="shared" si="105"/>
        <v>4206.95</v>
      </c>
      <c r="GP94" s="3">
        <f t="shared" si="106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107"/>
        <v>0</v>
      </c>
      <c r="GW94" s="3">
        <v>1</v>
      </c>
      <c r="GX94" s="3">
        <f t="shared" si="108"/>
        <v>0</v>
      </c>
      <c r="HA94" s="3">
        <v>0</v>
      </c>
      <c r="HB94" s="3">
        <v>0</v>
      </c>
      <c r="HC94" s="3">
        <f t="shared" si="109"/>
        <v>0</v>
      </c>
      <c r="HE94" s="3" t="s">
        <v>3</v>
      </c>
      <c r="HF94" s="3" t="s">
        <v>3</v>
      </c>
      <c r="HM94" s="3" t="s">
        <v>3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5">
      <c r="A95" s="2">
        <v>17</v>
      </c>
      <c r="B95" s="2">
        <v>1</v>
      </c>
      <c r="C95" s="2"/>
      <c r="D95" s="2"/>
      <c r="E95" s="2" t="s">
        <v>155</v>
      </c>
      <c r="F95" s="2" t="s">
        <v>156</v>
      </c>
      <c r="G95" s="2" t="s">
        <v>157</v>
      </c>
      <c r="H95" s="2" t="s">
        <v>148</v>
      </c>
      <c r="I95" s="2">
        <v>1</v>
      </c>
      <c r="J95" s="2">
        <v>0</v>
      </c>
      <c r="K95" s="2">
        <v>1</v>
      </c>
      <c r="L95" s="2"/>
      <c r="M95" s="2"/>
      <c r="N95" s="2"/>
      <c r="O95" s="2">
        <f t="shared" si="85"/>
        <v>3453.69</v>
      </c>
      <c r="P95" s="2">
        <f t="shared" si="86"/>
        <v>3453.69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87"/>
        <v>0</v>
      </c>
      <c r="T95" s="2">
        <f t="shared" si="88"/>
        <v>0</v>
      </c>
      <c r="U95" s="2">
        <f t="shared" si="89"/>
        <v>0</v>
      </c>
      <c r="V95" s="2">
        <f t="shared" si="90"/>
        <v>0</v>
      </c>
      <c r="W95" s="2">
        <f t="shared" si="91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55917797</v>
      </c>
      <c r="AB95" s="2">
        <f t="shared" si="92"/>
        <v>3453.69</v>
      </c>
      <c r="AC95" s="2">
        <f>ROUND((ES95),6)</f>
        <v>3453.69</v>
      </c>
      <c r="AD95" s="2">
        <f>ROUND((((ET95)-(EU95))+AE95),6)</f>
        <v>0</v>
      </c>
      <c r="AE95" s="2">
        <f>ROUND((EU95),6)</f>
        <v>0</v>
      </c>
      <c r="AF95" s="2">
        <f>ROUND((EV95),6)</f>
        <v>0</v>
      </c>
      <c r="AG95" s="2">
        <f t="shared" si="93"/>
        <v>0</v>
      </c>
      <c r="AH95" s="2">
        <f>(EW95)</f>
        <v>0</v>
      </c>
      <c r="AI95" s="2">
        <f>(EX95)</f>
        <v>0</v>
      </c>
      <c r="AJ95" s="2">
        <f t="shared" si="94"/>
        <v>0</v>
      </c>
      <c r="AK95" s="2">
        <v>3453.69</v>
      </c>
      <c r="AL95" s="2">
        <v>3453.69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3</v>
      </c>
      <c r="BJ95" s="2" t="s">
        <v>156</v>
      </c>
      <c r="BK95" s="2"/>
      <c r="BL95" s="2"/>
      <c r="BM95" s="2">
        <v>400007</v>
      </c>
      <c r="BN95" s="2">
        <v>0</v>
      </c>
      <c r="BO95" s="2" t="s">
        <v>3</v>
      </c>
      <c r="BP95" s="2">
        <v>0</v>
      </c>
      <c r="BQ95" s="2">
        <v>214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0</v>
      </c>
      <c r="CA95" s="2">
        <v>0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3</v>
      </c>
      <c r="CO95" s="2">
        <v>0</v>
      </c>
      <c r="CP95" s="2">
        <f t="shared" si="95"/>
        <v>3453.69</v>
      </c>
      <c r="CQ95" s="2">
        <f t="shared" si="96"/>
        <v>3453.69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97"/>
        <v>0</v>
      </c>
      <c r="CU95" s="2">
        <f t="shared" si="98"/>
        <v>0</v>
      </c>
      <c r="CV95" s="2">
        <f t="shared" si="99"/>
        <v>0</v>
      </c>
      <c r="CW95" s="2">
        <f t="shared" si="100"/>
        <v>0</v>
      </c>
      <c r="CX95" s="2">
        <f t="shared" si="101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148</v>
      </c>
      <c r="DW95" s="2" t="s">
        <v>148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55393630</v>
      </c>
      <c r="EF95" s="2">
        <v>214</v>
      </c>
      <c r="EG95" s="2" t="s">
        <v>149</v>
      </c>
      <c r="EH95" s="2">
        <v>0</v>
      </c>
      <c r="EI95" s="2" t="s">
        <v>3</v>
      </c>
      <c r="EJ95" s="2">
        <v>3</v>
      </c>
      <c r="EK95" s="2">
        <v>400007</v>
      </c>
      <c r="EL95" s="2" t="s">
        <v>149</v>
      </c>
      <c r="EM95" s="2" t="s">
        <v>150</v>
      </c>
      <c r="EN95" s="2"/>
      <c r="EO95" s="2" t="s">
        <v>3</v>
      </c>
      <c r="EP95" s="2"/>
      <c r="EQ95" s="2">
        <v>16</v>
      </c>
      <c r="ER95" s="2">
        <v>0</v>
      </c>
      <c r="ES95" s="2">
        <v>3453.69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f>P95</f>
        <v>3453.69</v>
      </c>
      <c r="FS95" s="2">
        <v>0</v>
      </c>
      <c r="FT95" s="2"/>
      <c r="FU95" s="2"/>
      <c r="FV95" s="2"/>
      <c r="FW95" s="2"/>
      <c r="FX95" s="2">
        <v>0</v>
      </c>
      <c r="FY95" s="2">
        <v>0</v>
      </c>
      <c r="FZ95" s="2"/>
      <c r="GA95" s="2" t="s">
        <v>158</v>
      </c>
      <c r="GB95" s="2"/>
      <c r="GC95" s="2"/>
      <c r="GD95" s="2">
        <v>1</v>
      </c>
      <c r="GE95" s="2"/>
      <c r="GF95" s="2">
        <v>1552324280</v>
      </c>
      <c r="GG95" s="2">
        <v>2</v>
      </c>
      <c r="GH95" s="2">
        <v>4</v>
      </c>
      <c r="GI95" s="2">
        <v>-2</v>
      </c>
      <c r="GJ95" s="2">
        <v>0</v>
      </c>
      <c r="GK95" s="2">
        <v>0</v>
      </c>
      <c r="GL95" s="2">
        <f t="shared" si="102"/>
        <v>0</v>
      </c>
      <c r="GM95" s="2">
        <f t="shared" si="103"/>
        <v>3453.69</v>
      </c>
      <c r="GN95" s="2">
        <f t="shared" si="104"/>
        <v>0</v>
      </c>
      <c r="GO95" s="2">
        <f t="shared" si="105"/>
        <v>0</v>
      </c>
      <c r="GP95" s="2">
        <f t="shared" si="106"/>
        <v>0</v>
      </c>
      <c r="GQ95" s="2"/>
      <c r="GR95" s="2">
        <v>1</v>
      </c>
      <c r="GS95" s="2">
        <v>2</v>
      </c>
      <c r="GT95" s="2">
        <v>0</v>
      </c>
      <c r="GU95" s="2" t="s">
        <v>3</v>
      </c>
      <c r="GV95" s="2">
        <f t="shared" si="107"/>
        <v>0</v>
      </c>
      <c r="GW95" s="2">
        <v>1</v>
      </c>
      <c r="GX95" s="2">
        <f t="shared" si="108"/>
        <v>0</v>
      </c>
      <c r="GY95" s="2"/>
      <c r="GZ95" s="2"/>
      <c r="HA95" s="2">
        <v>0</v>
      </c>
      <c r="HB95" s="2">
        <v>0</v>
      </c>
      <c r="HC95" s="2">
        <f t="shared" si="109"/>
        <v>0</v>
      </c>
      <c r="HD95" s="2"/>
      <c r="HE95" s="2" t="s">
        <v>37</v>
      </c>
      <c r="HF95" s="2" t="s">
        <v>152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5">
      <c r="A96" s="3">
        <v>17</v>
      </c>
      <c r="B96" s="3">
        <v>1</v>
      </c>
      <c r="E96" s="3" t="s">
        <v>155</v>
      </c>
      <c r="F96" s="3" t="s">
        <v>156</v>
      </c>
      <c r="G96" s="3" t="s">
        <v>157</v>
      </c>
      <c r="H96" s="3" t="s">
        <v>148</v>
      </c>
      <c r="I96" s="3">
        <v>1</v>
      </c>
      <c r="J96" s="3">
        <v>0</v>
      </c>
      <c r="K96" s="3">
        <v>1</v>
      </c>
      <c r="O96" s="3">
        <f t="shared" si="85"/>
        <v>26144.43</v>
      </c>
      <c r="P96" s="3">
        <f t="shared" si="86"/>
        <v>26144.43</v>
      </c>
      <c r="Q96" s="3">
        <f>(ROUND((ROUND(((ET96)*AV96*I96),2)*BB96),2)+ROUND((ROUND(((AE96-(EU96))*AV96*I96),2)*BS96),2))</f>
        <v>0</v>
      </c>
      <c r="R96" s="3">
        <f>(ROUND((ROUND(((EU96)*AV96*I96),2)*BS96),2)+ROUND((ROUND(((AE96-(EU96))*AV96*I96),2)*BS96),2))</f>
        <v>0</v>
      </c>
      <c r="S96" s="3">
        <f t="shared" si="87"/>
        <v>0</v>
      </c>
      <c r="T96" s="3">
        <f t="shared" si="88"/>
        <v>0</v>
      </c>
      <c r="U96" s="3">
        <f t="shared" si="89"/>
        <v>0</v>
      </c>
      <c r="V96" s="3">
        <f t="shared" si="90"/>
        <v>0</v>
      </c>
      <c r="W96" s="3">
        <f t="shared" si="91"/>
        <v>0</v>
      </c>
      <c r="X96" s="3">
        <f>(ROUND((((S96+ROUND((ROUND(((EU96)*AV96*I96),2)*BS96),2))*AT96)/100),2)+ROUND(((ROUND((ROUND(((AE96-(EU96))*AV96*I96),2)*BS96),2)*AT96)/100),2))</f>
        <v>0</v>
      </c>
      <c r="Y96" s="3">
        <f>(ROUND((((S96+ROUND((ROUND(((EU96)*AV96*I96),2)*BS96),2))*AU96)/100),2)+ROUND(((ROUND((ROUND(((AE96-(EU96))*AV96*I96),2)*BS96),2)*AU96)/100),2))</f>
        <v>0</v>
      </c>
      <c r="AA96" s="3">
        <v>55917799</v>
      </c>
      <c r="AB96" s="3">
        <f t="shared" si="92"/>
        <v>3453.69</v>
      </c>
      <c r="AC96" s="3">
        <f>ROUND((ES96),6)</f>
        <v>3453.69</v>
      </c>
      <c r="AD96" s="3">
        <f>ROUND((((ET96)-(EU96))+AE96),6)</f>
        <v>0</v>
      </c>
      <c r="AE96" s="3">
        <f>ROUND((EU96),6)</f>
        <v>0</v>
      </c>
      <c r="AF96" s="3">
        <f>ROUND((EV96),6)</f>
        <v>0</v>
      </c>
      <c r="AG96" s="3">
        <f t="shared" si="93"/>
        <v>0</v>
      </c>
      <c r="AH96" s="3">
        <f>(EW96)</f>
        <v>0</v>
      </c>
      <c r="AI96" s="3">
        <f>(EX96)</f>
        <v>0</v>
      </c>
      <c r="AJ96" s="3">
        <f t="shared" si="94"/>
        <v>0</v>
      </c>
      <c r="AK96" s="3">
        <v>3453.69</v>
      </c>
      <c r="AL96" s="3">
        <v>3453.69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1</v>
      </c>
      <c r="AW96" s="3">
        <v>1</v>
      </c>
      <c r="AZ96" s="3">
        <v>1</v>
      </c>
      <c r="BA96" s="3">
        <v>1</v>
      </c>
      <c r="BB96" s="3">
        <v>1</v>
      </c>
      <c r="BC96" s="3">
        <v>7.57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3</v>
      </c>
      <c r="BI96" s="3">
        <v>3</v>
      </c>
      <c r="BJ96" s="3" t="s">
        <v>156</v>
      </c>
      <c r="BM96" s="3">
        <v>400007</v>
      </c>
      <c r="BN96" s="3">
        <v>0</v>
      </c>
      <c r="BO96" s="3" t="s">
        <v>3</v>
      </c>
      <c r="BP96" s="3">
        <v>0</v>
      </c>
      <c r="BQ96" s="3">
        <v>214</v>
      </c>
      <c r="BR96" s="3">
        <v>0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0</v>
      </c>
      <c r="CA96" s="3">
        <v>0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3</v>
      </c>
      <c r="CO96" s="3">
        <v>0</v>
      </c>
      <c r="CP96" s="3">
        <f t="shared" si="95"/>
        <v>26144.43</v>
      </c>
      <c r="CQ96" s="3">
        <f t="shared" si="96"/>
        <v>26144.43</v>
      </c>
      <c r="CR96" s="3">
        <f>(ROUND((ROUND(((ET96)*AV96*1),2)*BB96),2)+ROUND((ROUND(((AE96-(EU96))*AV96*1),2)*BS96),2))</f>
        <v>0</v>
      </c>
      <c r="CS96" s="3">
        <f>(ROUND((ROUND(((EU96)*AV96*1),2)*BS96),2)+ROUND((ROUND(((AE96-(EU96))*AV96*1),2)*BS96),2))</f>
        <v>0</v>
      </c>
      <c r="CT96" s="3">
        <f t="shared" si="97"/>
        <v>0</v>
      </c>
      <c r="CU96" s="3">
        <f t="shared" si="98"/>
        <v>0</v>
      </c>
      <c r="CV96" s="3">
        <f t="shared" si="99"/>
        <v>0</v>
      </c>
      <c r="CW96" s="3">
        <f t="shared" si="100"/>
        <v>0</v>
      </c>
      <c r="CX96" s="3">
        <f t="shared" si="101"/>
        <v>0</v>
      </c>
      <c r="CY96" s="3">
        <f>(ROUND((((S96+ROUND((ROUND(((EU96)*AV96*1),2)*BS96),2))*AT96)/100),2)+ROUND(((ROUND((ROUND(((AE96-(EU96))*AV96*1),2)*BS96),2)*AT96)/100),2))</f>
        <v>0</v>
      </c>
      <c r="CZ96" s="3">
        <f>(ROUND((((S96+ROUND((ROUND(((EU96)*AV96*1),2)*BS96),2))*AU96)/100),2)+ROUND(((ROUND((ROUND(((AE96-(EU96))*AV96*1),2)*BS96),2)*AU96)/100),2))</f>
        <v>0</v>
      </c>
      <c r="DC96" s="3" t="s">
        <v>3</v>
      </c>
      <c r="DD96" s="3" t="s">
        <v>3</v>
      </c>
      <c r="DE96" s="3" t="s">
        <v>3</v>
      </c>
      <c r="DF96" s="3" t="s">
        <v>3</v>
      </c>
      <c r="DG96" s="3" t="s">
        <v>3</v>
      </c>
      <c r="DH96" s="3" t="s">
        <v>3</v>
      </c>
      <c r="DI96" s="3" t="s">
        <v>3</v>
      </c>
      <c r="DJ96" s="3" t="s">
        <v>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1013</v>
      </c>
      <c r="DV96" s="3" t="s">
        <v>148</v>
      </c>
      <c r="DW96" s="3" t="s">
        <v>148</v>
      </c>
      <c r="DX96" s="3">
        <v>1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55393630</v>
      </c>
      <c r="EF96" s="3">
        <v>214</v>
      </c>
      <c r="EG96" s="3" t="s">
        <v>149</v>
      </c>
      <c r="EH96" s="3">
        <v>0</v>
      </c>
      <c r="EI96" s="3" t="s">
        <v>3</v>
      </c>
      <c r="EJ96" s="3">
        <v>3</v>
      </c>
      <c r="EK96" s="3">
        <v>400007</v>
      </c>
      <c r="EL96" s="3" t="s">
        <v>149</v>
      </c>
      <c r="EM96" s="3" t="s">
        <v>150</v>
      </c>
      <c r="EO96" s="3" t="s">
        <v>3</v>
      </c>
      <c r="EQ96" s="3">
        <v>16</v>
      </c>
      <c r="ER96" s="3">
        <v>0</v>
      </c>
      <c r="ES96" s="3">
        <v>3453.69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5</v>
      </c>
      <c r="FC96" s="3">
        <v>1</v>
      </c>
      <c r="FD96" s="3">
        <v>18</v>
      </c>
      <c r="FF96" s="3">
        <v>30600</v>
      </c>
      <c r="FQ96" s="3">
        <v>0</v>
      </c>
      <c r="FR96" s="3">
        <f>P96</f>
        <v>26144.43</v>
      </c>
      <c r="FS96" s="3">
        <v>0</v>
      </c>
      <c r="FX96" s="3">
        <v>0</v>
      </c>
      <c r="FY96" s="3">
        <v>0</v>
      </c>
      <c r="GA96" s="3" t="s">
        <v>158</v>
      </c>
      <c r="GD96" s="3">
        <v>1</v>
      </c>
      <c r="GF96" s="3">
        <v>1552324280</v>
      </c>
      <c r="GG96" s="3">
        <v>2</v>
      </c>
      <c r="GH96" s="3">
        <v>3</v>
      </c>
      <c r="GI96" s="3">
        <v>5</v>
      </c>
      <c r="GJ96" s="3">
        <v>0</v>
      </c>
      <c r="GK96" s="3">
        <v>0</v>
      </c>
      <c r="GL96" s="3">
        <f t="shared" si="102"/>
        <v>0</v>
      </c>
      <c r="GM96" s="3">
        <f t="shared" si="103"/>
        <v>26144.43</v>
      </c>
      <c r="GN96" s="3">
        <f t="shared" si="104"/>
        <v>0</v>
      </c>
      <c r="GO96" s="3">
        <f t="shared" si="105"/>
        <v>0</v>
      </c>
      <c r="GP96" s="3">
        <f t="shared" si="106"/>
        <v>0</v>
      </c>
      <c r="GR96" s="3">
        <v>1</v>
      </c>
      <c r="GS96" s="3">
        <v>1</v>
      </c>
      <c r="GT96" s="3">
        <v>0</v>
      </c>
      <c r="GU96" s="3" t="s">
        <v>3</v>
      </c>
      <c r="GV96" s="3">
        <f t="shared" si="107"/>
        <v>0</v>
      </c>
      <c r="GW96" s="3">
        <v>1</v>
      </c>
      <c r="GX96" s="3">
        <f t="shared" si="108"/>
        <v>0</v>
      </c>
      <c r="HA96" s="3">
        <v>0</v>
      </c>
      <c r="HB96" s="3">
        <v>0</v>
      </c>
      <c r="HC96" s="3">
        <f t="shared" si="109"/>
        <v>0</v>
      </c>
      <c r="HE96" s="3" t="s">
        <v>37</v>
      </c>
      <c r="HF96" s="3" t="s">
        <v>152</v>
      </c>
      <c r="HM96" s="3" t="s">
        <v>3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7" spans="1:255" x14ac:dyDescent="0.25">
      <c r="A97" s="2">
        <v>17</v>
      </c>
      <c r="B97" s="2">
        <v>1</v>
      </c>
      <c r="C97" s="2">
        <f>ROW(SmtRes!A184)</f>
        <v>184</v>
      </c>
      <c r="D97" s="2">
        <f>ROW(EtalonRes!A208)</f>
        <v>208</v>
      </c>
      <c r="E97" s="2" t="s">
        <v>159</v>
      </c>
      <c r="F97" s="2" t="s">
        <v>38</v>
      </c>
      <c r="G97" s="2" t="s">
        <v>160</v>
      </c>
      <c r="H97" s="2" t="s">
        <v>40</v>
      </c>
      <c r="I97" s="2">
        <v>1</v>
      </c>
      <c r="J97" s="2">
        <v>0</v>
      </c>
      <c r="K97" s="2">
        <v>1</v>
      </c>
      <c r="L97" s="2"/>
      <c r="M97" s="2"/>
      <c r="N97" s="2"/>
      <c r="O97" s="2">
        <f t="shared" si="85"/>
        <v>99.7</v>
      </c>
      <c r="P97" s="2">
        <f t="shared" si="86"/>
        <v>0.37</v>
      </c>
      <c r="Q97" s="2">
        <f>(ROUND((ROUND((((ET97*1.2))*AV97*I97),2)*BB97),2)+ROUND((ROUND(((AE97-((EU97*1.2)))*AV97*I97),2)*BS97),2))</f>
        <v>0</v>
      </c>
      <c r="R97" s="2">
        <f>(ROUND((ROUND((((EU97*1.2))*AV97*I97),2)*BS97),2)+ROUND((ROUND(((AE97-((EU97*1.2)))*AV97*I97),2)*BS97),2))</f>
        <v>0</v>
      </c>
      <c r="S97" s="2">
        <f t="shared" si="87"/>
        <v>99.33</v>
      </c>
      <c r="T97" s="2">
        <f t="shared" si="88"/>
        <v>0</v>
      </c>
      <c r="U97" s="2">
        <f t="shared" si="89"/>
        <v>7.0046279999999994</v>
      </c>
      <c r="V97" s="2">
        <f t="shared" si="90"/>
        <v>0</v>
      </c>
      <c r="W97" s="2">
        <f t="shared" si="91"/>
        <v>0</v>
      </c>
      <c r="X97" s="2">
        <f>(ROUND((((S97+ROUND((ROUND((((EU97*1.2))*AV97*I97),2)*BS97),2))*AT97)/100),2)+ROUND(((ROUND((ROUND(((AE97-((EU97*1.2)))*AV97*I97),2)*BS97),2)*AT97)/100),2))</f>
        <v>94.36</v>
      </c>
      <c r="Y97" s="2">
        <f>(ROUND((((S97+ROUND((ROUND((((EU97*1.2))*AV97*I97),2)*BS97),2))*AU97)/100),2)+ROUND(((ROUND((ROUND(((AE97-((EU97*1.2)))*AV97*I97),2)*BS97),2)*AU97)/100),2))</f>
        <v>52.64</v>
      </c>
      <c r="Z97" s="2"/>
      <c r="AA97" s="2">
        <v>55917797</v>
      </c>
      <c r="AB97" s="2">
        <f t="shared" si="92"/>
        <v>91.75</v>
      </c>
      <c r="AC97" s="2">
        <f>ROUND(((ES97*1)),6)</f>
        <v>0.37</v>
      </c>
      <c r="AD97" s="2">
        <f>ROUND(((((ET97*1.2))-((EU97*1.2)))+AE97),6)</f>
        <v>0</v>
      </c>
      <c r="AE97" s="2">
        <f>ROUND(((EU97*1.2)),6)</f>
        <v>0</v>
      </c>
      <c r="AF97" s="2">
        <f>ROUND(((EV97*1.2)),6)</f>
        <v>91.38</v>
      </c>
      <c r="AG97" s="2">
        <f t="shared" si="93"/>
        <v>0</v>
      </c>
      <c r="AH97" s="2">
        <f>((EW97*1.2))</f>
        <v>6.444</v>
      </c>
      <c r="AI97" s="2">
        <f>((EX97*1.2))</f>
        <v>0</v>
      </c>
      <c r="AJ97" s="2">
        <f t="shared" si="94"/>
        <v>0</v>
      </c>
      <c r="AK97" s="2">
        <v>76.52</v>
      </c>
      <c r="AL97" s="2">
        <v>0.37</v>
      </c>
      <c r="AM97" s="2">
        <v>0</v>
      </c>
      <c r="AN97" s="2">
        <v>0</v>
      </c>
      <c r="AO97" s="2">
        <v>76.150000000000006</v>
      </c>
      <c r="AP97" s="2">
        <v>0</v>
      </c>
      <c r="AQ97" s="2">
        <v>5.37</v>
      </c>
      <c r="AR97" s="2">
        <v>0</v>
      </c>
      <c r="AS97" s="2">
        <v>0</v>
      </c>
      <c r="AT97" s="2">
        <v>95</v>
      </c>
      <c r="AU97" s="2">
        <v>53</v>
      </c>
      <c r="AV97" s="2">
        <v>1.087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41</v>
      </c>
      <c r="BK97" s="2"/>
      <c r="BL97" s="2"/>
      <c r="BM97" s="2">
        <v>69</v>
      </c>
      <c r="BN97" s="2">
        <v>0</v>
      </c>
      <c r="BO97" s="2" t="s">
        <v>38</v>
      </c>
      <c r="BP97" s="2">
        <v>1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95</v>
      </c>
      <c r="CA97" s="2">
        <v>53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618</v>
      </c>
      <c r="CO97" s="2">
        <v>0</v>
      </c>
      <c r="CP97" s="2">
        <f t="shared" si="95"/>
        <v>99.7</v>
      </c>
      <c r="CQ97" s="2">
        <f t="shared" si="96"/>
        <v>0.37</v>
      </c>
      <c r="CR97" s="2">
        <f>(ROUND((ROUND((((ET97*1.2))*AV97*1),2)*BB97),2)+ROUND((ROUND(((AE97-((EU97*1.2)))*AV97*1),2)*BS97),2))</f>
        <v>0</v>
      </c>
      <c r="CS97" s="2">
        <f>(ROUND((ROUND((((EU97*1.2))*AV97*1),2)*BS97),2)+ROUND((ROUND(((AE97-((EU97*1.2)))*AV97*1),2)*BS97),2))</f>
        <v>0</v>
      </c>
      <c r="CT97" s="2">
        <f t="shared" si="97"/>
        <v>99.33</v>
      </c>
      <c r="CU97" s="2">
        <f t="shared" si="98"/>
        <v>0</v>
      </c>
      <c r="CV97" s="2">
        <f t="shared" si="99"/>
        <v>7.0046279999999994</v>
      </c>
      <c r="CW97" s="2">
        <f t="shared" si="100"/>
        <v>0</v>
      </c>
      <c r="CX97" s="2">
        <f t="shared" si="101"/>
        <v>0</v>
      </c>
      <c r="CY97" s="2">
        <f>(ROUND((((S97+ROUND((ROUND((((EU97*1.2))*AV97*1),2)*BS97),2))*AT97)/100),2)+ROUND(((ROUND((ROUND(((AE97-((EU97*1.2)))*AV97*1),2)*BS97),2)*AT97)/100),2))</f>
        <v>94.36</v>
      </c>
      <c r="CZ97" s="2">
        <f>(ROUND((((S97+ROUND((ROUND((((EU97*1.2))*AV97*1),2)*BS97),2))*AU97)/100),2)+ROUND(((ROUND((ROUND(((AE97-((EU97*1.2)))*AV97*1),2)*BS97),2)*AU97)/100),2))</f>
        <v>52.64</v>
      </c>
      <c r="DA97" s="2"/>
      <c r="DB97" s="2">
        <v>53</v>
      </c>
      <c r="DC97" s="2" t="s">
        <v>3</v>
      </c>
      <c r="DD97" s="2" t="s">
        <v>55</v>
      </c>
      <c r="DE97" s="2" t="s">
        <v>56</v>
      </c>
      <c r="DF97" s="2" t="s">
        <v>56</v>
      </c>
      <c r="DG97" s="2" t="s">
        <v>56</v>
      </c>
      <c r="DH97" s="2" t="s">
        <v>3</v>
      </c>
      <c r="DI97" s="2" t="s">
        <v>56</v>
      </c>
      <c r="DJ97" s="2" t="s">
        <v>56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40</v>
      </c>
      <c r="DW97" s="2" t="s">
        <v>40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55393701</v>
      </c>
      <c r="EF97" s="2">
        <v>40</v>
      </c>
      <c r="EG97" s="2" t="s">
        <v>26</v>
      </c>
      <c r="EH97" s="2">
        <v>0</v>
      </c>
      <c r="EI97" s="2" t="s">
        <v>3</v>
      </c>
      <c r="EJ97" s="2">
        <v>2</v>
      </c>
      <c r="EK97" s="2">
        <v>69</v>
      </c>
      <c r="EL97" s="2" t="s">
        <v>27</v>
      </c>
      <c r="EM97" s="2" t="s">
        <v>28</v>
      </c>
      <c r="EN97" s="2"/>
      <c r="EO97" s="2" t="s">
        <v>60</v>
      </c>
      <c r="EP97" s="2"/>
      <c r="EQ97" s="2">
        <v>0</v>
      </c>
      <c r="ER97" s="2">
        <v>76.52</v>
      </c>
      <c r="ES97" s="2">
        <v>0.37</v>
      </c>
      <c r="ET97" s="2">
        <v>0</v>
      </c>
      <c r="EU97" s="2">
        <v>0</v>
      </c>
      <c r="EV97" s="2">
        <v>76.150000000000006</v>
      </c>
      <c r="EW97" s="2">
        <v>5.37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95</v>
      </c>
      <c r="FY97" s="2">
        <v>53</v>
      </c>
      <c r="FZ97" s="2"/>
      <c r="GA97" s="2" t="s">
        <v>3</v>
      </c>
      <c r="GB97" s="2"/>
      <c r="GC97" s="2"/>
      <c r="GD97" s="2">
        <v>1</v>
      </c>
      <c r="GE97" s="2"/>
      <c r="GF97" s="2">
        <v>1760566508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si="102"/>
        <v>0</v>
      </c>
      <c r="GM97" s="2">
        <f t="shared" si="103"/>
        <v>246.7</v>
      </c>
      <c r="GN97" s="2">
        <f t="shared" si="104"/>
        <v>0</v>
      </c>
      <c r="GO97" s="2">
        <f t="shared" si="105"/>
        <v>246.7</v>
      </c>
      <c r="GP97" s="2">
        <f t="shared" si="106"/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si="107"/>
        <v>0</v>
      </c>
      <c r="GW97" s="2">
        <v>1</v>
      </c>
      <c r="GX97" s="2">
        <f t="shared" si="108"/>
        <v>0</v>
      </c>
      <c r="GY97" s="2"/>
      <c r="GZ97" s="2"/>
      <c r="HA97" s="2">
        <v>0</v>
      </c>
      <c r="HB97" s="2">
        <v>0</v>
      </c>
      <c r="HC97" s="2">
        <f t="shared" si="109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5">
      <c r="A98" s="3">
        <v>17</v>
      </c>
      <c r="B98" s="3">
        <v>1</v>
      </c>
      <c r="C98" s="3">
        <f>ROW(SmtRes!A186)</f>
        <v>186</v>
      </c>
      <c r="D98" s="3">
        <f>ROW(EtalonRes!A210)</f>
        <v>210</v>
      </c>
      <c r="E98" s="3" t="s">
        <v>159</v>
      </c>
      <c r="F98" s="3" t="s">
        <v>38</v>
      </c>
      <c r="G98" s="3" t="s">
        <v>160</v>
      </c>
      <c r="H98" s="3" t="s">
        <v>40</v>
      </c>
      <c r="I98" s="3">
        <v>1</v>
      </c>
      <c r="J98" s="3">
        <v>0</v>
      </c>
      <c r="K98" s="3">
        <v>1</v>
      </c>
      <c r="O98" s="3">
        <f t="shared" si="85"/>
        <v>5599.27</v>
      </c>
      <c r="P98" s="3">
        <f t="shared" si="86"/>
        <v>2.02</v>
      </c>
      <c r="Q98" s="3">
        <f>(ROUND((ROUND((((ET98*1.2))*AV98*I98),2)*BB98),2)+ROUND((ROUND(((AE98-((EU98*1.2)))*AV98*I98),2)*BS98),2))</f>
        <v>0</v>
      </c>
      <c r="R98" s="3">
        <f>(ROUND((ROUND((((EU98*1.2))*AV98*I98),2)*BS98),2)+ROUND((ROUND(((AE98-((EU98*1.2)))*AV98*I98),2)*BS98),2))</f>
        <v>0</v>
      </c>
      <c r="S98" s="3">
        <f t="shared" si="87"/>
        <v>5597.25</v>
      </c>
      <c r="T98" s="3">
        <f t="shared" si="88"/>
        <v>0</v>
      </c>
      <c r="U98" s="3">
        <f t="shared" si="89"/>
        <v>7.0046279999999994</v>
      </c>
      <c r="V98" s="3">
        <f t="shared" si="90"/>
        <v>0</v>
      </c>
      <c r="W98" s="3">
        <f t="shared" si="91"/>
        <v>0</v>
      </c>
      <c r="X98" s="3">
        <f>(ROUND((((S98+ROUND((ROUND((((EU98*1.2))*AV98*I98),2)*BS98),2))*AT98)/100),2)+ROUND(((ROUND((ROUND(((AE98-((EU98*1.2)))*AV98*I98),2)*BS98),2)*AT98)/100),2))</f>
        <v>5317.39</v>
      </c>
      <c r="Y98" s="3">
        <f>(ROUND((((S98+ROUND((ROUND((((EU98*1.2))*AV98*I98),2)*BS98),2))*AU98)/100),2)+ROUND(((ROUND((ROUND(((AE98-((EU98*1.2)))*AV98*I98),2)*BS98),2)*AU98)/100),2))</f>
        <v>2966.54</v>
      </c>
      <c r="AA98" s="3">
        <v>55917799</v>
      </c>
      <c r="AB98" s="3">
        <f t="shared" si="92"/>
        <v>91.75</v>
      </c>
      <c r="AC98" s="3">
        <f>ROUND(((ES98*1)),6)</f>
        <v>0.37</v>
      </c>
      <c r="AD98" s="3">
        <f>ROUND(((((ET98*1.2))-((EU98*1.2)))+AE98),6)</f>
        <v>0</v>
      </c>
      <c r="AE98" s="3">
        <f>ROUND(((EU98*1.2)),6)</f>
        <v>0</v>
      </c>
      <c r="AF98" s="3">
        <f>ROUND(((EV98*1.2)),6)</f>
        <v>91.38</v>
      </c>
      <c r="AG98" s="3">
        <f t="shared" si="93"/>
        <v>0</v>
      </c>
      <c r="AH98" s="3">
        <f>((EW98*1.2))</f>
        <v>6.444</v>
      </c>
      <c r="AI98" s="3">
        <f>((EX98*1.2))</f>
        <v>0</v>
      </c>
      <c r="AJ98" s="3">
        <f t="shared" si="94"/>
        <v>0</v>
      </c>
      <c r="AK98" s="3">
        <v>76.52</v>
      </c>
      <c r="AL98" s="3">
        <v>0.37</v>
      </c>
      <c r="AM98" s="3">
        <v>0</v>
      </c>
      <c r="AN98" s="3">
        <v>0</v>
      </c>
      <c r="AO98" s="3">
        <v>76.150000000000006</v>
      </c>
      <c r="AP98" s="3">
        <v>0</v>
      </c>
      <c r="AQ98" s="3">
        <v>5.37</v>
      </c>
      <c r="AR98" s="3">
        <v>0</v>
      </c>
      <c r="AS98" s="3">
        <v>0</v>
      </c>
      <c r="AT98" s="3">
        <v>95</v>
      </c>
      <c r="AU98" s="3">
        <v>53</v>
      </c>
      <c r="AV98" s="3">
        <v>1.087</v>
      </c>
      <c r="AW98" s="3">
        <v>1</v>
      </c>
      <c r="AZ98" s="3">
        <v>1</v>
      </c>
      <c r="BA98" s="3">
        <v>56.35</v>
      </c>
      <c r="BB98" s="3">
        <v>1</v>
      </c>
      <c r="BC98" s="3">
        <v>5.46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0</v>
      </c>
      <c r="BI98" s="3">
        <v>2</v>
      </c>
      <c r="BJ98" s="3" t="s">
        <v>41</v>
      </c>
      <c r="BM98" s="3">
        <v>69</v>
      </c>
      <c r="BN98" s="3">
        <v>0</v>
      </c>
      <c r="BO98" s="3" t="s">
        <v>38</v>
      </c>
      <c r="BP98" s="3">
        <v>1</v>
      </c>
      <c r="BQ98" s="3">
        <v>40</v>
      </c>
      <c r="BR98" s="3">
        <v>0</v>
      </c>
      <c r="BS98" s="3">
        <v>56.35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95</v>
      </c>
      <c r="CA98" s="3">
        <v>53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618</v>
      </c>
      <c r="CO98" s="3">
        <v>0</v>
      </c>
      <c r="CP98" s="3">
        <f t="shared" si="95"/>
        <v>5599.27</v>
      </c>
      <c r="CQ98" s="3">
        <f t="shared" si="96"/>
        <v>2.02</v>
      </c>
      <c r="CR98" s="3">
        <f>(ROUND((ROUND((((ET98*1.2))*AV98*1),2)*BB98),2)+ROUND((ROUND(((AE98-((EU98*1.2)))*AV98*1),2)*BS98),2))</f>
        <v>0</v>
      </c>
      <c r="CS98" s="3">
        <f>(ROUND((ROUND((((EU98*1.2))*AV98*1),2)*BS98),2)+ROUND((ROUND(((AE98-((EU98*1.2)))*AV98*1),2)*BS98),2))</f>
        <v>0</v>
      </c>
      <c r="CT98" s="3">
        <f t="shared" si="97"/>
        <v>5597.25</v>
      </c>
      <c r="CU98" s="3">
        <f t="shared" si="98"/>
        <v>0</v>
      </c>
      <c r="CV98" s="3">
        <f t="shared" si="99"/>
        <v>7.0046279999999994</v>
      </c>
      <c r="CW98" s="3">
        <f t="shared" si="100"/>
        <v>0</v>
      </c>
      <c r="CX98" s="3">
        <f t="shared" si="101"/>
        <v>0</v>
      </c>
      <c r="CY98" s="3">
        <f>(ROUND((((S98+ROUND((ROUND((((EU98*1.2))*AV98*1),2)*BS98),2))*AT98)/100),2)+ROUND(((ROUND((ROUND(((AE98-((EU98*1.2)))*AV98*1),2)*BS98),2)*AT98)/100),2))</f>
        <v>5317.39</v>
      </c>
      <c r="CZ98" s="3">
        <f>(ROUND((((S98+ROUND((ROUND((((EU98*1.2))*AV98*1),2)*BS98),2))*AU98)/100),2)+ROUND(((ROUND((ROUND(((AE98-((EU98*1.2)))*AV98*1),2)*BS98),2)*AU98)/100),2))</f>
        <v>2966.54</v>
      </c>
      <c r="DB98" s="3">
        <v>54</v>
      </c>
      <c r="DC98" s="3" t="s">
        <v>3</v>
      </c>
      <c r="DD98" s="3" t="s">
        <v>55</v>
      </c>
      <c r="DE98" s="3" t="s">
        <v>56</v>
      </c>
      <c r="DF98" s="3" t="s">
        <v>56</v>
      </c>
      <c r="DG98" s="3" t="s">
        <v>56</v>
      </c>
      <c r="DH98" s="3" t="s">
        <v>3</v>
      </c>
      <c r="DI98" s="3" t="s">
        <v>56</v>
      </c>
      <c r="DJ98" s="3" t="s">
        <v>56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40</v>
      </c>
      <c r="DW98" s="3" t="s">
        <v>40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55393701</v>
      </c>
      <c r="EF98" s="3">
        <v>40</v>
      </c>
      <c r="EG98" s="3" t="s">
        <v>26</v>
      </c>
      <c r="EH98" s="3">
        <v>0</v>
      </c>
      <c r="EI98" s="3" t="s">
        <v>3</v>
      </c>
      <c r="EJ98" s="3">
        <v>2</v>
      </c>
      <c r="EK98" s="3">
        <v>69</v>
      </c>
      <c r="EL98" s="3" t="s">
        <v>27</v>
      </c>
      <c r="EM98" s="3" t="s">
        <v>28</v>
      </c>
      <c r="EO98" s="3" t="s">
        <v>60</v>
      </c>
      <c r="EQ98" s="3">
        <v>0</v>
      </c>
      <c r="ER98" s="3">
        <v>76.52</v>
      </c>
      <c r="ES98" s="3">
        <v>0.37</v>
      </c>
      <c r="ET98" s="3">
        <v>0</v>
      </c>
      <c r="EU98" s="3">
        <v>0</v>
      </c>
      <c r="EV98" s="3">
        <v>76.150000000000006</v>
      </c>
      <c r="EW98" s="3">
        <v>5.37</v>
      </c>
      <c r="EX98" s="3">
        <v>0</v>
      </c>
      <c r="EY98" s="3">
        <v>0</v>
      </c>
      <c r="FQ98" s="3">
        <v>0</v>
      </c>
      <c r="FR98" s="3">
        <v>0</v>
      </c>
      <c r="FS98" s="3">
        <v>0</v>
      </c>
      <c r="FX98" s="3">
        <v>95</v>
      </c>
      <c r="FY98" s="3">
        <v>53</v>
      </c>
      <c r="GA98" s="3" t="s">
        <v>3</v>
      </c>
      <c r="GD98" s="3">
        <v>1</v>
      </c>
      <c r="GF98" s="3">
        <v>1760566508</v>
      </c>
      <c r="GG98" s="3">
        <v>2</v>
      </c>
      <c r="GH98" s="3">
        <v>1</v>
      </c>
      <c r="GI98" s="3">
        <v>2</v>
      </c>
      <c r="GJ98" s="3">
        <v>0</v>
      </c>
      <c r="GK98" s="3">
        <v>0</v>
      </c>
      <c r="GL98" s="3">
        <f t="shared" si="102"/>
        <v>0</v>
      </c>
      <c r="GM98" s="3">
        <f t="shared" si="103"/>
        <v>13883.2</v>
      </c>
      <c r="GN98" s="3">
        <f t="shared" si="104"/>
        <v>0</v>
      </c>
      <c r="GO98" s="3">
        <f t="shared" si="105"/>
        <v>13883.2</v>
      </c>
      <c r="GP98" s="3">
        <f t="shared" si="106"/>
        <v>0</v>
      </c>
      <c r="GR98" s="3">
        <v>0</v>
      </c>
      <c r="GS98" s="3">
        <v>3</v>
      </c>
      <c r="GT98" s="3">
        <v>0</v>
      </c>
      <c r="GU98" s="3" t="s">
        <v>3</v>
      </c>
      <c r="GV98" s="3">
        <f t="shared" si="107"/>
        <v>0</v>
      </c>
      <c r="GW98" s="3">
        <v>1</v>
      </c>
      <c r="GX98" s="3">
        <f t="shared" si="108"/>
        <v>0</v>
      </c>
      <c r="HA98" s="3">
        <v>0</v>
      </c>
      <c r="HB98" s="3">
        <v>0</v>
      </c>
      <c r="HC98" s="3">
        <f t="shared" si="109"/>
        <v>0</v>
      </c>
      <c r="HE98" s="3" t="s">
        <v>3</v>
      </c>
      <c r="HF98" s="3" t="s">
        <v>3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5">
      <c r="A99" s="2">
        <v>17</v>
      </c>
      <c r="B99" s="2">
        <v>1</v>
      </c>
      <c r="C99" s="2"/>
      <c r="D99" s="2"/>
      <c r="E99" s="2" t="s">
        <v>161</v>
      </c>
      <c r="F99" s="2" t="s">
        <v>162</v>
      </c>
      <c r="G99" s="2" t="s">
        <v>163</v>
      </c>
      <c r="H99" s="2" t="s">
        <v>164</v>
      </c>
      <c r="I99" s="2">
        <v>1</v>
      </c>
      <c r="J99" s="2">
        <v>0</v>
      </c>
      <c r="K99" s="2">
        <v>1</v>
      </c>
      <c r="L99" s="2"/>
      <c r="M99" s="2"/>
      <c r="N99" s="2"/>
      <c r="O99" s="2">
        <f t="shared" si="85"/>
        <v>699.69</v>
      </c>
      <c r="P99" s="2">
        <f>ROUND((ROUND((AC99*I99),2)*BC99),2)</f>
        <v>699.69</v>
      </c>
      <c r="Q99" s="2">
        <f>(ROUND((ROUND(((ET99)*AV99*I99),2)*BB99),2)+ROUND((ROUND(((AE99-(EU99))*AV99*I99),2)*BS99),2))</f>
        <v>0</v>
      </c>
      <c r="R99" s="2">
        <f>(ROUND((ROUND(((EU99)*AV99*I99),2)*BS99),2)+ROUND((ROUND(((AE99-(EU99))*AV99*I99),2)*BS99),2))</f>
        <v>0</v>
      </c>
      <c r="S99" s="2">
        <f t="shared" si="87"/>
        <v>0</v>
      </c>
      <c r="T99" s="2">
        <f t="shared" si="88"/>
        <v>0</v>
      </c>
      <c r="U99" s="2">
        <f t="shared" si="89"/>
        <v>0</v>
      </c>
      <c r="V99" s="2">
        <f t="shared" si="90"/>
        <v>0</v>
      </c>
      <c r="W99" s="2">
        <f t="shared" si="91"/>
        <v>0</v>
      </c>
      <c r="X99" s="2">
        <f>(ROUND((((S99+ROUND((ROUND(((EU99)*AV99*I99),2)*BS99),2))*AT99)/100),2)+ROUND(((ROUND((ROUND(((AE99-(EU99))*AV99*I99),2)*BS99),2)*AT99)/100),2))</f>
        <v>0</v>
      </c>
      <c r="Y99" s="2">
        <f>(ROUND((((S99+ROUND((ROUND(((EU99)*AV99*I99),2)*BS99),2))*AU99)/100),2)+ROUND(((ROUND((ROUND(((AE99-(EU99))*AV99*I99),2)*BS99),2)*AU99)/100),2))</f>
        <v>0</v>
      </c>
      <c r="Z99" s="2"/>
      <c r="AA99" s="2">
        <v>55917797</v>
      </c>
      <c r="AB99" s="2">
        <f t="shared" si="92"/>
        <v>699.69</v>
      </c>
      <c r="AC99" s="2">
        <f>ROUND((ES99),6)</f>
        <v>699.69</v>
      </c>
      <c r="AD99" s="2">
        <f>ROUND((((ET99)-(EU99))+AE99),6)</f>
        <v>0</v>
      </c>
      <c r="AE99" s="2">
        <f>ROUND((EU99),6)</f>
        <v>0</v>
      </c>
      <c r="AF99" s="2">
        <f>ROUND((EV99),6)</f>
        <v>0</v>
      </c>
      <c r="AG99" s="2">
        <f t="shared" si="93"/>
        <v>0</v>
      </c>
      <c r="AH99" s="2">
        <f>(EW99)</f>
        <v>0</v>
      </c>
      <c r="AI99" s="2">
        <f>(EX99)</f>
        <v>0</v>
      </c>
      <c r="AJ99" s="2">
        <f t="shared" si="94"/>
        <v>0</v>
      </c>
      <c r="AK99" s="2">
        <v>699.69</v>
      </c>
      <c r="AL99" s="2">
        <v>699.69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3</v>
      </c>
      <c r="BJ99" s="2" t="s">
        <v>165</v>
      </c>
      <c r="BK99" s="2"/>
      <c r="BL99" s="2"/>
      <c r="BM99" s="2">
        <v>746</v>
      </c>
      <c r="BN99" s="2">
        <v>0</v>
      </c>
      <c r="BO99" s="2" t="s">
        <v>3</v>
      </c>
      <c r="BP99" s="2">
        <v>0</v>
      </c>
      <c r="BQ99" s="2">
        <v>130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0</v>
      </c>
      <c r="CA99" s="2">
        <v>0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95"/>
        <v>699.69</v>
      </c>
      <c r="CQ99" s="2">
        <f>ROUND((ROUND((AC99*1),2)*BC99),2)</f>
        <v>699.69</v>
      </c>
      <c r="CR99" s="2">
        <f>(ROUND((ROUND(((ET99)*AV99*1),2)*BB99),2)+ROUND((ROUND(((AE99-(EU99))*AV99*1),2)*BS99),2))</f>
        <v>0</v>
      </c>
      <c r="CS99" s="2">
        <f>(ROUND((ROUND(((EU99)*AV99*1),2)*BS99),2)+ROUND((ROUND(((AE99-(EU99))*AV99*1),2)*BS99),2))</f>
        <v>0</v>
      </c>
      <c r="CT99" s="2">
        <f t="shared" si="97"/>
        <v>0</v>
      </c>
      <c r="CU99" s="2">
        <f t="shared" si="98"/>
        <v>0</v>
      </c>
      <c r="CV99" s="2">
        <f t="shared" si="99"/>
        <v>0</v>
      </c>
      <c r="CW99" s="2">
        <f t="shared" si="100"/>
        <v>0</v>
      </c>
      <c r="CX99" s="2">
        <f t="shared" si="101"/>
        <v>0</v>
      </c>
      <c r="CY99" s="2">
        <f>(ROUND((((S99+ROUND((ROUND(((EU99)*AV99*1),2)*BS99),2))*AT99)/100),2)+ROUND(((ROUND((ROUND(((AE99-(EU99))*AV99*1),2)*BS99),2)*AT99)/100),2))</f>
        <v>0</v>
      </c>
      <c r="CZ99" s="2">
        <f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1010</v>
      </c>
      <c r="DV99" s="2" t="s">
        <v>164</v>
      </c>
      <c r="DW99" s="2" t="s">
        <v>164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55393806</v>
      </c>
      <c r="EF99" s="2">
        <v>130</v>
      </c>
      <c r="EG99" s="2" t="s">
        <v>166</v>
      </c>
      <c r="EH99" s="2">
        <v>0</v>
      </c>
      <c r="EI99" s="2" t="s">
        <v>3</v>
      </c>
      <c r="EJ99" s="2">
        <v>3</v>
      </c>
      <c r="EK99" s="2">
        <v>746</v>
      </c>
      <c r="EL99" s="2" t="s">
        <v>167</v>
      </c>
      <c r="EM99" s="2" t="s">
        <v>168</v>
      </c>
      <c r="EN99" s="2"/>
      <c r="EO99" s="2" t="s">
        <v>3</v>
      </c>
      <c r="EP99" s="2"/>
      <c r="EQ99" s="2">
        <v>0</v>
      </c>
      <c r="ER99" s="2">
        <v>699.69</v>
      </c>
      <c r="ES99" s="2">
        <v>699.69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f>P99</f>
        <v>699.69</v>
      </c>
      <c r="FS99" s="2">
        <v>0</v>
      </c>
      <c r="FT99" s="2"/>
      <c r="FU99" s="2"/>
      <c r="FV99" s="2"/>
      <c r="FW99" s="2"/>
      <c r="FX99" s="2">
        <v>0</v>
      </c>
      <c r="FY99" s="2">
        <v>0</v>
      </c>
      <c r="FZ99" s="2"/>
      <c r="GA99" s="2" t="s">
        <v>3</v>
      </c>
      <c r="GB99" s="2"/>
      <c r="GC99" s="2"/>
      <c r="GD99" s="2">
        <v>1</v>
      </c>
      <c r="GE99" s="2"/>
      <c r="GF99" s="2">
        <v>539505184</v>
      </c>
      <c r="GG99" s="2">
        <v>2</v>
      </c>
      <c r="GH99" s="2">
        <v>1</v>
      </c>
      <c r="GI99" s="2">
        <v>-2</v>
      </c>
      <c r="GJ99" s="2">
        <v>0</v>
      </c>
      <c r="GK99" s="2">
        <v>0</v>
      </c>
      <c r="GL99" s="2">
        <f t="shared" si="102"/>
        <v>0</v>
      </c>
      <c r="GM99" s="2">
        <f t="shared" si="103"/>
        <v>699.69</v>
      </c>
      <c r="GN99" s="2">
        <f t="shared" si="104"/>
        <v>0</v>
      </c>
      <c r="GO99" s="2">
        <f t="shared" si="105"/>
        <v>0</v>
      </c>
      <c r="GP99" s="2">
        <f t="shared" si="106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107"/>
        <v>0</v>
      </c>
      <c r="GW99" s="2">
        <v>1</v>
      </c>
      <c r="GX99" s="2">
        <f t="shared" si="108"/>
        <v>0</v>
      </c>
      <c r="GY99" s="2"/>
      <c r="GZ99" s="2"/>
      <c r="HA99" s="2">
        <v>0</v>
      </c>
      <c r="HB99" s="2">
        <v>0</v>
      </c>
      <c r="HC99" s="2">
        <f t="shared" si="109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5">
      <c r="A100" s="3">
        <v>17</v>
      </c>
      <c r="B100" s="3">
        <v>1</v>
      </c>
      <c r="E100" s="3" t="s">
        <v>161</v>
      </c>
      <c r="F100" s="3" t="s">
        <v>162</v>
      </c>
      <c r="G100" s="3" t="s">
        <v>163</v>
      </c>
      <c r="H100" s="3" t="s">
        <v>164</v>
      </c>
      <c r="I100" s="3">
        <v>1</v>
      </c>
      <c r="J100" s="3">
        <v>0</v>
      </c>
      <c r="K100" s="3">
        <v>1</v>
      </c>
      <c r="O100" s="3">
        <f t="shared" si="85"/>
        <v>7381.73</v>
      </c>
      <c r="P100" s="3">
        <f>ROUND((ROUND((AC100*I100),2)*BC100),2)</f>
        <v>7381.73</v>
      </c>
      <c r="Q100" s="3">
        <f>(ROUND((ROUND(((ET100)*AV100*I100),2)*BB100),2)+ROUND((ROUND(((AE100-(EU100))*AV100*I100),2)*BS100),2))</f>
        <v>0</v>
      </c>
      <c r="R100" s="3">
        <f>(ROUND((ROUND(((EU100)*AV100*I100),2)*BS100),2)+ROUND((ROUND(((AE100-(EU100))*AV100*I100),2)*BS100),2))</f>
        <v>0</v>
      </c>
      <c r="S100" s="3">
        <f t="shared" si="87"/>
        <v>0</v>
      </c>
      <c r="T100" s="3">
        <f t="shared" si="88"/>
        <v>0</v>
      </c>
      <c r="U100" s="3">
        <f t="shared" si="89"/>
        <v>0</v>
      </c>
      <c r="V100" s="3">
        <f t="shared" si="90"/>
        <v>0</v>
      </c>
      <c r="W100" s="3">
        <f t="shared" si="91"/>
        <v>0</v>
      </c>
      <c r="X100" s="3">
        <f>(ROUND((((S100+ROUND((ROUND(((EU100)*AV100*I100),2)*BS100),2))*AT100)/100),2)+ROUND(((ROUND((ROUND(((AE100-(EU100))*AV100*I100),2)*BS100),2)*AT100)/100),2))</f>
        <v>0</v>
      </c>
      <c r="Y100" s="3">
        <f>(ROUND((((S100+ROUND((ROUND(((EU100)*AV100*I100),2)*BS100),2))*AU100)/100),2)+ROUND(((ROUND((ROUND(((AE100-(EU100))*AV100*I100),2)*BS100),2)*AU100)/100),2))</f>
        <v>0</v>
      </c>
      <c r="AA100" s="3">
        <v>55917799</v>
      </c>
      <c r="AB100" s="3">
        <f t="shared" si="92"/>
        <v>699.69</v>
      </c>
      <c r="AC100" s="3">
        <f>ROUND((ES100),6)</f>
        <v>699.69</v>
      </c>
      <c r="AD100" s="3">
        <f>ROUND((((ET100)-(EU100))+AE100),6)</f>
        <v>0</v>
      </c>
      <c r="AE100" s="3">
        <f>ROUND((EU100),6)</f>
        <v>0</v>
      </c>
      <c r="AF100" s="3">
        <f>ROUND((EV100),6)</f>
        <v>0</v>
      </c>
      <c r="AG100" s="3">
        <f t="shared" si="93"/>
        <v>0</v>
      </c>
      <c r="AH100" s="3">
        <f>(EW100)</f>
        <v>0</v>
      </c>
      <c r="AI100" s="3">
        <f>(EX100)</f>
        <v>0</v>
      </c>
      <c r="AJ100" s="3">
        <f t="shared" si="94"/>
        <v>0</v>
      </c>
      <c r="AK100" s="3">
        <v>699.69</v>
      </c>
      <c r="AL100" s="3">
        <v>699.69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1</v>
      </c>
      <c r="AW100" s="3">
        <v>1</v>
      </c>
      <c r="AZ100" s="3">
        <v>1</v>
      </c>
      <c r="BA100" s="3">
        <v>1</v>
      </c>
      <c r="BB100" s="3">
        <v>1</v>
      </c>
      <c r="BC100" s="3">
        <v>10.55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3</v>
      </c>
      <c r="BI100" s="3">
        <v>3</v>
      </c>
      <c r="BJ100" s="3" t="s">
        <v>165</v>
      </c>
      <c r="BM100" s="3">
        <v>746</v>
      </c>
      <c r="BN100" s="3">
        <v>0</v>
      </c>
      <c r="BO100" s="3" t="s">
        <v>3</v>
      </c>
      <c r="BP100" s="3">
        <v>0</v>
      </c>
      <c r="BQ100" s="3">
        <v>130</v>
      </c>
      <c r="BR100" s="3">
        <v>0</v>
      </c>
      <c r="BS100" s="3">
        <v>1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0</v>
      </c>
      <c r="CA100" s="3">
        <v>0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3</v>
      </c>
      <c r="CO100" s="3">
        <v>0</v>
      </c>
      <c r="CP100" s="3">
        <f t="shared" si="95"/>
        <v>7381.73</v>
      </c>
      <c r="CQ100" s="3">
        <f>ROUND((ROUND((AC100*1),2)*BC100),2)</f>
        <v>7381.73</v>
      </c>
      <c r="CR100" s="3">
        <f>(ROUND((ROUND(((ET100)*AV100*1),2)*BB100),2)+ROUND((ROUND(((AE100-(EU100))*AV100*1),2)*BS100),2))</f>
        <v>0</v>
      </c>
      <c r="CS100" s="3">
        <f>(ROUND((ROUND(((EU100)*AV100*1),2)*BS100),2)+ROUND((ROUND(((AE100-(EU100))*AV100*1),2)*BS100),2))</f>
        <v>0</v>
      </c>
      <c r="CT100" s="3">
        <f t="shared" si="97"/>
        <v>0</v>
      </c>
      <c r="CU100" s="3">
        <f t="shared" si="98"/>
        <v>0</v>
      </c>
      <c r="CV100" s="3">
        <f t="shared" si="99"/>
        <v>0</v>
      </c>
      <c r="CW100" s="3">
        <f t="shared" si="100"/>
        <v>0</v>
      </c>
      <c r="CX100" s="3">
        <f t="shared" si="101"/>
        <v>0</v>
      </c>
      <c r="CY100" s="3">
        <f>(ROUND((((S100+ROUND((ROUND(((EU100)*AV100*1),2)*BS100),2))*AT100)/100),2)+ROUND(((ROUND((ROUND(((AE100-(EU100))*AV100*1),2)*BS100),2)*AT100)/100),2))</f>
        <v>0</v>
      </c>
      <c r="CZ100" s="3">
        <f>(ROUND((((S100+ROUND((ROUND(((EU100)*AV100*1),2)*BS100),2))*AU100)/100),2)+ROUND(((ROUND((ROUND(((AE100-(EU100))*AV100*1),2)*BS100),2)*AU100)/100),2))</f>
        <v>0</v>
      </c>
      <c r="DC100" s="3" t="s">
        <v>3</v>
      </c>
      <c r="DD100" s="3" t="s">
        <v>3</v>
      </c>
      <c r="DE100" s="3" t="s">
        <v>3</v>
      </c>
      <c r="DF100" s="3" t="s">
        <v>3</v>
      </c>
      <c r="DG100" s="3" t="s">
        <v>3</v>
      </c>
      <c r="DH100" s="3" t="s">
        <v>3</v>
      </c>
      <c r="DI100" s="3" t="s">
        <v>3</v>
      </c>
      <c r="DJ100" s="3" t="s">
        <v>3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1010</v>
      </c>
      <c r="DV100" s="3" t="s">
        <v>164</v>
      </c>
      <c r="DW100" s="3" t="s">
        <v>164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55393806</v>
      </c>
      <c r="EF100" s="3">
        <v>130</v>
      </c>
      <c r="EG100" s="3" t="s">
        <v>166</v>
      </c>
      <c r="EH100" s="3">
        <v>0</v>
      </c>
      <c r="EI100" s="3" t="s">
        <v>3</v>
      </c>
      <c r="EJ100" s="3">
        <v>3</v>
      </c>
      <c r="EK100" s="3">
        <v>746</v>
      </c>
      <c r="EL100" s="3" t="s">
        <v>167</v>
      </c>
      <c r="EM100" s="3" t="s">
        <v>168</v>
      </c>
      <c r="EO100" s="3" t="s">
        <v>3</v>
      </c>
      <c r="EQ100" s="3">
        <v>0</v>
      </c>
      <c r="ER100" s="3">
        <v>699.69</v>
      </c>
      <c r="ES100" s="3">
        <v>699.69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FQ100" s="3">
        <v>0</v>
      </c>
      <c r="FR100" s="3">
        <f>P100</f>
        <v>7381.73</v>
      </c>
      <c r="FS100" s="3">
        <v>0</v>
      </c>
      <c r="FX100" s="3">
        <v>0</v>
      </c>
      <c r="FY100" s="3">
        <v>0</v>
      </c>
      <c r="GA100" s="3" t="s">
        <v>3</v>
      </c>
      <c r="GD100" s="3">
        <v>1</v>
      </c>
      <c r="GF100" s="3">
        <v>539505184</v>
      </c>
      <c r="GG100" s="3">
        <v>2</v>
      </c>
      <c r="GH100" s="3">
        <v>1</v>
      </c>
      <c r="GI100" s="3">
        <v>2</v>
      </c>
      <c r="GJ100" s="3">
        <v>0</v>
      </c>
      <c r="GK100" s="3">
        <v>0</v>
      </c>
      <c r="GL100" s="3">
        <f t="shared" si="102"/>
        <v>0</v>
      </c>
      <c r="GM100" s="3">
        <f t="shared" si="103"/>
        <v>7381.73</v>
      </c>
      <c r="GN100" s="3">
        <f t="shared" si="104"/>
        <v>0</v>
      </c>
      <c r="GO100" s="3">
        <f t="shared" si="105"/>
        <v>0</v>
      </c>
      <c r="GP100" s="3">
        <f t="shared" si="106"/>
        <v>0</v>
      </c>
      <c r="GR100" s="3">
        <v>0</v>
      </c>
      <c r="GS100" s="3">
        <v>3</v>
      </c>
      <c r="GT100" s="3">
        <v>0</v>
      </c>
      <c r="GU100" s="3" t="s">
        <v>3</v>
      </c>
      <c r="GV100" s="3">
        <f t="shared" si="107"/>
        <v>0</v>
      </c>
      <c r="GW100" s="3">
        <v>1</v>
      </c>
      <c r="GX100" s="3">
        <f t="shared" si="108"/>
        <v>0</v>
      </c>
      <c r="HA100" s="3">
        <v>0</v>
      </c>
      <c r="HB100" s="3">
        <v>0</v>
      </c>
      <c r="HC100" s="3">
        <f t="shared" si="109"/>
        <v>0</v>
      </c>
      <c r="HE100" s="3" t="s">
        <v>3</v>
      </c>
      <c r="HF100" s="3" t="s">
        <v>3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5">
      <c r="A101" s="2">
        <v>17</v>
      </c>
      <c r="B101" s="2">
        <v>1</v>
      </c>
      <c r="C101" s="2">
        <f>ROW(SmtRes!A201)</f>
        <v>201</v>
      </c>
      <c r="D101" s="2">
        <f>ROW(EtalonRes!A227)</f>
        <v>227</v>
      </c>
      <c r="E101" s="2" t="s">
        <v>169</v>
      </c>
      <c r="F101" s="2" t="s">
        <v>43</v>
      </c>
      <c r="G101" s="2" t="s">
        <v>170</v>
      </c>
      <c r="H101" s="2" t="s">
        <v>22</v>
      </c>
      <c r="I101" s="2">
        <v>1</v>
      </c>
      <c r="J101" s="2">
        <v>0</v>
      </c>
      <c r="K101" s="2">
        <v>1</v>
      </c>
      <c r="L101" s="2"/>
      <c r="M101" s="2"/>
      <c r="N101" s="2"/>
      <c r="O101" s="2">
        <f t="shared" si="85"/>
        <v>90.18</v>
      </c>
      <c r="P101" s="2">
        <f t="shared" ref="P101:P118" si="110">ROUND((ROUND((AC101*AW101*I101),2)*BC101),2)</f>
        <v>42.61</v>
      </c>
      <c r="Q101" s="2">
        <f>(ROUND((ROUND((((ET101*1.2))*AV101*I101),2)*BB101),2)+ROUND((ROUND(((AE101-((EU101*1.2)))*AV101*I101),2)*BS101),2))</f>
        <v>0</v>
      </c>
      <c r="R101" s="2">
        <f>(ROUND((ROUND((((EU101*1.2))*AV101*I101),2)*BS101),2)+ROUND((ROUND(((AE101-((EU101*1.2)))*AV101*I101),2)*BS101),2))</f>
        <v>0</v>
      </c>
      <c r="S101" s="2">
        <f t="shared" si="87"/>
        <v>47.57</v>
      </c>
      <c r="T101" s="2">
        <f t="shared" si="88"/>
        <v>0</v>
      </c>
      <c r="U101" s="2">
        <f t="shared" si="89"/>
        <v>3.7691999999999992</v>
      </c>
      <c r="V101" s="2">
        <f t="shared" si="90"/>
        <v>0</v>
      </c>
      <c r="W101" s="2">
        <f t="shared" si="91"/>
        <v>0</v>
      </c>
      <c r="X101" s="2">
        <f>(ROUND((((S101+ROUND((ROUND((((EU101*1.2))*AV101*I101),2)*BS101),2))*AT101)/100),2)+ROUND(((ROUND((ROUND(((AE101-((EU101*1.2)))*AV101*I101),2)*BS101),2)*AT101)/100),2))</f>
        <v>42.81</v>
      </c>
      <c r="Y101" s="2">
        <f>(ROUND((((S101+ROUND((ROUND((((EU101*1.2))*AV101*I101),2)*BS101),2))*AU101)/100),2)+ROUND(((ROUND((ROUND(((AE101-((EU101*1.2)))*AV101*I101),2)*BS101),2)*AU101)/100),2))</f>
        <v>21.88</v>
      </c>
      <c r="Z101" s="2"/>
      <c r="AA101" s="2">
        <v>55917797</v>
      </c>
      <c r="AB101" s="2">
        <f t="shared" si="92"/>
        <v>88.042000000000002</v>
      </c>
      <c r="AC101" s="2">
        <f>ROUND(((ES101*1)),6)</f>
        <v>42.61</v>
      </c>
      <c r="AD101" s="2">
        <f>ROUND(((((ET101*1.2))-((EU101*1.2)))+AE101),6)</f>
        <v>0</v>
      </c>
      <c r="AE101" s="2">
        <f>ROUND(((EU101*1.2)),6)</f>
        <v>0</v>
      </c>
      <c r="AF101" s="2">
        <f>ROUND(((EV101*1.2)),6)</f>
        <v>45.432000000000002</v>
      </c>
      <c r="AG101" s="2">
        <f t="shared" si="93"/>
        <v>0</v>
      </c>
      <c r="AH101" s="2">
        <f>((EW101*1.2))</f>
        <v>3.5999999999999996</v>
      </c>
      <c r="AI101" s="2">
        <f>((EX101*1.2))</f>
        <v>0</v>
      </c>
      <c r="AJ101" s="2">
        <f t="shared" si="94"/>
        <v>0</v>
      </c>
      <c r="AK101" s="2">
        <v>80.47</v>
      </c>
      <c r="AL101" s="2">
        <v>42.61</v>
      </c>
      <c r="AM101" s="2">
        <v>0</v>
      </c>
      <c r="AN101" s="2">
        <v>0</v>
      </c>
      <c r="AO101" s="2">
        <v>37.86</v>
      </c>
      <c r="AP101" s="2">
        <v>0</v>
      </c>
      <c r="AQ101" s="2">
        <v>3</v>
      </c>
      <c r="AR101" s="2">
        <v>0</v>
      </c>
      <c r="AS101" s="2">
        <v>0</v>
      </c>
      <c r="AT101" s="2">
        <v>90</v>
      </c>
      <c r="AU101" s="2">
        <v>46</v>
      </c>
      <c r="AV101" s="2">
        <v>1.0469999999999999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45</v>
      </c>
      <c r="BK101" s="2"/>
      <c r="BL101" s="2"/>
      <c r="BM101" s="2">
        <v>68</v>
      </c>
      <c r="BN101" s="2">
        <v>0</v>
      </c>
      <c r="BO101" s="2" t="s">
        <v>43</v>
      </c>
      <c r="BP101" s="2">
        <v>1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90</v>
      </c>
      <c r="CA101" s="2">
        <v>46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618</v>
      </c>
      <c r="CO101" s="2">
        <v>0</v>
      </c>
      <c r="CP101" s="2">
        <f t="shared" si="95"/>
        <v>90.18</v>
      </c>
      <c r="CQ101" s="2">
        <f t="shared" ref="CQ101:CQ118" si="111">ROUND((ROUND((AC101*AW101*1),2)*BC101),2)</f>
        <v>42.61</v>
      </c>
      <c r="CR101" s="2">
        <f>(ROUND((ROUND((((ET101*1.2))*AV101*1),2)*BB101),2)+ROUND((ROUND(((AE101-((EU101*1.2)))*AV101*1),2)*BS101),2))</f>
        <v>0</v>
      </c>
      <c r="CS101" s="2">
        <f>(ROUND((ROUND((((EU101*1.2))*AV101*1),2)*BS101),2)+ROUND((ROUND(((AE101-((EU101*1.2)))*AV101*1),2)*BS101),2))</f>
        <v>0</v>
      </c>
      <c r="CT101" s="2">
        <f t="shared" si="97"/>
        <v>47.57</v>
      </c>
      <c r="CU101" s="2">
        <f t="shared" si="98"/>
        <v>0</v>
      </c>
      <c r="CV101" s="2">
        <f t="shared" si="99"/>
        <v>3.7691999999999992</v>
      </c>
      <c r="CW101" s="2">
        <f t="shared" si="100"/>
        <v>0</v>
      </c>
      <c r="CX101" s="2">
        <f t="shared" si="101"/>
        <v>0</v>
      </c>
      <c r="CY101" s="2">
        <f>(ROUND((((S101+ROUND((ROUND((((EU101*1.2))*AV101*1),2)*BS101),2))*AT101)/100),2)+ROUND(((ROUND((ROUND(((AE101-((EU101*1.2)))*AV101*1),2)*BS101),2)*AT101)/100),2))</f>
        <v>42.81</v>
      </c>
      <c r="CZ101" s="2">
        <f>(ROUND((((S101+ROUND((ROUND((((EU101*1.2))*AV101*1),2)*BS101),2))*AU101)/100),2)+ROUND(((ROUND((ROUND(((AE101-((EU101*1.2)))*AV101*1),2)*BS101),2)*AU101)/100),2))</f>
        <v>21.88</v>
      </c>
      <c r="DA101" s="2"/>
      <c r="DB101" s="2">
        <v>55</v>
      </c>
      <c r="DC101" s="2" t="s">
        <v>3</v>
      </c>
      <c r="DD101" s="2" t="s">
        <v>55</v>
      </c>
      <c r="DE101" s="2" t="s">
        <v>56</v>
      </c>
      <c r="DF101" s="2" t="s">
        <v>56</v>
      </c>
      <c r="DG101" s="2" t="s">
        <v>56</v>
      </c>
      <c r="DH101" s="2" t="s">
        <v>3</v>
      </c>
      <c r="DI101" s="2" t="s">
        <v>56</v>
      </c>
      <c r="DJ101" s="2" t="s">
        <v>56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22</v>
      </c>
      <c r="DW101" s="2" t="s">
        <v>22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55393700</v>
      </c>
      <c r="EF101" s="2">
        <v>40</v>
      </c>
      <c r="EG101" s="2" t="s">
        <v>26</v>
      </c>
      <c r="EH101" s="2">
        <v>0</v>
      </c>
      <c r="EI101" s="2" t="s">
        <v>3</v>
      </c>
      <c r="EJ101" s="2">
        <v>2</v>
      </c>
      <c r="EK101" s="2">
        <v>68</v>
      </c>
      <c r="EL101" s="2" t="s">
        <v>35</v>
      </c>
      <c r="EM101" s="2" t="s">
        <v>36</v>
      </c>
      <c r="EN101" s="2"/>
      <c r="EO101" s="2" t="s">
        <v>60</v>
      </c>
      <c r="EP101" s="2"/>
      <c r="EQ101" s="2">
        <v>0</v>
      </c>
      <c r="ER101" s="2">
        <v>80.47</v>
      </c>
      <c r="ES101" s="2">
        <v>42.61</v>
      </c>
      <c r="ET101" s="2">
        <v>0</v>
      </c>
      <c r="EU101" s="2">
        <v>0</v>
      </c>
      <c r="EV101" s="2">
        <v>37.86</v>
      </c>
      <c r="EW101" s="2">
        <v>3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90</v>
      </c>
      <c r="FY101" s="2">
        <v>46</v>
      </c>
      <c r="FZ101" s="2"/>
      <c r="GA101" s="2" t="s">
        <v>3</v>
      </c>
      <c r="GB101" s="2"/>
      <c r="GC101" s="2"/>
      <c r="GD101" s="2">
        <v>1</v>
      </c>
      <c r="GE101" s="2"/>
      <c r="GF101" s="2">
        <v>-1785550083</v>
      </c>
      <c r="GG101" s="2">
        <v>2</v>
      </c>
      <c r="GH101" s="2">
        <v>1</v>
      </c>
      <c r="GI101" s="2">
        <v>2</v>
      </c>
      <c r="GJ101" s="2">
        <v>0</v>
      </c>
      <c r="GK101" s="2">
        <v>0</v>
      </c>
      <c r="GL101" s="2">
        <f t="shared" si="102"/>
        <v>0</v>
      </c>
      <c r="GM101" s="2">
        <f t="shared" si="103"/>
        <v>154.87</v>
      </c>
      <c r="GN101" s="2">
        <f t="shared" si="104"/>
        <v>0</v>
      </c>
      <c r="GO101" s="2">
        <f t="shared" si="105"/>
        <v>154.87</v>
      </c>
      <c r="GP101" s="2">
        <f t="shared" si="106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107"/>
        <v>0</v>
      </c>
      <c r="GW101" s="2">
        <v>1</v>
      </c>
      <c r="GX101" s="2">
        <f t="shared" si="108"/>
        <v>0</v>
      </c>
      <c r="GY101" s="2"/>
      <c r="GZ101" s="2"/>
      <c r="HA101" s="2">
        <v>0</v>
      </c>
      <c r="HB101" s="2">
        <v>0</v>
      </c>
      <c r="HC101" s="2">
        <f t="shared" si="109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5">
      <c r="A102" s="3">
        <v>17</v>
      </c>
      <c r="B102" s="3">
        <v>1</v>
      </c>
      <c r="C102" s="3">
        <f>ROW(SmtRes!A216)</f>
        <v>216</v>
      </c>
      <c r="D102" s="3">
        <f>ROW(EtalonRes!A244)</f>
        <v>244</v>
      </c>
      <c r="E102" s="3" t="s">
        <v>169</v>
      </c>
      <c r="F102" s="3" t="s">
        <v>43</v>
      </c>
      <c r="G102" s="3" t="s">
        <v>170</v>
      </c>
      <c r="H102" s="3" t="s">
        <v>22</v>
      </c>
      <c r="I102" s="3">
        <v>1</v>
      </c>
      <c r="J102" s="3">
        <v>0</v>
      </c>
      <c r="K102" s="3">
        <v>1</v>
      </c>
      <c r="O102" s="3">
        <f t="shared" si="85"/>
        <v>2900.01</v>
      </c>
      <c r="P102" s="3">
        <f t="shared" si="110"/>
        <v>219.44</v>
      </c>
      <c r="Q102" s="3">
        <f>(ROUND((ROUND((((ET102*1.2))*AV102*I102),2)*BB102),2)+ROUND((ROUND(((AE102-((EU102*1.2)))*AV102*I102),2)*BS102),2))</f>
        <v>0</v>
      </c>
      <c r="R102" s="3">
        <f>(ROUND((ROUND((((EU102*1.2))*AV102*I102),2)*BS102),2)+ROUND((ROUND(((AE102-((EU102*1.2)))*AV102*I102),2)*BS102),2))</f>
        <v>0</v>
      </c>
      <c r="S102" s="3">
        <f t="shared" si="87"/>
        <v>2680.57</v>
      </c>
      <c r="T102" s="3">
        <f t="shared" si="88"/>
        <v>0</v>
      </c>
      <c r="U102" s="3">
        <f t="shared" si="89"/>
        <v>3.7691999999999992</v>
      </c>
      <c r="V102" s="3">
        <f t="shared" si="90"/>
        <v>0</v>
      </c>
      <c r="W102" s="3">
        <f t="shared" si="91"/>
        <v>0</v>
      </c>
      <c r="X102" s="3">
        <f>(ROUND((((S102+ROUND((ROUND((((EU102*1.2))*AV102*I102),2)*BS102),2))*AT102)/100),2)+ROUND(((ROUND((ROUND(((AE102-((EU102*1.2)))*AV102*I102),2)*BS102),2)*AT102)/100),2))</f>
        <v>2412.5100000000002</v>
      </c>
      <c r="Y102" s="3">
        <f>(ROUND((((S102+ROUND((ROUND((((EU102*1.2))*AV102*I102),2)*BS102),2))*AU102)/100),2)+ROUND(((ROUND((ROUND(((AE102-((EU102*1.2)))*AV102*I102),2)*BS102),2)*AU102)/100),2))</f>
        <v>1233.06</v>
      </c>
      <c r="AA102" s="3">
        <v>55917799</v>
      </c>
      <c r="AB102" s="3">
        <f t="shared" si="92"/>
        <v>88.042000000000002</v>
      </c>
      <c r="AC102" s="3">
        <f>ROUND(((ES102*1)),6)</f>
        <v>42.61</v>
      </c>
      <c r="AD102" s="3">
        <f>ROUND(((((ET102*1.2))-((EU102*1.2)))+AE102),6)</f>
        <v>0</v>
      </c>
      <c r="AE102" s="3">
        <f>ROUND(((EU102*1.2)),6)</f>
        <v>0</v>
      </c>
      <c r="AF102" s="3">
        <f>ROUND(((EV102*1.2)),6)</f>
        <v>45.432000000000002</v>
      </c>
      <c r="AG102" s="3">
        <f t="shared" si="93"/>
        <v>0</v>
      </c>
      <c r="AH102" s="3">
        <f>((EW102*1.2))</f>
        <v>3.5999999999999996</v>
      </c>
      <c r="AI102" s="3">
        <f>((EX102*1.2))</f>
        <v>0</v>
      </c>
      <c r="AJ102" s="3">
        <f t="shared" si="94"/>
        <v>0</v>
      </c>
      <c r="AK102" s="3">
        <v>80.47</v>
      </c>
      <c r="AL102" s="3">
        <v>42.61</v>
      </c>
      <c r="AM102" s="3">
        <v>0</v>
      </c>
      <c r="AN102" s="3">
        <v>0</v>
      </c>
      <c r="AO102" s="3">
        <v>37.86</v>
      </c>
      <c r="AP102" s="3">
        <v>0</v>
      </c>
      <c r="AQ102" s="3">
        <v>3</v>
      </c>
      <c r="AR102" s="3">
        <v>0</v>
      </c>
      <c r="AS102" s="3">
        <v>0</v>
      </c>
      <c r="AT102" s="3">
        <v>90</v>
      </c>
      <c r="AU102" s="3">
        <v>46</v>
      </c>
      <c r="AV102" s="3">
        <v>1.0469999999999999</v>
      </c>
      <c r="AW102" s="3">
        <v>1</v>
      </c>
      <c r="AZ102" s="3">
        <v>1</v>
      </c>
      <c r="BA102" s="3">
        <v>56.35</v>
      </c>
      <c r="BB102" s="3">
        <v>1</v>
      </c>
      <c r="BC102" s="3">
        <v>5.15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0</v>
      </c>
      <c r="BI102" s="3">
        <v>2</v>
      </c>
      <c r="BJ102" s="3" t="s">
        <v>45</v>
      </c>
      <c r="BM102" s="3">
        <v>68</v>
      </c>
      <c r="BN102" s="3">
        <v>0</v>
      </c>
      <c r="BO102" s="3" t="s">
        <v>43</v>
      </c>
      <c r="BP102" s="3">
        <v>1</v>
      </c>
      <c r="BQ102" s="3">
        <v>40</v>
      </c>
      <c r="BR102" s="3">
        <v>0</v>
      </c>
      <c r="BS102" s="3">
        <v>56.35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90</v>
      </c>
      <c r="CA102" s="3">
        <v>46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618</v>
      </c>
      <c r="CO102" s="3">
        <v>0</v>
      </c>
      <c r="CP102" s="3">
        <f t="shared" si="95"/>
        <v>2900.01</v>
      </c>
      <c r="CQ102" s="3">
        <f t="shared" si="111"/>
        <v>219.44</v>
      </c>
      <c r="CR102" s="3">
        <f>(ROUND((ROUND((((ET102*1.2))*AV102*1),2)*BB102),2)+ROUND((ROUND(((AE102-((EU102*1.2)))*AV102*1),2)*BS102),2))</f>
        <v>0</v>
      </c>
      <c r="CS102" s="3">
        <f>(ROUND((ROUND((((EU102*1.2))*AV102*1),2)*BS102),2)+ROUND((ROUND(((AE102-((EU102*1.2)))*AV102*1),2)*BS102),2))</f>
        <v>0</v>
      </c>
      <c r="CT102" s="3">
        <f t="shared" si="97"/>
        <v>2680.57</v>
      </c>
      <c r="CU102" s="3">
        <f t="shared" si="98"/>
        <v>0</v>
      </c>
      <c r="CV102" s="3">
        <f t="shared" si="99"/>
        <v>3.7691999999999992</v>
      </c>
      <c r="CW102" s="3">
        <f t="shared" si="100"/>
        <v>0</v>
      </c>
      <c r="CX102" s="3">
        <f t="shared" si="101"/>
        <v>0</v>
      </c>
      <c r="CY102" s="3">
        <f>(ROUND((((S102+ROUND((ROUND((((EU102*1.2))*AV102*1),2)*BS102),2))*AT102)/100),2)+ROUND(((ROUND((ROUND(((AE102-((EU102*1.2)))*AV102*1),2)*BS102),2)*AT102)/100),2))</f>
        <v>2412.5100000000002</v>
      </c>
      <c r="CZ102" s="3">
        <f>(ROUND((((S102+ROUND((ROUND((((EU102*1.2))*AV102*1),2)*BS102),2))*AU102)/100),2)+ROUND(((ROUND((ROUND(((AE102-((EU102*1.2)))*AV102*1),2)*BS102),2)*AU102)/100),2))</f>
        <v>1233.06</v>
      </c>
      <c r="DB102" s="3">
        <v>56</v>
      </c>
      <c r="DC102" s="3" t="s">
        <v>3</v>
      </c>
      <c r="DD102" s="3" t="s">
        <v>55</v>
      </c>
      <c r="DE102" s="3" t="s">
        <v>56</v>
      </c>
      <c r="DF102" s="3" t="s">
        <v>56</v>
      </c>
      <c r="DG102" s="3" t="s">
        <v>56</v>
      </c>
      <c r="DH102" s="3" t="s">
        <v>3</v>
      </c>
      <c r="DI102" s="3" t="s">
        <v>56</v>
      </c>
      <c r="DJ102" s="3" t="s">
        <v>56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22</v>
      </c>
      <c r="DW102" s="3" t="s">
        <v>22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55393700</v>
      </c>
      <c r="EF102" s="3">
        <v>40</v>
      </c>
      <c r="EG102" s="3" t="s">
        <v>26</v>
      </c>
      <c r="EH102" s="3">
        <v>0</v>
      </c>
      <c r="EI102" s="3" t="s">
        <v>3</v>
      </c>
      <c r="EJ102" s="3">
        <v>2</v>
      </c>
      <c r="EK102" s="3">
        <v>68</v>
      </c>
      <c r="EL102" s="3" t="s">
        <v>35</v>
      </c>
      <c r="EM102" s="3" t="s">
        <v>36</v>
      </c>
      <c r="EO102" s="3" t="s">
        <v>60</v>
      </c>
      <c r="EQ102" s="3">
        <v>0</v>
      </c>
      <c r="ER102" s="3">
        <v>80.47</v>
      </c>
      <c r="ES102" s="3">
        <v>42.61</v>
      </c>
      <c r="ET102" s="3">
        <v>0</v>
      </c>
      <c r="EU102" s="3">
        <v>0</v>
      </c>
      <c r="EV102" s="3">
        <v>37.86</v>
      </c>
      <c r="EW102" s="3">
        <v>3</v>
      </c>
      <c r="EX102" s="3">
        <v>0</v>
      </c>
      <c r="EY102" s="3">
        <v>0</v>
      </c>
      <c r="FQ102" s="3">
        <v>0</v>
      </c>
      <c r="FR102" s="3">
        <v>0</v>
      </c>
      <c r="FS102" s="3">
        <v>0</v>
      </c>
      <c r="FX102" s="3">
        <v>90</v>
      </c>
      <c r="FY102" s="3">
        <v>46</v>
      </c>
      <c r="GA102" s="3" t="s">
        <v>3</v>
      </c>
      <c r="GD102" s="3">
        <v>1</v>
      </c>
      <c r="GF102" s="3">
        <v>-1785550083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102"/>
        <v>0</v>
      </c>
      <c r="GM102" s="3">
        <f t="shared" si="103"/>
        <v>6545.58</v>
      </c>
      <c r="GN102" s="3">
        <f t="shared" si="104"/>
        <v>0</v>
      </c>
      <c r="GO102" s="3">
        <f t="shared" si="105"/>
        <v>6545.58</v>
      </c>
      <c r="GP102" s="3">
        <f t="shared" si="106"/>
        <v>0</v>
      </c>
      <c r="GR102" s="3">
        <v>0</v>
      </c>
      <c r="GS102" s="3">
        <v>3</v>
      </c>
      <c r="GT102" s="3">
        <v>0</v>
      </c>
      <c r="GU102" s="3" t="s">
        <v>3</v>
      </c>
      <c r="GV102" s="3">
        <f t="shared" si="107"/>
        <v>0</v>
      </c>
      <c r="GW102" s="3">
        <v>1</v>
      </c>
      <c r="GX102" s="3">
        <f t="shared" si="108"/>
        <v>0</v>
      </c>
      <c r="HA102" s="3">
        <v>0</v>
      </c>
      <c r="HB102" s="3">
        <v>0</v>
      </c>
      <c r="HC102" s="3">
        <f t="shared" si="109"/>
        <v>0</v>
      </c>
      <c r="HE102" s="3" t="s">
        <v>3</v>
      </c>
      <c r="HF102" s="3" t="s">
        <v>3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5">
      <c r="A103" s="2">
        <v>17</v>
      </c>
      <c r="B103" s="2">
        <v>1</v>
      </c>
      <c r="C103" s="2"/>
      <c r="D103" s="2"/>
      <c r="E103" s="2" t="s">
        <v>171</v>
      </c>
      <c r="F103" s="2" t="s">
        <v>172</v>
      </c>
      <c r="G103" s="2" t="s">
        <v>173</v>
      </c>
      <c r="H103" s="2" t="s">
        <v>148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85"/>
        <v>253.95</v>
      </c>
      <c r="P103" s="2">
        <f t="shared" si="110"/>
        <v>253.95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87"/>
        <v>0</v>
      </c>
      <c r="T103" s="2">
        <f t="shared" si="88"/>
        <v>0</v>
      </c>
      <c r="U103" s="2">
        <f t="shared" si="89"/>
        <v>0</v>
      </c>
      <c r="V103" s="2">
        <f t="shared" si="90"/>
        <v>0</v>
      </c>
      <c r="W103" s="2">
        <f t="shared" si="91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55917797</v>
      </c>
      <c r="AB103" s="2">
        <f t="shared" si="92"/>
        <v>253.95</v>
      </c>
      <c r="AC103" s="2">
        <f>ROUND((ES103),6)</f>
        <v>253.95</v>
      </c>
      <c r="AD103" s="2">
        <f>ROUND((((ET103)-(EU103))+AE103),6)</f>
        <v>0</v>
      </c>
      <c r="AE103" s="2">
        <f t="shared" ref="AE103:AF106" si="112">ROUND((EU103),6)</f>
        <v>0</v>
      </c>
      <c r="AF103" s="2">
        <f t="shared" si="112"/>
        <v>0</v>
      </c>
      <c r="AG103" s="2">
        <f t="shared" si="93"/>
        <v>0</v>
      </c>
      <c r="AH103" s="2">
        <f t="shared" ref="AH103:AI106" si="113">(EW103)</f>
        <v>0</v>
      </c>
      <c r="AI103" s="2">
        <f t="shared" si="113"/>
        <v>0</v>
      </c>
      <c r="AJ103" s="2">
        <f t="shared" si="94"/>
        <v>0</v>
      </c>
      <c r="AK103" s="2">
        <v>253.95</v>
      </c>
      <c r="AL103" s="2">
        <v>253.95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172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95"/>
        <v>253.95</v>
      </c>
      <c r="CQ103" s="2">
        <f t="shared" si="111"/>
        <v>253.95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97"/>
        <v>0</v>
      </c>
      <c r="CU103" s="2">
        <f t="shared" si="98"/>
        <v>0</v>
      </c>
      <c r="CV103" s="2">
        <f t="shared" si="99"/>
        <v>0</v>
      </c>
      <c r="CW103" s="2">
        <f t="shared" si="100"/>
        <v>0</v>
      </c>
      <c r="CX103" s="2">
        <f t="shared" si="101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148</v>
      </c>
      <c r="DW103" s="2" t="s">
        <v>148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55393630</v>
      </c>
      <c r="EF103" s="2">
        <v>214</v>
      </c>
      <c r="EG103" s="2" t="s">
        <v>149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149</v>
      </c>
      <c r="EM103" s="2" t="s">
        <v>150</v>
      </c>
      <c r="EN103" s="2"/>
      <c r="EO103" s="2" t="s">
        <v>3</v>
      </c>
      <c r="EP103" s="2"/>
      <c r="EQ103" s="2">
        <v>16</v>
      </c>
      <c r="ER103" s="2">
        <v>0</v>
      </c>
      <c r="ES103" s="2">
        <v>253.95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253.95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174</v>
      </c>
      <c r="GB103" s="2"/>
      <c r="GC103" s="2"/>
      <c r="GD103" s="2">
        <v>1</v>
      </c>
      <c r="GE103" s="2"/>
      <c r="GF103" s="2">
        <v>-352561926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102"/>
        <v>0</v>
      </c>
      <c r="GM103" s="2">
        <f t="shared" si="103"/>
        <v>253.95</v>
      </c>
      <c r="GN103" s="2">
        <f t="shared" si="104"/>
        <v>0</v>
      </c>
      <c r="GO103" s="2">
        <f t="shared" si="105"/>
        <v>0</v>
      </c>
      <c r="GP103" s="2">
        <f t="shared" si="106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107"/>
        <v>0</v>
      </c>
      <c r="GW103" s="2">
        <v>1</v>
      </c>
      <c r="GX103" s="2">
        <f t="shared" si="108"/>
        <v>0</v>
      </c>
      <c r="GY103" s="2"/>
      <c r="GZ103" s="2"/>
      <c r="HA103" s="2">
        <v>0</v>
      </c>
      <c r="HB103" s="2">
        <v>0</v>
      </c>
      <c r="HC103" s="2">
        <f t="shared" si="109"/>
        <v>0</v>
      </c>
      <c r="HD103" s="2"/>
      <c r="HE103" s="2" t="s">
        <v>37</v>
      </c>
      <c r="HF103" s="2" t="s">
        <v>152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5">
      <c r="A104" s="3">
        <v>17</v>
      </c>
      <c r="B104" s="3">
        <v>1</v>
      </c>
      <c r="E104" s="3" t="s">
        <v>171</v>
      </c>
      <c r="F104" s="3" t="s">
        <v>172</v>
      </c>
      <c r="G104" s="3" t="s">
        <v>173</v>
      </c>
      <c r="H104" s="3" t="s">
        <v>148</v>
      </c>
      <c r="I104" s="3">
        <v>1</v>
      </c>
      <c r="J104" s="3">
        <v>0</v>
      </c>
      <c r="K104" s="3">
        <v>1</v>
      </c>
      <c r="O104" s="3">
        <f t="shared" si="85"/>
        <v>1922.4</v>
      </c>
      <c r="P104" s="3">
        <f t="shared" si="110"/>
        <v>1922.4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87"/>
        <v>0</v>
      </c>
      <c r="T104" s="3">
        <f t="shared" si="88"/>
        <v>0</v>
      </c>
      <c r="U104" s="3">
        <f t="shared" si="89"/>
        <v>0</v>
      </c>
      <c r="V104" s="3">
        <f t="shared" si="90"/>
        <v>0</v>
      </c>
      <c r="W104" s="3">
        <f t="shared" si="91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55917799</v>
      </c>
      <c r="AB104" s="3">
        <f t="shared" si="92"/>
        <v>253.95</v>
      </c>
      <c r="AC104" s="3">
        <f>ROUND((ES104),6)</f>
        <v>253.95</v>
      </c>
      <c r="AD104" s="3">
        <f>ROUND((((ET104)-(EU104))+AE104),6)</f>
        <v>0</v>
      </c>
      <c r="AE104" s="3">
        <f t="shared" si="112"/>
        <v>0</v>
      </c>
      <c r="AF104" s="3">
        <f t="shared" si="112"/>
        <v>0</v>
      </c>
      <c r="AG104" s="3">
        <f t="shared" si="93"/>
        <v>0</v>
      </c>
      <c r="AH104" s="3">
        <f t="shared" si="113"/>
        <v>0</v>
      </c>
      <c r="AI104" s="3">
        <f t="shared" si="113"/>
        <v>0</v>
      </c>
      <c r="AJ104" s="3">
        <f t="shared" si="94"/>
        <v>0</v>
      </c>
      <c r="AK104" s="3">
        <v>253.95</v>
      </c>
      <c r="AL104" s="3">
        <v>253.95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7.57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172</v>
      </c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95"/>
        <v>1922.4</v>
      </c>
      <c r="CQ104" s="3">
        <f t="shared" si="111"/>
        <v>1922.4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97"/>
        <v>0</v>
      </c>
      <c r="CU104" s="3">
        <f t="shared" si="98"/>
        <v>0</v>
      </c>
      <c r="CV104" s="3">
        <f t="shared" si="99"/>
        <v>0</v>
      </c>
      <c r="CW104" s="3">
        <f t="shared" si="100"/>
        <v>0</v>
      </c>
      <c r="CX104" s="3">
        <f t="shared" si="101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148</v>
      </c>
      <c r="DW104" s="3" t="s">
        <v>148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55393630</v>
      </c>
      <c r="EF104" s="3">
        <v>214</v>
      </c>
      <c r="EG104" s="3" t="s">
        <v>149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149</v>
      </c>
      <c r="EM104" s="3" t="s">
        <v>150</v>
      </c>
      <c r="EO104" s="3" t="s">
        <v>3</v>
      </c>
      <c r="EQ104" s="3">
        <v>16</v>
      </c>
      <c r="ER104" s="3">
        <v>0</v>
      </c>
      <c r="ES104" s="3">
        <v>253.95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5</v>
      </c>
      <c r="FC104" s="3">
        <v>1</v>
      </c>
      <c r="FD104" s="3">
        <v>18</v>
      </c>
      <c r="FF104" s="3">
        <v>2250</v>
      </c>
      <c r="FQ104" s="3">
        <v>0</v>
      </c>
      <c r="FR104" s="3">
        <f>P104</f>
        <v>1922.4</v>
      </c>
      <c r="FS104" s="3">
        <v>0</v>
      </c>
      <c r="FX104" s="3">
        <v>0</v>
      </c>
      <c r="FY104" s="3">
        <v>0</v>
      </c>
      <c r="GA104" s="3" t="s">
        <v>174</v>
      </c>
      <c r="GD104" s="3">
        <v>1</v>
      </c>
      <c r="GF104" s="3">
        <v>-352561926</v>
      </c>
      <c r="GG104" s="3">
        <v>2</v>
      </c>
      <c r="GH104" s="3">
        <v>3</v>
      </c>
      <c r="GI104" s="3">
        <v>5</v>
      </c>
      <c r="GJ104" s="3">
        <v>0</v>
      </c>
      <c r="GK104" s="3">
        <v>0</v>
      </c>
      <c r="GL104" s="3">
        <f t="shared" si="102"/>
        <v>0</v>
      </c>
      <c r="GM104" s="3">
        <f t="shared" si="103"/>
        <v>1922.4</v>
      </c>
      <c r="GN104" s="3">
        <f t="shared" si="104"/>
        <v>0</v>
      </c>
      <c r="GO104" s="3">
        <f t="shared" si="105"/>
        <v>0</v>
      </c>
      <c r="GP104" s="3">
        <f t="shared" si="106"/>
        <v>0</v>
      </c>
      <c r="GR104" s="3">
        <v>1</v>
      </c>
      <c r="GS104" s="3">
        <v>1</v>
      </c>
      <c r="GT104" s="3">
        <v>0</v>
      </c>
      <c r="GU104" s="3" t="s">
        <v>3</v>
      </c>
      <c r="GV104" s="3">
        <f t="shared" si="107"/>
        <v>0</v>
      </c>
      <c r="GW104" s="3">
        <v>1</v>
      </c>
      <c r="GX104" s="3">
        <f t="shared" si="108"/>
        <v>0</v>
      </c>
      <c r="HA104" s="3">
        <v>0</v>
      </c>
      <c r="HB104" s="3">
        <v>0</v>
      </c>
      <c r="HC104" s="3">
        <f t="shared" si="109"/>
        <v>0</v>
      </c>
      <c r="HE104" s="3" t="s">
        <v>37</v>
      </c>
      <c r="HF104" s="3" t="s">
        <v>152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5">
      <c r="A105" s="2">
        <v>17</v>
      </c>
      <c r="B105" s="2">
        <v>1</v>
      </c>
      <c r="C105" s="2"/>
      <c r="D105" s="2"/>
      <c r="E105" s="2" t="s">
        <v>175</v>
      </c>
      <c r="F105" s="2" t="s">
        <v>176</v>
      </c>
      <c r="G105" s="2" t="s">
        <v>177</v>
      </c>
      <c r="H105" s="2" t="s">
        <v>164</v>
      </c>
      <c r="I105" s="2">
        <v>4</v>
      </c>
      <c r="J105" s="2">
        <v>0</v>
      </c>
      <c r="K105" s="2">
        <v>4</v>
      </c>
      <c r="L105" s="2"/>
      <c r="M105" s="2"/>
      <c r="N105" s="2"/>
      <c r="O105" s="2">
        <f t="shared" si="85"/>
        <v>122.76</v>
      </c>
      <c r="P105" s="2">
        <f t="shared" si="110"/>
        <v>122.76</v>
      </c>
      <c r="Q105" s="2">
        <f>(ROUND((ROUND(((ET105)*AV105*I105),2)*BB105),2)+ROUND((ROUND(((AE105-(EU105))*AV105*I105),2)*BS105),2))</f>
        <v>0</v>
      </c>
      <c r="R105" s="2">
        <f>(ROUND((ROUND(((EU105)*AV105*I105),2)*BS105),2)+ROUND((ROUND(((AE105-(EU105))*AV105*I105),2)*BS105),2))</f>
        <v>0</v>
      </c>
      <c r="S105" s="2">
        <f t="shared" si="87"/>
        <v>0</v>
      </c>
      <c r="T105" s="2">
        <f t="shared" si="88"/>
        <v>0</v>
      </c>
      <c r="U105" s="2">
        <f t="shared" si="89"/>
        <v>0</v>
      </c>
      <c r="V105" s="2">
        <f t="shared" si="90"/>
        <v>0</v>
      </c>
      <c r="W105" s="2">
        <f t="shared" si="91"/>
        <v>0</v>
      </c>
      <c r="X105" s="2">
        <f>(ROUND((((S105+ROUND((ROUND(((EU105)*AV105*I105),2)*BS105),2))*AT105)/100),2)+ROUND(((ROUND((ROUND(((AE105-(EU105))*AV105*I105),2)*BS105),2)*AT105)/100),2))</f>
        <v>0</v>
      </c>
      <c r="Y105" s="2">
        <f>(ROUND((((S105+ROUND((ROUND(((EU105)*AV105*I105),2)*BS105),2))*AU105)/100),2)+ROUND(((ROUND((ROUND(((AE105-(EU105))*AV105*I105),2)*BS105),2)*AU105)/100),2))</f>
        <v>0</v>
      </c>
      <c r="Z105" s="2"/>
      <c r="AA105" s="2">
        <v>55917797</v>
      </c>
      <c r="AB105" s="2">
        <f t="shared" si="92"/>
        <v>30.69</v>
      </c>
      <c r="AC105" s="2">
        <f>ROUND((ES105),6)</f>
        <v>30.69</v>
      </c>
      <c r="AD105" s="2">
        <f>ROUND((((ET105)-(EU105))+AE105),6)</f>
        <v>0</v>
      </c>
      <c r="AE105" s="2">
        <f t="shared" si="112"/>
        <v>0</v>
      </c>
      <c r="AF105" s="2">
        <f t="shared" si="112"/>
        <v>0</v>
      </c>
      <c r="AG105" s="2">
        <f t="shared" si="93"/>
        <v>0</v>
      </c>
      <c r="AH105" s="2">
        <f t="shared" si="113"/>
        <v>0</v>
      </c>
      <c r="AI105" s="2">
        <f t="shared" si="113"/>
        <v>0</v>
      </c>
      <c r="AJ105" s="2">
        <f t="shared" si="94"/>
        <v>0</v>
      </c>
      <c r="AK105" s="2">
        <v>30.69</v>
      </c>
      <c r="AL105" s="2">
        <v>30.69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2</v>
      </c>
      <c r="BJ105" s="2" t="s">
        <v>178</v>
      </c>
      <c r="BK105" s="2"/>
      <c r="BL105" s="2"/>
      <c r="BM105" s="2">
        <v>1618</v>
      </c>
      <c r="BN105" s="2">
        <v>0</v>
      </c>
      <c r="BO105" s="2" t="s">
        <v>3</v>
      </c>
      <c r="BP105" s="2">
        <v>0</v>
      </c>
      <c r="BQ105" s="2">
        <v>201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0</v>
      </c>
      <c r="CA105" s="2">
        <v>0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3</v>
      </c>
      <c r="CO105" s="2">
        <v>0</v>
      </c>
      <c r="CP105" s="2">
        <f t="shared" si="95"/>
        <v>122.76</v>
      </c>
      <c r="CQ105" s="2">
        <f t="shared" si="111"/>
        <v>30.69</v>
      </c>
      <c r="CR105" s="2">
        <f>(ROUND((ROUND(((ET105)*AV105*1),2)*BB105),2)+ROUND((ROUND(((AE105-(EU105))*AV105*1),2)*BS105),2))</f>
        <v>0</v>
      </c>
      <c r="CS105" s="2">
        <f>(ROUND((ROUND(((EU105)*AV105*1),2)*BS105),2)+ROUND((ROUND(((AE105-(EU105))*AV105*1),2)*BS105),2))</f>
        <v>0</v>
      </c>
      <c r="CT105" s="2">
        <f t="shared" si="97"/>
        <v>0</v>
      </c>
      <c r="CU105" s="2">
        <f t="shared" si="98"/>
        <v>0</v>
      </c>
      <c r="CV105" s="2">
        <f t="shared" si="99"/>
        <v>0</v>
      </c>
      <c r="CW105" s="2">
        <f t="shared" si="100"/>
        <v>0</v>
      </c>
      <c r="CX105" s="2">
        <f t="shared" si="101"/>
        <v>0</v>
      </c>
      <c r="CY105" s="2">
        <f>(ROUND((((S105+ROUND((ROUND(((EU105)*AV105*1),2)*BS105),2))*AT105)/100),2)+ROUND(((ROUND((ROUND(((AE105-(EU105))*AV105*1),2)*BS105),2)*AT105)/100),2))</f>
        <v>0</v>
      </c>
      <c r="CZ105" s="2">
        <f>(ROUND((((S105+ROUND((ROUND(((EU105)*AV105*1),2)*BS105),2))*AU105)/100),2)+ROUND(((ROUND((ROUND(((AE105-(EU105))*AV105*1),2)*BS105),2)*AU105)/100),2))</f>
        <v>0</v>
      </c>
      <c r="DA105" s="2"/>
      <c r="DB105" s="2"/>
      <c r="DC105" s="2" t="s">
        <v>3</v>
      </c>
      <c r="DD105" s="2" t="s">
        <v>3</v>
      </c>
      <c r="DE105" s="2" t="s">
        <v>3</v>
      </c>
      <c r="DF105" s="2" t="s">
        <v>3</v>
      </c>
      <c r="DG105" s="2" t="s">
        <v>3</v>
      </c>
      <c r="DH105" s="2" t="s">
        <v>3</v>
      </c>
      <c r="DI105" s="2" t="s">
        <v>3</v>
      </c>
      <c r="DJ105" s="2" t="s">
        <v>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1010</v>
      </c>
      <c r="DV105" s="2" t="s">
        <v>164</v>
      </c>
      <c r="DW105" s="2" t="s">
        <v>164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55393729</v>
      </c>
      <c r="EF105" s="2">
        <v>201</v>
      </c>
      <c r="EG105" s="2" t="s">
        <v>179</v>
      </c>
      <c r="EH105" s="2">
        <v>0</v>
      </c>
      <c r="EI105" s="2" t="s">
        <v>3</v>
      </c>
      <c r="EJ105" s="2">
        <v>2</v>
      </c>
      <c r="EK105" s="2">
        <v>1618</v>
      </c>
      <c r="EL105" s="2" t="s">
        <v>180</v>
      </c>
      <c r="EM105" s="2" t="s">
        <v>181</v>
      </c>
      <c r="EN105" s="2"/>
      <c r="EO105" s="2" t="s">
        <v>3</v>
      </c>
      <c r="EP105" s="2"/>
      <c r="EQ105" s="2">
        <v>0</v>
      </c>
      <c r="ER105" s="2">
        <v>30.69</v>
      </c>
      <c r="ES105" s="2">
        <v>30.69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0</v>
      </c>
      <c r="FY105" s="2">
        <v>0</v>
      </c>
      <c r="FZ105" s="2"/>
      <c r="GA105" s="2" t="s">
        <v>3</v>
      </c>
      <c r="GB105" s="2"/>
      <c r="GC105" s="2"/>
      <c r="GD105" s="2">
        <v>1</v>
      </c>
      <c r="GE105" s="2"/>
      <c r="GF105" s="2">
        <v>907770592</v>
      </c>
      <c r="GG105" s="2">
        <v>2</v>
      </c>
      <c r="GH105" s="2">
        <v>1</v>
      </c>
      <c r="GI105" s="2">
        <v>-2</v>
      </c>
      <c r="GJ105" s="2">
        <v>0</v>
      </c>
      <c r="GK105" s="2">
        <v>0</v>
      </c>
      <c r="GL105" s="2">
        <f t="shared" si="102"/>
        <v>0</v>
      </c>
      <c r="GM105" s="2">
        <f t="shared" si="103"/>
        <v>122.76</v>
      </c>
      <c r="GN105" s="2">
        <f t="shared" si="104"/>
        <v>0</v>
      </c>
      <c r="GO105" s="2">
        <f t="shared" si="105"/>
        <v>122.76</v>
      </c>
      <c r="GP105" s="2">
        <f t="shared" si="106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107"/>
        <v>0</v>
      </c>
      <c r="GW105" s="2">
        <v>1</v>
      </c>
      <c r="GX105" s="2">
        <f t="shared" si="108"/>
        <v>0</v>
      </c>
      <c r="GY105" s="2"/>
      <c r="GZ105" s="2"/>
      <c r="HA105" s="2">
        <v>0</v>
      </c>
      <c r="HB105" s="2">
        <v>0</v>
      </c>
      <c r="HC105" s="2">
        <f t="shared" si="109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5">
      <c r="A106" s="3">
        <v>17</v>
      </c>
      <c r="B106" s="3">
        <v>1</v>
      </c>
      <c r="E106" s="3" t="s">
        <v>175</v>
      </c>
      <c r="F106" s="3" t="s">
        <v>176</v>
      </c>
      <c r="G106" s="3" t="s">
        <v>177</v>
      </c>
      <c r="H106" s="3" t="s">
        <v>164</v>
      </c>
      <c r="I106" s="3">
        <v>4</v>
      </c>
      <c r="J106" s="3">
        <v>0</v>
      </c>
      <c r="K106" s="3">
        <v>4</v>
      </c>
      <c r="O106" s="3">
        <f t="shared" si="85"/>
        <v>707.1</v>
      </c>
      <c r="P106" s="3">
        <f t="shared" si="110"/>
        <v>707.1</v>
      </c>
      <c r="Q106" s="3">
        <f>(ROUND((ROUND(((ET106)*AV106*I106),2)*BB106),2)+ROUND((ROUND(((AE106-(EU106))*AV106*I106),2)*BS106),2))</f>
        <v>0</v>
      </c>
      <c r="R106" s="3">
        <f>(ROUND((ROUND(((EU106)*AV106*I106),2)*BS106),2)+ROUND((ROUND(((AE106-(EU106))*AV106*I106),2)*BS106),2))</f>
        <v>0</v>
      </c>
      <c r="S106" s="3">
        <f t="shared" si="87"/>
        <v>0</v>
      </c>
      <c r="T106" s="3">
        <f t="shared" si="88"/>
        <v>0</v>
      </c>
      <c r="U106" s="3">
        <f t="shared" si="89"/>
        <v>0</v>
      </c>
      <c r="V106" s="3">
        <f t="shared" si="90"/>
        <v>0</v>
      </c>
      <c r="W106" s="3">
        <f t="shared" si="91"/>
        <v>0</v>
      </c>
      <c r="X106" s="3">
        <f>(ROUND((((S106+ROUND((ROUND(((EU106)*AV106*I106),2)*BS106),2))*AT106)/100),2)+ROUND(((ROUND((ROUND(((AE106-(EU106))*AV106*I106),2)*BS106),2)*AT106)/100),2))</f>
        <v>0</v>
      </c>
      <c r="Y106" s="3">
        <f>(ROUND((((S106+ROUND((ROUND(((EU106)*AV106*I106),2)*BS106),2))*AU106)/100),2)+ROUND(((ROUND((ROUND(((AE106-(EU106))*AV106*I106),2)*BS106),2)*AU106)/100),2))</f>
        <v>0</v>
      </c>
      <c r="AA106" s="3">
        <v>55917799</v>
      </c>
      <c r="AB106" s="3">
        <f t="shared" si="92"/>
        <v>30.69</v>
      </c>
      <c r="AC106" s="3">
        <f>ROUND((ES106),6)</f>
        <v>30.69</v>
      </c>
      <c r="AD106" s="3">
        <f>ROUND((((ET106)-(EU106))+AE106),6)</f>
        <v>0</v>
      </c>
      <c r="AE106" s="3">
        <f t="shared" si="112"/>
        <v>0</v>
      </c>
      <c r="AF106" s="3">
        <f t="shared" si="112"/>
        <v>0</v>
      </c>
      <c r="AG106" s="3">
        <f t="shared" si="93"/>
        <v>0</v>
      </c>
      <c r="AH106" s="3">
        <f t="shared" si="113"/>
        <v>0</v>
      </c>
      <c r="AI106" s="3">
        <f t="shared" si="113"/>
        <v>0</v>
      </c>
      <c r="AJ106" s="3">
        <f t="shared" si="94"/>
        <v>0</v>
      </c>
      <c r="AK106" s="3">
        <v>30.69</v>
      </c>
      <c r="AL106" s="3">
        <v>30.69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1</v>
      </c>
      <c r="AW106" s="3">
        <v>1</v>
      </c>
      <c r="AZ106" s="3">
        <v>1</v>
      </c>
      <c r="BA106" s="3">
        <v>1</v>
      </c>
      <c r="BB106" s="3">
        <v>1</v>
      </c>
      <c r="BC106" s="3">
        <v>5.76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3</v>
      </c>
      <c r="BI106" s="3">
        <v>2</v>
      </c>
      <c r="BJ106" s="3" t="s">
        <v>178</v>
      </c>
      <c r="BM106" s="3">
        <v>1618</v>
      </c>
      <c r="BN106" s="3">
        <v>0</v>
      </c>
      <c r="BO106" s="3" t="s">
        <v>176</v>
      </c>
      <c r="BP106" s="3">
        <v>1</v>
      </c>
      <c r="BQ106" s="3">
        <v>201</v>
      </c>
      <c r="BR106" s="3">
        <v>0</v>
      </c>
      <c r="BS106" s="3">
        <v>1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0</v>
      </c>
      <c r="CA106" s="3">
        <v>0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3</v>
      </c>
      <c r="CO106" s="3">
        <v>0</v>
      </c>
      <c r="CP106" s="3">
        <f t="shared" si="95"/>
        <v>707.1</v>
      </c>
      <c r="CQ106" s="3">
        <f t="shared" si="111"/>
        <v>176.77</v>
      </c>
      <c r="CR106" s="3">
        <f>(ROUND((ROUND(((ET106)*AV106*1),2)*BB106),2)+ROUND((ROUND(((AE106-(EU106))*AV106*1),2)*BS106),2))</f>
        <v>0</v>
      </c>
      <c r="CS106" s="3">
        <f>(ROUND((ROUND(((EU106)*AV106*1),2)*BS106),2)+ROUND((ROUND(((AE106-(EU106))*AV106*1),2)*BS106),2))</f>
        <v>0</v>
      </c>
      <c r="CT106" s="3">
        <f t="shared" si="97"/>
        <v>0</v>
      </c>
      <c r="CU106" s="3">
        <f t="shared" si="98"/>
        <v>0</v>
      </c>
      <c r="CV106" s="3">
        <f t="shared" si="99"/>
        <v>0</v>
      </c>
      <c r="CW106" s="3">
        <f t="shared" si="100"/>
        <v>0</v>
      </c>
      <c r="CX106" s="3">
        <f t="shared" si="101"/>
        <v>0</v>
      </c>
      <c r="CY106" s="3">
        <f>(ROUND((((S106+ROUND((ROUND(((EU106)*AV106*1),2)*BS106),2))*AT106)/100),2)+ROUND(((ROUND((ROUND(((AE106-(EU106))*AV106*1),2)*BS106),2)*AT106)/100),2))</f>
        <v>0</v>
      </c>
      <c r="CZ106" s="3">
        <f>(ROUND((((S106+ROUND((ROUND(((EU106)*AV106*1),2)*BS106),2))*AU106)/100),2)+ROUND(((ROUND((ROUND(((AE106-(EU106))*AV106*1),2)*BS106),2)*AU106)/100),2))</f>
        <v>0</v>
      </c>
      <c r="DC106" s="3" t="s">
        <v>3</v>
      </c>
      <c r="DD106" s="3" t="s">
        <v>3</v>
      </c>
      <c r="DE106" s="3" t="s">
        <v>3</v>
      </c>
      <c r="DF106" s="3" t="s">
        <v>3</v>
      </c>
      <c r="DG106" s="3" t="s">
        <v>3</v>
      </c>
      <c r="DH106" s="3" t="s">
        <v>3</v>
      </c>
      <c r="DI106" s="3" t="s">
        <v>3</v>
      </c>
      <c r="DJ106" s="3" t="s">
        <v>3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1010</v>
      </c>
      <c r="DV106" s="3" t="s">
        <v>164</v>
      </c>
      <c r="DW106" s="3" t="s">
        <v>164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55393729</v>
      </c>
      <c r="EF106" s="3">
        <v>201</v>
      </c>
      <c r="EG106" s="3" t="s">
        <v>179</v>
      </c>
      <c r="EH106" s="3">
        <v>0</v>
      </c>
      <c r="EI106" s="3" t="s">
        <v>3</v>
      </c>
      <c r="EJ106" s="3">
        <v>2</v>
      </c>
      <c r="EK106" s="3">
        <v>1618</v>
      </c>
      <c r="EL106" s="3" t="s">
        <v>180</v>
      </c>
      <c r="EM106" s="3" t="s">
        <v>181</v>
      </c>
      <c r="EO106" s="3" t="s">
        <v>3</v>
      </c>
      <c r="EQ106" s="3">
        <v>0</v>
      </c>
      <c r="ER106" s="3">
        <v>30.69</v>
      </c>
      <c r="ES106" s="3">
        <v>30.69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0</v>
      </c>
      <c r="FY106" s="3">
        <v>0</v>
      </c>
      <c r="GA106" s="3" t="s">
        <v>3</v>
      </c>
      <c r="GD106" s="3">
        <v>1</v>
      </c>
      <c r="GF106" s="3">
        <v>907770592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102"/>
        <v>0</v>
      </c>
      <c r="GM106" s="3">
        <f t="shared" si="103"/>
        <v>707.1</v>
      </c>
      <c r="GN106" s="3">
        <f t="shared" si="104"/>
        <v>0</v>
      </c>
      <c r="GO106" s="3">
        <f t="shared" si="105"/>
        <v>707.1</v>
      </c>
      <c r="GP106" s="3">
        <f t="shared" si="106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107"/>
        <v>0</v>
      </c>
      <c r="GW106" s="3">
        <v>1</v>
      </c>
      <c r="GX106" s="3">
        <f t="shared" si="108"/>
        <v>0</v>
      </c>
      <c r="HA106" s="3">
        <v>0</v>
      </c>
      <c r="HB106" s="3">
        <v>0</v>
      </c>
      <c r="HC106" s="3">
        <f t="shared" si="109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5">
      <c r="A107" s="2">
        <v>17</v>
      </c>
      <c r="B107" s="2">
        <v>1</v>
      </c>
      <c r="C107" s="2">
        <f>ROW(SmtRes!A222)</f>
        <v>222</v>
      </c>
      <c r="D107" s="2">
        <f>ROW(EtalonRes!A250)</f>
        <v>250</v>
      </c>
      <c r="E107" s="2" t="s">
        <v>182</v>
      </c>
      <c r="F107" s="2" t="s">
        <v>47</v>
      </c>
      <c r="G107" s="2" t="s">
        <v>183</v>
      </c>
      <c r="H107" s="2" t="s">
        <v>49</v>
      </c>
      <c r="I107" s="2">
        <f>ROUND(7/100,9)</f>
        <v>7.0000000000000007E-2</v>
      </c>
      <c r="J107" s="2">
        <v>0</v>
      </c>
      <c r="K107" s="2">
        <f>ROUND(7/100,9)</f>
        <v>7.0000000000000007E-2</v>
      </c>
      <c r="L107" s="2"/>
      <c r="M107" s="2"/>
      <c r="N107" s="2"/>
      <c r="O107" s="2">
        <f t="shared" si="85"/>
        <v>30.5</v>
      </c>
      <c r="P107" s="2">
        <f t="shared" si="110"/>
        <v>5.99</v>
      </c>
      <c r="Q107" s="2">
        <f>(ROUND((ROUND((((ET107*1.2))*AV107*I107),2)*BB107),2)+ROUND((ROUND(((AE107-((EU107*1.2)))*AV107*I107),2)*BS107),2))</f>
        <v>0</v>
      </c>
      <c r="R107" s="2">
        <f>(ROUND((ROUND((((EU107*1.2))*AV107*I107),2)*BS107),2)+ROUND((ROUND(((AE107-((EU107*1.2)))*AV107*I107),2)*BS107),2))</f>
        <v>0</v>
      </c>
      <c r="S107" s="2">
        <f t="shared" si="87"/>
        <v>24.51</v>
      </c>
      <c r="T107" s="2">
        <f t="shared" si="88"/>
        <v>0</v>
      </c>
      <c r="U107" s="2">
        <f t="shared" si="89"/>
        <v>2.1107519999999997</v>
      </c>
      <c r="V107" s="2">
        <f t="shared" si="90"/>
        <v>0</v>
      </c>
      <c r="W107" s="2">
        <f t="shared" si="91"/>
        <v>0</v>
      </c>
      <c r="X107" s="2">
        <f>(ROUND((((S107+ROUND((ROUND((((EU107*1.2))*AV107*I107),2)*BS107),2))*AT107)/100),2)+ROUND(((ROUND((ROUND(((AE107-((EU107*1.2)))*AV107*I107),2)*BS107),2)*AT107)/100),2))</f>
        <v>22.06</v>
      </c>
      <c r="Y107" s="2">
        <f>(ROUND((((S107+ROUND((ROUND((((EU107*1.2))*AV107*I107),2)*BS107),2))*AU107)/100),2)+ROUND(((ROUND((ROUND(((AE107-((EU107*1.2)))*AV107*I107),2)*BS107),2)*AU107)/100),2))</f>
        <v>11.27</v>
      </c>
      <c r="Z107" s="2"/>
      <c r="AA107" s="2">
        <v>55917797</v>
      </c>
      <c r="AB107" s="2">
        <f t="shared" si="92"/>
        <v>419.96800000000002</v>
      </c>
      <c r="AC107" s="2">
        <f>ROUND(((ES107*1)),6)</f>
        <v>85.6</v>
      </c>
      <c r="AD107" s="2">
        <f>ROUND(((((ET107*1.2))-((EU107*1.2)))+AE107),6)</f>
        <v>0</v>
      </c>
      <c r="AE107" s="2">
        <f>ROUND(((EU107*1.2)),6)</f>
        <v>0</v>
      </c>
      <c r="AF107" s="2">
        <f>ROUND(((EV107*1.2)),6)</f>
        <v>334.36799999999999</v>
      </c>
      <c r="AG107" s="2">
        <f t="shared" si="93"/>
        <v>0</v>
      </c>
      <c r="AH107" s="2">
        <f>((EW107*1.2))</f>
        <v>28.799999999999997</v>
      </c>
      <c r="AI107" s="2">
        <f>((EX107*1.2))</f>
        <v>0</v>
      </c>
      <c r="AJ107" s="2">
        <f t="shared" si="94"/>
        <v>0</v>
      </c>
      <c r="AK107" s="2">
        <v>364.24</v>
      </c>
      <c r="AL107" s="2">
        <v>85.6</v>
      </c>
      <c r="AM107" s="2">
        <v>0</v>
      </c>
      <c r="AN107" s="2">
        <v>0</v>
      </c>
      <c r="AO107" s="2">
        <v>278.64</v>
      </c>
      <c r="AP107" s="2">
        <v>0</v>
      </c>
      <c r="AQ107" s="2">
        <v>24</v>
      </c>
      <c r="AR107" s="2">
        <v>0</v>
      </c>
      <c r="AS107" s="2">
        <v>0</v>
      </c>
      <c r="AT107" s="2">
        <v>90</v>
      </c>
      <c r="AU107" s="2">
        <v>46</v>
      </c>
      <c r="AV107" s="2">
        <v>1.0469999999999999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2</v>
      </c>
      <c r="BJ107" s="2" t="s">
        <v>50</v>
      </c>
      <c r="BK107" s="2"/>
      <c r="BL107" s="2"/>
      <c r="BM107" s="2">
        <v>68</v>
      </c>
      <c r="BN107" s="2">
        <v>0</v>
      </c>
      <c r="BO107" s="2" t="s">
        <v>47</v>
      </c>
      <c r="BP107" s="2">
        <v>1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90</v>
      </c>
      <c r="CA107" s="2">
        <v>46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618</v>
      </c>
      <c r="CO107" s="2">
        <v>0</v>
      </c>
      <c r="CP107" s="2">
        <f t="shared" si="95"/>
        <v>30.5</v>
      </c>
      <c r="CQ107" s="2">
        <f t="shared" si="111"/>
        <v>85.6</v>
      </c>
      <c r="CR107" s="2">
        <f>(ROUND((ROUND((((ET107*1.2))*AV107*1),2)*BB107),2)+ROUND((ROUND(((AE107-((EU107*1.2)))*AV107*1),2)*BS107),2))</f>
        <v>0</v>
      </c>
      <c r="CS107" s="2">
        <f>(ROUND((ROUND((((EU107*1.2))*AV107*1),2)*BS107),2)+ROUND((ROUND(((AE107-((EU107*1.2)))*AV107*1),2)*BS107),2))</f>
        <v>0</v>
      </c>
      <c r="CT107" s="2">
        <f t="shared" si="97"/>
        <v>350.08</v>
      </c>
      <c r="CU107" s="2">
        <f t="shared" si="98"/>
        <v>0</v>
      </c>
      <c r="CV107" s="2">
        <f t="shared" si="99"/>
        <v>30.153599999999994</v>
      </c>
      <c r="CW107" s="2">
        <f t="shared" si="100"/>
        <v>0</v>
      </c>
      <c r="CX107" s="2">
        <f t="shared" si="101"/>
        <v>0</v>
      </c>
      <c r="CY107" s="2">
        <f>(ROUND((((S107+ROUND((ROUND((((EU107*1.2))*AV107*1),2)*BS107),2))*AT107)/100),2)+ROUND(((ROUND((ROUND(((AE107-((EU107*1.2)))*AV107*1),2)*BS107),2)*AT107)/100),2))</f>
        <v>22.06</v>
      </c>
      <c r="CZ107" s="2">
        <f>(ROUND((((S107+ROUND((ROUND((((EU107*1.2))*AV107*1),2)*BS107),2))*AU107)/100),2)+ROUND(((ROUND((ROUND(((AE107-((EU107*1.2)))*AV107*1),2)*BS107),2)*AU107)/100),2))</f>
        <v>11.27</v>
      </c>
      <c r="DA107" s="2"/>
      <c r="DB107" s="2">
        <v>57</v>
      </c>
      <c r="DC107" s="2" t="s">
        <v>3</v>
      </c>
      <c r="DD107" s="2" t="s">
        <v>55</v>
      </c>
      <c r="DE107" s="2" t="s">
        <v>56</v>
      </c>
      <c r="DF107" s="2" t="s">
        <v>56</v>
      </c>
      <c r="DG107" s="2" t="s">
        <v>56</v>
      </c>
      <c r="DH107" s="2" t="s">
        <v>3</v>
      </c>
      <c r="DI107" s="2" t="s">
        <v>56</v>
      </c>
      <c r="DJ107" s="2" t="s">
        <v>56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1010</v>
      </c>
      <c r="DV107" s="2" t="s">
        <v>49</v>
      </c>
      <c r="DW107" s="2" t="s">
        <v>49</v>
      </c>
      <c r="DX107" s="2">
        <v>100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55393700</v>
      </c>
      <c r="EF107" s="2">
        <v>40</v>
      </c>
      <c r="EG107" s="2" t="s">
        <v>26</v>
      </c>
      <c r="EH107" s="2">
        <v>0</v>
      </c>
      <c r="EI107" s="2" t="s">
        <v>3</v>
      </c>
      <c r="EJ107" s="2">
        <v>2</v>
      </c>
      <c r="EK107" s="2">
        <v>68</v>
      </c>
      <c r="EL107" s="2" t="s">
        <v>35</v>
      </c>
      <c r="EM107" s="2" t="s">
        <v>36</v>
      </c>
      <c r="EN107" s="2"/>
      <c r="EO107" s="2" t="s">
        <v>60</v>
      </c>
      <c r="EP107" s="2"/>
      <c r="EQ107" s="2">
        <v>0</v>
      </c>
      <c r="ER107" s="2">
        <v>364.24</v>
      </c>
      <c r="ES107" s="2">
        <v>85.6</v>
      </c>
      <c r="ET107" s="2">
        <v>0</v>
      </c>
      <c r="EU107" s="2">
        <v>0</v>
      </c>
      <c r="EV107" s="2">
        <v>278.64</v>
      </c>
      <c r="EW107" s="2">
        <v>24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90</v>
      </c>
      <c r="FY107" s="2">
        <v>46</v>
      </c>
      <c r="FZ107" s="2"/>
      <c r="GA107" s="2" t="s">
        <v>3</v>
      </c>
      <c r="GB107" s="2"/>
      <c r="GC107" s="2"/>
      <c r="GD107" s="2">
        <v>1</v>
      </c>
      <c r="GE107" s="2"/>
      <c r="GF107" s="2">
        <v>-1655364999</v>
      </c>
      <c r="GG107" s="2">
        <v>2</v>
      </c>
      <c r="GH107" s="2">
        <v>1</v>
      </c>
      <c r="GI107" s="2">
        <v>2</v>
      </c>
      <c r="GJ107" s="2">
        <v>0</v>
      </c>
      <c r="GK107" s="2">
        <v>0</v>
      </c>
      <c r="GL107" s="2">
        <f t="shared" si="102"/>
        <v>0</v>
      </c>
      <c r="GM107" s="2">
        <f t="shared" si="103"/>
        <v>63.83</v>
      </c>
      <c r="GN107" s="2">
        <f t="shared" si="104"/>
        <v>0</v>
      </c>
      <c r="GO107" s="2">
        <f t="shared" si="105"/>
        <v>63.83</v>
      </c>
      <c r="GP107" s="2">
        <f t="shared" si="106"/>
        <v>0</v>
      </c>
      <c r="GQ107" s="2"/>
      <c r="GR107" s="2">
        <v>0</v>
      </c>
      <c r="GS107" s="2">
        <v>3</v>
      </c>
      <c r="GT107" s="2">
        <v>0</v>
      </c>
      <c r="GU107" s="2" t="s">
        <v>3</v>
      </c>
      <c r="GV107" s="2">
        <f t="shared" si="107"/>
        <v>0</v>
      </c>
      <c r="GW107" s="2">
        <v>1</v>
      </c>
      <c r="GX107" s="2">
        <f t="shared" si="108"/>
        <v>0</v>
      </c>
      <c r="GY107" s="2"/>
      <c r="GZ107" s="2"/>
      <c r="HA107" s="2">
        <v>0</v>
      </c>
      <c r="HB107" s="2">
        <v>0</v>
      </c>
      <c r="HC107" s="2">
        <f t="shared" si="109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5">
      <c r="A108" s="3">
        <v>17</v>
      </c>
      <c r="B108" s="3">
        <v>1</v>
      </c>
      <c r="C108" s="3">
        <f>ROW(SmtRes!A228)</f>
        <v>228</v>
      </c>
      <c r="D108" s="3">
        <f>ROW(EtalonRes!A256)</f>
        <v>256</v>
      </c>
      <c r="E108" s="3" t="s">
        <v>182</v>
      </c>
      <c r="F108" s="3" t="s">
        <v>47</v>
      </c>
      <c r="G108" s="3" t="s">
        <v>183</v>
      </c>
      <c r="H108" s="3" t="s">
        <v>49</v>
      </c>
      <c r="I108" s="3">
        <f>ROUND(7/100,9)</f>
        <v>7.0000000000000007E-2</v>
      </c>
      <c r="J108" s="3">
        <v>0</v>
      </c>
      <c r="K108" s="3">
        <f>ROUND(7/100,9)</f>
        <v>7.0000000000000007E-2</v>
      </c>
      <c r="O108" s="3">
        <f t="shared" si="85"/>
        <v>1411.45</v>
      </c>
      <c r="P108" s="3">
        <f t="shared" si="110"/>
        <v>30.31</v>
      </c>
      <c r="Q108" s="3">
        <f>(ROUND((ROUND((((ET108*1.2))*AV108*I108),2)*BB108),2)+ROUND((ROUND(((AE108-((EU108*1.2)))*AV108*I108),2)*BS108),2))</f>
        <v>0</v>
      </c>
      <c r="R108" s="3">
        <f>(ROUND((ROUND((((EU108*1.2))*AV108*I108),2)*BS108),2)+ROUND((ROUND(((AE108-((EU108*1.2)))*AV108*I108),2)*BS108),2))</f>
        <v>0</v>
      </c>
      <c r="S108" s="3">
        <f t="shared" si="87"/>
        <v>1381.14</v>
      </c>
      <c r="T108" s="3">
        <f t="shared" si="88"/>
        <v>0</v>
      </c>
      <c r="U108" s="3">
        <f t="shared" si="89"/>
        <v>2.1107519999999997</v>
      </c>
      <c r="V108" s="3">
        <f t="shared" si="90"/>
        <v>0</v>
      </c>
      <c r="W108" s="3">
        <f t="shared" si="91"/>
        <v>0</v>
      </c>
      <c r="X108" s="3">
        <f>(ROUND((((S108+ROUND((ROUND((((EU108*1.2))*AV108*I108),2)*BS108),2))*AT108)/100),2)+ROUND(((ROUND((ROUND(((AE108-((EU108*1.2)))*AV108*I108),2)*BS108),2)*AT108)/100),2))</f>
        <v>1243.03</v>
      </c>
      <c r="Y108" s="3">
        <f>(ROUND((((S108+ROUND((ROUND((((EU108*1.2))*AV108*I108),2)*BS108),2))*AU108)/100),2)+ROUND(((ROUND((ROUND(((AE108-((EU108*1.2)))*AV108*I108),2)*BS108),2)*AU108)/100),2))</f>
        <v>635.32000000000005</v>
      </c>
      <c r="AA108" s="3">
        <v>55917799</v>
      </c>
      <c r="AB108" s="3">
        <f t="shared" si="92"/>
        <v>419.96800000000002</v>
      </c>
      <c r="AC108" s="3">
        <f>ROUND(((ES108*1)),6)</f>
        <v>85.6</v>
      </c>
      <c r="AD108" s="3">
        <f>ROUND(((((ET108*1.2))-((EU108*1.2)))+AE108),6)</f>
        <v>0</v>
      </c>
      <c r="AE108" s="3">
        <f>ROUND(((EU108*1.2)),6)</f>
        <v>0</v>
      </c>
      <c r="AF108" s="3">
        <f>ROUND(((EV108*1.2)),6)</f>
        <v>334.36799999999999</v>
      </c>
      <c r="AG108" s="3">
        <f t="shared" si="93"/>
        <v>0</v>
      </c>
      <c r="AH108" s="3">
        <f>((EW108*1.2))</f>
        <v>28.799999999999997</v>
      </c>
      <c r="AI108" s="3">
        <f>((EX108*1.2))</f>
        <v>0</v>
      </c>
      <c r="AJ108" s="3">
        <f t="shared" si="94"/>
        <v>0</v>
      </c>
      <c r="AK108" s="3">
        <v>364.24</v>
      </c>
      <c r="AL108" s="3">
        <v>85.6</v>
      </c>
      <c r="AM108" s="3">
        <v>0</v>
      </c>
      <c r="AN108" s="3">
        <v>0</v>
      </c>
      <c r="AO108" s="3">
        <v>278.64</v>
      </c>
      <c r="AP108" s="3">
        <v>0</v>
      </c>
      <c r="AQ108" s="3">
        <v>24</v>
      </c>
      <c r="AR108" s="3">
        <v>0</v>
      </c>
      <c r="AS108" s="3">
        <v>0</v>
      </c>
      <c r="AT108" s="3">
        <v>90</v>
      </c>
      <c r="AU108" s="3">
        <v>46</v>
      </c>
      <c r="AV108" s="3">
        <v>1.0469999999999999</v>
      </c>
      <c r="AW108" s="3">
        <v>1</v>
      </c>
      <c r="AZ108" s="3">
        <v>1</v>
      </c>
      <c r="BA108" s="3">
        <v>56.35</v>
      </c>
      <c r="BB108" s="3">
        <v>1</v>
      </c>
      <c r="BC108" s="3">
        <v>5.0599999999999996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0</v>
      </c>
      <c r="BI108" s="3">
        <v>2</v>
      </c>
      <c r="BJ108" s="3" t="s">
        <v>50</v>
      </c>
      <c r="BM108" s="3">
        <v>68</v>
      </c>
      <c r="BN108" s="3">
        <v>0</v>
      </c>
      <c r="BO108" s="3" t="s">
        <v>47</v>
      </c>
      <c r="BP108" s="3">
        <v>1</v>
      </c>
      <c r="BQ108" s="3">
        <v>40</v>
      </c>
      <c r="BR108" s="3">
        <v>0</v>
      </c>
      <c r="BS108" s="3">
        <v>56.35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90</v>
      </c>
      <c r="CA108" s="3">
        <v>46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618</v>
      </c>
      <c r="CO108" s="3">
        <v>0</v>
      </c>
      <c r="CP108" s="3">
        <f t="shared" si="95"/>
        <v>1411.45</v>
      </c>
      <c r="CQ108" s="3">
        <f t="shared" si="111"/>
        <v>433.14</v>
      </c>
      <c r="CR108" s="3">
        <f>(ROUND((ROUND((((ET108*1.2))*AV108*1),2)*BB108),2)+ROUND((ROUND(((AE108-((EU108*1.2)))*AV108*1),2)*BS108),2))</f>
        <v>0</v>
      </c>
      <c r="CS108" s="3">
        <f>(ROUND((ROUND((((EU108*1.2))*AV108*1),2)*BS108),2)+ROUND((ROUND(((AE108-((EU108*1.2)))*AV108*1),2)*BS108),2))</f>
        <v>0</v>
      </c>
      <c r="CT108" s="3">
        <f t="shared" si="97"/>
        <v>19727.009999999998</v>
      </c>
      <c r="CU108" s="3">
        <f t="shared" si="98"/>
        <v>0</v>
      </c>
      <c r="CV108" s="3">
        <f t="shared" si="99"/>
        <v>30.153599999999994</v>
      </c>
      <c r="CW108" s="3">
        <f t="shared" si="100"/>
        <v>0</v>
      </c>
      <c r="CX108" s="3">
        <f t="shared" si="101"/>
        <v>0</v>
      </c>
      <c r="CY108" s="3">
        <f>(ROUND((((S108+ROUND((ROUND((((EU108*1.2))*AV108*1),2)*BS108),2))*AT108)/100),2)+ROUND(((ROUND((ROUND(((AE108-((EU108*1.2)))*AV108*1),2)*BS108),2)*AT108)/100),2))</f>
        <v>1243.03</v>
      </c>
      <c r="CZ108" s="3">
        <f>(ROUND((((S108+ROUND((ROUND((((EU108*1.2))*AV108*1),2)*BS108),2))*AU108)/100),2)+ROUND(((ROUND((ROUND(((AE108-((EU108*1.2)))*AV108*1),2)*BS108),2)*AU108)/100),2))</f>
        <v>635.32000000000005</v>
      </c>
      <c r="DB108" s="3">
        <v>58</v>
      </c>
      <c r="DC108" s="3" t="s">
        <v>3</v>
      </c>
      <c r="DD108" s="3" t="s">
        <v>55</v>
      </c>
      <c r="DE108" s="3" t="s">
        <v>56</v>
      </c>
      <c r="DF108" s="3" t="s">
        <v>56</v>
      </c>
      <c r="DG108" s="3" t="s">
        <v>56</v>
      </c>
      <c r="DH108" s="3" t="s">
        <v>3</v>
      </c>
      <c r="DI108" s="3" t="s">
        <v>56</v>
      </c>
      <c r="DJ108" s="3" t="s">
        <v>56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1010</v>
      </c>
      <c r="DV108" s="3" t="s">
        <v>49</v>
      </c>
      <c r="DW108" s="3" t="s">
        <v>49</v>
      </c>
      <c r="DX108" s="3">
        <v>100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55393700</v>
      </c>
      <c r="EF108" s="3">
        <v>40</v>
      </c>
      <c r="EG108" s="3" t="s">
        <v>26</v>
      </c>
      <c r="EH108" s="3">
        <v>0</v>
      </c>
      <c r="EI108" s="3" t="s">
        <v>3</v>
      </c>
      <c r="EJ108" s="3">
        <v>2</v>
      </c>
      <c r="EK108" s="3">
        <v>68</v>
      </c>
      <c r="EL108" s="3" t="s">
        <v>35</v>
      </c>
      <c r="EM108" s="3" t="s">
        <v>36</v>
      </c>
      <c r="EO108" s="3" t="s">
        <v>60</v>
      </c>
      <c r="EQ108" s="3">
        <v>0</v>
      </c>
      <c r="ER108" s="3">
        <v>364.24</v>
      </c>
      <c r="ES108" s="3">
        <v>85.6</v>
      </c>
      <c r="ET108" s="3">
        <v>0</v>
      </c>
      <c r="EU108" s="3">
        <v>0</v>
      </c>
      <c r="EV108" s="3">
        <v>278.64</v>
      </c>
      <c r="EW108" s="3">
        <v>24</v>
      </c>
      <c r="EX108" s="3">
        <v>0</v>
      </c>
      <c r="EY108" s="3">
        <v>0</v>
      </c>
      <c r="FQ108" s="3">
        <v>0</v>
      </c>
      <c r="FR108" s="3">
        <v>0</v>
      </c>
      <c r="FS108" s="3">
        <v>0</v>
      </c>
      <c r="FX108" s="3">
        <v>90</v>
      </c>
      <c r="FY108" s="3">
        <v>46</v>
      </c>
      <c r="GA108" s="3" t="s">
        <v>3</v>
      </c>
      <c r="GD108" s="3">
        <v>1</v>
      </c>
      <c r="GF108" s="3">
        <v>-1655364999</v>
      </c>
      <c r="GG108" s="3">
        <v>2</v>
      </c>
      <c r="GH108" s="3">
        <v>1</v>
      </c>
      <c r="GI108" s="3">
        <v>2</v>
      </c>
      <c r="GJ108" s="3">
        <v>0</v>
      </c>
      <c r="GK108" s="3">
        <v>0</v>
      </c>
      <c r="GL108" s="3">
        <f t="shared" si="102"/>
        <v>0</v>
      </c>
      <c r="GM108" s="3">
        <f t="shared" si="103"/>
        <v>3289.8</v>
      </c>
      <c r="GN108" s="3">
        <f t="shared" si="104"/>
        <v>0</v>
      </c>
      <c r="GO108" s="3">
        <f t="shared" si="105"/>
        <v>3289.8</v>
      </c>
      <c r="GP108" s="3">
        <f t="shared" si="106"/>
        <v>0</v>
      </c>
      <c r="GR108" s="3">
        <v>0</v>
      </c>
      <c r="GS108" s="3">
        <v>3</v>
      </c>
      <c r="GT108" s="3">
        <v>0</v>
      </c>
      <c r="GU108" s="3" t="s">
        <v>3</v>
      </c>
      <c r="GV108" s="3">
        <f t="shared" si="107"/>
        <v>0</v>
      </c>
      <c r="GW108" s="3">
        <v>1</v>
      </c>
      <c r="GX108" s="3">
        <f t="shared" si="108"/>
        <v>0</v>
      </c>
      <c r="HA108" s="3">
        <v>0</v>
      </c>
      <c r="HB108" s="3">
        <v>0</v>
      </c>
      <c r="HC108" s="3">
        <f t="shared" si="109"/>
        <v>0</v>
      </c>
      <c r="HE108" s="3" t="s">
        <v>3</v>
      </c>
      <c r="HF108" s="3" t="s">
        <v>3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5">
      <c r="A109" s="2">
        <v>18</v>
      </c>
      <c r="B109" s="2">
        <v>1</v>
      </c>
      <c r="C109" s="2">
        <v>221</v>
      </c>
      <c r="D109" s="2"/>
      <c r="E109" s="2" t="s">
        <v>184</v>
      </c>
      <c r="F109" s="2" t="s">
        <v>185</v>
      </c>
      <c r="G109" s="2" t="s">
        <v>186</v>
      </c>
      <c r="H109" s="2" t="s">
        <v>164</v>
      </c>
      <c r="I109" s="2">
        <f>I107*J109</f>
        <v>7</v>
      </c>
      <c r="J109" s="2">
        <v>99.999999999999986</v>
      </c>
      <c r="K109" s="2">
        <v>100</v>
      </c>
      <c r="L109" s="2"/>
      <c r="M109" s="2"/>
      <c r="N109" s="2"/>
      <c r="O109" s="2">
        <f t="shared" si="85"/>
        <v>207.2</v>
      </c>
      <c r="P109" s="2">
        <f t="shared" si="110"/>
        <v>207.2</v>
      </c>
      <c r="Q109" s="2">
        <f>(ROUND((ROUND(((ET109)*AV109*I109),2)*BB109),2)+ROUND((ROUND(((AE109-(EU109))*AV109*I109),2)*BS109),2))</f>
        <v>0</v>
      </c>
      <c r="R109" s="2">
        <f>(ROUND((ROUND(((EU109)*AV109*I109),2)*BS109),2)+ROUND((ROUND(((AE109-(EU109))*AV109*I109),2)*BS109),2))</f>
        <v>0</v>
      </c>
      <c r="S109" s="2">
        <f t="shared" si="87"/>
        <v>0</v>
      </c>
      <c r="T109" s="2">
        <f t="shared" si="88"/>
        <v>0</v>
      </c>
      <c r="U109" s="2">
        <f t="shared" si="89"/>
        <v>0</v>
      </c>
      <c r="V109" s="2">
        <f t="shared" si="90"/>
        <v>0</v>
      </c>
      <c r="W109" s="2">
        <f t="shared" si="91"/>
        <v>0</v>
      </c>
      <c r="X109" s="2">
        <f>(ROUND((((S109+ROUND((ROUND(((EU109)*AV109*I109),2)*BS109),2))*AT109)/100),2)+ROUND(((ROUND((ROUND(((AE109-(EU109))*AV109*I109),2)*BS109),2)*AT109)/100),2))</f>
        <v>0</v>
      </c>
      <c r="Y109" s="2">
        <f>(ROUND((((S109+ROUND((ROUND(((EU109)*AV109*I109),2)*BS109),2))*AU109)/100),2)+ROUND(((ROUND((ROUND(((AE109-(EU109))*AV109*I109),2)*BS109),2)*AU109)/100),2))</f>
        <v>0</v>
      </c>
      <c r="Z109" s="2"/>
      <c r="AA109" s="2">
        <v>55917797</v>
      </c>
      <c r="AB109" s="2">
        <f t="shared" si="92"/>
        <v>29.6</v>
      </c>
      <c r="AC109" s="2">
        <f>ROUND((ES109),6)</f>
        <v>29.6</v>
      </c>
      <c r="AD109" s="2">
        <f>ROUND((((ET109)-(EU109))+AE109),6)</f>
        <v>0</v>
      </c>
      <c r="AE109" s="2">
        <f>ROUND((EU109),6)</f>
        <v>0</v>
      </c>
      <c r="AF109" s="2">
        <f>ROUND((EV109),6)</f>
        <v>0</v>
      </c>
      <c r="AG109" s="2">
        <f t="shared" si="93"/>
        <v>0</v>
      </c>
      <c r="AH109" s="2">
        <f>(EW109)</f>
        <v>0</v>
      </c>
      <c r="AI109" s="2">
        <f>(EX109)</f>
        <v>0</v>
      </c>
      <c r="AJ109" s="2">
        <f t="shared" si="94"/>
        <v>0</v>
      </c>
      <c r="AK109" s="2">
        <v>29.6</v>
      </c>
      <c r="AL109" s="2">
        <v>29.6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90</v>
      </c>
      <c r="AU109" s="2">
        <v>46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2</v>
      </c>
      <c r="BJ109" s="2" t="s">
        <v>187</v>
      </c>
      <c r="BK109" s="2"/>
      <c r="BL109" s="2"/>
      <c r="BM109" s="2">
        <v>68</v>
      </c>
      <c r="BN109" s="2">
        <v>0</v>
      </c>
      <c r="BO109" s="2" t="s">
        <v>3</v>
      </c>
      <c r="BP109" s="2">
        <v>0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619</v>
      </c>
      <c r="CO109" s="2">
        <v>0</v>
      </c>
      <c r="CP109" s="2">
        <f t="shared" si="95"/>
        <v>207.2</v>
      </c>
      <c r="CQ109" s="2">
        <f t="shared" si="111"/>
        <v>29.6</v>
      </c>
      <c r="CR109" s="2">
        <f>(ROUND((ROUND(((ET109)*AV109*1),2)*BB109),2)+ROUND((ROUND(((AE109-(EU109))*AV109*1),2)*BS109),2))</f>
        <v>0</v>
      </c>
      <c r="CS109" s="2">
        <f>(ROUND((ROUND(((EU109)*AV109*1),2)*BS109),2)+ROUND((ROUND(((AE109-(EU109))*AV109*1),2)*BS109),2))</f>
        <v>0</v>
      </c>
      <c r="CT109" s="2">
        <f t="shared" si="97"/>
        <v>0</v>
      </c>
      <c r="CU109" s="2">
        <f t="shared" si="98"/>
        <v>0</v>
      </c>
      <c r="CV109" s="2">
        <f t="shared" si="99"/>
        <v>0</v>
      </c>
      <c r="CW109" s="2">
        <f t="shared" si="100"/>
        <v>0</v>
      </c>
      <c r="CX109" s="2">
        <f t="shared" si="101"/>
        <v>0</v>
      </c>
      <c r="CY109" s="2">
        <f>(ROUND((((S109+ROUND((ROUND(((EU109)*AV109*1),2)*BS109),2))*AT109)/100),2)+ROUND(((ROUND((ROUND(((AE109-(EU109))*AV109*1),2)*BS109),2)*AT109)/100),2))</f>
        <v>0</v>
      </c>
      <c r="CZ109" s="2">
        <f>(ROUND((((S109+ROUND((ROUND(((EU109)*AV109*1),2)*BS109),2))*AU109)/100),2)+ROUND(((ROUND((ROUND(((AE109-(EU109))*AV109*1),2)*BS109),2)*AU109)/100),2))</f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1010</v>
      </c>
      <c r="DV109" s="2" t="s">
        <v>164</v>
      </c>
      <c r="DW109" s="2" t="s">
        <v>164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55393700</v>
      </c>
      <c r="EF109" s="2">
        <v>40</v>
      </c>
      <c r="EG109" s="2" t="s">
        <v>26</v>
      </c>
      <c r="EH109" s="2">
        <v>0</v>
      </c>
      <c r="EI109" s="2" t="s">
        <v>3</v>
      </c>
      <c r="EJ109" s="2">
        <v>2</v>
      </c>
      <c r="EK109" s="2">
        <v>68</v>
      </c>
      <c r="EL109" s="2" t="s">
        <v>35</v>
      </c>
      <c r="EM109" s="2" t="s">
        <v>36</v>
      </c>
      <c r="EN109" s="2"/>
      <c r="EO109" s="2" t="s">
        <v>60</v>
      </c>
      <c r="EP109" s="2"/>
      <c r="EQ109" s="2">
        <v>0</v>
      </c>
      <c r="ER109" s="2">
        <v>29.6</v>
      </c>
      <c r="ES109" s="2">
        <v>29.6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3</v>
      </c>
      <c r="GB109" s="2"/>
      <c r="GC109" s="2"/>
      <c r="GD109" s="2">
        <v>1</v>
      </c>
      <c r="GE109" s="2"/>
      <c r="GF109" s="2">
        <v>-957217489</v>
      </c>
      <c r="GG109" s="2">
        <v>2</v>
      </c>
      <c r="GH109" s="2">
        <v>1</v>
      </c>
      <c r="GI109" s="2">
        <v>-2</v>
      </c>
      <c r="GJ109" s="2">
        <v>0</v>
      </c>
      <c r="GK109" s="2">
        <v>0</v>
      </c>
      <c r="GL109" s="2">
        <f t="shared" si="102"/>
        <v>0</v>
      </c>
      <c r="GM109" s="2">
        <f t="shared" si="103"/>
        <v>207.2</v>
      </c>
      <c r="GN109" s="2">
        <f t="shared" si="104"/>
        <v>0</v>
      </c>
      <c r="GO109" s="2">
        <f t="shared" si="105"/>
        <v>207.2</v>
      </c>
      <c r="GP109" s="2">
        <f t="shared" si="106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107"/>
        <v>0</v>
      </c>
      <c r="GW109" s="2">
        <v>1</v>
      </c>
      <c r="GX109" s="2">
        <f t="shared" si="108"/>
        <v>0</v>
      </c>
      <c r="GY109" s="2"/>
      <c r="GZ109" s="2"/>
      <c r="HA109" s="2">
        <v>0</v>
      </c>
      <c r="HB109" s="2">
        <v>0</v>
      </c>
      <c r="HC109" s="2">
        <f t="shared" si="109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5">
      <c r="A110" s="3">
        <v>18</v>
      </c>
      <c r="B110" s="3">
        <v>1</v>
      </c>
      <c r="C110" s="3">
        <v>227</v>
      </c>
      <c r="E110" s="3" t="s">
        <v>184</v>
      </c>
      <c r="F110" s="3" t="s">
        <v>185</v>
      </c>
      <c r="G110" s="3" t="s">
        <v>186</v>
      </c>
      <c r="H110" s="3" t="s">
        <v>164</v>
      </c>
      <c r="I110" s="3">
        <f>I108*J110</f>
        <v>7</v>
      </c>
      <c r="J110" s="3">
        <v>99.999999999999986</v>
      </c>
      <c r="K110" s="3">
        <v>100</v>
      </c>
      <c r="O110" s="3">
        <f t="shared" si="85"/>
        <v>1278.42</v>
      </c>
      <c r="P110" s="3">
        <f t="shared" si="110"/>
        <v>1278.42</v>
      </c>
      <c r="Q110" s="3">
        <f>(ROUND((ROUND(((ET110)*AV110*I110),2)*BB110),2)+ROUND((ROUND(((AE110-(EU110))*AV110*I110),2)*BS110),2))</f>
        <v>0</v>
      </c>
      <c r="R110" s="3">
        <f>(ROUND((ROUND(((EU110)*AV110*I110),2)*BS110),2)+ROUND((ROUND(((AE110-(EU110))*AV110*I110),2)*BS110),2))</f>
        <v>0</v>
      </c>
      <c r="S110" s="3">
        <f t="shared" si="87"/>
        <v>0</v>
      </c>
      <c r="T110" s="3">
        <f t="shared" si="88"/>
        <v>0</v>
      </c>
      <c r="U110" s="3">
        <f t="shared" si="89"/>
        <v>0</v>
      </c>
      <c r="V110" s="3">
        <f t="shared" si="90"/>
        <v>0</v>
      </c>
      <c r="W110" s="3">
        <f t="shared" si="91"/>
        <v>0</v>
      </c>
      <c r="X110" s="3">
        <f>(ROUND((((S110+ROUND((ROUND(((EU110)*AV110*I110),2)*BS110),2))*AT110)/100),2)+ROUND(((ROUND((ROUND(((AE110-(EU110))*AV110*I110),2)*BS110),2)*AT110)/100),2))</f>
        <v>0</v>
      </c>
      <c r="Y110" s="3">
        <f>(ROUND((((S110+ROUND((ROUND(((EU110)*AV110*I110),2)*BS110),2))*AU110)/100),2)+ROUND(((ROUND((ROUND(((AE110-(EU110))*AV110*I110),2)*BS110),2)*AU110)/100),2))</f>
        <v>0</v>
      </c>
      <c r="AA110" s="3">
        <v>55917799</v>
      </c>
      <c r="AB110" s="3">
        <f t="shared" si="92"/>
        <v>29.6</v>
      </c>
      <c r="AC110" s="3">
        <f>ROUND((ES110),6)</f>
        <v>29.6</v>
      </c>
      <c r="AD110" s="3">
        <f>ROUND((((ET110)-(EU110))+AE110),6)</f>
        <v>0</v>
      </c>
      <c r="AE110" s="3">
        <f>ROUND((EU110),6)</f>
        <v>0</v>
      </c>
      <c r="AF110" s="3">
        <f>ROUND((EV110),6)</f>
        <v>0</v>
      </c>
      <c r="AG110" s="3">
        <f t="shared" si="93"/>
        <v>0</v>
      </c>
      <c r="AH110" s="3">
        <f>(EW110)</f>
        <v>0</v>
      </c>
      <c r="AI110" s="3">
        <f>(EX110)</f>
        <v>0</v>
      </c>
      <c r="AJ110" s="3">
        <f t="shared" si="94"/>
        <v>0</v>
      </c>
      <c r="AK110" s="3">
        <v>29.6</v>
      </c>
      <c r="AL110" s="3">
        <v>29.6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90</v>
      </c>
      <c r="AU110" s="3">
        <v>46</v>
      </c>
      <c r="AV110" s="3">
        <v>1</v>
      </c>
      <c r="AW110" s="3">
        <v>1</v>
      </c>
      <c r="AZ110" s="3">
        <v>1</v>
      </c>
      <c r="BA110" s="3">
        <v>1</v>
      </c>
      <c r="BB110" s="3">
        <v>1</v>
      </c>
      <c r="BC110" s="3">
        <v>6.17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3</v>
      </c>
      <c r="BI110" s="3">
        <v>2</v>
      </c>
      <c r="BJ110" s="3" t="s">
        <v>187</v>
      </c>
      <c r="BM110" s="3">
        <v>68</v>
      </c>
      <c r="BN110" s="3">
        <v>0</v>
      </c>
      <c r="BO110" s="3" t="s">
        <v>185</v>
      </c>
      <c r="BP110" s="3">
        <v>1</v>
      </c>
      <c r="BQ110" s="3">
        <v>40</v>
      </c>
      <c r="BR110" s="3">
        <v>0</v>
      </c>
      <c r="BS110" s="3">
        <v>1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619</v>
      </c>
      <c r="CO110" s="3">
        <v>0</v>
      </c>
      <c r="CP110" s="3">
        <f t="shared" si="95"/>
        <v>1278.42</v>
      </c>
      <c r="CQ110" s="3">
        <f t="shared" si="111"/>
        <v>182.63</v>
      </c>
      <c r="CR110" s="3">
        <f>(ROUND((ROUND(((ET110)*AV110*1),2)*BB110),2)+ROUND((ROUND(((AE110-(EU110))*AV110*1),2)*BS110),2))</f>
        <v>0</v>
      </c>
      <c r="CS110" s="3">
        <f>(ROUND((ROUND(((EU110)*AV110*1),2)*BS110),2)+ROUND((ROUND(((AE110-(EU110))*AV110*1),2)*BS110),2))</f>
        <v>0</v>
      </c>
      <c r="CT110" s="3">
        <f t="shared" si="97"/>
        <v>0</v>
      </c>
      <c r="CU110" s="3">
        <f t="shared" si="98"/>
        <v>0</v>
      </c>
      <c r="CV110" s="3">
        <f t="shared" si="99"/>
        <v>0</v>
      </c>
      <c r="CW110" s="3">
        <f t="shared" si="100"/>
        <v>0</v>
      </c>
      <c r="CX110" s="3">
        <f t="shared" si="101"/>
        <v>0</v>
      </c>
      <c r="CY110" s="3">
        <f>(ROUND((((S110+ROUND((ROUND(((EU110)*AV110*1),2)*BS110),2))*AT110)/100),2)+ROUND(((ROUND((ROUND(((AE110-(EU110))*AV110*1),2)*BS110),2)*AT110)/100),2))</f>
        <v>0</v>
      </c>
      <c r="CZ110" s="3">
        <f>(ROUND((((S110+ROUND((ROUND(((EU110)*AV110*1),2)*BS110),2))*AU110)/100),2)+ROUND(((ROUND((ROUND(((AE110-(EU110))*AV110*1),2)*BS110),2)*AU110)/100),2))</f>
        <v>0</v>
      </c>
      <c r="DC110" s="3" t="s">
        <v>3</v>
      </c>
      <c r="DD110" s="3" t="s">
        <v>3</v>
      </c>
      <c r="DE110" s="3" t="s">
        <v>3</v>
      </c>
      <c r="DF110" s="3" t="s">
        <v>3</v>
      </c>
      <c r="DG110" s="3" t="s">
        <v>3</v>
      </c>
      <c r="DH110" s="3" t="s">
        <v>3</v>
      </c>
      <c r="DI110" s="3" t="s">
        <v>3</v>
      </c>
      <c r="DJ110" s="3" t="s">
        <v>3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1010</v>
      </c>
      <c r="DV110" s="3" t="s">
        <v>164</v>
      </c>
      <c r="DW110" s="3" t="s">
        <v>164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55393700</v>
      </c>
      <c r="EF110" s="3">
        <v>40</v>
      </c>
      <c r="EG110" s="3" t="s">
        <v>26</v>
      </c>
      <c r="EH110" s="3">
        <v>0</v>
      </c>
      <c r="EI110" s="3" t="s">
        <v>3</v>
      </c>
      <c r="EJ110" s="3">
        <v>2</v>
      </c>
      <c r="EK110" s="3">
        <v>68</v>
      </c>
      <c r="EL110" s="3" t="s">
        <v>35</v>
      </c>
      <c r="EM110" s="3" t="s">
        <v>36</v>
      </c>
      <c r="EO110" s="3" t="s">
        <v>60</v>
      </c>
      <c r="EQ110" s="3">
        <v>0</v>
      </c>
      <c r="ER110" s="3">
        <v>29.6</v>
      </c>
      <c r="ES110" s="3">
        <v>29.6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FQ110" s="3">
        <v>0</v>
      </c>
      <c r="FR110" s="3">
        <v>0</v>
      </c>
      <c r="FS110" s="3">
        <v>0</v>
      </c>
      <c r="FX110" s="3">
        <v>90</v>
      </c>
      <c r="FY110" s="3">
        <v>46</v>
      </c>
      <c r="GA110" s="3" t="s">
        <v>3</v>
      </c>
      <c r="GD110" s="3">
        <v>1</v>
      </c>
      <c r="GF110" s="3">
        <v>-957217489</v>
      </c>
      <c r="GG110" s="3">
        <v>2</v>
      </c>
      <c r="GH110" s="3">
        <v>1</v>
      </c>
      <c r="GI110" s="3">
        <v>2</v>
      </c>
      <c r="GJ110" s="3">
        <v>0</v>
      </c>
      <c r="GK110" s="3">
        <v>0</v>
      </c>
      <c r="GL110" s="3">
        <f t="shared" si="102"/>
        <v>0</v>
      </c>
      <c r="GM110" s="3">
        <f t="shared" si="103"/>
        <v>1278.42</v>
      </c>
      <c r="GN110" s="3">
        <f t="shared" si="104"/>
        <v>0</v>
      </c>
      <c r="GO110" s="3">
        <f t="shared" si="105"/>
        <v>1278.42</v>
      </c>
      <c r="GP110" s="3">
        <f t="shared" si="106"/>
        <v>0</v>
      </c>
      <c r="GR110" s="3">
        <v>0</v>
      </c>
      <c r="GS110" s="3">
        <v>3</v>
      </c>
      <c r="GT110" s="3">
        <v>0</v>
      </c>
      <c r="GU110" s="3" t="s">
        <v>3</v>
      </c>
      <c r="GV110" s="3">
        <f t="shared" si="107"/>
        <v>0</v>
      </c>
      <c r="GW110" s="3">
        <v>1</v>
      </c>
      <c r="GX110" s="3">
        <f t="shared" si="108"/>
        <v>0</v>
      </c>
      <c r="HA110" s="3">
        <v>0</v>
      </c>
      <c r="HB110" s="3">
        <v>0</v>
      </c>
      <c r="HC110" s="3">
        <f t="shared" si="109"/>
        <v>0</v>
      </c>
      <c r="HE110" s="3" t="s">
        <v>3</v>
      </c>
      <c r="HF110" s="3" t="s">
        <v>3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5">
      <c r="A111" s="2">
        <v>17</v>
      </c>
      <c r="B111" s="2">
        <v>1</v>
      </c>
      <c r="C111" s="2">
        <f>ROW(SmtRes!A231)</f>
        <v>231</v>
      </c>
      <c r="D111" s="2">
        <f>ROW(EtalonRes!A259)</f>
        <v>259</v>
      </c>
      <c r="E111" s="2" t="s">
        <v>188</v>
      </c>
      <c r="F111" s="2" t="s">
        <v>189</v>
      </c>
      <c r="G111" s="2" t="s">
        <v>190</v>
      </c>
      <c r="H111" s="2" t="s">
        <v>49</v>
      </c>
      <c r="I111" s="2">
        <f>ROUND(6/100,9)</f>
        <v>0.06</v>
      </c>
      <c r="J111" s="2">
        <v>0</v>
      </c>
      <c r="K111" s="2">
        <f>ROUND(6/100,9)</f>
        <v>0.06</v>
      </c>
      <c r="L111" s="2"/>
      <c r="M111" s="2"/>
      <c r="N111" s="2"/>
      <c r="O111" s="2">
        <f t="shared" si="85"/>
        <v>15.93</v>
      </c>
      <c r="P111" s="2">
        <f t="shared" si="110"/>
        <v>0</v>
      </c>
      <c r="Q111" s="2">
        <f>(ROUND((ROUND((((ET111*1.2))*AV111*I111),2)*BB111),2)+ROUND((ROUND(((AE111-((EU111*1.2)))*AV111*I111),2)*BS111),2))</f>
        <v>0.06</v>
      </c>
      <c r="R111" s="2">
        <f>(ROUND((ROUND((((EU111*1.2))*AV111*I111),2)*BS111),2)+ROUND((ROUND(((AE111-((EU111*1.2)))*AV111*I111),2)*BS111),2))</f>
        <v>0.01</v>
      </c>
      <c r="S111" s="2">
        <f t="shared" si="87"/>
        <v>15.87</v>
      </c>
      <c r="T111" s="2">
        <f t="shared" si="88"/>
        <v>0</v>
      </c>
      <c r="U111" s="2">
        <f t="shared" si="89"/>
        <v>1.4202345599999999</v>
      </c>
      <c r="V111" s="2">
        <f t="shared" si="90"/>
        <v>0</v>
      </c>
      <c r="W111" s="2">
        <f t="shared" si="91"/>
        <v>0</v>
      </c>
      <c r="X111" s="2">
        <f>(ROUND((((S111+ROUND((ROUND((((EU111*1.2))*AV111*I111),2)*BS111),2))*AT111)/100),2)+ROUND(((ROUND((ROUND(((AE111-((EU111*1.2)))*AV111*I111),2)*BS111),2)*AT111)/100),2))</f>
        <v>15.4</v>
      </c>
      <c r="Y111" s="2">
        <f>(ROUND((((S111+ROUND((ROUND((((EU111*1.2))*AV111*I111),2)*BS111),2))*AU111)/100),2)+ROUND(((ROUND((ROUND(((AE111-((EU111*1.2)))*AV111*I111),2)*BS111),2)*AU111)/100),2))</f>
        <v>8.1</v>
      </c>
      <c r="Z111" s="2"/>
      <c r="AA111" s="2">
        <v>55917797</v>
      </c>
      <c r="AB111" s="2">
        <f t="shared" si="92"/>
        <v>253.68</v>
      </c>
      <c r="AC111" s="2">
        <f>ROUND(((ES111*1)),6)</f>
        <v>0</v>
      </c>
      <c r="AD111" s="2">
        <f>ROUND(((((ET111*1.2))-((EU111*1.2)))+AE111),6)</f>
        <v>0.996</v>
      </c>
      <c r="AE111" s="2">
        <f>ROUND(((EU111*1.2)),6)</f>
        <v>0.156</v>
      </c>
      <c r="AF111" s="2">
        <f>ROUND(((EV111*1.2)),6)</f>
        <v>252.684</v>
      </c>
      <c r="AG111" s="2">
        <f t="shared" si="93"/>
        <v>0</v>
      </c>
      <c r="AH111" s="2">
        <f>((EW111*1.2))</f>
        <v>22.608000000000001</v>
      </c>
      <c r="AI111" s="2">
        <f>((EX111*1.2))</f>
        <v>0</v>
      </c>
      <c r="AJ111" s="2">
        <f t="shared" si="94"/>
        <v>0</v>
      </c>
      <c r="AK111" s="2">
        <v>211.4</v>
      </c>
      <c r="AL111" s="2">
        <v>0</v>
      </c>
      <c r="AM111" s="2">
        <v>0.83</v>
      </c>
      <c r="AN111" s="2">
        <v>0.13</v>
      </c>
      <c r="AO111" s="2">
        <v>210.57</v>
      </c>
      <c r="AP111" s="2">
        <v>0</v>
      </c>
      <c r="AQ111" s="2">
        <v>18.84</v>
      </c>
      <c r="AR111" s="2">
        <v>0</v>
      </c>
      <c r="AS111" s="2">
        <v>0</v>
      </c>
      <c r="AT111" s="2">
        <v>97</v>
      </c>
      <c r="AU111" s="2">
        <v>51</v>
      </c>
      <c r="AV111" s="2">
        <v>1.0469999999999999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0</v>
      </c>
      <c r="BI111" s="2">
        <v>2</v>
      </c>
      <c r="BJ111" s="2" t="s">
        <v>191</v>
      </c>
      <c r="BK111" s="2"/>
      <c r="BL111" s="2"/>
      <c r="BM111" s="2">
        <v>67</v>
      </c>
      <c r="BN111" s="2">
        <v>0</v>
      </c>
      <c r="BO111" s="2" t="s">
        <v>189</v>
      </c>
      <c r="BP111" s="2">
        <v>1</v>
      </c>
      <c r="BQ111" s="2">
        <v>40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97</v>
      </c>
      <c r="CA111" s="2">
        <v>51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618</v>
      </c>
      <c r="CO111" s="2">
        <v>0</v>
      </c>
      <c r="CP111" s="2">
        <f t="shared" si="95"/>
        <v>15.93</v>
      </c>
      <c r="CQ111" s="2">
        <f t="shared" si="111"/>
        <v>0</v>
      </c>
      <c r="CR111" s="2">
        <f>(ROUND((ROUND((((ET111*1.2))*AV111*1),2)*BB111),2)+ROUND((ROUND(((AE111-((EU111*1.2)))*AV111*1),2)*BS111),2))</f>
        <v>1.04</v>
      </c>
      <c r="CS111" s="2">
        <f>(ROUND((ROUND((((EU111*1.2))*AV111*1),2)*BS111),2)+ROUND((ROUND(((AE111-((EU111*1.2)))*AV111*1),2)*BS111),2))</f>
        <v>0.16</v>
      </c>
      <c r="CT111" s="2">
        <f t="shared" si="97"/>
        <v>264.56</v>
      </c>
      <c r="CU111" s="2">
        <f t="shared" si="98"/>
        <v>0</v>
      </c>
      <c r="CV111" s="2">
        <f t="shared" si="99"/>
        <v>23.670576000000001</v>
      </c>
      <c r="CW111" s="2">
        <f t="shared" si="100"/>
        <v>0</v>
      </c>
      <c r="CX111" s="2">
        <f t="shared" si="101"/>
        <v>0</v>
      </c>
      <c r="CY111" s="2">
        <f>(ROUND((((S111+ROUND((ROUND((((EU111*1.2))*AV111*1),2)*BS111),2))*AT111)/100),2)+ROUND(((ROUND((ROUND(((AE111-((EU111*1.2)))*AV111*1),2)*BS111),2)*AT111)/100),2))</f>
        <v>15.55</v>
      </c>
      <c r="CZ111" s="2">
        <f>(ROUND((((S111+ROUND((ROUND((((EU111*1.2))*AV111*1),2)*BS111),2))*AU111)/100),2)+ROUND(((ROUND((ROUND(((AE111-((EU111*1.2)))*AV111*1),2)*BS111),2)*AU111)/100),2))</f>
        <v>8.18</v>
      </c>
      <c r="DA111" s="2"/>
      <c r="DB111" s="2">
        <v>59</v>
      </c>
      <c r="DC111" s="2" t="s">
        <v>3</v>
      </c>
      <c r="DD111" s="2" t="s">
        <v>55</v>
      </c>
      <c r="DE111" s="2" t="s">
        <v>56</v>
      </c>
      <c r="DF111" s="2" t="s">
        <v>56</v>
      </c>
      <c r="DG111" s="2" t="s">
        <v>56</v>
      </c>
      <c r="DH111" s="2" t="s">
        <v>3</v>
      </c>
      <c r="DI111" s="2" t="s">
        <v>56</v>
      </c>
      <c r="DJ111" s="2" t="s">
        <v>56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1010</v>
      </c>
      <c r="DV111" s="2" t="s">
        <v>49</v>
      </c>
      <c r="DW111" s="2" t="s">
        <v>49</v>
      </c>
      <c r="DX111" s="2">
        <v>100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55393699</v>
      </c>
      <c r="EF111" s="2">
        <v>40</v>
      </c>
      <c r="EG111" s="2" t="s">
        <v>26</v>
      </c>
      <c r="EH111" s="2">
        <v>0</v>
      </c>
      <c r="EI111" s="2" t="s">
        <v>3</v>
      </c>
      <c r="EJ111" s="2">
        <v>2</v>
      </c>
      <c r="EK111" s="2">
        <v>67</v>
      </c>
      <c r="EL111" s="2" t="s">
        <v>192</v>
      </c>
      <c r="EM111" s="2" t="s">
        <v>193</v>
      </c>
      <c r="EN111" s="2"/>
      <c r="EO111" s="2" t="s">
        <v>60</v>
      </c>
      <c r="EP111" s="2"/>
      <c r="EQ111" s="2">
        <v>0</v>
      </c>
      <c r="ER111" s="2">
        <v>211.4</v>
      </c>
      <c r="ES111" s="2">
        <v>0</v>
      </c>
      <c r="ET111" s="2">
        <v>0.83</v>
      </c>
      <c r="EU111" s="2">
        <v>0.13</v>
      </c>
      <c r="EV111" s="2">
        <v>210.57</v>
      </c>
      <c r="EW111" s="2">
        <v>18.84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97</v>
      </c>
      <c r="FY111" s="2">
        <v>51</v>
      </c>
      <c r="FZ111" s="2"/>
      <c r="GA111" s="2" t="s">
        <v>3</v>
      </c>
      <c r="GB111" s="2"/>
      <c r="GC111" s="2"/>
      <c r="GD111" s="2">
        <v>1</v>
      </c>
      <c r="GE111" s="2"/>
      <c r="GF111" s="2">
        <v>2144643513</v>
      </c>
      <c r="GG111" s="2">
        <v>2</v>
      </c>
      <c r="GH111" s="2">
        <v>1</v>
      </c>
      <c r="GI111" s="2">
        <v>2</v>
      </c>
      <c r="GJ111" s="2">
        <v>0</v>
      </c>
      <c r="GK111" s="2">
        <v>0</v>
      </c>
      <c r="GL111" s="2">
        <f t="shared" si="102"/>
        <v>0</v>
      </c>
      <c r="GM111" s="2">
        <f t="shared" si="103"/>
        <v>39.43</v>
      </c>
      <c r="GN111" s="2">
        <f t="shared" si="104"/>
        <v>0</v>
      </c>
      <c r="GO111" s="2">
        <f t="shared" si="105"/>
        <v>39.43</v>
      </c>
      <c r="GP111" s="2">
        <f t="shared" si="106"/>
        <v>0</v>
      </c>
      <c r="GQ111" s="2"/>
      <c r="GR111" s="2">
        <v>0</v>
      </c>
      <c r="GS111" s="2">
        <v>3</v>
      </c>
      <c r="GT111" s="2">
        <v>0</v>
      </c>
      <c r="GU111" s="2" t="s">
        <v>3</v>
      </c>
      <c r="GV111" s="2">
        <f t="shared" si="107"/>
        <v>0</v>
      </c>
      <c r="GW111" s="2">
        <v>1</v>
      </c>
      <c r="GX111" s="2">
        <f t="shared" si="108"/>
        <v>0</v>
      </c>
      <c r="GY111" s="2"/>
      <c r="GZ111" s="2"/>
      <c r="HA111" s="2">
        <v>0</v>
      </c>
      <c r="HB111" s="2">
        <v>0</v>
      </c>
      <c r="HC111" s="2">
        <f t="shared" si="109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5">
      <c r="A112" s="3">
        <v>17</v>
      </c>
      <c r="B112" s="3">
        <v>1</v>
      </c>
      <c r="C112" s="3">
        <f>ROW(SmtRes!A234)</f>
        <v>234</v>
      </c>
      <c r="D112" s="3">
        <f>ROW(EtalonRes!A262)</f>
        <v>262</v>
      </c>
      <c r="E112" s="3" t="s">
        <v>188</v>
      </c>
      <c r="F112" s="3" t="s">
        <v>189</v>
      </c>
      <c r="G112" s="3" t="s">
        <v>190</v>
      </c>
      <c r="H112" s="3" t="s">
        <v>49</v>
      </c>
      <c r="I112" s="3">
        <f>ROUND(6/100,9)</f>
        <v>0.06</v>
      </c>
      <c r="J112" s="3">
        <v>0</v>
      </c>
      <c r="K112" s="3">
        <f>ROUND(6/100,9)</f>
        <v>0.06</v>
      </c>
      <c r="O112" s="3">
        <f t="shared" si="85"/>
        <v>895.3</v>
      </c>
      <c r="P112" s="3">
        <f t="shared" si="110"/>
        <v>0</v>
      </c>
      <c r="Q112" s="3">
        <f>(ROUND((ROUND((((ET112*1.2))*AV112*I112),2)*BB112),2)+ROUND((ROUND(((AE112-((EU112*1.2)))*AV112*I112),2)*BS112),2))</f>
        <v>1.03</v>
      </c>
      <c r="R112" s="3">
        <f>(ROUND((ROUND((((EU112*1.2))*AV112*I112),2)*BS112),2)+ROUND((ROUND(((AE112-((EU112*1.2)))*AV112*I112),2)*BS112),2))</f>
        <v>0.56000000000000005</v>
      </c>
      <c r="S112" s="3">
        <f t="shared" si="87"/>
        <v>894.27</v>
      </c>
      <c r="T112" s="3">
        <f t="shared" si="88"/>
        <v>0</v>
      </c>
      <c r="U112" s="3">
        <f t="shared" si="89"/>
        <v>1.4202345599999999</v>
      </c>
      <c r="V112" s="3">
        <f t="shared" si="90"/>
        <v>0</v>
      </c>
      <c r="W112" s="3">
        <f t="shared" si="91"/>
        <v>0</v>
      </c>
      <c r="X112" s="3">
        <f>(ROUND((((S112+ROUND((ROUND((((EU112*1.2))*AV112*I112),2)*BS112),2))*AT112)/100),2)+ROUND(((ROUND((ROUND(((AE112-((EU112*1.2)))*AV112*I112),2)*BS112),2)*AT112)/100),2))</f>
        <v>867.99</v>
      </c>
      <c r="Y112" s="3">
        <f>(ROUND((((S112+ROUND((ROUND((((EU112*1.2))*AV112*I112),2)*BS112),2))*AU112)/100),2)+ROUND(((ROUND((ROUND(((AE112-((EU112*1.2)))*AV112*I112),2)*BS112),2)*AU112)/100),2))</f>
        <v>456.36</v>
      </c>
      <c r="AA112" s="3">
        <v>55917799</v>
      </c>
      <c r="AB112" s="3">
        <f t="shared" si="92"/>
        <v>253.68</v>
      </c>
      <c r="AC112" s="3">
        <f>ROUND(((ES112*1)),6)</f>
        <v>0</v>
      </c>
      <c r="AD112" s="3">
        <f>ROUND(((((ET112*1.2))-((EU112*1.2)))+AE112),6)</f>
        <v>0.996</v>
      </c>
      <c r="AE112" s="3">
        <f>ROUND(((EU112*1.2)),6)</f>
        <v>0.156</v>
      </c>
      <c r="AF112" s="3">
        <f>ROUND(((EV112*1.2)),6)</f>
        <v>252.684</v>
      </c>
      <c r="AG112" s="3">
        <f t="shared" si="93"/>
        <v>0</v>
      </c>
      <c r="AH112" s="3">
        <f>((EW112*1.2))</f>
        <v>22.608000000000001</v>
      </c>
      <c r="AI112" s="3">
        <f>((EX112*1.2))</f>
        <v>0</v>
      </c>
      <c r="AJ112" s="3">
        <f t="shared" si="94"/>
        <v>0</v>
      </c>
      <c r="AK112" s="3">
        <v>211.4</v>
      </c>
      <c r="AL112" s="3">
        <v>0</v>
      </c>
      <c r="AM112" s="3">
        <v>0.83</v>
      </c>
      <c r="AN112" s="3">
        <v>0.13</v>
      </c>
      <c r="AO112" s="3">
        <v>210.57</v>
      </c>
      <c r="AP112" s="3">
        <v>0</v>
      </c>
      <c r="AQ112" s="3">
        <v>18.84</v>
      </c>
      <c r="AR112" s="3">
        <v>0</v>
      </c>
      <c r="AS112" s="3">
        <v>0</v>
      </c>
      <c r="AT112" s="3">
        <v>97</v>
      </c>
      <c r="AU112" s="3">
        <v>51</v>
      </c>
      <c r="AV112" s="3">
        <v>1.0469999999999999</v>
      </c>
      <c r="AW112" s="3">
        <v>1</v>
      </c>
      <c r="AZ112" s="3">
        <v>1</v>
      </c>
      <c r="BA112" s="3">
        <v>56.35</v>
      </c>
      <c r="BB112" s="3">
        <v>17.100000000000001</v>
      </c>
      <c r="BC112" s="3">
        <v>1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0</v>
      </c>
      <c r="BI112" s="3">
        <v>2</v>
      </c>
      <c r="BJ112" s="3" t="s">
        <v>191</v>
      </c>
      <c r="BM112" s="3">
        <v>67</v>
      </c>
      <c r="BN112" s="3">
        <v>0</v>
      </c>
      <c r="BO112" s="3" t="s">
        <v>189</v>
      </c>
      <c r="BP112" s="3">
        <v>1</v>
      </c>
      <c r="BQ112" s="3">
        <v>40</v>
      </c>
      <c r="BR112" s="3">
        <v>0</v>
      </c>
      <c r="BS112" s="3">
        <v>56.35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97</v>
      </c>
      <c r="CA112" s="3">
        <v>51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618</v>
      </c>
      <c r="CO112" s="3">
        <v>0</v>
      </c>
      <c r="CP112" s="3">
        <f t="shared" si="95"/>
        <v>895.3</v>
      </c>
      <c r="CQ112" s="3">
        <f t="shared" si="111"/>
        <v>0</v>
      </c>
      <c r="CR112" s="3">
        <f>(ROUND((ROUND((((ET112*1.2))*AV112*1),2)*BB112),2)+ROUND((ROUND(((AE112-((EU112*1.2)))*AV112*1),2)*BS112),2))</f>
        <v>17.78</v>
      </c>
      <c r="CS112" s="3">
        <f>(ROUND((ROUND((((EU112*1.2))*AV112*1),2)*BS112),2)+ROUND((ROUND(((AE112-((EU112*1.2)))*AV112*1),2)*BS112),2))</f>
        <v>9.02</v>
      </c>
      <c r="CT112" s="3">
        <f t="shared" si="97"/>
        <v>14907.96</v>
      </c>
      <c r="CU112" s="3">
        <f t="shared" si="98"/>
        <v>0</v>
      </c>
      <c r="CV112" s="3">
        <f t="shared" si="99"/>
        <v>23.670576000000001</v>
      </c>
      <c r="CW112" s="3">
        <f t="shared" si="100"/>
        <v>0</v>
      </c>
      <c r="CX112" s="3">
        <f t="shared" si="101"/>
        <v>0</v>
      </c>
      <c r="CY112" s="3">
        <f>(ROUND((((S112+ROUND((ROUND((((EU112*1.2))*AV112*1),2)*BS112),2))*AT112)/100),2)+ROUND(((ROUND((ROUND(((AE112-((EU112*1.2)))*AV112*1),2)*BS112),2)*AT112)/100),2))</f>
        <v>876.19</v>
      </c>
      <c r="CZ112" s="3">
        <f>(ROUND((((S112+ROUND((ROUND((((EU112*1.2))*AV112*1),2)*BS112),2))*AU112)/100),2)+ROUND(((ROUND((ROUND(((AE112-((EU112*1.2)))*AV112*1),2)*BS112),2)*AU112)/100),2))</f>
        <v>460.68</v>
      </c>
      <c r="DB112" s="3">
        <v>60</v>
      </c>
      <c r="DC112" s="3" t="s">
        <v>3</v>
      </c>
      <c r="DD112" s="3" t="s">
        <v>55</v>
      </c>
      <c r="DE112" s="3" t="s">
        <v>56</v>
      </c>
      <c r="DF112" s="3" t="s">
        <v>56</v>
      </c>
      <c r="DG112" s="3" t="s">
        <v>56</v>
      </c>
      <c r="DH112" s="3" t="s">
        <v>3</v>
      </c>
      <c r="DI112" s="3" t="s">
        <v>56</v>
      </c>
      <c r="DJ112" s="3" t="s">
        <v>56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1010</v>
      </c>
      <c r="DV112" s="3" t="s">
        <v>49</v>
      </c>
      <c r="DW112" s="3" t="s">
        <v>49</v>
      </c>
      <c r="DX112" s="3">
        <v>100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55393699</v>
      </c>
      <c r="EF112" s="3">
        <v>40</v>
      </c>
      <c r="EG112" s="3" t="s">
        <v>26</v>
      </c>
      <c r="EH112" s="3">
        <v>0</v>
      </c>
      <c r="EI112" s="3" t="s">
        <v>3</v>
      </c>
      <c r="EJ112" s="3">
        <v>2</v>
      </c>
      <c r="EK112" s="3">
        <v>67</v>
      </c>
      <c r="EL112" s="3" t="s">
        <v>192</v>
      </c>
      <c r="EM112" s="3" t="s">
        <v>193</v>
      </c>
      <c r="EO112" s="3" t="s">
        <v>60</v>
      </c>
      <c r="EQ112" s="3">
        <v>0</v>
      </c>
      <c r="ER112" s="3">
        <v>211.4</v>
      </c>
      <c r="ES112" s="3">
        <v>0</v>
      </c>
      <c r="ET112" s="3">
        <v>0.83</v>
      </c>
      <c r="EU112" s="3">
        <v>0.13</v>
      </c>
      <c r="EV112" s="3">
        <v>210.57</v>
      </c>
      <c r="EW112" s="3">
        <v>18.84</v>
      </c>
      <c r="EX112" s="3">
        <v>0</v>
      </c>
      <c r="EY112" s="3">
        <v>0</v>
      </c>
      <c r="FQ112" s="3">
        <v>0</v>
      </c>
      <c r="FR112" s="3">
        <v>0</v>
      </c>
      <c r="FS112" s="3">
        <v>0</v>
      </c>
      <c r="FX112" s="3">
        <v>97</v>
      </c>
      <c r="FY112" s="3">
        <v>51</v>
      </c>
      <c r="GA112" s="3" t="s">
        <v>3</v>
      </c>
      <c r="GD112" s="3">
        <v>1</v>
      </c>
      <c r="GF112" s="3">
        <v>2144643513</v>
      </c>
      <c r="GG112" s="3">
        <v>2</v>
      </c>
      <c r="GH112" s="3">
        <v>1</v>
      </c>
      <c r="GI112" s="3">
        <v>2</v>
      </c>
      <c r="GJ112" s="3">
        <v>0</v>
      </c>
      <c r="GK112" s="3">
        <v>0</v>
      </c>
      <c r="GL112" s="3">
        <f t="shared" si="102"/>
        <v>0</v>
      </c>
      <c r="GM112" s="3">
        <f t="shared" si="103"/>
        <v>2219.65</v>
      </c>
      <c r="GN112" s="3">
        <f t="shared" si="104"/>
        <v>0</v>
      </c>
      <c r="GO112" s="3">
        <f t="shared" si="105"/>
        <v>2219.65</v>
      </c>
      <c r="GP112" s="3">
        <f t="shared" si="106"/>
        <v>0</v>
      </c>
      <c r="GR112" s="3">
        <v>0</v>
      </c>
      <c r="GS112" s="3">
        <v>3</v>
      </c>
      <c r="GT112" s="3">
        <v>0</v>
      </c>
      <c r="GU112" s="3" t="s">
        <v>3</v>
      </c>
      <c r="GV112" s="3">
        <f t="shared" si="107"/>
        <v>0</v>
      </c>
      <c r="GW112" s="3">
        <v>1</v>
      </c>
      <c r="GX112" s="3">
        <f t="shared" si="108"/>
        <v>0</v>
      </c>
      <c r="HA112" s="3">
        <v>0</v>
      </c>
      <c r="HB112" s="3">
        <v>0</v>
      </c>
      <c r="HC112" s="3">
        <f t="shared" si="109"/>
        <v>0</v>
      </c>
      <c r="HE112" s="3" t="s">
        <v>3</v>
      </c>
      <c r="HF112" s="3" t="s">
        <v>3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5">
      <c r="A113" s="2">
        <v>18</v>
      </c>
      <c r="B113" s="2">
        <v>1</v>
      </c>
      <c r="C113" s="2">
        <v>231</v>
      </c>
      <c r="D113" s="2"/>
      <c r="E113" s="2" t="s">
        <v>194</v>
      </c>
      <c r="F113" s="2" t="s">
        <v>195</v>
      </c>
      <c r="G113" s="2" t="s">
        <v>196</v>
      </c>
      <c r="H113" s="2" t="s">
        <v>164</v>
      </c>
      <c r="I113" s="2">
        <f>I111*J113</f>
        <v>6.12</v>
      </c>
      <c r="J113" s="2">
        <v>102</v>
      </c>
      <c r="K113" s="2">
        <v>102</v>
      </c>
      <c r="L113" s="2"/>
      <c r="M113" s="2"/>
      <c r="N113" s="2"/>
      <c r="O113" s="2">
        <f t="shared" si="85"/>
        <v>19.34</v>
      </c>
      <c r="P113" s="2">
        <f t="shared" si="110"/>
        <v>19.34</v>
      </c>
      <c r="Q113" s="2">
        <f>(ROUND((ROUND(((ET113)*AV113*I113),2)*BB113),2)+ROUND((ROUND(((AE113-(EU113))*AV113*I113),2)*BS113),2))</f>
        <v>0</v>
      </c>
      <c r="R113" s="2">
        <f>(ROUND((ROUND(((EU113)*AV113*I113),2)*BS113),2)+ROUND((ROUND(((AE113-(EU113))*AV113*I113),2)*BS113),2))</f>
        <v>0</v>
      </c>
      <c r="S113" s="2">
        <f t="shared" si="87"/>
        <v>0</v>
      </c>
      <c r="T113" s="2">
        <f t="shared" si="88"/>
        <v>0</v>
      </c>
      <c r="U113" s="2">
        <f t="shared" si="89"/>
        <v>0</v>
      </c>
      <c r="V113" s="2">
        <f t="shared" si="90"/>
        <v>0</v>
      </c>
      <c r="W113" s="2">
        <f t="shared" si="91"/>
        <v>0</v>
      </c>
      <c r="X113" s="2">
        <f>(ROUND((((S113+ROUND((ROUND(((EU113)*AV113*I113),2)*BS113),2))*AT113)/100),2)+ROUND(((ROUND((ROUND(((AE113-(EU113))*AV113*I113),2)*BS113),2)*AT113)/100),2))</f>
        <v>0</v>
      </c>
      <c r="Y113" s="2">
        <f>(ROUND((((S113+ROUND((ROUND(((EU113)*AV113*I113),2)*BS113),2))*AU113)/100),2)+ROUND(((ROUND((ROUND(((AE113-(EU113))*AV113*I113),2)*BS113),2)*AU113)/100),2))</f>
        <v>0</v>
      </c>
      <c r="Z113" s="2"/>
      <c r="AA113" s="2">
        <v>55917797</v>
      </c>
      <c r="AB113" s="2">
        <f t="shared" si="92"/>
        <v>3.16</v>
      </c>
      <c r="AC113" s="2">
        <f>ROUND((ES113),6)</f>
        <v>3.16</v>
      </c>
      <c r="AD113" s="2">
        <f>ROUND((((ET113)-(EU113))+AE113),6)</f>
        <v>0</v>
      </c>
      <c r="AE113" s="2">
        <f>ROUND((EU113),6)</f>
        <v>0</v>
      </c>
      <c r="AF113" s="2">
        <f>ROUND((EV113),6)</f>
        <v>0</v>
      </c>
      <c r="AG113" s="2">
        <f t="shared" si="93"/>
        <v>0</v>
      </c>
      <c r="AH113" s="2">
        <f>(EW113)</f>
        <v>0</v>
      </c>
      <c r="AI113" s="2">
        <f>(EX113)</f>
        <v>0</v>
      </c>
      <c r="AJ113" s="2">
        <f t="shared" si="94"/>
        <v>0</v>
      </c>
      <c r="AK113" s="2">
        <v>3.16</v>
      </c>
      <c r="AL113" s="2">
        <v>3.16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97</v>
      </c>
      <c r="AU113" s="2">
        <v>51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2</v>
      </c>
      <c r="BJ113" s="2" t="s">
        <v>197</v>
      </c>
      <c r="BK113" s="2"/>
      <c r="BL113" s="2"/>
      <c r="BM113" s="2">
        <v>67</v>
      </c>
      <c r="BN113" s="2">
        <v>0</v>
      </c>
      <c r="BO113" s="2" t="s">
        <v>3</v>
      </c>
      <c r="BP113" s="2">
        <v>0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97</v>
      </c>
      <c r="CA113" s="2">
        <v>51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619</v>
      </c>
      <c r="CO113" s="2">
        <v>0</v>
      </c>
      <c r="CP113" s="2">
        <f t="shared" si="95"/>
        <v>19.34</v>
      </c>
      <c r="CQ113" s="2">
        <f t="shared" si="111"/>
        <v>3.16</v>
      </c>
      <c r="CR113" s="2">
        <f>(ROUND((ROUND(((ET113)*AV113*1),2)*BB113),2)+ROUND((ROUND(((AE113-(EU113))*AV113*1),2)*BS113),2))</f>
        <v>0</v>
      </c>
      <c r="CS113" s="2">
        <f>(ROUND((ROUND(((EU113)*AV113*1),2)*BS113),2)+ROUND((ROUND(((AE113-(EU113))*AV113*1),2)*BS113),2))</f>
        <v>0</v>
      </c>
      <c r="CT113" s="2">
        <f t="shared" si="97"/>
        <v>0</v>
      </c>
      <c r="CU113" s="2">
        <f t="shared" si="98"/>
        <v>0</v>
      </c>
      <c r="CV113" s="2">
        <f t="shared" si="99"/>
        <v>0</v>
      </c>
      <c r="CW113" s="2">
        <f t="shared" si="100"/>
        <v>0</v>
      </c>
      <c r="CX113" s="2">
        <f t="shared" si="101"/>
        <v>0</v>
      </c>
      <c r="CY113" s="2">
        <f>(ROUND((((S113+ROUND((ROUND(((EU113)*AV113*1),2)*BS113),2))*AT113)/100),2)+ROUND(((ROUND((ROUND(((AE113-(EU113))*AV113*1),2)*BS113),2)*AT113)/100),2))</f>
        <v>0</v>
      </c>
      <c r="CZ113" s="2">
        <f>(ROUND((((S113+ROUND((ROUND(((EU113)*AV113*1),2)*BS113),2))*AU113)/100),2)+ROUND(((ROUND((ROUND(((AE113-(EU113))*AV113*1),2)*BS113),2)*AU113)/100),2))</f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1010</v>
      </c>
      <c r="DV113" s="2" t="s">
        <v>164</v>
      </c>
      <c r="DW113" s="2" t="s">
        <v>164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55393699</v>
      </c>
      <c r="EF113" s="2">
        <v>40</v>
      </c>
      <c r="EG113" s="2" t="s">
        <v>26</v>
      </c>
      <c r="EH113" s="2">
        <v>0</v>
      </c>
      <c r="EI113" s="2" t="s">
        <v>3</v>
      </c>
      <c r="EJ113" s="2">
        <v>2</v>
      </c>
      <c r="EK113" s="2">
        <v>67</v>
      </c>
      <c r="EL113" s="2" t="s">
        <v>192</v>
      </c>
      <c r="EM113" s="2" t="s">
        <v>193</v>
      </c>
      <c r="EN113" s="2"/>
      <c r="EO113" s="2" t="s">
        <v>60</v>
      </c>
      <c r="EP113" s="2"/>
      <c r="EQ113" s="2">
        <v>0</v>
      </c>
      <c r="ER113" s="2">
        <v>3.16</v>
      </c>
      <c r="ES113" s="2">
        <v>3.16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97</v>
      </c>
      <c r="FY113" s="2">
        <v>51</v>
      </c>
      <c r="FZ113" s="2"/>
      <c r="GA113" s="2" t="s">
        <v>3</v>
      </c>
      <c r="GB113" s="2"/>
      <c r="GC113" s="2"/>
      <c r="GD113" s="2">
        <v>1</v>
      </c>
      <c r="GE113" s="2"/>
      <c r="GF113" s="2">
        <v>249460735</v>
      </c>
      <c r="GG113" s="2">
        <v>2</v>
      </c>
      <c r="GH113" s="2">
        <v>1</v>
      </c>
      <c r="GI113" s="2">
        <v>-2</v>
      </c>
      <c r="GJ113" s="2">
        <v>0</v>
      </c>
      <c r="GK113" s="2">
        <v>0</v>
      </c>
      <c r="GL113" s="2">
        <f t="shared" si="102"/>
        <v>0</v>
      </c>
      <c r="GM113" s="2">
        <f t="shared" si="103"/>
        <v>19.34</v>
      </c>
      <c r="GN113" s="2">
        <f t="shared" si="104"/>
        <v>0</v>
      </c>
      <c r="GO113" s="2">
        <f t="shared" si="105"/>
        <v>19.34</v>
      </c>
      <c r="GP113" s="2">
        <f t="shared" si="106"/>
        <v>0</v>
      </c>
      <c r="GQ113" s="2"/>
      <c r="GR113" s="2">
        <v>0</v>
      </c>
      <c r="GS113" s="2">
        <v>3</v>
      </c>
      <c r="GT113" s="2">
        <v>0</v>
      </c>
      <c r="GU113" s="2" t="s">
        <v>3</v>
      </c>
      <c r="GV113" s="2">
        <f t="shared" si="107"/>
        <v>0</v>
      </c>
      <c r="GW113" s="2">
        <v>1</v>
      </c>
      <c r="GX113" s="2">
        <f t="shared" si="108"/>
        <v>0</v>
      </c>
      <c r="GY113" s="2"/>
      <c r="GZ113" s="2"/>
      <c r="HA113" s="2">
        <v>0</v>
      </c>
      <c r="HB113" s="2">
        <v>0</v>
      </c>
      <c r="HC113" s="2">
        <f t="shared" si="109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55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5">
      <c r="A114" s="3">
        <v>18</v>
      </c>
      <c r="B114" s="3">
        <v>1</v>
      </c>
      <c r="C114" s="3">
        <v>234</v>
      </c>
      <c r="E114" s="3" t="s">
        <v>194</v>
      </c>
      <c r="F114" s="3" t="s">
        <v>195</v>
      </c>
      <c r="G114" s="3" t="s">
        <v>196</v>
      </c>
      <c r="H114" s="3" t="s">
        <v>164</v>
      </c>
      <c r="I114" s="3">
        <f>I112*J114</f>
        <v>6.12</v>
      </c>
      <c r="J114" s="3">
        <v>102</v>
      </c>
      <c r="K114" s="3">
        <v>102</v>
      </c>
      <c r="O114" s="3">
        <f t="shared" si="85"/>
        <v>546.94000000000005</v>
      </c>
      <c r="P114" s="3">
        <f t="shared" si="110"/>
        <v>546.94000000000005</v>
      </c>
      <c r="Q114" s="3">
        <f>(ROUND((ROUND(((ET114)*AV114*I114),2)*BB114),2)+ROUND((ROUND(((AE114-(EU114))*AV114*I114),2)*BS114),2))</f>
        <v>0</v>
      </c>
      <c r="R114" s="3">
        <f>(ROUND((ROUND(((EU114)*AV114*I114),2)*BS114),2)+ROUND((ROUND(((AE114-(EU114))*AV114*I114),2)*BS114),2))</f>
        <v>0</v>
      </c>
      <c r="S114" s="3">
        <f t="shared" si="87"/>
        <v>0</v>
      </c>
      <c r="T114" s="3">
        <f t="shared" si="88"/>
        <v>0</v>
      </c>
      <c r="U114" s="3">
        <f t="shared" si="89"/>
        <v>0</v>
      </c>
      <c r="V114" s="3">
        <f t="shared" si="90"/>
        <v>0</v>
      </c>
      <c r="W114" s="3">
        <f t="shared" si="91"/>
        <v>0</v>
      </c>
      <c r="X114" s="3">
        <f>(ROUND((((S114+ROUND((ROUND(((EU114)*AV114*I114),2)*BS114),2))*AT114)/100),2)+ROUND(((ROUND((ROUND(((AE114-(EU114))*AV114*I114),2)*BS114),2)*AT114)/100),2))</f>
        <v>0</v>
      </c>
      <c r="Y114" s="3">
        <f>(ROUND((((S114+ROUND((ROUND(((EU114)*AV114*I114),2)*BS114),2))*AU114)/100),2)+ROUND(((ROUND((ROUND(((AE114-(EU114))*AV114*I114),2)*BS114),2)*AU114)/100),2))</f>
        <v>0</v>
      </c>
      <c r="AA114" s="3">
        <v>55917799</v>
      </c>
      <c r="AB114" s="3">
        <f t="shared" si="92"/>
        <v>3.16</v>
      </c>
      <c r="AC114" s="3">
        <f>ROUND((ES114),6)</f>
        <v>3.16</v>
      </c>
      <c r="AD114" s="3">
        <f>ROUND((((ET114)-(EU114))+AE114),6)</f>
        <v>0</v>
      </c>
      <c r="AE114" s="3">
        <f>ROUND((EU114),6)</f>
        <v>0</v>
      </c>
      <c r="AF114" s="3">
        <f>ROUND((EV114),6)</f>
        <v>0</v>
      </c>
      <c r="AG114" s="3">
        <f t="shared" si="93"/>
        <v>0</v>
      </c>
      <c r="AH114" s="3">
        <f>(EW114)</f>
        <v>0</v>
      </c>
      <c r="AI114" s="3">
        <f>(EX114)</f>
        <v>0</v>
      </c>
      <c r="AJ114" s="3">
        <f t="shared" si="94"/>
        <v>0</v>
      </c>
      <c r="AK114" s="3">
        <v>3.16</v>
      </c>
      <c r="AL114" s="3">
        <v>3.16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97</v>
      </c>
      <c r="AU114" s="3">
        <v>51</v>
      </c>
      <c r="AV114" s="3">
        <v>1</v>
      </c>
      <c r="AW114" s="3">
        <v>1</v>
      </c>
      <c r="AZ114" s="3">
        <v>1</v>
      </c>
      <c r="BA114" s="3">
        <v>1</v>
      </c>
      <c r="BB114" s="3">
        <v>1</v>
      </c>
      <c r="BC114" s="3">
        <v>28.28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3</v>
      </c>
      <c r="BI114" s="3">
        <v>2</v>
      </c>
      <c r="BJ114" s="3" t="s">
        <v>197</v>
      </c>
      <c r="BM114" s="3">
        <v>67</v>
      </c>
      <c r="BN114" s="3">
        <v>0</v>
      </c>
      <c r="BO114" s="3" t="s">
        <v>195</v>
      </c>
      <c r="BP114" s="3">
        <v>1</v>
      </c>
      <c r="BQ114" s="3">
        <v>40</v>
      </c>
      <c r="BR114" s="3">
        <v>0</v>
      </c>
      <c r="BS114" s="3">
        <v>1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97</v>
      </c>
      <c r="CA114" s="3">
        <v>51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619</v>
      </c>
      <c r="CO114" s="3">
        <v>0</v>
      </c>
      <c r="CP114" s="3">
        <f t="shared" si="95"/>
        <v>546.94000000000005</v>
      </c>
      <c r="CQ114" s="3">
        <f t="shared" si="111"/>
        <v>89.36</v>
      </c>
      <c r="CR114" s="3">
        <f>(ROUND((ROUND(((ET114)*AV114*1),2)*BB114),2)+ROUND((ROUND(((AE114-(EU114))*AV114*1),2)*BS114),2))</f>
        <v>0</v>
      </c>
      <c r="CS114" s="3">
        <f>(ROUND((ROUND(((EU114)*AV114*1),2)*BS114),2)+ROUND((ROUND(((AE114-(EU114))*AV114*1),2)*BS114),2))</f>
        <v>0</v>
      </c>
      <c r="CT114" s="3">
        <f t="shared" si="97"/>
        <v>0</v>
      </c>
      <c r="CU114" s="3">
        <f t="shared" si="98"/>
        <v>0</v>
      </c>
      <c r="CV114" s="3">
        <f t="shared" si="99"/>
        <v>0</v>
      </c>
      <c r="CW114" s="3">
        <f t="shared" si="100"/>
        <v>0</v>
      </c>
      <c r="CX114" s="3">
        <f t="shared" si="101"/>
        <v>0</v>
      </c>
      <c r="CY114" s="3">
        <f>(ROUND((((S114+ROUND((ROUND(((EU114)*AV114*1),2)*BS114),2))*AT114)/100),2)+ROUND(((ROUND((ROUND(((AE114-(EU114))*AV114*1),2)*BS114),2)*AT114)/100),2))</f>
        <v>0</v>
      </c>
      <c r="CZ114" s="3">
        <f>(ROUND((((S114+ROUND((ROUND(((EU114)*AV114*1),2)*BS114),2))*AU114)/100),2)+ROUND(((ROUND((ROUND(((AE114-(EU114))*AV114*1),2)*BS114),2)*AU114)/100),2))</f>
        <v>0</v>
      </c>
      <c r="DC114" s="3" t="s">
        <v>3</v>
      </c>
      <c r="DD114" s="3" t="s">
        <v>3</v>
      </c>
      <c r="DE114" s="3" t="s">
        <v>3</v>
      </c>
      <c r="DF114" s="3" t="s">
        <v>3</v>
      </c>
      <c r="DG114" s="3" t="s">
        <v>3</v>
      </c>
      <c r="DH114" s="3" t="s">
        <v>3</v>
      </c>
      <c r="DI114" s="3" t="s">
        <v>3</v>
      </c>
      <c r="DJ114" s="3" t="s">
        <v>3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1010</v>
      </c>
      <c r="DV114" s="3" t="s">
        <v>164</v>
      </c>
      <c r="DW114" s="3" t="s">
        <v>164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55393699</v>
      </c>
      <c r="EF114" s="3">
        <v>40</v>
      </c>
      <c r="EG114" s="3" t="s">
        <v>26</v>
      </c>
      <c r="EH114" s="3">
        <v>0</v>
      </c>
      <c r="EI114" s="3" t="s">
        <v>3</v>
      </c>
      <c r="EJ114" s="3">
        <v>2</v>
      </c>
      <c r="EK114" s="3">
        <v>67</v>
      </c>
      <c r="EL114" s="3" t="s">
        <v>192</v>
      </c>
      <c r="EM114" s="3" t="s">
        <v>193</v>
      </c>
      <c r="EO114" s="3" t="s">
        <v>60</v>
      </c>
      <c r="EQ114" s="3">
        <v>0</v>
      </c>
      <c r="ER114" s="3">
        <v>3.16</v>
      </c>
      <c r="ES114" s="3">
        <v>3.16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FQ114" s="3">
        <v>0</v>
      </c>
      <c r="FR114" s="3">
        <v>0</v>
      </c>
      <c r="FS114" s="3">
        <v>0</v>
      </c>
      <c r="FX114" s="3">
        <v>97</v>
      </c>
      <c r="FY114" s="3">
        <v>51</v>
      </c>
      <c r="GA114" s="3" t="s">
        <v>3</v>
      </c>
      <c r="GD114" s="3">
        <v>1</v>
      </c>
      <c r="GF114" s="3">
        <v>249460735</v>
      </c>
      <c r="GG114" s="3">
        <v>2</v>
      </c>
      <c r="GH114" s="3">
        <v>1</v>
      </c>
      <c r="GI114" s="3">
        <v>2</v>
      </c>
      <c r="GJ114" s="3">
        <v>0</v>
      </c>
      <c r="GK114" s="3">
        <v>0</v>
      </c>
      <c r="GL114" s="3">
        <f t="shared" si="102"/>
        <v>0</v>
      </c>
      <c r="GM114" s="3">
        <f t="shared" si="103"/>
        <v>546.94000000000005</v>
      </c>
      <c r="GN114" s="3">
        <f t="shared" si="104"/>
        <v>0</v>
      </c>
      <c r="GO114" s="3">
        <f t="shared" si="105"/>
        <v>546.94000000000005</v>
      </c>
      <c r="GP114" s="3">
        <f t="shared" si="106"/>
        <v>0</v>
      </c>
      <c r="GR114" s="3">
        <v>0</v>
      </c>
      <c r="GS114" s="3">
        <v>3</v>
      </c>
      <c r="GT114" s="3">
        <v>0</v>
      </c>
      <c r="GU114" s="3" t="s">
        <v>3</v>
      </c>
      <c r="GV114" s="3">
        <f t="shared" si="107"/>
        <v>0</v>
      </c>
      <c r="GW114" s="3">
        <v>1</v>
      </c>
      <c r="GX114" s="3">
        <f t="shared" si="108"/>
        <v>0</v>
      </c>
      <c r="HA114" s="3">
        <v>0</v>
      </c>
      <c r="HB114" s="3">
        <v>0</v>
      </c>
      <c r="HC114" s="3">
        <f t="shared" si="109"/>
        <v>0</v>
      </c>
      <c r="HE114" s="3" t="s">
        <v>3</v>
      </c>
      <c r="HF114" s="3" t="s">
        <v>3</v>
      </c>
      <c r="HM114" s="3" t="s">
        <v>55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5">
      <c r="A115" s="2">
        <v>17</v>
      </c>
      <c r="B115" s="2">
        <v>1</v>
      </c>
      <c r="C115" s="2">
        <f>ROW(SmtRes!A236)</f>
        <v>236</v>
      </c>
      <c r="D115" s="2">
        <f>ROW(EtalonRes!A265)</f>
        <v>265</v>
      </c>
      <c r="E115" s="2" t="s">
        <v>198</v>
      </c>
      <c r="F115" s="2" t="s">
        <v>62</v>
      </c>
      <c r="G115" s="2" t="s">
        <v>199</v>
      </c>
      <c r="H115" s="2" t="s">
        <v>33</v>
      </c>
      <c r="I115" s="2">
        <v>6</v>
      </c>
      <c r="J115" s="2">
        <v>0</v>
      </c>
      <c r="K115" s="2">
        <v>6</v>
      </c>
      <c r="L115" s="2"/>
      <c r="M115" s="2"/>
      <c r="N115" s="2"/>
      <c r="O115" s="2">
        <f t="shared" si="85"/>
        <v>187.1</v>
      </c>
      <c r="P115" s="2">
        <f t="shared" si="110"/>
        <v>0</v>
      </c>
      <c r="Q115" s="2">
        <f>(ROUND((ROUND((((ET115*1.2))*AV115*I115),2)*BB115),2)+ROUND((ROUND(((AE115-((EU115*1.2)))*AV115*I115),2)*BS115),2))</f>
        <v>100.26</v>
      </c>
      <c r="R115" s="2">
        <f>(ROUND((ROUND((((EU115*1.2))*AV115*I115),2)*BS115),2)+ROUND((ROUND(((AE115-((EU115*1.2)))*AV115*I115),2)*BS115),2))</f>
        <v>15.23</v>
      </c>
      <c r="S115" s="2">
        <f t="shared" si="87"/>
        <v>86.84</v>
      </c>
      <c r="T115" s="2">
        <f t="shared" si="88"/>
        <v>0</v>
      </c>
      <c r="U115" s="2">
        <f t="shared" si="89"/>
        <v>7.7645519999999983</v>
      </c>
      <c r="V115" s="2">
        <f t="shared" si="90"/>
        <v>0</v>
      </c>
      <c r="W115" s="2">
        <f t="shared" si="91"/>
        <v>0</v>
      </c>
      <c r="X115" s="2">
        <f>(ROUND((((S115+ROUND((ROUND((((EU115*1.2))*AV115*I115),2)*BS115),2))*AT115)/100),2)+ROUND(((ROUND((ROUND(((AE115-((EU115*1.2)))*AV115*I115),2)*BS115),2)*AT115)/100),2))</f>
        <v>91.86</v>
      </c>
      <c r="Y115" s="2">
        <f>(ROUND((((S115+ROUND((ROUND((((EU115*1.2))*AV115*I115),2)*BS115),2))*AU115)/100),2)+ROUND(((ROUND((ROUND(((AE115-((EU115*1.2)))*AV115*I115),2)*BS115),2)*AU115)/100),2))</f>
        <v>46.95</v>
      </c>
      <c r="Z115" s="2"/>
      <c r="AA115" s="2">
        <v>55917797</v>
      </c>
      <c r="AB115" s="2">
        <f t="shared" si="92"/>
        <v>29.783999999999999</v>
      </c>
      <c r="AC115" s="2">
        <f>ROUND(((ES115*1)),6)</f>
        <v>0</v>
      </c>
      <c r="AD115" s="2">
        <f>ROUND(((((ET115*1.2))-((EU115*1.2)))+AE115),6)</f>
        <v>15.96</v>
      </c>
      <c r="AE115" s="2">
        <f>ROUND(((EU115*1.2)),6)</f>
        <v>2.4239999999999999</v>
      </c>
      <c r="AF115" s="2">
        <f>ROUND(((EV115*1.2)),6)</f>
        <v>13.824</v>
      </c>
      <c r="AG115" s="2">
        <f t="shared" si="93"/>
        <v>0</v>
      </c>
      <c r="AH115" s="2">
        <f>((EW115*1.2))</f>
        <v>1.236</v>
      </c>
      <c r="AI115" s="2">
        <f>((EX115*1.2))</f>
        <v>0</v>
      </c>
      <c r="AJ115" s="2">
        <f t="shared" si="94"/>
        <v>0</v>
      </c>
      <c r="AK115" s="2">
        <v>24.82</v>
      </c>
      <c r="AL115" s="2">
        <v>0</v>
      </c>
      <c r="AM115" s="2">
        <v>13.3</v>
      </c>
      <c r="AN115" s="2">
        <v>2.02</v>
      </c>
      <c r="AO115" s="2">
        <v>11.52</v>
      </c>
      <c r="AP115" s="2">
        <v>0</v>
      </c>
      <c r="AQ115" s="2">
        <v>1.03</v>
      </c>
      <c r="AR115" s="2">
        <v>0</v>
      </c>
      <c r="AS115" s="2">
        <v>0</v>
      </c>
      <c r="AT115" s="2">
        <v>90</v>
      </c>
      <c r="AU115" s="2">
        <v>46</v>
      </c>
      <c r="AV115" s="2">
        <v>1.0469999999999999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2</v>
      </c>
      <c r="BJ115" s="2" t="s">
        <v>64</v>
      </c>
      <c r="BK115" s="2"/>
      <c r="BL115" s="2"/>
      <c r="BM115" s="2">
        <v>72</v>
      </c>
      <c r="BN115" s="2">
        <v>0</v>
      </c>
      <c r="BO115" s="2" t="s">
        <v>62</v>
      </c>
      <c r="BP115" s="2">
        <v>1</v>
      </c>
      <c r="BQ115" s="2">
        <v>40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90</v>
      </c>
      <c r="CA115" s="2">
        <v>46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618</v>
      </c>
      <c r="CO115" s="2">
        <v>0</v>
      </c>
      <c r="CP115" s="2">
        <f t="shared" si="95"/>
        <v>187.10000000000002</v>
      </c>
      <c r="CQ115" s="2">
        <f t="shared" si="111"/>
        <v>0</v>
      </c>
      <c r="CR115" s="2">
        <f>(ROUND((ROUND((((ET115*1.2))*AV115*1),2)*BB115),2)+ROUND((ROUND(((AE115-((EU115*1.2)))*AV115*1),2)*BS115),2))</f>
        <v>16.71</v>
      </c>
      <c r="CS115" s="2">
        <f>(ROUND((ROUND((((EU115*1.2))*AV115*1),2)*BS115),2)+ROUND((ROUND(((AE115-((EU115*1.2)))*AV115*1),2)*BS115),2))</f>
        <v>2.54</v>
      </c>
      <c r="CT115" s="2">
        <f t="shared" si="97"/>
        <v>14.47</v>
      </c>
      <c r="CU115" s="2">
        <f t="shared" si="98"/>
        <v>0</v>
      </c>
      <c r="CV115" s="2">
        <f t="shared" si="99"/>
        <v>1.2940919999999998</v>
      </c>
      <c r="CW115" s="2">
        <f t="shared" si="100"/>
        <v>0</v>
      </c>
      <c r="CX115" s="2">
        <f t="shared" si="101"/>
        <v>0</v>
      </c>
      <c r="CY115" s="2">
        <f>(ROUND((((S115+ROUND((ROUND((((EU115*1.2))*AV115*1),2)*BS115),2))*AT115)/100),2)+ROUND(((ROUND((ROUND(((AE115-((EU115*1.2)))*AV115*1),2)*BS115),2)*AT115)/100),2))</f>
        <v>80.44</v>
      </c>
      <c r="CZ115" s="2">
        <f>(ROUND((((S115+ROUND((ROUND((((EU115*1.2))*AV115*1),2)*BS115),2))*AU115)/100),2)+ROUND(((ROUND((ROUND(((AE115-((EU115*1.2)))*AV115*1),2)*BS115),2)*AU115)/100),2))</f>
        <v>41.11</v>
      </c>
      <c r="DA115" s="2"/>
      <c r="DB115" s="2">
        <v>61</v>
      </c>
      <c r="DC115" s="2" t="s">
        <v>3</v>
      </c>
      <c r="DD115" s="2" t="s">
        <v>55</v>
      </c>
      <c r="DE115" s="2" t="s">
        <v>56</v>
      </c>
      <c r="DF115" s="2" t="s">
        <v>56</v>
      </c>
      <c r="DG115" s="2" t="s">
        <v>56</v>
      </c>
      <c r="DH115" s="2" t="s">
        <v>3</v>
      </c>
      <c r="DI115" s="2" t="s">
        <v>56</v>
      </c>
      <c r="DJ115" s="2" t="s">
        <v>56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33</v>
      </c>
      <c r="DW115" s="2" t="s">
        <v>33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55393704</v>
      </c>
      <c r="EF115" s="2">
        <v>40</v>
      </c>
      <c r="EG115" s="2" t="s">
        <v>26</v>
      </c>
      <c r="EH115" s="2">
        <v>0</v>
      </c>
      <c r="EI115" s="2" t="s">
        <v>3</v>
      </c>
      <c r="EJ115" s="2">
        <v>2</v>
      </c>
      <c r="EK115" s="2">
        <v>72</v>
      </c>
      <c r="EL115" s="2" t="s">
        <v>65</v>
      </c>
      <c r="EM115" s="2" t="s">
        <v>66</v>
      </c>
      <c r="EN115" s="2"/>
      <c r="EO115" s="2" t="s">
        <v>60</v>
      </c>
      <c r="EP115" s="2"/>
      <c r="EQ115" s="2">
        <v>0</v>
      </c>
      <c r="ER115" s="2">
        <v>24.82</v>
      </c>
      <c r="ES115" s="2">
        <v>0</v>
      </c>
      <c r="ET115" s="2">
        <v>13.3</v>
      </c>
      <c r="EU115" s="2">
        <v>2.02</v>
      </c>
      <c r="EV115" s="2">
        <v>11.52</v>
      </c>
      <c r="EW115" s="2">
        <v>1.03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90</v>
      </c>
      <c r="FY115" s="2">
        <v>46</v>
      </c>
      <c r="FZ115" s="2"/>
      <c r="GA115" s="2" t="s">
        <v>3</v>
      </c>
      <c r="GB115" s="2"/>
      <c r="GC115" s="2"/>
      <c r="GD115" s="2">
        <v>1</v>
      </c>
      <c r="GE115" s="2"/>
      <c r="GF115" s="2">
        <v>-402392528</v>
      </c>
      <c r="GG115" s="2">
        <v>2</v>
      </c>
      <c r="GH115" s="2">
        <v>1</v>
      </c>
      <c r="GI115" s="2">
        <v>2</v>
      </c>
      <c r="GJ115" s="2">
        <v>0</v>
      </c>
      <c r="GK115" s="2">
        <v>0</v>
      </c>
      <c r="GL115" s="2">
        <f t="shared" si="102"/>
        <v>0</v>
      </c>
      <c r="GM115" s="2">
        <f t="shared" si="103"/>
        <v>325.91000000000003</v>
      </c>
      <c r="GN115" s="2">
        <f t="shared" si="104"/>
        <v>0</v>
      </c>
      <c r="GO115" s="2">
        <f t="shared" si="105"/>
        <v>325.91000000000003</v>
      </c>
      <c r="GP115" s="2">
        <f t="shared" si="106"/>
        <v>0</v>
      </c>
      <c r="GQ115" s="2"/>
      <c r="GR115" s="2">
        <v>0</v>
      </c>
      <c r="GS115" s="2">
        <v>3</v>
      </c>
      <c r="GT115" s="2">
        <v>0</v>
      </c>
      <c r="GU115" s="2" t="s">
        <v>3</v>
      </c>
      <c r="GV115" s="2">
        <f t="shared" si="107"/>
        <v>0</v>
      </c>
      <c r="GW115" s="2">
        <v>1</v>
      </c>
      <c r="GX115" s="2">
        <f t="shared" si="108"/>
        <v>0</v>
      </c>
      <c r="GY115" s="2"/>
      <c r="GZ115" s="2"/>
      <c r="HA115" s="2">
        <v>0</v>
      </c>
      <c r="HB115" s="2">
        <v>0</v>
      </c>
      <c r="HC115" s="2">
        <f t="shared" si="109"/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5">
      <c r="A116" s="3">
        <v>17</v>
      </c>
      <c r="B116" s="3">
        <v>1</v>
      </c>
      <c r="C116" s="3">
        <f>ROW(SmtRes!A238)</f>
        <v>238</v>
      </c>
      <c r="D116" s="3">
        <f>ROW(EtalonRes!A268)</f>
        <v>268</v>
      </c>
      <c r="E116" s="3" t="s">
        <v>198</v>
      </c>
      <c r="F116" s="3" t="s">
        <v>62</v>
      </c>
      <c r="G116" s="3" t="s">
        <v>199</v>
      </c>
      <c r="H116" s="3" t="s">
        <v>33</v>
      </c>
      <c r="I116" s="3">
        <v>6</v>
      </c>
      <c r="J116" s="3">
        <v>0</v>
      </c>
      <c r="K116" s="3">
        <v>6</v>
      </c>
      <c r="O116" s="3">
        <f t="shared" si="85"/>
        <v>6603.87</v>
      </c>
      <c r="P116" s="3">
        <f t="shared" si="110"/>
        <v>0</v>
      </c>
      <c r="Q116" s="3">
        <f>(ROUND((ROUND((((ET116*1.2))*AV116*I116),2)*BB116),2)+ROUND((ROUND(((AE116-((EU116*1.2)))*AV116*I116),2)*BS116),2))</f>
        <v>1710.44</v>
      </c>
      <c r="R116" s="3">
        <f>(ROUND((ROUND((((EU116*1.2))*AV116*I116),2)*BS116),2)+ROUND((ROUND(((AE116-((EU116*1.2)))*AV116*I116),2)*BS116),2))</f>
        <v>858.21</v>
      </c>
      <c r="S116" s="3">
        <f t="shared" si="87"/>
        <v>4893.43</v>
      </c>
      <c r="T116" s="3">
        <f t="shared" si="88"/>
        <v>0</v>
      </c>
      <c r="U116" s="3">
        <f t="shared" si="89"/>
        <v>7.7645519999999983</v>
      </c>
      <c r="V116" s="3">
        <f t="shared" si="90"/>
        <v>0</v>
      </c>
      <c r="W116" s="3">
        <f t="shared" si="91"/>
        <v>0</v>
      </c>
      <c r="X116" s="3">
        <f>(ROUND((((S116+ROUND((ROUND((((EU116*1.2))*AV116*I116),2)*BS116),2))*AT116)/100),2)+ROUND(((ROUND((ROUND(((AE116-((EU116*1.2)))*AV116*I116),2)*BS116),2)*AT116)/100),2))</f>
        <v>5176.4799999999996</v>
      </c>
      <c r="Y116" s="3">
        <f>(ROUND((((S116+ROUND((ROUND((((EU116*1.2))*AV116*I116),2)*BS116),2))*AU116)/100),2)+ROUND(((ROUND((ROUND(((AE116-((EU116*1.2)))*AV116*I116),2)*BS116),2)*AU116)/100),2))</f>
        <v>2645.75</v>
      </c>
      <c r="AA116" s="3">
        <v>55917799</v>
      </c>
      <c r="AB116" s="3">
        <f t="shared" si="92"/>
        <v>29.783999999999999</v>
      </c>
      <c r="AC116" s="3">
        <f>ROUND(((ES116*1)),6)</f>
        <v>0</v>
      </c>
      <c r="AD116" s="3">
        <f>ROUND(((((ET116*1.2))-((EU116*1.2)))+AE116),6)</f>
        <v>15.96</v>
      </c>
      <c r="AE116" s="3">
        <f>ROUND(((EU116*1.2)),6)</f>
        <v>2.4239999999999999</v>
      </c>
      <c r="AF116" s="3">
        <f>ROUND(((EV116*1.2)),6)</f>
        <v>13.824</v>
      </c>
      <c r="AG116" s="3">
        <f t="shared" si="93"/>
        <v>0</v>
      </c>
      <c r="AH116" s="3">
        <f>((EW116*1.2))</f>
        <v>1.236</v>
      </c>
      <c r="AI116" s="3">
        <f>((EX116*1.2))</f>
        <v>0</v>
      </c>
      <c r="AJ116" s="3">
        <f t="shared" si="94"/>
        <v>0</v>
      </c>
      <c r="AK116" s="3">
        <v>24.82</v>
      </c>
      <c r="AL116" s="3">
        <v>0</v>
      </c>
      <c r="AM116" s="3">
        <v>13.3</v>
      </c>
      <c r="AN116" s="3">
        <v>2.02</v>
      </c>
      <c r="AO116" s="3">
        <v>11.52</v>
      </c>
      <c r="AP116" s="3">
        <v>0</v>
      </c>
      <c r="AQ116" s="3">
        <v>1.03</v>
      </c>
      <c r="AR116" s="3">
        <v>0</v>
      </c>
      <c r="AS116" s="3">
        <v>0</v>
      </c>
      <c r="AT116" s="3">
        <v>90</v>
      </c>
      <c r="AU116" s="3">
        <v>46</v>
      </c>
      <c r="AV116" s="3">
        <v>1.0469999999999999</v>
      </c>
      <c r="AW116" s="3">
        <v>1</v>
      </c>
      <c r="AZ116" s="3">
        <v>1</v>
      </c>
      <c r="BA116" s="3">
        <v>56.35</v>
      </c>
      <c r="BB116" s="3">
        <v>17.059999999999999</v>
      </c>
      <c r="BC116" s="3">
        <v>1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0</v>
      </c>
      <c r="BI116" s="3">
        <v>2</v>
      </c>
      <c r="BJ116" s="3" t="s">
        <v>64</v>
      </c>
      <c r="BM116" s="3">
        <v>72</v>
      </c>
      <c r="BN116" s="3">
        <v>0</v>
      </c>
      <c r="BO116" s="3" t="s">
        <v>62</v>
      </c>
      <c r="BP116" s="3">
        <v>1</v>
      </c>
      <c r="BQ116" s="3">
        <v>40</v>
      </c>
      <c r="BR116" s="3">
        <v>0</v>
      </c>
      <c r="BS116" s="3">
        <v>56.35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90</v>
      </c>
      <c r="CA116" s="3">
        <v>46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618</v>
      </c>
      <c r="CO116" s="3">
        <v>0</v>
      </c>
      <c r="CP116" s="3">
        <f t="shared" si="95"/>
        <v>6603.8700000000008</v>
      </c>
      <c r="CQ116" s="3">
        <f t="shared" si="111"/>
        <v>0</v>
      </c>
      <c r="CR116" s="3">
        <f>(ROUND((ROUND((((ET116*1.2))*AV116*1),2)*BB116),2)+ROUND((ROUND(((AE116-((EU116*1.2)))*AV116*1),2)*BS116),2))</f>
        <v>285.07</v>
      </c>
      <c r="CS116" s="3">
        <f>(ROUND((ROUND((((EU116*1.2))*AV116*1),2)*BS116),2)+ROUND((ROUND(((AE116-((EU116*1.2)))*AV116*1),2)*BS116),2))</f>
        <v>143.13</v>
      </c>
      <c r="CT116" s="3">
        <f t="shared" si="97"/>
        <v>815.38</v>
      </c>
      <c r="CU116" s="3">
        <f t="shared" si="98"/>
        <v>0</v>
      </c>
      <c r="CV116" s="3">
        <f t="shared" si="99"/>
        <v>1.2940919999999998</v>
      </c>
      <c r="CW116" s="3">
        <f t="shared" si="100"/>
        <v>0</v>
      </c>
      <c r="CX116" s="3">
        <f t="shared" si="101"/>
        <v>0</v>
      </c>
      <c r="CY116" s="3">
        <f>(ROUND((((S116+ROUND((ROUND((((EU116*1.2))*AV116*1),2)*BS116),2))*AT116)/100),2)+ROUND(((ROUND((ROUND(((AE116-((EU116*1.2)))*AV116*1),2)*BS116),2)*AT116)/100),2))</f>
        <v>4532.8999999999996</v>
      </c>
      <c r="CZ116" s="3">
        <f>(ROUND((((S116+ROUND((ROUND((((EU116*1.2))*AV116*1),2)*BS116),2))*AU116)/100),2)+ROUND(((ROUND((ROUND(((AE116-((EU116*1.2)))*AV116*1),2)*BS116),2)*AU116)/100),2))</f>
        <v>2316.8200000000002</v>
      </c>
      <c r="DB116" s="3">
        <v>62</v>
      </c>
      <c r="DC116" s="3" t="s">
        <v>3</v>
      </c>
      <c r="DD116" s="3" t="s">
        <v>55</v>
      </c>
      <c r="DE116" s="3" t="s">
        <v>56</v>
      </c>
      <c r="DF116" s="3" t="s">
        <v>56</v>
      </c>
      <c r="DG116" s="3" t="s">
        <v>56</v>
      </c>
      <c r="DH116" s="3" t="s">
        <v>3</v>
      </c>
      <c r="DI116" s="3" t="s">
        <v>56</v>
      </c>
      <c r="DJ116" s="3" t="s">
        <v>56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33</v>
      </c>
      <c r="DW116" s="3" t="s">
        <v>33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55393704</v>
      </c>
      <c r="EF116" s="3">
        <v>40</v>
      </c>
      <c r="EG116" s="3" t="s">
        <v>26</v>
      </c>
      <c r="EH116" s="3">
        <v>0</v>
      </c>
      <c r="EI116" s="3" t="s">
        <v>3</v>
      </c>
      <c r="EJ116" s="3">
        <v>2</v>
      </c>
      <c r="EK116" s="3">
        <v>72</v>
      </c>
      <c r="EL116" s="3" t="s">
        <v>65</v>
      </c>
      <c r="EM116" s="3" t="s">
        <v>66</v>
      </c>
      <c r="EO116" s="3" t="s">
        <v>60</v>
      </c>
      <c r="EQ116" s="3">
        <v>0</v>
      </c>
      <c r="ER116" s="3">
        <v>24.82</v>
      </c>
      <c r="ES116" s="3">
        <v>0</v>
      </c>
      <c r="ET116" s="3">
        <v>13.3</v>
      </c>
      <c r="EU116" s="3">
        <v>2.02</v>
      </c>
      <c r="EV116" s="3">
        <v>11.52</v>
      </c>
      <c r="EW116" s="3">
        <v>1.03</v>
      </c>
      <c r="EX116" s="3">
        <v>0</v>
      </c>
      <c r="EY116" s="3">
        <v>0</v>
      </c>
      <c r="FQ116" s="3">
        <v>0</v>
      </c>
      <c r="FR116" s="3">
        <v>0</v>
      </c>
      <c r="FS116" s="3">
        <v>0</v>
      </c>
      <c r="FX116" s="3">
        <v>90</v>
      </c>
      <c r="FY116" s="3">
        <v>46</v>
      </c>
      <c r="GA116" s="3" t="s">
        <v>3</v>
      </c>
      <c r="GD116" s="3">
        <v>1</v>
      </c>
      <c r="GF116" s="3">
        <v>-402392528</v>
      </c>
      <c r="GG116" s="3">
        <v>2</v>
      </c>
      <c r="GH116" s="3">
        <v>1</v>
      </c>
      <c r="GI116" s="3">
        <v>2</v>
      </c>
      <c r="GJ116" s="3">
        <v>0</v>
      </c>
      <c r="GK116" s="3">
        <v>0</v>
      </c>
      <c r="GL116" s="3">
        <f t="shared" si="102"/>
        <v>0</v>
      </c>
      <c r="GM116" s="3">
        <f t="shared" si="103"/>
        <v>14426.1</v>
      </c>
      <c r="GN116" s="3">
        <f t="shared" si="104"/>
        <v>0</v>
      </c>
      <c r="GO116" s="3">
        <f t="shared" si="105"/>
        <v>14426.1</v>
      </c>
      <c r="GP116" s="3">
        <f t="shared" si="106"/>
        <v>0</v>
      </c>
      <c r="GR116" s="3">
        <v>0</v>
      </c>
      <c r="GS116" s="3">
        <v>3</v>
      </c>
      <c r="GT116" s="3">
        <v>0</v>
      </c>
      <c r="GU116" s="3" t="s">
        <v>3</v>
      </c>
      <c r="GV116" s="3">
        <f t="shared" si="107"/>
        <v>0</v>
      </c>
      <c r="GW116" s="3">
        <v>1</v>
      </c>
      <c r="GX116" s="3">
        <f t="shared" si="108"/>
        <v>0</v>
      </c>
      <c r="HA116" s="3">
        <v>0</v>
      </c>
      <c r="HB116" s="3">
        <v>0</v>
      </c>
      <c r="HC116" s="3">
        <f t="shared" si="109"/>
        <v>0</v>
      </c>
      <c r="HE116" s="3" t="s">
        <v>3</v>
      </c>
      <c r="HF116" s="3" t="s">
        <v>3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7" spans="1:255" x14ac:dyDescent="0.25">
      <c r="A117" s="2">
        <v>17</v>
      </c>
      <c r="B117" s="2">
        <v>1</v>
      </c>
      <c r="C117" s="2"/>
      <c r="D117" s="2"/>
      <c r="E117" s="2" t="s">
        <v>200</v>
      </c>
      <c r="F117" s="2" t="s">
        <v>201</v>
      </c>
      <c r="G117" s="2" t="s">
        <v>202</v>
      </c>
      <c r="H117" s="2" t="s">
        <v>148</v>
      </c>
      <c r="I117" s="2">
        <v>6</v>
      </c>
      <c r="J117" s="2">
        <v>0</v>
      </c>
      <c r="K117" s="2">
        <v>6</v>
      </c>
      <c r="L117" s="2"/>
      <c r="M117" s="2"/>
      <c r="N117" s="2"/>
      <c r="O117" s="2">
        <f t="shared" si="85"/>
        <v>4415.34</v>
      </c>
      <c r="P117" s="2">
        <f t="shared" si="110"/>
        <v>4415.34</v>
      </c>
      <c r="Q117" s="2">
        <f>(ROUND((ROUND(((ET117)*AV117*I117),2)*BB117),2)+ROUND((ROUND(((AE117-(EU117))*AV117*I117),2)*BS117),2))</f>
        <v>0</v>
      </c>
      <c r="R117" s="2">
        <f>(ROUND((ROUND(((EU117)*AV117*I117),2)*BS117),2)+ROUND((ROUND(((AE117-(EU117))*AV117*I117),2)*BS117),2))</f>
        <v>0</v>
      </c>
      <c r="S117" s="2">
        <f t="shared" si="87"/>
        <v>0</v>
      </c>
      <c r="T117" s="2">
        <f t="shared" si="88"/>
        <v>0</v>
      </c>
      <c r="U117" s="2">
        <f t="shared" si="89"/>
        <v>0</v>
      </c>
      <c r="V117" s="2">
        <f t="shared" si="90"/>
        <v>0</v>
      </c>
      <c r="W117" s="2">
        <f t="shared" si="91"/>
        <v>0</v>
      </c>
      <c r="X117" s="2">
        <f>(ROUND((((S117+ROUND((ROUND(((EU117)*AV117*I117),2)*BS117),2))*AT117)/100),2)+ROUND(((ROUND((ROUND(((AE117-(EU117))*AV117*I117),2)*BS117),2)*AT117)/100),2))</f>
        <v>0</v>
      </c>
      <c r="Y117" s="2">
        <f>(ROUND((((S117+ROUND((ROUND(((EU117)*AV117*I117),2)*BS117),2))*AU117)/100),2)+ROUND(((ROUND((ROUND(((AE117-(EU117))*AV117*I117),2)*BS117),2)*AU117)/100),2))</f>
        <v>0</v>
      </c>
      <c r="Z117" s="2"/>
      <c r="AA117" s="2">
        <v>55917797</v>
      </c>
      <c r="AB117" s="2">
        <f t="shared" si="92"/>
        <v>735.89</v>
      </c>
      <c r="AC117" s="2">
        <f>ROUND((ES117),6)</f>
        <v>735.89</v>
      </c>
      <c r="AD117" s="2">
        <f>ROUND((((ET117)-(EU117))+AE117),6)</f>
        <v>0</v>
      </c>
      <c r="AE117" s="2">
        <f>ROUND((EU117),6)</f>
        <v>0</v>
      </c>
      <c r="AF117" s="2">
        <f>ROUND((EV117),6)</f>
        <v>0</v>
      </c>
      <c r="AG117" s="2">
        <f t="shared" si="93"/>
        <v>0</v>
      </c>
      <c r="AH117" s="2">
        <f>(EW117)</f>
        <v>0</v>
      </c>
      <c r="AI117" s="2">
        <f>(EX117)</f>
        <v>0</v>
      </c>
      <c r="AJ117" s="2">
        <f t="shared" si="94"/>
        <v>0</v>
      </c>
      <c r="AK117" s="2">
        <v>735.89</v>
      </c>
      <c r="AL117" s="2">
        <v>735.89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3</v>
      </c>
      <c r="BJ117" s="2" t="s">
        <v>201</v>
      </c>
      <c r="BK117" s="2"/>
      <c r="BL117" s="2"/>
      <c r="BM117" s="2">
        <v>400007</v>
      </c>
      <c r="BN117" s="2">
        <v>0</v>
      </c>
      <c r="BO117" s="2" t="s">
        <v>3</v>
      </c>
      <c r="BP117" s="2">
        <v>0</v>
      </c>
      <c r="BQ117" s="2">
        <v>214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0</v>
      </c>
      <c r="CA117" s="2">
        <v>0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95"/>
        <v>4415.34</v>
      </c>
      <c r="CQ117" s="2">
        <f t="shared" si="111"/>
        <v>735.89</v>
      </c>
      <c r="CR117" s="2">
        <f>(ROUND((ROUND(((ET117)*AV117*1),2)*BB117),2)+ROUND((ROUND(((AE117-(EU117))*AV117*1),2)*BS117),2))</f>
        <v>0</v>
      </c>
      <c r="CS117" s="2">
        <f>(ROUND((ROUND(((EU117)*AV117*1),2)*BS117),2)+ROUND((ROUND(((AE117-(EU117))*AV117*1),2)*BS117),2))</f>
        <v>0</v>
      </c>
      <c r="CT117" s="2">
        <f t="shared" si="97"/>
        <v>0</v>
      </c>
      <c r="CU117" s="2">
        <f t="shared" si="98"/>
        <v>0</v>
      </c>
      <c r="CV117" s="2">
        <f t="shared" si="99"/>
        <v>0</v>
      </c>
      <c r="CW117" s="2">
        <f t="shared" si="100"/>
        <v>0</v>
      </c>
      <c r="CX117" s="2">
        <f t="shared" si="101"/>
        <v>0</v>
      </c>
      <c r="CY117" s="2">
        <f>(ROUND((((S117+ROUND((ROUND(((EU117)*AV117*1),2)*BS117),2))*AT117)/100),2)+ROUND(((ROUND((ROUND(((AE117-(EU117))*AV117*1),2)*BS117),2)*AT117)/100),2))</f>
        <v>0</v>
      </c>
      <c r="CZ117" s="2">
        <f>(ROUND((((S117+ROUND((ROUND(((EU117)*AV117*1),2)*BS117),2))*AU117)/100),2)+ROUND(((ROUND((ROUND(((AE117-(EU117))*AV117*1),2)*BS117),2)*AU117)/100),2))</f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148</v>
      </c>
      <c r="DW117" s="2" t="s">
        <v>148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55393630</v>
      </c>
      <c r="EF117" s="2">
        <v>214</v>
      </c>
      <c r="EG117" s="2" t="s">
        <v>149</v>
      </c>
      <c r="EH117" s="2">
        <v>0</v>
      </c>
      <c r="EI117" s="2" t="s">
        <v>3</v>
      </c>
      <c r="EJ117" s="2">
        <v>3</v>
      </c>
      <c r="EK117" s="2">
        <v>400007</v>
      </c>
      <c r="EL117" s="2" t="s">
        <v>149</v>
      </c>
      <c r="EM117" s="2" t="s">
        <v>150</v>
      </c>
      <c r="EN117" s="2"/>
      <c r="EO117" s="2" t="s">
        <v>3</v>
      </c>
      <c r="EP117" s="2"/>
      <c r="EQ117" s="2">
        <v>16</v>
      </c>
      <c r="ER117" s="2">
        <v>0</v>
      </c>
      <c r="ES117" s="2">
        <v>735.89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f>P117</f>
        <v>4415.34</v>
      </c>
      <c r="FS117" s="2">
        <v>0</v>
      </c>
      <c r="FT117" s="2"/>
      <c r="FU117" s="2"/>
      <c r="FV117" s="2"/>
      <c r="FW117" s="2"/>
      <c r="FX117" s="2">
        <v>0</v>
      </c>
      <c r="FY117" s="2">
        <v>0</v>
      </c>
      <c r="FZ117" s="2"/>
      <c r="GA117" s="2" t="s">
        <v>203</v>
      </c>
      <c r="GB117" s="2"/>
      <c r="GC117" s="2"/>
      <c r="GD117" s="2">
        <v>1</v>
      </c>
      <c r="GE117" s="2"/>
      <c r="GF117" s="2">
        <v>685546661</v>
      </c>
      <c r="GG117" s="2">
        <v>2</v>
      </c>
      <c r="GH117" s="2">
        <v>4</v>
      </c>
      <c r="GI117" s="2">
        <v>-2</v>
      </c>
      <c r="GJ117" s="2">
        <v>0</v>
      </c>
      <c r="GK117" s="2">
        <v>0</v>
      </c>
      <c r="GL117" s="2">
        <f t="shared" si="102"/>
        <v>0</v>
      </c>
      <c r="GM117" s="2">
        <f t="shared" si="103"/>
        <v>4415.34</v>
      </c>
      <c r="GN117" s="2">
        <f t="shared" si="104"/>
        <v>0</v>
      </c>
      <c r="GO117" s="2">
        <f t="shared" si="105"/>
        <v>0</v>
      </c>
      <c r="GP117" s="2">
        <f t="shared" si="106"/>
        <v>0</v>
      </c>
      <c r="GQ117" s="2"/>
      <c r="GR117" s="2">
        <v>1</v>
      </c>
      <c r="GS117" s="2">
        <v>2</v>
      </c>
      <c r="GT117" s="2">
        <v>0</v>
      </c>
      <c r="GU117" s="2" t="s">
        <v>3</v>
      </c>
      <c r="GV117" s="2">
        <f t="shared" si="107"/>
        <v>0</v>
      </c>
      <c r="GW117" s="2">
        <v>1</v>
      </c>
      <c r="GX117" s="2">
        <f t="shared" si="108"/>
        <v>0</v>
      </c>
      <c r="GY117" s="2"/>
      <c r="GZ117" s="2"/>
      <c r="HA117" s="2">
        <v>0</v>
      </c>
      <c r="HB117" s="2">
        <v>0</v>
      </c>
      <c r="HC117" s="2">
        <f t="shared" si="109"/>
        <v>0</v>
      </c>
      <c r="HD117" s="2"/>
      <c r="HE117" s="2" t="s">
        <v>37</v>
      </c>
      <c r="HF117" s="2" t="s">
        <v>152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5">
      <c r="A118" s="3">
        <v>17</v>
      </c>
      <c r="B118" s="3">
        <v>1</v>
      </c>
      <c r="E118" s="3" t="s">
        <v>200</v>
      </c>
      <c r="F118" s="3" t="s">
        <v>201</v>
      </c>
      <c r="G118" s="3" t="s">
        <v>202</v>
      </c>
      <c r="H118" s="3" t="s">
        <v>148</v>
      </c>
      <c r="I118" s="3">
        <v>6</v>
      </c>
      <c r="J118" s="3">
        <v>0</v>
      </c>
      <c r="K118" s="3">
        <v>6</v>
      </c>
      <c r="O118" s="3">
        <f t="shared" si="85"/>
        <v>33424.120000000003</v>
      </c>
      <c r="P118" s="3">
        <f t="shared" si="110"/>
        <v>33424.120000000003</v>
      </c>
      <c r="Q118" s="3">
        <f>(ROUND((ROUND(((ET118)*AV118*I118),2)*BB118),2)+ROUND((ROUND(((AE118-(EU118))*AV118*I118),2)*BS118),2))</f>
        <v>0</v>
      </c>
      <c r="R118" s="3">
        <f>(ROUND((ROUND(((EU118)*AV118*I118),2)*BS118),2)+ROUND((ROUND(((AE118-(EU118))*AV118*I118),2)*BS118),2))</f>
        <v>0</v>
      </c>
      <c r="S118" s="3">
        <f t="shared" si="87"/>
        <v>0</v>
      </c>
      <c r="T118" s="3">
        <f t="shared" si="88"/>
        <v>0</v>
      </c>
      <c r="U118" s="3">
        <f t="shared" si="89"/>
        <v>0</v>
      </c>
      <c r="V118" s="3">
        <f t="shared" si="90"/>
        <v>0</v>
      </c>
      <c r="W118" s="3">
        <f t="shared" si="91"/>
        <v>0</v>
      </c>
      <c r="X118" s="3">
        <f>(ROUND((((S118+ROUND((ROUND(((EU118)*AV118*I118),2)*BS118),2))*AT118)/100),2)+ROUND(((ROUND((ROUND(((AE118-(EU118))*AV118*I118),2)*BS118),2)*AT118)/100),2))</f>
        <v>0</v>
      </c>
      <c r="Y118" s="3">
        <f>(ROUND((((S118+ROUND((ROUND(((EU118)*AV118*I118),2)*BS118),2))*AU118)/100),2)+ROUND(((ROUND((ROUND(((AE118-(EU118))*AV118*I118),2)*BS118),2)*AU118)/100),2))</f>
        <v>0</v>
      </c>
      <c r="AA118" s="3">
        <v>55917799</v>
      </c>
      <c r="AB118" s="3">
        <f t="shared" si="92"/>
        <v>735.89</v>
      </c>
      <c r="AC118" s="3">
        <f>ROUND((ES118),6)</f>
        <v>735.89</v>
      </c>
      <c r="AD118" s="3">
        <f>ROUND((((ET118)-(EU118))+AE118),6)</f>
        <v>0</v>
      </c>
      <c r="AE118" s="3">
        <f>ROUND((EU118),6)</f>
        <v>0</v>
      </c>
      <c r="AF118" s="3">
        <f>ROUND((EV118),6)</f>
        <v>0</v>
      </c>
      <c r="AG118" s="3">
        <f t="shared" si="93"/>
        <v>0</v>
      </c>
      <c r="AH118" s="3">
        <f>(EW118)</f>
        <v>0</v>
      </c>
      <c r="AI118" s="3">
        <f>(EX118)</f>
        <v>0</v>
      </c>
      <c r="AJ118" s="3">
        <f t="shared" si="94"/>
        <v>0</v>
      </c>
      <c r="AK118" s="3">
        <v>735.89</v>
      </c>
      <c r="AL118" s="3">
        <v>735.89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1</v>
      </c>
      <c r="AW118" s="3">
        <v>1</v>
      </c>
      <c r="AZ118" s="3">
        <v>1</v>
      </c>
      <c r="BA118" s="3">
        <v>1</v>
      </c>
      <c r="BB118" s="3">
        <v>1</v>
      </c>
      <c r="BC118" s="3">
        <v>7.57</v>
      </c>
      <c r="BD118" s="3" t="s">
        <v>3</v>
      </c>
      <c r="BE118" s="3" t="s">
        <v>3</v>
      </c>
      <c r="BF118" s="3" t="s">
        <v>3</v>
      </c>
      <c r="BG118" s="3" t="s">
        <v>3</v>
      </c>
      <c r="BH118" s="3">
        <v>3</v>
      </c>
      <c r="BI118" s="3">
        <v>3</v>
      </c>
      <c r="BJ118" s="3" t="s">
        <v>201</v>
      </c>
      <c r="BM118" s="3">
        <v>400007</v>
      </c>
      <c r="BN118" s="3">
        <v>0</v>
      </c>
      <c r="BO118" s="3" t="s">
        <v>3</v>
      </c>
      <c r="BP118" s="3">
        <v>0</v>
      </c>
      <c r="BQ118" s="3">
        <v>214</v>
      </c>
      <c r="BR118" s="3">
        <v>0</v>
      </c>
      <c r="BS118" s="3">
        <v>1</v>
      </c>
      <c r="BT118" s="3">
        <v>1</v>
      </c>
      <c r="BU118" s="3">
        <v>1</v>
      </c>
      <c r="BV118" s="3">
        <v>1</v>
      </c>
      <c r="BW118" s="3">
        <v>1</v>
      </c>
      <c r="BX118" s="3">
        <v>1</v>
      </c>
      <c r="BY118" s="3" t="s">
        <v>3</v>
      </c>
      <c r="BZ118" s="3">
        <v>0</v>
      </c>
      <c r="CA118" s="3">
        <v>0</v>
      </c>
      <c r="CB118" s="3" t="s">
        <v>3</v>
      </c>
      <c r="CE118" s="3">
        <v>1566</v>
      </c>
      <c r="CF118" s="3">
        <v>0</v>
      </c>
      <c r="CG118" s="3">
        <v>0</v>
      </c>
      <c r="CM118" s="3">
        <v>0</v>
      </c>
      <c r="CN118" s="3" t="s">
        <v>3</v>
      </c>
      <c r="CO118" s="3">
        <v>0</v>
      </c>
      <c r="CP118" s="3">
        <f t="shared" si="95"/>
        <v>33424.120000000003</v>
      </c>
      <c r="CQ118" s="3">
        <f t="shared" si="111"/>
        <v>5570.69</v>
      </c>
      <c r="CR118" s="3">
        <f>(ROUND((ROUND(((ET118)*AV118*1),2)*BB118),2)+ROUND((ROUND(((AE118-(EU118))*AV118*1),2)*BS118),2))</f>
        <v>0</v>
      </c>
      <c r="CS118" s="3">
        <f>(ROUND((ROUND(((EU118)*AV118*1),2)*BS118),2)+ROUND((ROUND(((AE118-(EU118))*AV118*1),2)*BS118),2))</f>
        <v>0</v>
      </c>
      <c r="CT118" s="3">
        <f t="shared" si="97"/>
        <v>0</v>
      </c>
      <c r="CU118" s="3">
        <f t="shared" si="98"/>
        <v>0</v>
      </c>
      <c r="CV118" s="3">
        <f t="shared" si="99"/>
        <v>0</v>
      </c>
      <c r="CW118" s="3">
        <f t="shared" si="100"/>
        <v>0</v>
      </c>
      <c r="CX118" s="3">
        <f t="shared" si="101"/>
        <v>0</v>
      </c>
      <c r="CY118" s="3">
        <f>(ROUND((((S118+ROUND((ROUND(((EU118)*AV118*1),2)*BS118),2))*AT118)/100),2)+ROUND(((ROUND((ROUND(((AE118-(EU118))*AV118*1),2)*BS118),2)*AT118)/100),2))</f>
        <v>0</v>
      </c>
      <c r="CZ118" s="3">
        <f>(ROUND((((S118+ROUND((ROUND(((EU118)*AV118*1),2)*BS118),2))*AU118)/100),2)+ROUND(((ROUND((ROUND(((AE118-(EU118))*AV118*1),2)*BS118),2)*AU118)/100),2))</f>
        <v>0</v>
      </c>
      <c r="DC118" s="3" t="s">
        <v>3</v>
      </c>
      <c r="DD118" s="3" t="s">
        <v>3</v>
      </c>
      <c r="DE118" s="3" t="s">
        <v>3</v>
      </c>
      <c r="DF118" s="3" t="s">
        <v>3</v>
      </c>
      <c r="DG118" s="3" t="s">
        <v>3</v>
      </c>
      <c r="DH118" s="3" t="s">
        <v>3</v>
      </c>
      <c r="DI118" s="3" t="s">
        <v>3</v>
      </c>
      <c r="DJ118" s="3" t="s">
        <v>3</v>
      </c>
      <c r="DK118" s="3" t="s">
        <v>3</v>
      </c>
      <c r="DL118" s="3" t="s">
        <v>3</v>
      </c>
      <c r="DM118" s="3" t="s">
        <v>3</v>
      </c>
      <c r="DN118" s="3">
        <v>0</v>
      </c>
      <c r="DO118" s="3">
        <v>0</v>
      </c>
      <c r="DP118" s="3">
        <v>1</v>
      </c>
      <c r="DQ118" s="3">
        <v>1</v>
      </c>
      <c r="DU118" s="3">
        <v>1013</v>
      </c>
      <c r="DV118" s="3" t="s">
        <v>148</v>
      </c>
      <c r="DW118" s="3" t="s">
        <v>148</v>
      </c>
      <c r="DX118" s="3">
        <v>1</v>
      </c>
      <c r="DZ118" s="3" t="s">
        <v>3</v>
      </c>
      <c r="EA118" s="3" t="s">
        <v>3</v>
      </c>
      <c r="EB118" s="3" t="s">
        <v>3</v>
      </c>
      <c r="EC118" s="3" t="s">
        <v>3</v>
      </c>
      <c r="EE118" s="3">
        <v>55393630</v>
      </c>
      <c r="EF118" s="3">
        <v>214</v>
      </c>
      <c r="EG118" s="3" t="s">
        <v>149</v>
      </c>
      <c r="EH118" s="3">
        <v>0</v>
      </c>
      <c r="EI118" s="3" t="s">
        <v>3</v>
      </c>
      <c r="EJ118" s="3">
        <v>3</v>
      </c>
      <c r="EK118" s="3">
        <v>400007</v>
      </c>
      <c r="EL118" s="3" t="s">
        <v>149</v>
      </c>
      <c r="EM118" s="3" t="s">
        <v>150</v>
      </c>
      <c r="EO118" s="3" t="s">
        <v>3</v>
      </c>
      <c r="EQ118" s="3">
        <v>16</v>
      </c>
      <c r="ER118" s="3">
        <v>0</v>
      </c>
      <c r="ES118" s="3">
        <v>735.89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5</v>
      </c>
      <c r="FC118" s="3">
        <v>1</v>
      </c>
      <c r="FD118" s="3">
        <v>18</v>
      </c>
      <c r="FF118" s="3">
        <v>6520</v>
      </c>
      <c r="FQ118" s="3">
        <v>0</v>
      </c>
      <c r="FR118" s="3">
        <f>P118</f>
        <v>33424.120000000003</v>
      </c>
      <c r="FS118" s="3">
        <v>0</v>
      </c>
      <c r="FX118" s="3">
        <v>0</v>
      </c>
      <c r="FY118" s="3">
        <v>0</v>
      </c>
      <c r="GA118" s="3" t="s">
        <v>203</v>
      </c>
      <c r="GD118" s="3">
        <v>1</v>
      </c>
      <c r="GF118" s="3">
        <v>685546661</v>
      </c>
      <c r="GG118" s="3">
        <v>2</v>
      </c>
      <c r="GH118" s="3">
        <v>3</v>
      </c>
      <c r="GI118" s="3">
        <v>5</v>
      </c>
      <c r="GJ118" s="3">
        <v>0</v>
      </c>
      <c r="GK118" s="3">
        <v>0</v>
      </c>
      <c r="GL118" s="3">
        <f t="shared" si="102"/>
        <v>0</v>
      </c>
      <c r="GM118" s="3">
        <f t="shared" si="103"/>
        <v>33424.120000000003</v>
      </c>
      <c r="GN118" s="3">
        <f t="shared" si="104"/>
        <v>0</v>
      </c>
      <c r="GO118" s="3">
        <f t="shared" si="105"/>
        <v>0</v>
      </c>
      <c r="GP118" s="3">
        <f t="shared" si="106"/>
        <v>0</v>
      </c>
      <c r="GR118" s="3">
        <v>1</v>
      </c>
      <c r="GS118" s="3">
        <v>1</v>
      </c>
      <c r="GT118" s="3">
        <v>0</v>
      </c>
      <c r="GU118" s="3" t="s">
        <v>3</v>
      </c>
      <c r="GV118" s="3">
        <f t="shared" si="107"/>
        <v>0</v>
      </c>
      <c r="GW118" s="3">
        <v>1</v>
      </c>
      <c r="GX118" s="3">
        <f t="shared" si="108"/>
        <v>0</v>
      </c>
      <c r="HA118" s="3">
        <v>0</v>
      </c>
      <c r="HB118" s="3">
        <v>0</v>
      </c>
      <c r="HC118" s="3">
        <f t="shared" si="109"/>
        <v>0</v>
      </c>
      <c r="HE118" s="3" t="s">
        <v>37</v>
      </c>
      <c r="HF118" s="3" t="s">
        <v>152</v>
      </c>
      <c r="HM118" s="3" t="s">
        <v>3</v>
      </c>
      <c r="HN118" s="3" t="s">
        <v>3</v>
      </c>
      <c r="HO118" s="3" t="s">
        <v>3</v>
      </c>
      <c r="HP118" s="3" t="s">
        <v>3</v>
      </c>
      <c r="HQ118" s="3" t="s">
        <v>3</v>
      </c>
      <c r="HS118" s="3">
        <v>0</v>
      </c>
      <c r="IK118" s="3">
        <v>0</v>
      </c>
    </row>
    <row r="120" spans="1:255" ht="13" x14ac:dyDescent="0.3">
      <c r="A120" s="11">
        <v>51</v>
      </c>
      <c r="B120" s="11">
        <f>B85</f>
        <v>1</v>
      </c>
      <c r="C120" s="11">
        <f>A85</f>
        <v>4</v>
      </c>
      <c r="D120" s="11">
        <f>ROW(A85)</f>
        <v>85</v>
      </c>
      <c r="E120" s="11"/>
      <c r="F120" s="11" t="str">
        <f>IF(F85&lt;&gt;"",F85,"")</f>
        <v>1</v>
      </c>
      <c r="G120" s="11" t="str">
        <f>IF(G85&lt;&gt;"",G85,"")</f>
        <v>Комплект основного оборудования (радиофикация)</v>
      </c>
      <c r="H120" s="11">
        <v>0</v>
      </c>
      <c r="I120" s="11"/>
      <c r="J120" s="11"/>
      <c r="K120" s="11"/>
      <c r="L120" s="11"/>
      <c r="M120" s="11"/>
      <c r="N120" s="11"/>
      <c r="O120" s="11">
        <f t="shared" ref="O120:T120" si="114">ROUND(AB120,2)</f>
        <v>68109.38</v>
      </c>
      <c r="P120" s="11">
        <f t="shared" si="114"/>
        <v>67535.33</v>
      </c>
      <c r="Q120" s="11">
        <f t="shared" si="114"/>
        <v>111.87</v>
      </c>
      <c r="R120" s="11">
        <f t="shared" si="114"/>
        <v>16.510000000000002</v>
      </c>
      <c r="S120" s="11">
        <f t="shared" si="114"/>
        <v>462.18</v>
      </c>
      <c r="T120" s="11">
        <f t="shared" si="114"/>
        <v>0</v>
      </c>
      <c r="U120" s="11">
        <f>AH120</f>
        <v>37.271806559999995</v>
      </c>
      <c r="V120" s="11">
        <f>AI120</f>
        <v>0</v>
      </c>
      <c r="W120" s="11">
        <f>ROUND(AJ120,2)</f>
        <v>0</v>
      </c>
      <c r="X120" s="11">
        <f>ROUND(AK120,2)</f>
        <v>444.81</v>
      </c>
      <c r="Y120" s="11">
        <f>ROUND(AL120,2)</f>
        <v>239.03</v>
      </c>
      <c r="Z120" s="11"/>
      <c r="AA120" s="11"/>
      <c r="AB120" s="11">
        <f>ROUND(SUMIF(AA89:AA118,"=55917797",O89:O118),2)</f>
        <v>68109.38</v>
      </c>
      <c r="AC120" s="11">
        <f>ROUND(SUMIF(AA89:AA118,"=55917797",P89:P118),2)</f>
        <v>67535.33</v>
      </c>
      <c r="AD120" s="11">
        <f>ROUND(SUMIF(AA89:AA118,"=55917797",Q89:Q118),2)</f>
        <v>111.87</v>
      </c>
      <c r="AE120" s="11">
        <f>ROUND(SUMIF(AA89:AA118,"=55917797",R89:R118),2)</f>
        <v>16.510000000000002</v>
      </c>
      <c r="AF120" s="11">
        <f>ROUND(SUMIF(AA89:AA118,"=55917797",S89:S118),2)</f>
        <v>462.18</v>
      </c>
      <c r="AG120" s="11">
        <f>ROUND(SUMIF(AA89:AA118,"=55917797",T89:T118),2)</f>
        <v>0</v>
      </c>
      <c r="AH120" s="11">
        <f>SUMIF(AA89:AA118,"=55917797",U89:U118)</f>
        <v>37.271806559999995</v>
      </c>
      <c r="AI120" s="11">
        <f>SUMIF(AA89:AA118,"=55917797",V89:V118)</f>
        <v>0</v>
      </c>
      <c r="AJ120" s="11">
        <f>ROUND(SUMIF(AA89:AA118,"=55917797",W89:W118),2)</f>
        <v>0</v>
      </c>
      <c r="AK120" s="11">
        <f>ROUND(SUMIF(AA89:AA118,"=55917797",X89:X118),2)</f>
        <v>444.81</v>
      </c>
      <c r="AL120" s="11">
        <f>ROUND(SUMIF(AA89:AA118,"=55917797",Y89:Y118),2)</f>
        <v>239.03</v>
      </c>
      <c r="AM120" s="11"/>
      <c r="AN120" s="11"/>
      <c r="AO120" s="11">
        <f t="shared" ref="AO120:BD120" si="115">ROUND(BX120,2)</f>
        <v>0</v>
      </c>
      <c r="AP120" s="11">
        <f t="shared" si="115"/>
        <v>67061.38</v>
      </c>
      <c r="AQ120" s="11">
        <f t="shared" si="115"/>
        <v>0</v>
      </c>
      <c r="AR120" s="11">
        <f t="shared" si="115"/>
        <v>68793.22</v>
      </c>
      <c r="AS120" s="11">
        <f t="shared" si="115"/>
        <v>0</v>
      </c>
      <c r="AT120" s="11">
        <f t="shared" si="115"/>
        <v>1731.84</v>
      </c>
      <c r="AU120" s="11">
        <f t="shared" si="115"/>
        <v>0</v>
      </c>
      <c r="AV120" s="11">
        <f t="shared" si="115"/>
        <v>67535.33</v>
      </c>
      <c r="AW120" s="11">
        <f t="shared" si="115"/>
        <v>473.95</v>
      </c>
      <c r="AX120" s="11">
        <f t="shared" si="115"/>
        <v>0</v>
      </c>
      <c r="AY120" s="11">
        <f t="shared" si="115"/>
        <v>473.95</v>
      </c>
      <c r="AZ120" s="11">
        <f t="shared" si="115"/>
        <v>67061.38</v>
      </c>
      <c r="BA120" s="11">
        <f t="shared" si="115"/>
        <v>0</v>
      </c>
      <c r="BB120" s="11">
        <f t="shared" si="115"/>
        <v>0</v>
      </c>
      <c r="BC120" s="11">
        <f t="shared" si="115"/>
        <v>0</v>
      </c>
      <c r="BD120" s="11">
        <f t="shared" si="115"/>
        <v>0</v>
      </c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>
        <f>ROUND(SUMIF(AA89:AA118,"=55917797",FQ89:FQ118),2)</f>
        <v>0</v>
      </c>
      <c r="BY120" s="11">
        <f>ROUND(SUMIF(AA89:AA118,"=55917797",FR89:FR118),2)</f>
        <v>67061.38</v>
      </c>
      <c r="BZ120" s="11">
        <f>ROUND(SUMIF(AA89:AA118,"=55917797",GL89:GL118),2)</f>
        <v>0</v>
      </c>
      <c r="CA120" s="11">
        <f>ROUND(SUMIF(AA89:AA118,"=55917797",GM89:GM118),2)</f>
        <v>68793.22</v>
      </c>
      <c r="CB120" s="11">
        <f>ROUND(SUMIF(AA89:AA118,"=55917797",GN89:GN118),2)</f>
        <v>0</v>
      </c>
      <c r="CC120" s="11">
        <f>ROUND(SUMIF(AA89:AA118,"=55917797",GO89:GO118),2)</f>
        <v>1731.84</v>
      </c>
      <c r="CD120" s="11">
        <f>ROUND(SUMIF(AA89:AA118,"=55917797",GP89:GP118),2)</f>
        <v>0</v>
      </c>
      <c r="CE120" s="11">
        <f>AC120-BX120</f>
        <v>67535.33</v>
      </c>
      <c r="CF120" s="11">
        <f>AC120-BY120</f>
        <v>473.94999999999709</v>
      </c>
      <c r="CG120" s="11">
        <f>BX120-BZ120</f>
        <v>0</v>
      </c>
      <c r="CH120" s="11">
        <f>AC120-BX120-BY120+BZ120</f>
        <v>473.94999999999709</v>
      </c>
      <c r="CI120" s="11">
        <f>BY120-BZ120</f>
        <v>67061.38</v>
      </c>
      <c r="CJ120" s="11">
        <f>ROUND(SUMIF(AA89:AA118,"=55917797",GX89:GX118),2)</f>
        <v>0</v>
      </c>
      <c r="CK120" s="11">
        <f>ROUND(SUMIF(AA89:AA118,"=55917797",GY89:GY118),2)</f>
        <v>0</v>
      </c>
      <c r="CL120" s="11">
        <f>ROUND(SUMIF(AA89:AA118,"=55917797",GZ89:GZ118),2)</f>
        <v>0</v>
      </c>
      <c r="CM120" s="11">
        <f>ROUND(SUMIF(AA89:AA118,"=55917797",HD89:HD118),2)</f>
        <v>0</v>
      </c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2">
        <f t="shared" ref="DG120:DL120" si="116">ROUND(DT120,2)</f>
        <v>541190.80000000005</v>
      </c>
      <c r="DH120" s="12">
        <f t="shared" si="116"/>
        <v>513248.95</v>
      </c>
      <c r="DI120" s="12">
        <f t="shared" si="116"/>
        <v>1898</v>
      </c>
      <c r="DJ120" s="12">
        <f t="shared" si="116"/>
        <v>930.33</v>
      </c>
      <c r="DK120" s="12">
        <f t="shared" si="116"/>
        <v>26043.85</v>
      </c>
      <c r="DL120" s="12">
        <f t="shared" si="116"/>
        <v>0</v>
      </c>
      <c r="DM120" s="12">
        <f>DZ120</f>
        <v>37.271806559999995</v>
      </c>
      <c r="DN120" s="12">
        <f>EA120</f>
        <v>0</v>
      </c>
      <c r="DO120" s="12">
        <f>ROUND(EB120,2)</f>
        <v>0</v>
      </c>
      <c r="DP120" s="12">
        <f>ROUND(EC120,2)</f>
        <v>25066.02</v>
      </c>
      <c r="DQ120" s="12">
        <f>ROUND(ED120,2)</f>
        <v>13470.1</v>
      </c>
      <c r="DR120" s="12"/>
      <c r="DS120" s="12"/>
      <c r="DT120" s="12">
        <f>ROUND(SUMIF(AA89:AA118,"=55917799",O89:O118),2)</f>
        <v>541190.80000000005</v>
      </c>
      <c r="DU120" s="12">
        <f>ROUND(SUMIF(AA89:AA118,"=55917799",P89:P118),2)</f>
        <v>513248.95</v>
      </c>
      <c r="DV120" s="12">
        <f>ROUND(SUMIF(AA89:AA118,"=55917799",Q89:Q118),2)</f>
        <v>1898</v>
      </c>
      <c r="DW120" s="12">
        <f>ROUND(SUMIF(AA89:AA118,"=55917799",R89:R118),2)</f>
        <v>930.33</v>
      </c>
      <c r="DX120" s="12">
        <f>ROUND(SUMIF(AA89:AA118,"=55917799",S89:S118),2)</f>
        <v>26043.85</v>
      </c>
      <c r="DY120" s="12">
        <f>ROUND(SUMIF(AA89:AA118,"=55917799",T89:T118),2)</f>
        <v>0</v>
      </c>
      <c r="DZ120" s="12">
        <f>SUMIF(AA89:AA118,"=55917799",U89:U118)</f>
        <v>37.271806559999995</v>
      </c>
      <c r="EA120" s="12">
        <f>SUMIF(AA89:AA118,"=55917799",V89:V118)</f>
        <v>0</v>
      </c>
      <c r="EB120" s="12">
        <f>ROUND(SUMIF(AA89:AA118,"=55917799",W89:W118),2)</f>
        <v>0</v>
      </c>
      <c r="EC120" s="12">
        <f>ROUND(SUMIF(AA89:AA118,"=55917799",X89:X118),2)</f>
        <v>25066.02</v>
      </c>
      <c r="ED120" s="12">
        <f>ROUND(SUMIF(AA89:AA118,"=55917799",Y89:Y118),2)</f>
        <v>13470.1</v>
      </c>
      <c r="EE120" s="12"/>
      <c r="EF120" s="12"/>
      <c r="EG120" s="12">
        <f t="shared" ref="EG120:EV120" si="117">ROUND(FP120,2)</f>
        <v>0</v>
      </c>
      <c r="EH120" s="12">
        <f t="shared" si="117"/>
        <v>509739.71</v>
      </c>
      <c r="EI120" s="12">
        <f t="shared" si="117"/>
        <v>0</v>
      </c>
      <c r="EJ120" s="12">
        <f t="shared" si="117"/>
        <v>579726.92000000004</v>
      </c>
      <c r="EK120" s="12">
        <f t="shared" si="117"/>
        <v>0</v>
      </c>
      <c r="EL120" s="12">
        <f t="shared" si="117"/>
        <v>69987.210000000006</v>
      </c>
      <c r="EM120" s="12">
        <f t="shared" si="117"/>
        <v>0</v>
      </c>
      <c r="EN120" s="12">
        <f t="shared" si="117"/>
        <v>513248.95</v>
      </c>
      <c r="EO120" s="12">
        <f t="shared" si="117"/>
        <v>3509.24</v>
      </c>
      <c r="EP120" s="12">
        <f t="shared" si="117"/>
        <v>0</v>
      </c>
      <c r="EQ120" s="12">
        <f t="shared" si="117"/>
        <v>3509.24</v>
      </c>
      <c r="ER120" s="12">
        <f t="shared" si="117"/>
        <v>509739.71</v>
      </c>
      <c r="ES120" s="12">
        <f t="shared" si="117"/>
        <v>0</v>
      </c>
      <c r="ET120" s="12">
        <f t="shared" si="117"/>
        <v>0</v>
      </c>
      <c r="EU120" s="12">
        <f t="shared" si="117"/>
        <v>0</v>
      </c>
      <c r="EV120" s="12">
        <f t="shared" si="117"/>
        <v>0</v>
      </c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>
        <f>ROUND(SUMIF(AA89:AA118,"=55917799",FQ89:FQ118),2)</f>
        <v>0</v>
      </c>
      <c r="FQ120" s="12">
        <f>ROUND(SUMIF(AA89:AA118,"=55917799",FR89:FR118),2)</f>
        <v>509739.71</v>
      </c>
      <c r="FR120" s="12">
        <f>ROUND(SUMIF(AA89:AA118,"=55917799",GL89:GL118),2)</f>
        <v>0</v>
      </c>
      <c r="FS120" s="12">
        <f>ROUND(SUMIF(AA89:AA118,"=55917799",GM89:GM118),2)</f>
        <v>579726.92000000004</v>
      </c>
      <c r="FT120" s="12">
        <f>ROUND(SUMIF(AA89:AA118,"=55917799",GN89:GN118),2)</f>
        <v>0</v>
      </c>
      <c r="FU120" s="12">
        <f>ROUND(SUMIF(AA89:AA118,"=55917799",GO89:GO118),2)</f>
        <v>69987.210000000006</v>
      </c>
      <c r="FV120" s="12">
        <f>ROUND(SUMIF(AA89:AA118,"=55917799",GP89:GP118),2)</f>
        <v>0</v>
      </c>
      <c r="FW120" s="12">
        <f>DU120-FP120</f>
        <v>513248.95</v>
      </c>
      <c r="FX120" s="12">
        <f>DU120-FQ120</f>
        <v>3509.2399999999907</v>
      </c>
      <c r="FY120" s="12">
        <f>FP120-FR120</f>
        <v>0</v>
      </c>
      <c r="FZ120" s="12">
        <f>DU120-FP120-FQ120+FR120</f>
        <v>3509.2399999999907</v>
      </c>
      <c r="GA120" s="12">
        <f>FQ120-FR120</f>
        <v>509739.71</v>
      </c>
      <c r="GB120" s="12">
        <f>ROUND(SUMIF(AA89:AA118,"=55917799",GX89:GX118),2)</f>
        <v>0</v>
      </c>
      <c r="GC120" s="12">
        <f>ROUND(SUMIF(AA89:AA118,"=55917799",GY89:GY118),2)</f>
        <v>0</v>
      </c>
      <c r="GD120" s="12">
        <f>ROUND(SUMIF(AA89:AA118,"=55917799",GZ89:GZ118),2)</f>
        <v>0</v>
      </c>
      <c r="GE120" s="12">
        <f>ROUND(SUMIF(AA89:AA118,"=55917799",HD89:HD118),2)</f>
        <v>0</v>
      </c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>
        <v>0</v>
      </c>
    </row>
    <row r="122" spans="1:255" ht="13" x14ac:dyDescent="0.3">
      <c r="A122" s="13">
        <v>50</v>
      </c>
      <c r="B122" s="13">
        <v>0</v>
      </c>
      <c r="C122" s="13">
        <v>0</v>
      </c>
      <c r="D122" s="13">
        <v>1</v>
      </c>
      <c r="E122" s="13">
        <v>201</v>
      </c>
      <c r="F122" s="13">
        <f>ROUND(Source!O120,O122)</f>
        <v>68109.38</v>
      </c>
      <c r="G122" s="13" t="s">
        <v>88</v>
      </c>
      <c r="H122" s="13" t="s">
        <v>89</v>
      </c>
      <c r="I122" s="13"/>
      <c r="J122" s="13"/>
      <c r="K122" s="13">
        <v>201</v>
      </c>
      <c r="L122" s="13">
        <v>1</v>
      </c>
      <c r="M122" s="13">
        <v>3</v>
      </c>
      <c r="N122" s="13" t="s">
        <v>3</v>
      </c>
      <c r="O122" s="13">
        <v>2</v>
      </c>
      <c r="P122" s="13">
        <f>ROUND(Source!DG120,O122)</f>
        <v>541190.80000000005</v>
      </c>
      <c r="Q122" s="13"/>
      <c r="R122" s="13"/>
      <c r="S122" s="13"/>
      <c r="T122" s="13"/>
      <c r="U122" s="13"/>
      <c r="V122" s="13"/>
      <c r="W122" s="13">
        <v>68109.38</v>
      </c>
      <c r="X122" s="13">
        <v>1</v>
      </c>
      <c r="Y122" s="13">
        <v>68109.38</v>
      </c>
      <c r="Z122" s="13">
        <v>541190.80000000005</v>
      </c>
      <c r="AA122" s="13">
        <v>1</v>
      </c>
      <c r="AB122" s="13">
        <v>541190.80000000005</v>
      </c>
    </row>
    <row r="123" spans="1:255" ht="13" x14ac:dyDescent="0.3">
      <c r="A123" s="13">
        <v>50</v>
      </c>
      <c r="B123" s="13">
        <v>0</v>
      </c>
      <c r="C123" s="13">
        <v>0</v>
      </c>
      <c r="D123" s="13">
        <v>1</v>
      </c>
      <c r="E123" s="13">
        <v>202</v>
      </c>
      <c r="F123" s="13">
        <f>ROUND(Source!P120,O123)</f>
        <v>67535.33</v>
      </c>
      <c r="G123" s="13" t="s">
        <v>90</v>
      </c>
      <c r="H123" s="13" t="s">
        <v>91</v>
      </c>
      <c r="I123" s="13"/>
      <c r="J123" s="13"/>
      <c r="K123" s="13">
        <v>202</v>
      </c>
      <c r="L123" s="13">
        <v>2</v>
      </c>
      <c r="M123" s="13">
        <v>3</v>
      </c>
      <c r="N123" s="13" t="s">
        <v>3</v>
      </c>
      <c r="O123" s="13">
        <v>2</v>
      </c>
      <c r="P123" s="13">
        <f>ROUND(Source!DH120,O123)</f>
        <v>513248.95</v>
      </c>
      <c r="Q123" s="13"/>
      <c r="R123" s="13"/>
      <c r="S123" s="13"/>
      <c r="T123" s="13"/>
      <c r="U123" s="13"/>
      <c r="V123" s="13"/>
      <c r="W123" s="13">
        <v>67535.33</v>
      </c>
      <c r="X123" s="13">
        <v>1</v>
      </c>
      <c r="Y123" s="13">
        <v>67535.33</v>
      </c>
      <c r="Z123" s="13">
        <v>513248.95</v>
      </c>
      <c r="AA123" s="13">
        <v>1</v>
      </c>
      <c r="AB123" s="13">
        <v>513248.95</v>
      </c>
    </row>
    <row r="124" spans="1:255" ht="13" x14ac:dyDescent="0.3">
      <c r="A124" s="13">
        <v>50</v>
      </c>
      <c r="B124" s="13">
        <v>0</v>
      </c>
      <c r="C124" s="13">
        <v>0</v>
      </c>
      <c r="D124" s="13">
        <v>1</v>
      </c>
      <c r="E124" s="13">
        <v>222</v>
      </c>
      <c r="F124" s="13">
        <f>ROUND(Source!AO120,O124)</f>
        <v>0</v>
      </c>
      <c r="G124" s="13" t="s">
        <v>92</v>
      </c>
      <c r="H124" s="13" t="s">
        <v>93</v>
      </c>
      <c r="I124" s="13"/>
      <c r="J124" s="13"/>
      <c r="K124" s="13">
        <v>222</v>
      </c>
      <c r="L124" s="13">
        <v>3</v>
      </c>
      <c r="M124" s="13">
        <v>3</v>
      </c>
      <c r="N124" s="13" t="s">
        <v>3</v>
      </c>
      <c r="O124" s="13">
        <v>2</v>
      </c>
      <c r="P124" s="13">
        <f>ROUND(Source!EG120,O124)</f>
        <v>0</v>
      </c>
      <c r="Q124" s="13"/>
      <c r="R124" s="13"/>
      <c r="S124" s="13"/>
      <c r="T124" s="13"/>
      <c r="U124" s="13"/>
      <c r="V124" s="13"/>
      <c r="W124" s="13">
        <v>0</v>
      </c>
      <c r="X124" s="13">
        <v>1</v>
      </c>
      <c r="Y124" s="13">
        <v>0</v>
      </c>
      <c r="Z124" s="13">
        <v>0</v>
      </c>
      <c r="AA124" s="13">
        <v>1</v>
      </c>
      <c r="AB124" s="13">
        <v>0</v>
      </c>
    </row>
    <row r="125" spans="1:255" ht="13" x14ac:dyDescent="0.3">
      <c r="A125" s="13">
        <v>50</v>
      </c>
      <c r="B125" s="13">
        <v>0</v>
      </c>
      <c r="C125" s="13">
        <v>0</v>
      </c>
      <c r="D125" s="13">
        <v>1</v>
      </c>
      <c r="E125" s="13">
        <v>225</v>
      </c>
      <c r="F125" s="13">
        <f>ROUND(Source!AV120,O125)</f>
        <v>67535.33</v>
      </c>
      <c r="G125" s="13" t="s">
        <v>94</v>
      </c>
      <c r="H125" s="13" t="s">
        <v>95</v>
      </c>
      <c r="I125" s="13"/>
      <c r="J125" s="13"/>
      <c r="K125" s="13">
        <v>225</v>
      </c>
      <c r="L125" s="13">
        <v>4</v>
      </c>
      <c r="M125" s="13">
        <v>3</v>
      </c>
      <c r="N125" s="13" t="s">
        <v>3</v>
      </c>
      <c r="O125" s="13">
        <v>2</v>
      </c>
      <c r="P125" s="13">
        <f>ROUND(Source!EN120,O125)</f>
        <v>513248.95</v>
      </c>
      <c r="Q125" s="13"/>
      <c r="R125" s="13"/>
      <c r="S125" s="13"/>
      <c r="T125" s="13"/>
      <c r="U125" s="13"/>
      <c r="V125" s="13"/>
      <c r="W125" s="13">
        <v>67535.33</v>
      </c>
      <c r="X125" s="13">
        <v>1</v>
      </c>
      <c r="Y125" s="13">
        <v>67535.33</v>
      </c>
      <c r="Z125" s="13">
        <v>513248.95</v>
      </c>
      <c r="AA125" s="13">
        <v>1</v>
      </c>
      <c r="AB125" s="13">
        <v>513248.95</v>
      </c>
    </row>
    <row r="126" spans="1:255" ht="13" x14ac:dyDescent="0.3">
      <c r="A126" s="13">
        <v>50</v>
      </c>
      <c r="B126" s="13">
        <v>0</v>
      </c>
      <c r="C126" s="13">
        <v>0</v>
      </c>
      <c r="D126" s="13">
        <v>1</v>
      </c>
      <c r="E126" s="13">
        <v>226</v>
      </c>
      <c r="F126" s="13">
        <f>ROUND(Source!AW120,O126)</f>
        <v>473.95</v>
      </c>
      <c r="G126" s="13" t="s">
        <v>96</v>
      </c>
      <c r="H126" s="13" t="s">
        <v>97</v>
      </c>
      <c r="I126" s="13"/>
      <c r="J126" s="13"/>
      <c r="K126" s="13">
        <v>226</v>
      </c>
      <c r="L126" s="13">
        <v>5</v>
      </c>
      <c r="M126" s="13">
        <v>3</v>
      </c>
      <c r="N126" s="13" t="s">
        <v>3</v>
      </c>
      <c r="O126" s="13">
        <v>2</v>
      </c>
      <c r="P126" s="13">
        <f>ROUND(Source!EO120,O126)</f>
        <v>3509.24</v>
      </c>
      <c r="Q126" s="13"/>
      <c r="R126" s="13"/>
      <c r="S126" s="13"/>
      <c r="T126" s="13"/>
      <c r="U126" s="13"/>
      <c r="V126" s="13"/>
      <c r="W126" s="13">
        <v>473.95</v>
      </c>
      <c r="X126" s="13">
        <v>1</v>
      </c>
      <c r="Y126" s="13">
        <v>473.95</v>
      </c>
      <c r="Z126" s="13">
        <v>3509.24</v>
      </c>
      <c r="AA126" s="13">
        <v>1</v>
      </c>
      <c r="AB126" s="13">
        <v>3509.24</v>
      </c>
    </row>
    <row r="127" spans="1:255" ht="13" x14ac:dyDescent="0.3">
      <c r="A127" s="13">
        <v>50</v>
      </c>
      <c r="B127" s="13">
        <v>0</v>
      </c>
      <c r="C127" s="13">
        <v>0</v>
      </c>
      <c r="D127" s="13">
        <v>1</v>
      </c>
      <c r="E127" s="13">
        <v>227</v>
      </c>
      <c r="F127" s="13">
        <f>ROUND(Source!AX120,O127)</f>
        <v>0</v>
      </c>
      <c r="G127" s="13" t="s">
        <v>98</v>
      </c>
      <c r="H127" s="13" t="s">
        <v>99</v>
      </c>
      <c r="I127" s="13"/>
      <c r="J127" s="13"/>
      <c r="K127" s="13">
        <v>227</v>
      </c>
      <c r="L127" s="13">
        <v>6</v>
      </c>
      <c r="M127" s="13">
        <v>3</v>
      </c>
      <c r="N127" s="13" t="s">
        <v>3</v>
      </c>
      <c r="O127" s="13">
        <v>2</v>
      </c>
      <c r="P127" s="13">
        <f>ROUND(Source!EP120,O127)</f>
        <v>0</v>
      </c>
      <c r="Q127" s="13"/>
      <c r="R127" s="13"/>
      <c r="S127" s="13"/>
      <c r="T127" s="13"/>
      <c r="U127" s="13"/>
      <c r="V127" s="13"/>
      <c r="W127" s="13">
        <v>0</v>
      </c>
      <c r="X127" s="13">
        <v>1</v>
      </c>
      <c r="Y127" s="13">
        <v>0</v>
      </c>
      <c r="Z127" s="13">
        <v>0</v>
      </c>
      <c r="AA127" s="13">
        <v>1</v>
      </c>
      <c r="AB127" s="13">
        <v>0</v>
      </c>
    </row>
    <row r="128" spans="1:255" ht="13" x14ac:dyDescent="0.3">
      <c r="A128" s="13">
        <v>50</v>
      </c>
      <c r="B128" s="13">
        <v>0</v>
      </c>
      <c r="C128" s="13">
        <v>0</v>
      </c>
      <c r="D128" s="13">
        <v>1</v>
      </c>
      <c r="E128" s="13">
        <v>228</v>
      </c>
      <c r="F128" s="13">
        <f>ROUND(Source!AY120,O128)</f>
        <v>473.95</v>
      </c>
      <c r="G128" s="13" t="s">
        <v>100</v>
      </c>
      <c r="H128" s="13" t="s">
        <v>101</v>
      </c>
      <c r="I128" s="13"/>
      <c r="J128" s="13"/>
      <c r="K128" s="13">
        <v>228</v>
      </c>
      <c r="L128" s="13">
        <v>7</v>
      </c>
      <c r="M128" s="13">
        <v>3</v>
      </c>
      <c r="N128" s="13" t="s">
        <v>3</v>
      </c>
      <c r="O128" s="13">
        <v>2</v>
      </c>
      <c r="P128" s="13">
        <f>ROUND(Source!EQ120,O128)</f>
        <v>3509.24</v>
      </c>
      <c r="Q128" s="13"/>
      <c r="R128" s="13"/>
      <c r="S128" s="13"/>
      <c r="T128" s="13"/>
      <c r="U128" s="13"/>
      <c r="V128" s="13"/>
      <c r="W128" s="13">
        <v>473.95</v>
      </c>
      <c r="X128" s="13">
        <v>1</v>
      </c>
      <c r="Y128" s="13">
        <v>473.95</v>
      </c>
      <c r="Z128" s="13">
        <v>3509.24</v>
      </c>
      <c r="AA128" s="13">
        <v>1</v>
      </c>
      <c r="AB128" s="13">
        <v>3509.24</v>
      </c>
    </row>
    <row r="129" spans="1:28" ht="13" x14ac:dyDescent="0.3">
      <c r="A129" s="13">
        <v>50</v>
      </c>
      <c r="B129" s="13">
        <v>0</v>
      </c>
      <c r="C129" s="13">
        <v>0</v>
      </c>
      <c r="D129" s="13">
        <v>1</v>
      </c>
      <c r="E129" s="13">
        <v>216</v>
      </c>
      <c r="F129" s="13">
        <f>ROUND(Source!AP120,O129)</f>
        <v>67061.38</v>
      </c>
      <c r="G129" s="13" t="s">
        <v>102</v>
      </c>
      <c r="H129" s="13" t="s">
        <v>103</v>
      </c>
      <c r="I129" s="13"/>
      <c r="J129" s="13"/>
      <c r="K129" s="13">
        <v>216</v>
      </c>
      <c r="L129" s="13">
        <v>8</v>
      </c>
      <c r="M129" s="13">
        <v>3</v>
      </c>
      <c r="N129" s="13" t="s">
        <v>3</v>
      </c>
      <c r="O129" s="13">
        <v>2</v>
      </c>
      <c r="P129" s="13">
        <f>ROUND(Source!EH120,O129)</f>
        <v>509739.71</v>
      </c>
      <c r="Q129" s="13"/>
      <c r="R129" s="13"/>
      <c r="S129" s="13"/>
      <c r="T129" s="13"/>
      <c r="U129" s="13"/>
      <c r="V129" s="13"/>
      <c r="W129" s="13">
        <v>67061.38</v>
      </c>
      <c r="X129" s="13">
        <v>1</v>
      </c>
      <c r="Y129" s="13">
        <v>67061.38</v>
      </c>
      <c r="Z129" s="13">
        <v>509739.71</v>
      </c>
      <c r="AA129" s="13">
        <v>1</v>
      </c>
      <c r="AB129" s="13">
        <v>509739.71</v>
      </c>
    </row>
    <row r="130" spans="1:28" ht="13" x14ac:dyDescent="0.3">
      <c r="A130" s="13">
        <v>50</v>
      </c>
      <c r="B130" s="13">
        <v>0</v>
      </c>
      <c r="C130" s="13">
        <v>0</v>
      </c>
      <c r="D130" s="13">
        <v>1</v>
      </c>
      <c r="E130" s="13">
        <v>223</v>
      </c>
      <c r="F130" s="13">
        <f>ROUND(Source!AQ120,O130)</f>
        <v>0</v>
      </c>
      <c r="G130" s="13" t="s">
        <v>104</v>
      </c>
      <c r="H130" s="13" t="s">
        <v>105</v>
      </c>
      <c r="I130" s="13"/>
      <c r="J130" s="13"/>
      <c r="K130" s="13">
        <v>223</v>
      </c>
      <c r="L130" s="13">
        <v>9</v>
      </c>
      <c r="M130" s="13">
        <v>3</v>
      </c>
      <c r="N130" s="13" t="s">
        <v>3</v>
      </c>
      <c r="O130" s="13">
        <v>2</v>
      </c>
      <c r="P130" s="13">
        <f>ROUND(Source!EI120,O130)</f>
        <v>0</v>
      </c>
      <c r="Q130" s="13"/>
      <c r="R130" s="13"/>
      <c r="S130" s="13"/>
      <c r="T130" s="13"/>
      <c r="U130" s="13"/>
      <c r="V130" s="13"/>
      <c r="W130" s="13">
        <v>0</v>
      </c>
      <c r="X130" s="13">
        <v>1</v>
      </c>
      <c r="Y130" s="13">
        <v>0</v>
      </c>
      <c r="Z130" s="13">
        <v>0</v>
      </c>
      <c r="AA130" s="13">
        <v>1</v>
      </c>
      <c r="AB130" s="13">
        <v>0</v>
      </c>
    </row>
    <row r="131" spans="1:28" ht="13" x14ac:dyDescent="0.3">
      <c r="A131" s="13">
        <v>50</v>
      </c>
      <c r="B131" s="13">
        <v>0</v>
      </c>
      <c r="C131" s="13">
        <v>0</v>
      </c>
      <c r="D131" s="13">
        <v>1</v>
      </c>
      <c r="E131" s="13">
        <v>229</v>
      </c>
      <c r="F131" s="13">
        <f>ROUND(Source!AZ120,O131)</f>
        <v>67061.38</v>
      </c>
      <c r="G131" s="13" t="s">
        <v>106</v>
      </c>
      <c r="H131" s="13" t="s">
        <v>107</v>
      </c>
      <c r="I131" s="13"/>
      <c r="J131" s="13"/>
      <c r="K131" s="13">
        <v>229</v>
      </c>
      <c r="L131" s="13">
        <v>10</v>
      </c>
      <c r="M131" s="13">
        <v>3</v>
      </c>
      <c r="N131" s="13" t="s">
        <v>3</v>
      </c>
      <c r="O131" s="13">
        <v>2</v>
      </c>
      <c r="P131" s="13">
        <f>ROUND(Source!ER120,O131)</f>
        <v>509739.71</v>
      </c>
      <c r="Q131" s="13"/>
      <c r="R131" s="13"/>
      <c r="S131" s="13"/>
      <c r="T131" s="13"/>
      <c r="U131" s="13"/>
      <c r="V131" s="13"/>
      <c r="W131" s="13">
        <v>67061.38</v>
      </c>
      <c r="X131" s="13">
        <v>1</v>
      </c>
      <c r="Y131" s="13">
        <v>67061.38</v>
      </c>
      <c r="Z131" s="13">
        <v>509739.71</v>
      </c>
      <c r="AA131" s="13">
        <v>1</v>
      </c>
      <c r="AB131" s="13">
        <v>509739.71</v>
      </c>
    </row>
    <row r="132" spans="1:28" ht="13" x14ac:dyDescent="0.3">
      <c r="A132" s="13">
        <v>50</v>
      </c>
      <c r="B132" s="13">
        <v>0</v>
      </c>
      <c r="C132" s="13">
        <v>0</v>
      </c>
      <c r="D132" s="13">
        <v>1</v>
      </c>
      <c r="E132" s="13">
        <v>203</v>
      </c>
      <c r="F132" s="13">
        <f>ROUND(Source!Q120,O132)</f>
        <v>111.87</v>
      </c>
      <c r="G132" s="13" t="s">
        <v>108</v>
      </c>
      <c r="H132" s="13" t="s">
        <v>109</v>
      </c>
      <c r="I132" s="13"/>
      <c r="J132" s="13"/>
      <c r="K132" s="13">
        <v>203</v>
      </c>
      <c r="L132" s="13">
        <v>11</v>
      </c>
      <c r="M132" s="13">
        <v>3</v>
      </c>
      <c r="N132" s="13" t="s">
        <v>3</v>
      </c>
      <c r="O132" s="13">
        <v>2</v>
      </c>
      <c r="P132" s="13">
        <f>ROUND(Source!DI120,O132)</f>
        <v>1898</v>
      </c>
      <c r="Q132" s="13"/>
      <c r="R132" s="13"/>
      <c r="S132" s="13"/>
      <c r="T132" s="13"/>
      <c r="U132" s="13"/>
      <c r="V132" s="13"/>
      <c r="W132" s="13">
        <v>111.87</v>
      </c>
      <c r="X132" s="13">
        <v>1</v>
      </c>
      <c r="Y132" s="13">
        <v>111.87</v>
      </c>
      <c r="Z132" s="13">
        <v>1898</v>
      </c>
      <c r="AA132" s="13">
        <v>1</v>
      </c>
      <c r="AB132" s="13">
        <v>1898</v>
      </c>
    </row>
    <row r="133" spans="1:28" ht="13" x14ac:dyDescent="0.3">
      <c r="A133" s="13">
        <v>50</v>
      </c>
      <c r="B133" s="13">
        <v>0</v>
      </c>
      <c r="C133" s="13">
        <v>0</v>
      </c>
      <c r="D133" s="13">
        <v>1</v>
      </c>
      <c r="E133" s="13">
        <v>231</v>
      </c>
      <c r="F133" s="13">
        <f>ROUND(Source!BB120,O133)</f>
        <v>0</v>
      </c>
      <c r="G133" s="13" t="s">
        <v>110</v>
      </c>
      <c r="H133" s="13" t="s">
        <v>111</v>
      </c>
      <c r="I133" s="13"/>
      <c r="J133" s="13"/>
      <c r="K133" s="13">
        <v>231</v>
      </c>
      <c r="L133" s="13">
        <v>12</v>
      </c>
      <c r="M133" s="13">
        <v>3</v>
      </c>
      <c r="N133" s="13" t="s">
        <v>3</v>
      </c>
      <c r="O133" s="13">
        <v>2</v>
      </c>
      <c r="P133" s="13">
        <f>ROUND(Source!ET120,O133)</f>
        <v>0</v>
      </c>
      <c r="Q133" s="13"/>
      <c r="R133" s="13"/>
      <c r="S133" s="13"/>
      <c r="T133" s="13"/>
      <c r="U133" s="13"/>
      <c r="V133" s="13"/>
      <c r="W133" s="13">
        <v>0</v>
      </c>
      <c r="X133" s="13">
        <v>1</v>
      </c>
      <c r="Y133" s="13">
        <v>0</v>
      </c>
      <c r="Z133" s="13">
        <v>0</v>
      </c>
      <c r="AA133" s="13">
        <v>1</v>
      </c>
      <c r="AB133" s="13">
        <v>0</v>
      </c>
    </row>
    <row r="134" spans="1:28" ht="13" x14ac:dyDescent="0.3">
      <c r="A134" s="13">
        <v>50</v>
      </c>
      <c r="B134" s="13">
        <v>0</v>
      </c>
      <c r="C134" s="13">
        <v>0</v>
      </c>
      <c r="D134" s="13">
        <v>1</v>
      </c>
      <c r="E134" s="13">
        <v>204</v>
      </c>
      <c r="F134" s="13">
        <f>ROUND(Source!R120,O134)</f>
        <v>16.510000000000002</v>
      </c>
      <c r="G134" s="13" t="s">
        <v>112</v>
      </c>
      <c r="H134" s="13" t="s">
        <v>113</v>
      </c>
      <c r="I134" s="13"/>
      <c r="J134" s="13"/>
      <c r="K134" s="13">
        <v>204</v>
      </c>
      <c r="L134" s="13">
        <v>13</v>
      </c>
      <c r="M134" s="13">
        <v>3</v>
      </c>
      <c r="N134" s="13" t="s">
        <v>3</v>
      </c>
      <c r="O134" s="13">
        <v>2</v>
      </c>
      <c r="P134" s="13">
        <f>ROUND(Source!DJ120,O134)</f>
        <v>930.33</v>
      </c>
      <c r="Q134" s="13"/>
      <c r="R134" s="13"/>
      <c r="S134" s="13"/>
      <c r="T134" s="13"/>
      <c r="U134" s="13"/>
      <c r="V134" s="13"/>
      <c r="W134" s="13">
        <v>16.510000000000002</v>
      </c>
      <c r="X134" s="13">
        <v>1</v>
      </c>
      <c r="Y134" s="13">
        <v>16.510000000000002</v>
      </c>
      <c r="Z134" s="13">
        <v>930.33</v>
      </c>
      <c r="AA134" s="13">
        <v>1</v>
      </c>
      <c r="AB134" s="13">
        <v>930.33</v>
      </c>
    </row>
    <row r="135" spans="1:28" ht="13" x14ac:dyDescent="0.3">
      <c r="A135" s="13">
        <v>50</v>
      </c>
      <c r="B135" s="13">
        <v>0</v>
      </c>
      <c r="C135" s="13">
        <v>0</v>
      </c>
      <c r="D135" s="13">
        <v>1</v>
      </c>
      <c r="E135" s="13">
        <v>205</v>
      </c>
      <c r="F135" s="13">
        <f>ROUND(Source!S120,O135)</f>
        <v>462.18</v>
      </c>
      <c r="G135" s="13" t="s">
        <v>114</v>
      </c>
      <c r="H135" s="13" t="s">
        <v>115</v>
      </c>
      <c r="I135" s="13"/>
      <c r="J135" s="13"/>
      <c r="K135" s="13">
        <v>205</v>
      </c>
      <c r="L135" s="13">
        <v>14</v>
      </c>
      <c r="M135" s="13">
        <v>3</v>
      </c>
      <c r="N135" s="13" t="s">
        <v>3</v>
      </c>
      <c r="O135" s="13">
        <v>2</v>
      </c>
      <c r="P135" s="13">
        <f>ROUND(Source!DK120,O135)</f>
        <v>26043.85</v>
      </c>
      <c r="Q135" s="13"/>
      <c r="R135" s="13"/>
      <c r="S135" s="13"/>
      <c r="T135" s="13"/>
      <c r="U135" s="13"/>
      <c r="V135" s="13"/>
      <c r="W135" s="13">
        <v>462.18</v>
      </c>
      <c r="X135" s="13">
        <v>1</v>
      </c>
      <c r="Y135" s="13">
        <v>462.18</v>
      </c>
      <c r="Z135" s="13">
        <v>26043.85</v>
      </c>
      <c r="AA135" s="13">
        <v>1</v>
      </c>
      <c r="AB135" s="13">
        <v>26043.85</v>
      </c>
    </row>
    <row r="136" spans="1:28" ht="13" x14ac:dyDescent="0.3">
      <c r="A136" s="13">
        <v>50</v>
      </c>
      <c r="B136" s="13">
        <v>0</v>
      </c>
      <c r="C136" s="13">
        <v>0</v>
      </c>
      <c r="D136" s="13">
        <v>1</v>
      </c>
      <c r="E136" s="13">
        <v>232</v>
      </c>
      <c r="F136" s="13">
        <f>ROUND(Source!BC120,O136)</f>
        <v>0</v>
      </c>
      <c r="G136" s="13" t="s">
        <v>116</v>
      </c>
      <c r="H136" s="13" t="s">
        <v>117</v>
      </c>
      <c r="I136" s="13"/>
      <c r="J136" s="13"/>
      <c r="K136" s="13">
        <v>232</v>
      </c>
      <c r="L136" s="13">
        <v>15</v>
      </c>
      <c r="M136" s="13">
        <v>3</v>
      </c>
      <c r="N136" s="13" t="s">
        <v>3</v>
      </c>
      <c r="O136" s="13">
        <v>2</v>
      </c>
      <c r="P136" s="13">
        <f>ROUND(Source!EU120,O136)</f>
        <v>0</v>
      </c>
      <c r="Q136" s="13"/>
      <c r="R136" s="13"/>
      <c r="S136" s="13"/>
      <c r="T136" s="13"/>
      <c r="U136" s="13"/>
      <c r="V136" s="13"/>
      <c r="W136" s="13">
        <v>0</v>
      </c>
      <c r="X136" s="13">
        <v>1</v>
      </c>
      <c r="Y136" s="13">
        <v>0</v>
      </c>
      <c r="Z136" s="13">
        <v>0</v>
      </c>
      <c r="AA136" s="13">
        <v>1</v>
      </c>
      <c r="AB136" s="13">
        <v>0</v>
      </c>
    </row>
    <row r="137" spans="1:28" ht="13" x14ac:dyDescent="0.3">
      <c r="A137" s="13">
        <v>50</v>
      </c>
      <c r="B137" s="13">
        <v>0</v>
      </c>
      <c r="C137" s="13">
        <v>0</v>
      </c>
      <c r="D137" s="13">
        <v>1</v>
      </c>
      <c r="E137" s="13">
        <v>214</v>
      </c>
      <c r="F137" s="13">
        <f>ROUND(Source!AS120,O137)</f>
        <v>0</v>
      </c>
      <c r="G137" s="13" t="s">
        <v>118</v>
      </c>
      <c r="H137" s="13" t="s">
        <v>119</v>
      </c>
      <c r="I137" s="13"/>
      <c r="J137" s="13"/>
      <c r="K137" s="13">
        <v>214</v>
      </c>
      <c r="L137" s="13">
        <v>16</v>
      </c>
      <c r="M137" s="13">
        <v>3</v>
      </c>
      <c r="N137" s="13" t="s">
        <v>3</v>
      </c>
      <c r="O137" s="13">
        <v>2</v>
      </c>
      <c r="P137" s="13">
        <f>ROUND(Source!EK120,O137)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8" ht="13" x14ac:dyDescent="0.3">
      <c r="A138" s="13">
        <v>50</v>
      </c>
      <c r="B138" s="13">
        <v>0</v>
      </c>
      <c r="C138" s="13">
        <v>0</v>
      </c>
      <c r="D138" s="13">
        <v>1</v>
      </c>
      <c r="E138" s="13">
        <v>215</v>
      </c>
      <c r="F138" s="13">
        <f>ROUND(Source!AT120,O138)</f>
        <v>1731.84</v>
      </c>
      <c r="G138" s="13" t="s">
        <v>120</v>
      </c>
      <c r="H138" s="13" t="s">
        <v>121</v>
      </c>
      <c r="I138" s="13"/>
      <c r="J138" s="13"/>
      <c r="K138" s="13">
        <v>215</v>
      </c>
      <c r="L138" s="13">
        <v>17</v>
      </c>
      <c r="M138" s="13">
        <v>3</v>
      </c>
      <c r="N138" s="13" t="s">
        <v>3</v>
      </c>
      <c r="O138" s="13">
        <v>2</v>
      </c>
      <c r="P138" s="13">
        <f>ROUND(Source!EL120,O138)</f>
        <v>69987.210000000006</v>
      </c>
      <c r="Q138" s="13"/>
      <c r="R138" s="13"/>
      <c r="S138" s="13"/>
      <c r="T138" s="13"/>
      <c r="U138" s="13"/>
      <c r="V138" s="13"/>
      <c r="W138" s="13">
        <v>1731.84</v>
      </c>
      <c r="X138" s="13">
        <v>1</v>
      </c>
      <c r="Y138" s="13">
        <v>1731.84</v>
      </c>
      <c r="Z138" s="13">
        <v>69987.210000000006</v>
      </c>
      <c r="AA138" s="13">
        <v>1</v>
      </c>
      <c r="AB138" s="13">
        <v>69987.210000000006</v>
      </c>
    </row>
    <row r="139" spans="1:28" ht="13" x14ac:dyDescent="0.3">
      <c r="A139" s="13">
        <v>50</v>
      </c>
      <c r="B139" s="13">
        <v>0</v>
      </c>
      <c r="C139" s="13">
        <v>0</v>
      </c>
      <c r="D139" s="13">
        <v>1</v>
      </c>
      <c r="E139" s="13">
        <v>217</v>
      </c>
      <c r="F139" s="13">
        <f>ROUND(Source!AU120,O139)</f>
        <v>0</v>
      </c>
      <c r="G139" s="13" t="s">
        <v>122</v>
      </c>
      <c r="H139" s="13" t="s">
        <v>123</v>
      </c>
      <c r="I139" s="13"/>
      <c r="J139" s="13"/>
      <c r="K139" s="13">
        <v>217</v>
      </c>
      <c r="L139" s="13">
        <v>18</v>
      </c>
      <c r="M139" s="13">
        <v>3</v>
      </c>
      <c r="N139" s="13" t="s">
        <v>3</v>
      </c>
      <c r="O139" s="13">
        <v>2</v>
      </c>
      <c r="P139" s="13">
        <f>ROUND(Source!EM120,O139)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ht="13" x14ac:dyDescent="0.3">
      <c r="A140" s="13">
        <v>50</v>
      </c>
      <c r="B140" s="13">
        <v>0</v>
      </c>
      <c r="C140" s="13">
        <v>0</v>
      </c>
      <c r="D140" s="13">
        <v>1</v>
      </c>
      <c r="E140" s="13">
        <v>230</v>
      </c>
      <c r="F140" s="13">
        <f>ROUND(Source!BA120,O140)</f>
        <v>0</v>
      </c>
      <c r="G140" s="13" t="s">
        <v>124</v>
      </c>
      <c r="H140" s="13" t="s">
        <v>125</v>
      </c>
      <c r="I140" s="13"/>
      <c r="J140" s="13"/>
      <c r="K140" s="13">
        <v>230</v>
      </c>
      <c r="L140" s="13">
        <v>19</v>
      </c>
      <c r="M140" s="13">
        <v>3</v>
      </c>
      <c r="N140" s="13" t="s">
        <v>3</v>
      </c>
      <c r="O140" s="13">
        <v>2</v>
      </c>
      <c r="P140" s="13">
        <f>ROUND(Source!ES120,O140)</f>
        <v>0</v>
      </c>
      <c r="Q140" s="13"/>
      <c r="R140" s="13"/>
      <c r="S140" s="13"/>
      <c r="T140" s="13"/>
      <c r="U140" s="13"/>
      <c r="V140" s="13"/>
      <c r="W140" s="13">
        <v>0</v>
      </c>
      <c r="X140" s="13">
        <v>1</v>
      </c>
      <c r="Y140" s="13">
        <v>0</v>
      </c>
      <c r="Z140" s="13">
        <v>0</v>
      </c>
      <c r="AA140" s="13">
        <v>1</v>
      </c>
      <c r="AB140" s="13">
        <v>0</v>
      </c>
    </row>
    <row r="141" spans="1:28" ht="13" x14ac:dyDescent="0.3">
      <c r="A141" s="13">
        <v>50</v>
      </c>
      <c r="B141" s="13">
        <v>0</v>
      </c>
      <c r="C141" s="13">
        <v>0</v>
      </c>
      <c r="D141" s="13">
        <v>1</v>
      </c>
      <c r="E141" s="13">
        <v>206</v>
      </c>
      <c r="F141" s="13">
        <f>ROUND(Source!T120,O141)</f>
        <v>0</v>
      </c>
      <c r="G141" s="13" t="s">
        <v>126</v>
      </c>
      <c r="H141" s="13" t="s">
        <v>127</v>
      </c>
      <c r="I141" s="13"/>
      <c r="J141" s="13"/>
      <c r="K141" s="13">
        <v>206</v>
      </c>
      <c r="L141" s="13">
        <v>20</v>
      </c>
      <c r="M141" s="13">
        <v>3</v>
      </c>
      <c r="N141" s="13" t="s">
        <v>3</v>
      </c>
      <c r="O141" s="13">
        <v>2</v>
      </c>
      <c r="P141" s="13">
        <f>ROUND(Source!DL120,O141)</f>
        <v>0</v>
      </c>
      <c r="Q141" s="13"/>
      <c r="R141" s="13"/>
      <c r="S141" s="13"/>
      <c r="T141" s="13"/>
      <c r="U141" s="13"/>
      <c r="V141" s="13"/>
      <c r="W141" s="13">
        <v>0</v>
      </c>
      <c r="X141" s="13">
        <v>1</v>
      </c>
      <c r="Y141" s="13">
        <v>0</v>
      </c>
      <c r="Z141" s="13">
        <v>0</v>
      </c>
      <c r="AA141" s="13">
        <v>1</v>
      </c>
      <c r="AB141" s="13">
        <v>0</v>
      </c>
    </row>
    <row r="142" spans="1:28" ht="13" x14ac:dyDescent="0.3">
      <c r="A142" s="13">
        <v>50</v>
      </c>
      <c r="B142" s="13">
        <v>0</v>
      </c>
      <c r="C142" s="13">
        <v>0</v>
      </c>
      <c r="D142" s="13">
        <v>1</v>
      </c>
      <c r="E142" s="13">
        <v>207</v>
      </c>
      <c r="F142" s="13">
        <f>Source!U120</f>
        <v>37.271806559999995</v>
      </c>
      <c r="G142" s="13" t="s">
        <v>128</v>
      </c>
      <c r="H142" s="13" t="s">
        <v>129</v>
      </c>
      <c r="I142" s="13"/>
      <c r="J142" s="13"/>
      <c r="K142" s="13">
        <v>207</v>
      </c>
      <c r="L142" s="13">
        <v>21</v>
      </c>
      <c r="M142" s="13">
        <v>3</v>
      </c>
      <c r="N142" s="13" t="s">
        <v>3</v>
      </c>
      <c r="O142" s="13">
        <v>-1</v>
      </c>
      <c r="P142" s="13">
        <f>Source!DM120</f>
        <v>37.271806559999995</v>
      </c>
      <c r="Q142" s="13"/>
      <c r="R142" s="13"/>
      <c r="S142" s="13"/>
      <c r="T142" s="13"/>
      <c r="U142" s="13"/>
      <c r="V142" s="13"/>
      <c r="W142" s="13">
        <v>37.271806560000002</v>
      </c>
      <c r="X142" s="13">
        <v>1</v>
      </c>
      <c r="Y142" s="13">
        <v>37.271806560000002</v>
      </c>
      <c r="Z142" s="13">
        <v>37.271806560000002</v>
      </c>
      <c r="AA142" s="13">
        <v>1</v>
      </c>
      <c r="AB142" s="13">
        <v>37.271806560000002</v>
      </c>
    </row>
    <row r="143" spans="1:28" ht="13" x14ac:dyDescent="0.3">
      <c r="A143" s="13">
        <v>50</v>
      </c>
      <c r="B143" s="13">
        <v>0</v>
      </c>
      <c r="C143" s="13">
        <v>0</v>
      </c>
      <c r="D143" s="13">
        <v>1</v>
      </c>
      <c r="E143" s="13">
        <v>208</v>
      </c>
      <c r="F143" s="13">
        <f>Source!V120</f>
        <v>0</v>
      </c>
      <c r="G143" s="13" t="s">
        <v>130</v>
      </c>
      <c r="H143" s="13" t="s">
        <v>131</v>
      </c>
      <c r="I143" s="13"/>
      <c r="J143" s="13"/>
      <c r="K143" s="13">
        <v>208</v>
      </c>
      <c r="L143" s="13">
        <v>22</v>
      </c>
      <c r="M143" s="13">
        <v>3</v>
      </c>
      <c r="N143" s="13" t="s">
        <v>3</v>
      </c>
      <c r="O143" s="13">
        <v>-1</v>
      </c>
      <c r="P143" s="13">
        <f>Source!DN120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ht="13" x14ac:dyDescent="0.3">
      <c r="A144" s="13">
        <v>50</v>
      </c>
      <c r="B144" s="13">
        <v>0</v>
      </c>
      <c r="C144" s="13">
        <v>0</v>
      </c>
      <c r="D144" s="13">
        <v>1</v>
      </c>
      <c r="E144" s="13">
        <v>209</v>
      </c>
      <c r="F144" s="13">
        <f>ROUND(Source!W120,O144)</f>
        <v>0</v>
      </c>
      <c r="G144" s="13" t="s">
        <v>132</v>
      </c>
      <c r="H144" s="13" t="s">
        <v>133</v>
      </c>
      <c r="I144" s="13"/>
      <c r="J144" s="13"/>
      <c r="K144" s="13">
        <v>209</v>
      </c>
      <c r="L144" s="13">
        <v>23</v>
      </c>
      <c r="M144" s="13">
        <v>3</v>
      </c>
      <c r="N144" s="13" t="s">
        <v>3</v>
      </c>
      <c r="O144" s="13">
        <v>2</v>
      </c>
      <c r="P144" s="13">
        <f>ROUND(Source!DO120,O144)</f>
        <v>0</v>
      </c>
      <c r="Q144" s="13"/>
      <c r="R144" s="13"/>
      <c r="S144" s="13"/>
      <c r="T144" s="13"/>
      <c r="U144" s="13"/>
      <c r="V144" s="13"/>
      <c r="W144" s="13">
        <v>0</v>
      </c>
      <c r="X144" s="13">
        <v>1</v>
      </c>
      <c r="Y144" s="13">
        <v>0</v>
      </c>
      <c r="Z144" s="13">
        <v>0</v>
      </c>
      <c r="AA144" s="13">
        <v>1</v>
      </c>
      <c r="AB144" s="13">
        <v>0</v>
      </c>
    </row>
    <row r="145" spans="1:255" ht="13" x14ac:dyDescent="0.3">
      <c r="A145" s="13">
        <v>50</v>
      </c>
      <c r="B145" s="13">
        <v>0</v>
      </c>
      <c r="C145" s="13">
        <v>0</v>
      </c>
      <c r="D145" s="13">
        <v>1</v>
      </c>
      <c r="E145" s="13">
        <v>233</v>
      </c>
      <c r="F145" s="13">
        <f>ROUND(Source!BD120,O145)</f>
        <v>0</v>
      </c>
      <c r="G145" s="13" t="s">
        <v>134</v>
      </c>
      <c r="H145" s="13" t="s">
        <v>135</v>
      </c>
      <c r="I145" s="13"/>
      <c r="J145" s="13"/>
      <c r="K145" s="13">
        <v>233</v>
      </c>
      <c r="L145" s="13">
        <v>24</v>
      </c>
      <c r="M145" s="13">
        <v>3</v>
      </c>
      <c r="N145" s="13" t="s">
        <v>3</v>
      </c>
      <c r="O145" s="13">
        <v>2</v>
      </c>
      <c r="P145" s="13">
        <f>ROUND(Source!EV120,O145)</f>
        <v>0</v>
      </c>
      <c r="Q145" s="13"/>
      <c r="R145" s="13"/>
      <c r="S145" s="13"/>
      <c r="T145" s="13"/>
      <c r="U145" s="13"/>
      <c r="V145" s="13"/>
      <c r="W145" s="13">
        <v>0</v>
      </c>
      <c r="X145" s="13">
        <v>1</v>
      </c>
      <c r="Y145" s="13">
        <v>0</v>
      </c>
      <c r="Z145" s="13">
        <v>0</v>
      </c>
      <c r="AA145" s="13">
        <v>1</v>
      </c>
      <c r="AB145" s="13">
        <v>0</v>
      </c>
    </row>
    <row r="146" spans="1:255" ht="13" x14ac:dyDescent="0.3">
      <c r="A146" s="13">
        <v>50</v>
      </c>
      <c r="B146" s="13">
        <v>0</v>
      </c>
      <c r="C146" s="13">
        <v>0</v>
      </c>
      <c r="D146" s="13">
        <v>1</v>
      </c>
      <c r="E146" s="13">
        <v>210</v>
      </c>
      <c r="F146" s="13">
        <f>ROUND(Source!X120,O146)</f>
        <v>444.81</v>
      </c>
      <c r="G146" s="13" t="s">
        <v>136</v>
      </c>
      <c r="H146" s="13" t="s">
        <v>137</v>
      </c>
      <c r="I146" s="13"/>
      <c r="J146" s="13"/>
      <c r="K146" s="13">
        <v>210</v>
      </c>
      <c r="L146" s="13">
        <v>25</v>
      </c>
      <c r="M146" s="13">
        <v>3</v>
      </c>
      <c r="N146" s="13" t="s">
        <v>3</v>
      </c>
      <c r="O146" s="13">
        <v>2</v>
      </c>
      <c r="P146" s="13">
        <f>ROUND(Source!DP120,O146)</f>
        <v>25066.02</v>
      </c>
      <c r="Q146" s="13"/>
      <c r="R146" s="13"/>
      <c r="S146" s="13"/>
      <c r="T146" s="13"/>
      <c r="U146" s="13"/>
      <c r="V146" s="13"/>
      <c r="W146" s="13">
        <v>444.81</v>
      </c>
      <c r="X146" s="13">
        <v>1</v>
      </c>
      <c r="Y146" s="13">
        <v>444.81</v>
      </c>
      <c r="Z146" s="13">
        <v>25066.02</v>
      </c>
      <c r="AA146" s="13">
        <v>1</v>
      </c>
      <c r="AB146" s="13">
        <v>25066.02</v>
      </c>
    </row>
    <row r="147" spans="1:255" ht="13" x14ac:dyDescent="0.3">
      <c r="A147" s="13">
        <v>50</v>
      </c>
      <c r="B147" s="13">
        <v>0</v>
      </c>
      <c r="C147" s="13">
        <v>0</v>
      </c>
      <c r="D147" s="13">
        <v>1</v>
      </c>
      <c r="E147" s="13">
        <v>211</v>
      </c>
      <c r="F147" s="13">
        <f>ROUND(Source!Y120,O147)</f>
        <v>239.03</v>
      </c>
      <c r="G147" s="13" t="s">
        <v>138</v>
      </c>
      <c r="H147" s="13" t="s">
        <v>139</v>
      </c>
      <c r="I147" s="13"/>
      <c r="J147" s="13"/>
      <c r="K147" s="13">
        <v>211</v>
      </c>
      <c r="L147" s="13">
        <v>26</v>
      </c>
      <c r="M147" s="13">
        <v>3</v>
      </c>
      <c r="N147" s="13" t="s">
        <v>3</v>
      </c>
      <c r="O147" s="13">
        <v>2</v>
      </c>
      <c r="P147" s="13">
        <f>ROUND(Source!DQ120,O147)</f>
        <v>13470.1</v>
      </c>
      <c r="Q147" s="13"/>
      <c r="R147" s="13"/>
      <c r="S147" s="13"/>
      <c r="T147" s="13"/>
      <c r="U147" s="13"/>
      <c r="V147" s="13"/>
      <c r="W147" s="13">
        <v>239.03</v>
      </c>
      <c r="X147" s="13">
        <v>1</v>
      </c>
      <c r="Y147" s="13">
        <v>239.03</v>
      </c>
      <c r="Z147" s="13">
        <v>13470.1</v>
      </c>
      <c r="AA147" s="13">
        <v>1</v>
      </c>
      <c r="AB147" s="13">
        <v>13470.1</v>
      </c>
    </row>
    <row r="148" spans="1:255" ht="13" x14ac:dyDescent="0.3">
      <c r="A148" s="13">
        <v>50</v>
      </c>
      <c r="B148" s="13">
        <v>0</v>
      </c>
      <c r="C148" s="13">
        <v>0</v>
      </c>
      <c r="D148" s="13">
        <v>1</v>
      </c>
      <c r="E148" s="13">
        <v>224</v>
      </c>
      <c r="F148" s="13">
        <f>ROUND(Source!AR120,O148)</f>
        <v>68793.22</v>
      </c>
      <c r="G148" s="13" t="s">
        <v>140</v>
      </c>
      <c r="H148" s="13" t="s">
        <v>141</v>
      </c>
      <c r="I148" s="13"/>
      <c r="J148" s="13"/>
      <c r="K148" s="13">
        <v>224</v>
      </c>
      <c r="L148" s="13">
        <v>27</v>
      </c>
      <c r="M148" s="13">
        <v>3</v>
      </c>
      <c r="N148" s="13" t="s">
        <v>3</v>
      </c>
      <c r="O148" s="13">
        <v>2</v>
      </c>
      <c r="P148" s="13">
        <f>ROUND(Source!EJ120,O148)</f>
        <v>579726.92000000004</v>
      </c>
      <c r="Q148" s="13"/>
      <c r="R148" s="13"/>
      <c r="S148" s="13"/>
      <c r="T148" s="13"/>
      <c r="U148" s="13"/>
      <c r="V148" s="13"/>
      <c r="W148" s="13">
        <v>68793.22</v>
      </c>
      <c r="X148" s="13">
        <v>1</v>
      </c>
      <c r="Y148" s="13">
        <v>68793.22</v>
      </c>
      <c r="Z148" s="13">
        <v>579726.92000000004</v>
      </c>
      <c r="AA148" s="13">
        <v>1</v>
      </c>
      <c r="AB148" s="13">
        <v>579726.92000000004</v>
      </c>
    </row>
    <row r="150" spans="1:255" ht="13" x14ac:dyDescent="0.3">
      <c r="A150" s="10">
        <v>4</v>
      </c>
      <c r="B150" s="10">
        <v>1</v>
      </c>
      <c r="C150" s="10"/>
      <c r="D150" s="10">
        <f>ROW(A175)</f>
        <v>175</v>
      </c>
      <c r="E150" s="10"/>
      <c r="F150" s="10" t="s">
        <v>30</v>
      </c>
      <c r="G150" s="10" t="s">
        <v>204</v>
      </c>
      <c r="H150" s="10" t="s">
        <v>3</v>
      </c>
      <c r="I150" s="10">
        <v>0</v>
      </c>
      <c r="J150" s="10"/>
      <c r="K150" s="10">
        <v>-1</v>
      </c>
      <c r="L150" s="10"/>
      <c r="M150" s="10" t="s">
        <v>3</v>
      </c>
      <c r="N150" s="10"/>
      <c r="O150" s="10"/>
      <c r="P150" s="10"/>
      <c r="Q150" s="10"/>
      <c r="R150" s="10"/>
      <c r="S150" s="10">
        <v>0</v>
      </c>
      <c r="T150" s="10">
        <v>0</v>
      </c>
      <c r="U150" s="10" t="s">
        <v>3</v>
      </c>
      <c r="V150" s="10">
        <v>0</v>
      </c>
      <c r="W150" s="10"/>
      <c r="X150" s="10"/>
      <c r="Y150" s="10"/>
      <c r="Z150" s="10"/>
      <c r="AA150" s="10"/>
      <c r="AB150" s="10" t="s">
        <v>3</v>
      </c>
      <c r="AC150" s="10" t="s">
        <v>3</v>
      </c>
      <c r="AD150" s="10" t="s">
        <v>3</v>
      </c>
      <c r="AE150" s="10" t="s">
        <v>3</v>
      </c>
      <c r="AF150" s="10" t="s">
        <v>3</v>
      </c>
      <c r="AG150" s="10" t="s">
        <v>3</v>
      </c>
      <c r="AH150" s="10"/>
      <c r="AI150" s="10"/>
      <c r="AJ150" s="10"/>
      <c r="AK150" s="10"/>
      <c r="AL150" s="10"/>
      <c r="AM150" s="10"/>
      <c r="AN150" s="10"/>
      <c r="AO150" s="10"/>
      <c r="AP150" s="10" t="s">
        <v>3</v>
      </c>
      <c r="AQ150" s="10" t="s">
        <v>3</v>
      </c>
      <c r="AR150" s="10" t="s">
        <v>3</v>
      </c>
      <c r="AS150" s="10"/>
      <c r="AT150" s="10"/>
      <c r="AU150" s="10"/>
      <c r="AV150" s="10"/>
      <c r="AW150" s="10"/>
      <c r="AX150" s="10"/>
      <c r="AY150" s="10"/>
      <c r="AZ150" s="10" t="s">
        <v>3</v>
      </c>
      <c r="BA150" s="10"/>
      <c r="BB150" s="10" t="s">
        <v>3</v>
      </c>
      <c r="BC150" s="10" t="s">
        <v>3</v>
      </c>
      <c r="BD150" s="10" t="s">
        <v>3</v>
      </c>
      <c r="BE150" s="10" t="s">
        <v>3</v>
      </c>
      <c r="BF150" s="10" t="s">
        <v>3</v>
      </c>
      <c r="BG150" s="10" t="s">
        <v>3</v>
      </c>
      <c r="BH150" s="10" t="s">
        <v>3</v>
      </c>
      <c r="BI150" s="10" t="s">
        <v>3</v>
      </c>
      <c r="BJ150" s="10" t="s">
        <v>3</v>
      </c>
      <c r="BK150" s="10" t="s">
        <v>3</v>
      </c>
      <c r="BL150" s="10" t="s">
        <v>3</v>
      </c>
      <c r="BM150" s="10" t="s">
        <v>3</v>
      </c>
      <c r="BN150" s="10" t="s">
        <v>3</v>
      </c>
      <c r="BO150" s="10" t="s">
        <v>3</v>
      </c>
      <c r="BP150" s="10" t="s">
        <v>3</v>
      </c>
      <c r="BQ150" s="10"/>
      <c r="BR150" s="10"/>
      <c r="BS150" s="10"/>
      <c r="BT150" s="10"/>
      <c r="BU150" s="10"/>
      <c r="BV150" s="10"/>
      <c r="BW150" s="10"/>
      <c r="BX150" s="10">
        <v>0</v>
      </c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>
        <v>0</v>
      </c>
    </row>
    <row r="152" spans="1:255" ht="13" x14ac:dyDescent="0.3">
      <c r="A152" s="11">
        <v>52</v>
      </c>
      <c r="B152" s="11">
        <f t="shared" ref="B152:G152" si="118">B175</f>
        <v>1</v>
      </c>
      <c r="C152" s="11">
        <f t="shared" si="118"/>
        <v>4</v>
      </c>
      <c r="D152" s="11">
        <f t="shared" si="118"/>
        <v>150</v>
      </c>
      <c r="E152" s="11">
        <f t="shared" si="118"/>
        <v>0</v>
      </c>
      <c r="F152" s="11" t="str">
        <f t="shared" si="118"/>
        <v>2</v>
      </c>
      <c r="G152" s="11" t="str">
        <f t="shared" si="118"/>
        <v>Комплект основного оборудования (передача сигнала СПС на службу "01" и приём сигнала о ЧС)</v>
      </c>
      <c r="H152" s="11"/>
      <c r="I152" s="11"/>
      <c r="J152" s="11"/>
      <c r="K152" s="11"/>
      <c r="L152" s="11"/>
      <c r="M152" s="11"/>
      <c r="N152" s="11"/>
      <c r="O152" s="11">
        <f t="shared" ref="O152:AT152" si="119">O175</f>
        <v>110529.56</v>
      </c>
      <c r="P152" s="11">
        <f t="shared" si="119"/>
        <v>109709.24</v>
      </c>
      <c r="Q152" s="11">
        <f t="shared" si="119"/>
        <v>0</v>
      </c>
      <c r="R152" s="11">
        <f t="shared" si="119"/>
        <v>0</v>
      </c>
      <c r="S152" s="11">
        <f t="shared" si="119"/>
        <v>820.32</v>
      </c>
      <c r="T152" s="11">
        <f t="shared" si="119"/>
        <v>0</v>
      </c>
      <c r="U152" s="11">
        <f t="shared" si="119"/>
        <v>61.407587999999997</v>
      </c>
      <c r="V152" s="11">
        <f t="shared" si="119"/>
        <v>0</v>
      </c>
      <c r="W152" s="11">
        <f t="shared" si="119"/>
        <v>0</v>
      </c>
      <c r="X152" s="11">
        <f t="shared" si="119"/>
        <v>776.92</v>
      </c>
      <c r="Y152" s="11">
        <f t="shared" si="119"/>
        <v>431.44</v>
      </c>
      <c r="Z152" s="11">
        <f t="shared" si="119"/>
        <v>0</v>
      </c>
      <c r="AA152" s="11">
        <f t="shared" si="119"/>
        <v>0</v>
      </c>
      <c r="AB152" s="11">
        <f t="shared" si="119"/>
        <v>110529.56</v>
      </c>
      <c r="AC152" s="11">
        <f t="shared" si="119"/>
        <v>109709.24</v>
      </c>
      <c r="AD152" s="11">
        <f t="shared" si="119"/>
        <v>0</v>
      </c>
      <c r="AE152" s="11">
        <f t="shared" si="119"/>
        <v>0</v>
      </c>
      <c r="AF152" s="11">
        <f t="shared" si="119"/>
        <v>820.32</v>
      </c>
      <c r="AG152" s="11">
        <f t="shared" si="119"/>
        <v>0</v>
      </c>
      <c r="AH152" s="11">
        <f t="shared" si="119"/>
        <v>61.407587999999997</v>
      </c>
      <c r="AI152" s="11">
        <f t="shared" si="119"/>
        <v>0</v>
      </c>
      <c r="AJ152" s="11">
        <f t="shared" si="119"/>
        <v>0</v>
      </c>
      <c r="AK152" s="11">
        <f t="shared" si="119"/>
        <v>776.92</v>
      </c>
      <c r="AL152" s="11">
        <f t="shared" si="119"/>
        <v>431.44</v>
      </c>
      <c r="AM152" s="11">
        <f t="shared" si="119"/>
        <v>0</v>
      </c>
      <c r="AN152" s="11">
        <f t="shared" si="119"/>
        <v>0</v>
      </c>
      <c r="AO152" s="11">
        <f t="shared" si="119"/>
        <v>0</v>
      </c>
      <c r="AP152" s="11">
        <f t="shared" si="119"/>
        <v>109342.06</v>
      </c>
      <c r="AQ152" s="11">
        <f t="shared" si="119"/>
        <v>0</v>
      </c>
      <c r="AR152" s="11">
        <f t="shared" si="119"/>
        <v>111737.92</v>
      </c>
      <c r="AS152" s="11">
        <f t="shared" si="119"/>
        <v>0</v>
      </c>
      <c r="AT152" s="11">
        <f t="shared" si="119"/>
        <v>2395.86</v>
      </c>
      <c r="AU152" s="11">
        <f t="shared" ref="AU152:BZ152" si="120">AU175</f>
        <v>0</v>
      </c>
      <c r="AV152" s="11">
        <f t="shared" si="120"/>
        <v>109709.24</v>
      </c>
      <c r="AW152" s="11">
        <f t="shared" si="120"/>
        <v>367.18</v>
      </c>
      <c r="AX152" s="11">
        <f t="shared" si="120"/>
        <v>0</v>
      </c>
      <c r="AY152" s="11">
        <f t="shared" si="120"/>
        <v>367.18</v>
      </c>
      <c r="AZ152" s="11">
        <f t="shared" si="120"/>
        <v>109342.06</v>
      </c>
      <c r="BA152" s="11">
        <f t="shared" si="120"/>
        <v>0</v>
      </c>
      <c r="BB152" s="11">
        <f t="shared" si="120"/>
        <v>0</v>
      </c>
      <c r="BC152" s="11">
        <f t="shared" si="120"/>
        <v>0</v>
      </c>
      <c r="BD152" s="11">
        <f t="shared" si="120"/>
        <v>0</v>
      </c>
      <c r="BE152" s="11">
        <f t="shared" si="120"/>
        <v>0</v>
      </c>
      <c r="BF152" s="11">
        <f t="shared" si="120"/>
        <v>0</v>
      </c>
      <c r="BG152" s="11">
        <f t="shared" si="120"/>
        <v>0</v>
      </c>
      <c r="BH152" s="11">
        <f t="shared" si="120"/>
        <v>0</v>
      </c>
      <c r="BI152" s="11">
        <f t="shared" si="120"/>
        <v>0</v>
      </c>
      <c r="BJ152" s="11">
        <f t="shared" si="120"/>
        <v>0</v>
      </c>
      <c r="BK152" s="11">
        <f t="shared" si="120"/>
        <v>0</v>
      </c>
      <c r="BL152" s="11">
        <f t="shared" si="120"/>
        <v>0</v>
      </c>
      <c r="BM152" s="11">
        <f t="shared" si="120"/>
        <v>0</v>
      </c>
      <c r="BN152" s="11">
        <f t="shared" si="120"/>
        <v>0</v>
      </c>
      <c r="BO152" s="11">
        <f t="shared" si="120"/>
        <v>0</v>
      </c>
      <c r="BP152" s="11">
        <f t="shared" si="120"/>
        <v>0</v>
      </c>
      <c r="BQ152" s="11">
        <f t="shared" si="120"/>
        <v>0</v>
      </c>
      <c r="BR152" s="11">
        <f t="shared" si="120"/>
        <v>0</v>
      </c>
      <c r="BS152" s="11">
        <f t="shared" si="120"/>
        <v>0</v>
      </c>
      <c r="BT152" s="11">
        <f t="shared" si="120"/>
        <v>0</v>
      </c>
      <c r="BU152" s="11">
        <f t="shared" si="120"/>
        <v>0</v>
      </c>
      <c r="BV152" s="11">
        <f t="shared" si="120"/>
        <v>0</v>
      </c>
      <c r="BW152" s="11">
        <f t="shared" si="120"/>
        <v>0</v>
      </c>
      <c r="BX152" s="11">
        <f t="shared" si="120"/>
        <v>0</v>
      </c>
      <c r="BY152" s="11">
        <f t="shared" si="120"/>
        <v>109342.06</v>
      </c>
      <c r="BZ152" s="11">
        <f t="shared" si="120"/>
        <v>0</v>
      </c>
      <c r="CA152" s="11">
        <f t="shared" ref="CA152:DF152" si="121">CA175</f>
        <v>111737.92</v>
      </c>
      <c r="CB152" s="11">
        <f t="shared" si="121"/>
        <v>0</v>
      </c>
      <c r="CC152" s="11">
        <f t="shared" si="121"/>
        <v>2395.86</v>
      </c>
      <c r="CD152" s="11">
        <f t="shared" si="121"/>
        <v>0</v>
      </c>
      <c r="CE152" s="11">
        <f t="shared" si="121"/>
        <v>109709.24</v>
      </c>
      <c r="CF152" s="11">
        <f t="shared" si="121"/>
        <v>367.18000000000757</v>
      </c>
      <c r="CG152" s="11">
        <f t="shared" si="121"/>
        <v>0</v>
      </c>
      <c r="CH152" s="11">
        <f t="shared" si="121"/>
        <v>367.18000000000757</v>
      </c>
      <c r="CI152" s="11">
        <f t="shared" si="121"/>
        <v>109342.06</v>
      </c>
      <c r="CJ152" s="11">
        <f t="shared" si="121"/>
        <v>0</v>
      </c>
      <c r="CK152" s="11">
        <f t="shared" si="121"/>
        <v>0</v>
      </c>
      <c r="CL152" s="11">
        <f t="shared" si="121"/>
        <v>0</v>
      </c>
      <c r="CM152" s="11">
        <f t="shared" si="121"/>
        <v>0</v>
      </c>
      <c r="CN152" s="11">
        <f t="shared" si="121"/>
        <v>0</v>
      </c>
      <c r="CO152" s="11">
        <f t="shared" si="121"/>
        <v>0</v>
      </c>
      <c r="CP152" s="11">
        <f t="shared" si="121"/>
        <v>0</v>
      </c>
      <c r="CQ152" s="11">
        <f t="shared" si="121"/>
        <v>0</v>
      </c>
      <c r="CR152" s="11">
        <f t="shared" si="121"/>
        <v>0</v>
      </c>
      <c r="CS152" s="11">
        <f t="shared" si="121"/>
        <v>0</v>
      </c>
      <c r="CT152" s="11">
        <f t="shared" si="121"/>
        <v>0</v>
      </c>
      <c r="CU152" s="11">
        <f t="shared" si="121"/>
        <v>0</v>
      </c>
      <c r="CV152" s="11">
        <f t="shared" si="121"/>
        <v>0</v>
      </c>
      <c r="CW152" s="11">
        <f t="shared" si="121"/>
        <v>0</v>
      </c>
      <c r="CX152" s="11">
        <f t="shared" si="121"/>
        <v>0</v>
      </c>
      <c r="CY152" s="11">
        <f t="shared" si="121"/>
        <v>0</v>
      </c>
      <c r="CZ152" s="11">
        <f t="shared" si="121"/>
        <v>0</v>
      </c>
      <c r="DA152" s="11">
        <f t="shared" si="121"/>
        <v>0</v>
      </c>
      <c r="DB152" s="11">
        <f t="shared" si="121"/>
        <v>0</v>
      </c>
      <c r="DC152" s="11">
        <f t="shared" si="121"/>
        <v>0</v>
      </c>
      <c r="DD152" s="11">
        <f t="shared" si="121"/>
        <v>0</v>
      </c>
      <c r="DE152" s="11">
        <f t="shared" si="121"/>
        <v>0</v>
      </c>
      <c r="DF152" s="11">
        <f t="shared" si="121"/>
        <v>0</v>
      </c>
      <c r="DG152" s="12">
        <f t="shared" ref="DG152:EL152" si="122">DG175</f>
        <v>876577.28000000003</v>
      </c>
      <c r="DH152" s="12">
        <f t="shared" si="122"/>
        <v>830352.25</v>
      </c>
      <c r="DI152" s="12">
        <f t="shared" si="122"/>
        <v>0</v>
      </c>
      <c r="DJ152" s="12">
        <f t="shared" si="122"/>
        <v>0</v>
      </c>
      <c r="DK152" s="12">
        <f t="shared" si="122"/>
        <v>46225.03</v>
      </c>
      <c r="DL152" s="12">
        <f t="shared" si="122"/>
        <v>0</v>
      </c>
      <c r="DM152" s="12">
        <f t="shared" si="122"/>
        <v>61.407587999999997</v>
      </c>
      <c r="DN152" s="12">
        <f t="shared" si="122"/>
        <v>0</v>
      </c>
      <c r="DO152" s="12">
        <f t="shared" si="122"/>
        <v>0</v>
      </c>
      <c r="DP152" s="12">
        <f t="shared" si="122"/>
        <v>43779.75</v>
      </c>
      <c r="DQ152" s="12">
        <f t="shared" si="122"/>
        <v>24311.63</v>
      </c>
      <c r="DR152" s="12">
        <f t="shared" si="122"/>
        <v>0</v>
      </c>
      <c r="DS152" s="12">
        <f t="shared" si="122"/>
        <v>0</v>
      </c>
      <c r="DT152" s="12">
        <f t="shared" si="122"/>
        <v>876577.28000000003</v>
      </c>
      <c r="DU152" s="12">
        <f t="shared" si="122"/>
        <v>830352.25</v>
      </c>
      <c r="DV152" s="12">
        <f t="shared" si="122"/>
        <v>0</v>
      </c>
      <c r="DW152" s="12">
        <f t="shared" si="122"/>
        <v>0</v>
      </c>
      <c r="DX152" s="12">
        <f t="shared" si="122"/>
        <v>46225.03</v>
      </c>
      <c r="DY152" s="12">
        <f t="shared" si="122"/>
        <v>0</v>
      </c>
      <c r="DZ152" s="12">
        <f t="shared" si="122"/>
        <v>61.407587999999997</v>
      </c>
      <c r="EA152" s="12">
        <f t="shared" si="122"/>
        <v>0</v>
      </c>
      <c r="EB152" s="12">
        <f t="shared" si="122"/>
        <v>0</v>
      </c>
      <c r="EC152" s="12">
        <f t="shared" si="122"/>
        <v>43779.75</v>
      </c>
      <c r="ED152" s="12">
        <f t="shared" si="122"/>
        <v>24311.63</v>
      </c>
      <c r="EE152" s="12">
        <f t="shared" si="122"/>
        <v>0</v>
      </c>
      <c r="EF152" s="12">
        <f t="shared" si="122"/>
        <v>0</v>
      </c>
      <c r="EG152" s="12">
        <f t="shared" si="122"/>
        <v>0</v>
      </c>
      <c r="EH152" s="12">
        <f t="shared" si="122"/>
        <v>827719.41</v>
      </c>
      <c r="EI152" s="12">
        <f t="shared" si="122"/>
        <v>0</v>
      </c>
      <c r="EJ152" s="12">
        <f t="shared" si="122"/>
        <v>944668.66</v>
      </c>
      <c r="EK152" s="12">
        <f t="shared" si="122"/>
        <v>0</v>
      </c>
      <c r="EL152" s="12">
        <f t="shared" si="122"/>
        <v>116949.25</v>
      </c>
      <c r="EM152" s="12">
        <f t="shared" ref="EM152:FR152" si="123">EM175</f>
        <v>0</v>
      </c>
      <c r="EN152" s="12">
        <f t="shared" si="123"/>
        <v>830352.25</v>
      </c>
      <c r="EO152" s="12">
        <f t="shared" si="123"/>
        <v>2632.84</v>
      </c>
      <c r="EP152" s="12">
        <f t="shared" si="123"/>
        <v>0</v>
      </c>
      <c r="EQ152" s="12">
        <f t="shared" si="123"/>
        <v>2632.84</v>
      </c>
      <c r="ER152" s="12">
        <f t="shared" si="123"/>
        <v>827719.41</v>
      </c>
      <c r="ES152" s="12">
        <f t="shared" si="123"/>
        <v>0</v>
      </c>
      <c r="ET152" s="12">
        <f t="shared" si="123"/>
        <v>0</v>
      </c>
      <c r="EU152" s="12">
        <f t="shared" si="123"/>
        <v>0</v>
      </c>
      <c r="EV152" s="12">
        <f t="shared" si="123"/>
        <v>0</v>
      </c>
      <c r="EW152" s="12">
        <f t="shared" si="123"/>
        <v>0</v>
      </c>
      <c r="EX152" s="12">
        <f t="shared" si="123"/>
        <v>0</v>
      </c>
      <c r="EY152" s="12">
        <f t="shared" si="123"/>
        <v>0</v>
      </c>
      <c r="EZ152" s="12">
        <f t="shared" si="123"/>
        <v>0</v>
      </c>
      <c r="FA152" s="12">
        <f t="shared" si="123"/>
        <v>0</v>
      </c>
      <c r="FB152" s="12">
        <f t="shared" si="123"/>
        <v>0</v>
      </c>
      <c r="FC152" s="12">
        <f t="shared" si="123"/>
        <v>0</v>
      </c>
      <c r="FD152" s="12">
        <f t="shared" si="123"/>
        <v>0</v>
      </c>
      <c r="FE152" s="12">
        <f t="shared" si="123"/>
        <v>0</v>
      </c>
      <c r="FF152" s="12">
        <f t="shared" si="123"/>
        <v>0</v>
      </c>
      <c r="FG152" s="12">
        <f t="shared" si="123"/>
        <v>0</v>
      </c>
      <c r="FH152" s="12">
        <f t="shared" si="123"/>
        <v>0</v>
      </c>
      <c r="FI152" s="12">
        <f t="shared" si="123"/>
        <v>0</v>
      </c>
      <c r="FJ152" s="12">
        <f t="shared" si="123"/>
        <v>0</v>
      </c>
      <c r="FK152" s="12">
        <f t="shared" si="123"/>
        <v>0</v>
      </c>
      <c r="FL152" s="12">
        <f t="shared" si="123"/>
        <v>0</v>
      </c>
      <c r="FM152" s="12">
        <f t="shared" si="123"/>
        <v>0</v>
      </c>
      <c r="FN152" s="12">
        <f t="shared" si="123"/>
        <v>0</v>
      </c>
      <c r="FO152" s="12">
        <f t="shared" si="123"/>
        <v>0</v>
      </c>
      <c r="FP152" s="12">
        <f t="shared" si="123"/>
        <v>0</v>
      </c>
      <c r="FQ152" s="12">
        <f t="shared" si="123"/>
        <v>827719.41</v>
      </c>
      <c r="FR152" s="12">
        <f t="shared" si="123"/>
        <v>0</v>
      </c>
      <c r="FS152" s="12">
        <f t="shared" ref="FS152:GX152" si="124">FS175</f>
        <v>944668.66</v>
      </c>
      <c r="FT152" s="12">
        <f t="shared" si="124"/>
        <v>0</v>
      </c>
      <c r="FU152" s="12">
        <f t="shared" si="124"/>
        <v>116949.25</v>
      </c>
      <c r="FV152" s="12">
        <f t="shared" si="124"/>
        <v>0</v>
      </c>
      <c r="FW152" s="12">
        <f t="shared" si="124"/>
        <v>830352.25</v>
      </c>
      <c r="FX152" s="12">
        <f t="shared" si="124"/>
        <v>2632.8399999999674</v>
      </c>
      <c r="FY152" s="12">
        <f t="shared" si="124"/>
        <v>0</v>
      </c>
      <c r="FZ152" s="12">
        <f t="shared" si="124"/>
        <v>2632.8399999999674</v>
      </c>
      <c r="GA152" s="12">
        <f t="shared" si="124"/>
        <v>827719.41</v>
      </c>
      <c r="GB152" s="12">
        <f t="shared" si="124"/>
        <v>0</v>
      </c>
      <c r="GC152" s="12">
        <f t="shared" si="124"/>
        <v>0</v>
      </c>
      <c r="GD152" s="12">
        <f t="shared" si="124"/>
        <v>0</v>
      </c>
      <c r="GE152" s="12">
        <f t="shared" si="124"/>
        <v>0</v>
      </c>
      <c r="GF152" s="12">
        <f t="shared" si="124"/>
        <v>0</v>
      </c>
      <c r="GG152" s="12">
        <f t="shared" si="124"/>
        <v>0</v>
      </c>
      <c r="GH152" s="12">
        <f t="shared" si="124"/>
        <v>0</v>
      </c>
      <c r="GI152" s="12">
        <f t="shared" si="124"/>
        <v>0</v>
      </c>
      <c r="GJ152" s="12">
        <f t="shared" si="124"/>
        <v>0</v>
      </c>
      <c r="GK152" s="12">
        <f t="shared" si="124"/>
        <v>0</v>
      </c>
      <c r="GL152" s="12">
        <f t="shared" si="124"/>
        <v>0</v>
      </c>
      <c r="GM152" s="12">
        <f t="shared" si="124"/>
        <v>0</v>
      </c>
      <c r="GN152" s="12">
        <f t="shared" si="124"/>
        <v>0</v>
      </c>
      <c r="GO152" s="12">
        <f t="shared" si="124"/>
        <v>0</v>
      </c>
      <c r="GP152" s="12">
        <f t="shared" si="124"/>
        <v>0</v>
      </c>
      <c r="GQ152" s="12">
        <f t="shared" si="124"/>
        <v>0</v>
      </c>
      <c r="GR152" s="12">
        <f t="shared" si="124"/>
        <v>0</v>
      </c>
      <c r="GS152" s="12">
        <f t="shared" si="124"/>
        <v>0</v>
      </c>
      <c r="GT152" s="12">
        <f t="shared" si="124"/>
        <v>0</v>
      </c>
      <c r="GU152" s="12">
        <f t="shared" si="124"/>
        <v>0</v>
      </c>
      <c r="GV152" s="12">
        <f t="shared" si="124"/>
        <v>0</v>
      </c>
      <c r="GW152" s="12">
        <f t="shared" si="124"/>
        <v>0</v>
      </c>
      <c r="GX152" s="12">
        <f t="shared" si="124"/>
        <v>0</v>
      </c>
    </row>
    <row r="154" spans="1:255" x14ac:dyDescent="0.25">
      <c r="A154" s="2">
        <v>17</v>
      </c>
      <c r="B154" s="2">
        <v>1</v>
      </c>
      <c r="C154" s="2">
        <f>ROW(SmtRes!A245)</f>
        <v>245</v>
      </c>
      <c r="D154" s="2">
        <f>ROW(EtalonRes!A276)</f>
        <v>276</v>
      </c>
      <c r="E154" s="2" t="s">
        <v>205</v>
      </c>
      <c r="F154" s="2" t="s">
        <v>68</v>
      </c>
      <c r="G154" s="2" t="s">
        <v>206</v>
      </c>
      <c r="H154" s="2" t="s">
        <v>33</v>
      </c>
      <c r="I154" s="2">
        <v>1</v>
      </c>
      <c r="J154" s="2">
        <v>0</v>
      </c>
      <c r="K154" s="2">
        <v>1</v>
      </c>
      <c r="L154" s="2"/>
      <c r="M154" s="2"/>
      <c r="N154" s="2"/>
      <c r="O154" s="2">
        <f t="shared" ref="O154:O173" si="125">ROUND(CP154,2)</f>
        <v>638.96</v>
      </c>
      <c r="P154" s="2">
        <f t="shared" ref="P154:P173" si="126">ROUND((ROUND((AC154*AW154*I154),2)*BC154),2)</f>
        <v>76.75</v>
      </c>
      <c r="Q154" s="2">
        <f>(ROUND((ROUND((((ET154*1.2))*AV154*I154),2)*BB154),2)+ROUND((ROUND(((AE154-((EU154*1.2)))*AV154*I154),2)*BS154),2))</f>
        <v>0</v>
      </c>
      <c r="R154" s="2">
        <f>(ROUND((ROUND((((EU154*1.2))*AV154*I154),2)*BS154),2)+ROUND((ROUND(((AE154-((EU154*1.2)))*AV154*I154),2)*BS154),2))</f>
        <v>0</v>
      </c>
      <c r="S154" s="2">
        <f t="shared" ref="S154:S173" si="127">ROUND((ROUND((AF154*AV154*I154),2)*BA154),2)</f>
        <v>562.21</v>
      </c>
      <c r="T154" s="2">
        <f t="shared" ref="T154:T173" si="128">ROUND(CU154*I154,2)</f>
        <v>0</v>
      </c>
      <c r="U154" s="2">
        <f t="shared" ref="U154:U173" si="129">CV154*I154</f>
        <v>41.461199999999998</v>
      </c>
      <c r="V154" s="2">
        <f t="shared" ref="V154:V173" si="130">CW154*I154</f>
        <v>0</v>
      </c>
      <c r="W154" s="2">
        <f t="shared" ref="W154:W173" si="131">ROUND(CX154*I154,2)</f>
        <v>0</v>
      </c>
      <c r="X154" s="2">
        <f>(ROUND((((S154+ROUND((ROUND((((EU154*1.2))*AV154*I154),2)*BS154),2))*AT154)/100),2)+ROUND(((ROUND((ROUND(((AE154-((EU154*1.2)))*AV154*I154),2)*BS154),2)*AT154)/100),2))</f>
        <v>534.1</v>
      </c>
      <c r="Y154" s="2">
        <f>(ROUND((((S154+ROUND((ROUND((((EU154*1.2))*AV154*I154),2)*BS154),2))*AU154)/100),2)+ROUND(((ROUND((ROUND(((AE154-((EU154*1.2)))*AV154*I154),2)*BS154),2)*AU154)/100),2))</f>
        <v>297.97000000000003</v>
      </c>
      <c r="Z154" s="2"/>
      <c r="AA154" s="2">
        <v>55917797</v>
      </c>
      <c r="AB154" s="2">
        <f t="shared" ref="AB154:AB173" si="132">ROUND((AC154+AD154+AF154),6)</f>
        <v>613.726</v>
      </c>
      <c r="AC154" s="2">
        <f>ROUND(((ES154*1)),6)</f>
        <v>76.75</v>
      </c>
      <c r="AD154" s="2">
        <f>ROUND(((((ET154*1.2))-((EU154*1.2)))+AE154),6)</f>
        <v>0</v>
      </c>
      <c r="AE154" s="2">
        <f>ROUND(((EU154*1.2)),6)</f>
        <v>0</v>
      </c>
      <c r="AF154" s="2">
        <f>ROUND(((EV154*1.2)),6)</f>
        <v>536.976</v>
      </c>
      <c r="AG154" s="2">
        <f t="shared" ref="AG154:AG173" si="133">ROUND((AP154),6)</f>
        <v>0</v>
      </c>
      <c r="AH154" s="2">
        <f>((EW154*1.2))</f>
        <v>39.6</v>
      </c>
      <c r="AI154" s="2">
        <f>((EX154*1.2))</f>
        <v>0</v>
      </c>
      <c r="AJ154" s="2">
        <f t="shared" ref="AJ154:AJ173" si="134">(AS154)</f>
        <v>0</v>
      </c>
      <c r="AK154" s="2">
        <v>524.23</v>
      </c>
      <c r="AL154" s="2">
        <v>76.75</v>
      </c>
      <c r="AM154" s="2">
        <v>0</v>
      </c>
      <c r="AN154" s="2">
        <v>0</v>
      </c>
      <c r="AO154" s="2">
        <v>447.48</v>
      </c>
      <c r="AP154" s="2">
        <v>0</v>
      </c>
      <c r="AQ154" s="2">
        <v>33</v>
      </c>
      <c r="AR154" s="2">
        <v>0</v>
      </c>
      <c r="AS154" s="2">
        <v>0</v>
      </c>
      <c r="AT154" s="2">
        <v>95</v>
      </c>
      <c r="AU154" s="2">
        <v>53</v>
      </c>
      <c r="AV154" s="2">
        <v>1.0469999999999999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0</v>
      </c>
      <c r="BI154" s="2">
        <v>2</v>
      </c>
      <c r="BJ154" s="2" t="s">
        <v>70</v>
      </c>
      <c r="BK154" s="2"/>
      <c r="BL154" s="2"/>
      <c r="BM154" s="2">
        <v>69</v>
      </c>
      <c r="BN154" s="2">
        <v>0</v>
      </c>
      <c r="BO154" s="2" t="s">
        <v>68</v>
      </c>
      <c r="BP154" s="2">
        <v>1</v>
      </c>
      <c r="BQ154" s="2">
        <v>40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95</v>
      </c>
      <c r="CA154" s="2">
        <v>53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618</v>
      </c>
      <c r="CO154" s="2">
        <v>0</v>
      </c>
      <c r="CP154" s="2">
        <f t="shared" ref="CP154:CP173" si="135">(P154+Q154+S154)</f>
        <v>638.96</v>
      </c>
      <c r="CQ154" s="2">
        <f t="shared" ref="CQ154:CQ173" si="136">ROUND((ROUND((AC154*AW154*1),2)*BC154),2)</f>
        <v>76.75</v>
      </c>
      <c r="CR154" s="2">
        <f>(ROUND((ROUND((((ET154*1.2))*AV154*1),2)*BB154),2)+ROUND((ROUND(((AE154-((EU154*1.2)))*AV154*1),2)*BS154),2))</f>
        <v>0</v>
      </c>
      <c r="CS154" s="2">
        <f>(ROUND((ROUND((((EU154*1.2))*AV154*1),2)*BS154),2)+ROUND((ROUND(((AE154-((EU154*1.2)))*AV154*1),2)*BS154),2))</f>
        <v>0</v>
      </c>
      <c r="CT154" s="2">
        <f t="shared" ref="CT154:CT173" si="137">ROUND((ROUND((AF154*AV154*1),2)*BA154),2)</f>
        <v>562.21</v>
      </c>
      <c r="CU154" s="2">
        <f t="shared" ref="CU154:CU173" si="138">AG154</f>
        <v>0</v>
      </c>
      <c r="CV154" s="2">
        <f t="shared" ref="CV154:CV173" si="139">(AH154*AV154)</f>
        <v>41.461199999999998</v>
      </c>
      <c r="CW154" s="2">
        <f t="shared" ref="CW154:CW173" si="140">AI154</f>
        <v>0</v>
      </c>
      <c r="CX154" s="2">
        <f t="shared" ref="CX154:CX173" si="141">AJ154</f>
        <v>0</v>
      </c>
      <c r="CY154" s="2">
        <f>(ROUND((((S154+ROUND((ROUND((((EU154*1.2))*AV154*1),2)*BS154),2))*AT154)/100),2)+ROUND(((ROUND((ROUND(((AE154-((EU154*1.2)))*AV154*1),2)*BS154),2)*AT154)/100),2))</f>
        <v>534.1</v>
      </c>
      <c r="CZ154" s="2">
        <f>(ROUND((((S154+ROUND((ROUND((((EU154*1.2))*AV154*1),2)*BS154),2))*AU154)/100),2)+ROUND(((ROUND((ROUND(((AE154-((EU154*1.2)))*AV154*1),2)*BS154),2)*AU154)/100),2))</f>
        <v>297.97000000000003</v>
      </c>
      <c r="DA154" s="2"/>
      <c r="DB154" s="2">
        <v>63</v>
      </c>
      <c r="DC154" s="2" t="s">
        <v>3</v>
      </c>
      <c r="DD154" s="2" t="s">
        <v>55</v>
      </c>
      <c r="DE154" s="2" t="s">
        <v>56</v>
      </c>
      <c r="DF154" s="2" t="s">
        <v>56</v>
      </c>
      <c r="DG154" s="2" t="s">
        <v>56</v>
      </c>
      <c r="DH154" s="2" t="s">
        <v>3</v>
      </c>
      <c r="DI154" s="2" t="s">
        <v>56</v>
      </c>
      <c r="DJ154" s="2" t="s">
        <v>56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1013</v>
      </c>
      <c r="DV154" s="2" t="s">
        <v>33</v>
      </c>
      <c r="DW154" s="2" t="s">
        <v>33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55393701</v>
      </c>
      <c r="EF154" s="2">
        <v>40</v>
      </c>
      <c r="EG154" s="2" t="s">
        <v>26</v>
      </c>
      <c r="EH154" s="2">
        <v>0</v>
      </c>
      <c r="EI154" s="2" t="s">
        <v>3</v>
      </c>
      <c r="EJ154" s="2">
        <v>2</v>
      </c>
      <c r="EK154" s="2">
        <v>69</v>
      </c>
      <c r="EL154" s="2" t="s">
        <v>27</v>
      </c>
      <c r="EM154" s="2" t="s">
        <v>28</v>
      </c>
      <c r="EN154" s="2"/>
      <c r="EO154" s="2" t="s">
        <v>60</v>
      </c>
      <c r="EP154" s="2"/>
      <c r="EQ154" s="2">
        <v>0</v>
      </c>
      <c r="ER154" s="2">
        <v>524.23</v>
      </c>
      <c r="ES154" s="2">
        <v>76.75</v>
      </c>
      <c r="ET154" s="2">
        <v>0</v>
      </c>
      <c r="EU154" s="2">
        <v>0</v>
      </c>
      <c r="EV154" s="2">
        <v>447.48</v>
      </c>
      <c r="EW154" s="2">
        <v>33</v>
      </c>
      <c r="EX154" s="2">
        <v>0</v>
      </c>
      <c r="EY154" s="2">
        <v>0</v>
      </c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v>0</v>
      </c>
      <c r="FS154" s="2">
        <v>0</v>
      </c>
      <c r="FT154" s="2"/>
      <c r="FU154" s="2"/>
      <c r="FV154" s="2"/>
      <c r="FW154" s="2"/>
      <c r="FX154" s="2">
        <v>95</v>
      </c>
      <c r="FY154" s="2">
        <v>53</v>
      </c>
      <c r="FZ154" s="2"/>
      <c r="GA154" s="2" t="s">
        <v>3</v>
      </c>
      <c r="GB154" s="2"/>
      <c r="GC154" s="2"/>
      <c r="GD154" s="2">
        <v>1</v>
      </c>
      <c r="GE154" s="2"/>
      <c r="GF154" s="2">
        <v>898020784</v>
      </c>
      <c r="GG154" s="2">
        <v>2</v>
      </c>
      <c r="GH154" s="2">
        <v>1</v>
      </c>
      <c r="GI154" s="2">
        <v>2</v>
      </c>
      <c r="GJ154" s="2">
        <v>0</v>
      </c>
      <c r="GK154" s="2">
        <v>0</v>
      </c>
      <c r="GL154" s="2">
        <f t="shared" ref="GL154:GL173" si="142">ROUND(IF(AND(BH154=3,BI154=3,FS154&lt;&gt;0),P154,0),2)</f>
        <v>0</v>
      </c>
      <c r="GM154" s="2">
        <f t="shared" ref="GM154:GM173" si="143">ROUND(O154+X154+Y154,2)+GX154</f>
        <v>1471.03</v>
      </c>
      <c r="GN154" s="2">
        <f t="shared" ref="GN154:GN173" si="144">IF(OR(BI154=0,BI154=1),GM154-GX154,0)</f>
        <v>0</v>
      </c>
      <c r="GO154" s="2">
        <f t="shared" ref="GO154:GO173" si="145">IF(BI154=2,GM154-GX154,0)</f>
        <v>1471.03</v>
      </c>
      <c r="GP154" s="2">
        <f t="shared" ref="GP154:GP173" si="146">IF(BI154=4,GM154-GX154,0)</f>
        <v>0</v>
      </c>
      <c r="GQ154" s="2"/>
      <c r="GR154" s="2">
        <v>0</v>
      </c>
      <c r="GS154" s="2">
        <v>3</v>
      </c>
      <c r="GT154" s="2">
        <v>0</v>
      </c>
      <c r="GU154" s="2" t="s">
        <v>3</v>
      </c>
      <c r="GV154" s="2">
        <f t="shared" ref="GV154:GV173" si="147">ROUND((GT154),6)</f>
        <v>0</v>
      </c>
      <c r="GW154" s="2">
        <v>1</v>
      </c>
      <c r="GX154" s="2">
        <f t="shared" ref="GX154:GX173" si="148">ROUND(HC154*I154,2)</f>
        <v>0</v>
      </c>
      <c r="GY154" s="2"/>
      <c r="GZ154" s="2"/>
      <c r="HA154" s="2">
        <v>0</v>
      </c>
      <c r="HB154" s="2">
        <v>0</v>
      </c>
      <c r="HC154" s="2">
        <f t="shared" ref="HC154:HC173" si="149">GV154*GW154</f>
        <v>0</v>
      </c>
      <c r="HD154" s="2"/>
      <c r="HE154" s="2" t="s">
        <v>3</v>
      </c>
      <c r="HF154" s="2" t="s">
        <v>3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5">
      <c r="A155" s="3">
        <v>17</v>
      </c>
      <c r="B155" s="3">
        <v>1</v>
      </c>
      <c r="C155" s="3">
        <f>ROW(SmtRes!A252)</f>
        <v>252</v>
      </c>
      <c r="D155" s="3">
        <f>ROW(EtalonRes!A284)</f>
        <v>284</v>
      </c>
      <c r="E155" s="3" t="s">
        <v>205</v>
      </c>
      <c r="F155" s="3" t="s">
        <v>68</v>
      </c>
      <c r="G155" s="3" t="s">
        <v>206</v>
      </c>
      <c r="H155" s="3" t="s">
        <v>33</v>
      </c>
      <c r="I155" s="3">
        <v>1</v>
      </c>
      <c r="J155" s="3">
        <v>0</v>
      </c>
      <c r="K155" s="3">
        <v>1</v>
      </c>
      <c r="O155" s="3">
        <f t="shared" si="125"/>
        <v>32377.42</v>
      </c>
      <c r="P155" s="3">
        <f t="shared" si="126"/>
        <v>696.89</v>
      </c>
      <c r="Q155" s="3">
        <f>(ROUND((ROUND((((ET155*1.2))*AV155*I155),2)*BB155),2)+ROUND((ROUND(((AE155-((EU155*1.2)))*AV155*I155),2)*BS155),2))</f>
        <v>0</v>
      </c>
      <c r="R155" s="3">
        <f>(ROUND((ROUND((((EU155*1.2))*AV155*I155),2)*BS155),2)+ROUND((ROUND(((AE155-((EU155*1.2)))*AV155*I155),2)*BS155),2))</f>
        <v>0</v>
      </c>
      <c r="S155" s="3">
        <f t="shared" si="127"/>
        <v>31680.53</v>
      </c>
      <c r="T155" s="3">
        <f t="shared" si="128"/>
        <v>0</v>
      </c>
      <c r="U155" s="3">
        <f t="shared" si="129"/>
        <v>41.461199999999998</v>
      </c>
      <c r="V155" s="3">
        <f t="shared" si="130"/>
        <v>0</v>
      </c>
      <c r="W155" s="3">
        <f t="shared" si="131"/>
        <v>0</v>
      </c>
      <c r="X155" s="3">
        <f>(ROUND((((S155+ROUND((ROUND((((EU155*1.2))*AV155*I155),2)*BS155),2))*AT155)/100),2)+ROUND(((ROUND((ROUND(((AE155-((EU155*1.2)))*AV155*I155),2)*BS155),2)*AT155)/100),2))</f>
        <v>30096.5</v>
      </c>
      <c r="Y155" s="3">
        <f>(ROUND((((S155+ROUND((ROUND((((EU155*1.2))*AV155*I155),2)*BS155),2))*AU155)/100),2)+ROUND(((ROUND((ROUND(((AE155-((EU155*1.2)))*AV155*I155),2)*BS155),2)*AU155)/100),2))</f>
        <v>16790.68</v>
      </c>
      <c r="AA155" s="3">
        <v>55917799</v>
      </c>
      <c r="AB155" s="3">
        <f t="shared" si="132"/>
        <v>613.726</v>
      </c>
      <c r="AC155" s="3">
        <f>ROUND(((ES155*1)),6)</f>
        <v>76.75</v>
      </c>
      <c r="AD155" s="3">
        <f>ROUND(((((ET155*1.2))-((EU155*1.2)))+AE155),6)</f>
        <v>0</v>
      </c>
      <c r="AE155" s="3">
        <f>ROUND(((EU155*1.2)),6)</f>
        <v>0</v>
      </c>
      <c r="AF155" s="3">
        <f>ROUND(((EV155*1.2)),6)</f>
        <v>536.976</v>
      </c>
      <c r="AG155" s="3">
        <f t="shared" si="133"/>
        <v>0</v>
      </c>
      <c r="AH155" s="3">
        <f>((EW155*1.2))</f>
        <v>39.6</v>
      </c>
      <c r="AI155" s="3">
        <f>((EX155*1.2))</f>
        <v>0</v>
      </c>
      <c r="AJ155" s="3">
        <f t="shared" si="134"/>
        <v>0</v>
      </c>
      <c r="AK155" s="3">
        <v>524.23</v>
      </c>
      <c r="AL155" s="3">
        <v>76.75</v>
      </c>
      <c r="AM155" s="3">
        <v>0</v>
      </c>
      <c r="AN155" s="3">
        <v>0</v>
      </c>
      <c r="AO155" s="3">
        <v>447.48</v>
      </c>
      <c r="AP155" s="3">
        <v>0</v>
      </c>
      <c r="AQ155" s="3">
        <v>33</v>
      </c>
      <c r="AR155" s="3">
        <v>0</v>
      </c>
      <c r="AS155" s="3">
        <v>0</v>
      </c>
      <c r="AT155" s="3">
        <v>95</v>
      </c>
      <c r="AU155" s="3">
        <v>53</v>
      </c>
      <c r="AV155" s="3">
        <v>1.0469999999999999</v>
      </c>
      <c r="AW155" s="3">
        <v>1</v>
      </c>
      <c r="AZ155" s="3">
        <v>1</v>
      </c>
      <c r="BA155" s="3">
        <v>56.35</v>
      </c>
      <c r="BB155" s="3">
        <v>1</v>
      </c>
      <c r="BC155" s="3">
        <v>9.08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0</v>
      </c>
      <c r="BI155" s="3">
        <v>2</v>
      </c>
      <c r="BJ155" s="3" t="s">
        <v>70</v>
      </c>
      <c r="BM155" s="3">
        <v>69</v>
      </c>
      <c r="BN155" s="3">
        <v>0</v>
      </c>
      <c r="BO155" s="3" t="s">
        <v>68</v>
      </c>
      <c r="BP155" s="3">
        <v>1</v>
      </c>
      <c r="BQ155" s="3">
        <v>40</v>
      </c>
      <c r="BR155" s="3">
        <v>0</v>
      </c>
      <c r="BS155" s="3">
        <v>56.35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95</v>
      </c>
      <c r="CA155" s="3">
        <v>53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618</v>
      </c>
      <c r="CO155" s="3">
        <v>0</v>
      </c>
      <c r="CP155" s="3">
        <f t="shared" si="135"/>
        <v>32377.42</v>
      </c>
      <c r="CQ155" s="3">
        <f t="shared" si="136"/>
        <v>696.89</v>
      </c>
      <c r="CR155" s="3">
        <f>(ROUND((ROUND((((ET155*1.2))*AV155*1),2)*BB155),2)+ROUND((ROUND(((AE155-((EU155*1.2)))*AV155*1),2)*BS155),2))</f>
        <v>0</v>
      </c>
      <c r="CS155" s="3">
        <f>(ROUND((ROUND((((EU155*1.2))*AV155*1),2)*BS155),2)+ROUND((ROUND(((AE155-((EU155*1.2)))*AV155*1),2)*BS155),2))</f>
        <v>0</v>
      </c>
      <c r="CT155" s="3">
        <f t="shared" si="137"/>
        <v>31680.53</v>
      </c>
      <c r="CU155" s="3">
        <f t="shared" si="138"/>
        <v>0</v>
      </c>
      <c r="CV155" s="3">
        <f t="shared" si="139"/>
        <v>41.461199999999998</v>
      </c>
      <c r="CW155" s="3">
        <f t="shared" si="140"/>
        <v>0</v>
      </c>
      <c r="CX155" s="3">
        <f t="shared" si="141"/>
        <v>0</v>
      </c>
      <c r="CY155" s="3">
        <f>(ROUND((((S155+ROUND((ROUND((((EU155*1.2))*AV155*1),2)*BS155),2))*AT155)/100),2)+ROUND(((ROUND((ROUND(((AE155-((EU155*1.2)))*AV155*1),2)*BS155),2)*AT155)/100),2))</f>
        <v>30096.5</v>
      </c>
      <c r="CZ155" s="3">
        <f>(ROUND((((S155+ROUND((ROUND((((EU155*1.2))*AV155*1),2)*BS155),2))*AU155)/100),2)+ROUND(((ROUND((ROUND(((AE155-((EU155*1.2)))*AV155*1),2)*BS155),2)*AU155)/100),2))</f>
        <v>16790.68</v>
      </c>
      <c r="DB155" s="3">
        <v>64</v>
      </c>
      <c r="DC155" s="3" t="s">
        <v>3</v>
      </c>
      <c r="DD155" s="3" t="s">
        <v>55</v>
      </c>
      <c r="DE155" s="3" t="s">
        <v>56</v>
      </c>
      <c r="DF155" s="3" t="s">
        <v>56</v>
      </c>
      <c r="DG155" s="3" t="s">
        <v>56</v>
      </c>
      <c r="DH155" s="3" t="s">
        <v>3</v>
      </c>
      <c r="DI155" s="3" t="s">
        <v>56</v>
      </c>
      <c r="DJ155" s="3" t="s">
        <v>56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1013</v>
      </c>
      <c r="DV155" s="3" t="s">
        <v>33</v>
      </c>
      <c r="DW155" s="3" t="s">
        <v>33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55393701</v>
      </c>
      <c r="EF155" s="3">
        <v>40</v>
      </c>
      <c r="EG155" s="3" t="s">
        <v>26</v>
      </c>
      <c r="EH155" s="3">
        <v>0</v>
      </c>
      <c r="EI155" s="3" t="s">
        <v>3</v>
      </c>
      <c r="EJ155" s="3">
        <v>2</v>
      </c>
      <c r="EK155" s="3">
        <v>69</v>
      </c>
      <c r="EL155" s="3" t="s">
        <v>27</v>
      </c>
      <c r="EM155" s="3" t="s">
        <v>28</v>
      </c>
      <c r="EO155" s="3" t="s">
        <v>60</v>
      </c>
      <c r="EQ155" s="3">
        <v>0</v>
      </c>
      <c r="ER155" s="3">
        <v>524.23</v>
      </c>
      <c r="ES155" s="3">
        <v>76.75</v>
      </c>
      <c r="ET155" s="3">
        <v>0</v>
      </c>
      <c r="EU155" s="3">
        <v>0</v>
      </c>
      <c r="EV155" s="3">
        <v>447.48</v>
      </c>
      <c r="EW155" s="3">
        <v>33</v>
      </c>
      <c r="EX155" s="3">
        <v>0</v>
      </c>
      <c r="EY155" s="3">
        <v>0</v>
      </c>
      <c r="FQ155" s="3">
        <v>0</v>
      </c>
      <c r="FR155" s="3">
        <v>0</v>
      </c>
      <c r="FS155" s="3">
        <v>0</v>
      </c>
      <c r="FX155" s="3">
        <v>95</v>
      </c>
      <c r="FY155" s="3">
        <v>53</v>
      </c>
      <c r="GA155" s="3" t="s">
        <v>3</v>
      </c>
      <c r="GD155" s="3">
        <v>1</v>
      </c>
      <c r="GF155" s="3">
        <v>898020784</v>
      </c>
      <c r="GG155" s="3">
        <v>2</v>
      </c>
      <c r="GH155" s="3">
        <v>1</v>
      </c>
      <c r="GI155" s="3">
        <v>2</v>
      </c>
      <c r="GJ155" s="3">
        <v>0</v>
      </c>
      <c r="GK155" s="3">
        <v>0</v>
      </c>
      <c r="GL155" s="3">
        <f t="shared" si="142"/>
        <v>0</v>
      </c>
      <c r="GM155" s="3">
        <f t="shared" si="143"/>
        <v>79264.600000000006</v>
      </c>
      <c r="GN155" s="3">
        <f t="shared" si="144"/>
        <v>0</v>
      </c>
      <c r="GO155" s="3">
        <f t="shared" si="145"/>
        <v>79264.600000000006</v>
      </c>
      <c r="GP155" s="3">
        <f t="shared" si="146"/>
        <v>0</v>
      </c>
      <c r="GR155" s="3">
        <v>0</v>
      </c>
      <c r="GS155" s="3">
        <v>3</v>
      </c>
      <c r="GT155" s="3">
        <v>0</v>
      </c>
      <c r="GU155" s="3" t="s">
        <v>3</v>
      </c>
      <c r="GV155" s="3">
        <f t="shared" si="147"/>
        <v>0</v>
      </c>
      <c r="GW155" s="3">
        <v>1</v>
      </c>
      <c r="GX155" s="3">
        <f t="shared" si="148"/>
        <v>0</v>
      </c>
      <c r="HA155" s="3">
        <v>0</v>
      </c>
      <c r="HB155" s="3">
        <v>0</v>
      </c>
      <c r="HC155" s="3">
        <f t="shared" si="149"/>
        <v>0</v>
      </c>
      <c r="HE155" s="3" t="s">
        <v>3</v>
      </c>
      <c r="HF155" s="3" t="s">
        <v>3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5">
      <c r="A156" s="2">
        <v>17</v>
      </c>
      <c r="B156" s="2">
        <v>1</v>
      </c>
      <c r="C156" s="2"/>
      <c r="D156" s="2"/>
      <c r="E156" s="2" t="s">
        <v>207</v>
      </c>
      <c r="F156" s="2" t="s">
        <v>208</v>
      </c>
      <c r="G156" s="2" t="s">
        <v>209</v>
      </c>
      <c r="H156" s="2" t="s">
        <v>148</v>
      </c>
      <c r="I156" s="2">
        <v>1</v>
      </c>
      <c r="J156" s="2">
        <v>0</v>
      </c>
      <c r="K156" s="2">
        <v>1</v>
      </c>
      <c r="L156" s="2"/>
      <c r="M156" s="2"/>
      <c r="N156" s="2"/>
      <c r="O156" s="2">
        <f t="shared" si="125"/>
        <v>14108.22</v>
      </c>
      <c r="P156" s="2">
        <f t="shared" si="126"/>
        <v>14108.22</v>
      </c>
      <c r="Q156" s="2">
        <f>(ROUND((ROUND(((ET156)*AV156*I156),2)*BB156),2)+ROUND((ROUND(((AE156-(EU156))*AV156*I156),2)*BS156),2))</f>
        <v>0</v>
      </c>
      <c r="R156" s="2">
        <f>(ROUND((ROUND(((EU156)*AV156*I156),2)*BS156),2)+ROUND((ROUND(((AE156-(EU156))*AV156*I156),2)*BS156),2))</f>
        <v>0</v>
      </c>
      <c r="S156" s="2">
        <f t="shared" si="127"/>
        <v>0</v>
      </c>
      <c r="T156" s="2">
        <f t="shared" si="128"/>
        <v>0</v>
      </c>
      <c r="U156" s="2">
        <f t="shared" si="129"/>
        <v>0</v>
      </c>
      <c r="V156" s="2">
        <f t="shared" si="130"/>
        <v>0</v>
      </c>
      <c r="W156" s="2">
        <f t="shared" si="131"/>
        <v>0</v>
      </c>
      <c r="X156" s="2">
        <f>(ROUND((((S156+ROUND((ROUND(((EU156)*AV156*I156),2)*BS156),2))*AT156)/100),2)+ROUND(((ROUND((ROUND(((AE156-(EU156))*AV156*I156),2)*BS156),2)*AT156)/100),2))</f>
        <v>0</v>
      </c>
      <c r="Y156" s="2">
        <f>(ROUND((((S156+ROUND((ROUND(((EU156)*AV156*I156),2)*BS156),2))*AU156)/100),2)+ROUND(((ROUND((ROUND(((AE156-(EU156))*AV156*I156),2)*BS156),2)*AU156)/100),2))</f>
        <v>0</v>
      </c>
      <c r="Z156" s="2"/>
      <c r="AA156" s="2">
        <v>55917797</v>
      </c>
      <c r="AB156" s="2">
        <f t="shared" si="132"/>
        <v>14108.22</v>
      </c>
      <c r="AC156" s="2">
        <f>ROUND((ES156),6)</f>
        <v>14108.22</v>
      </c>
      <c r="AD156" s="2">
        <f>ROUND((((ET156)-(EU156))+AE156),6)</f>
        <v>0</v>
      </c>
      <c r="AE156" s="2">
        <f>ROUND((EU156),6)</f>
        <v>0</v>
      </c>
      <c r="AF156" s="2">
        <f>ROUND((EV156),6)</f>
        <v>0</v>
      </c>
      <c r="AG156" s="2">
        <f t="shared" si="133"/>
        <v>0</v>
      </c>
      <c r="AH156" s="2">
        <f>(EW156)</f>
        <v>0</v>
      </c>
      <c r="AI156" s="2">
        <f>(EX156)</f>
        <v>0</v>
      </c>
      <c r="AJ156" s="2">
        <f t="shared" si="134"/>
        <v>0</v>
      </c>
      <c r="AK156" s="2">
        <v>14108.22</v>
      </c>
      <c r="AL156" s="2">
        <v>14108.22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1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3</v>
      </c>
      <c r="BI156" s="2">
        <v>3</v>
      </c>
      <c r="BJ156" s="2" t="s">
        <v>208</v>
      </c>
      <c r="BK156" s="2"/>
      <c r="BL156" s="2"/>
      <c r="BM156" s="2">
        <v>400007</v>
      </c>
      <c r="BN156" s="2">
        <v>0</v>
      </c>
      <c r="BO156" s="2" t="s">
        <v>3</v>
      </c>
      <c r="BP156" s="2">
        <v>0</v>
      </c>
      <c r="BQ156" s="2">
        <v>214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0</v>
      </c>
      <c r="CA156" s="2">
        <v>0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</v>
      </c>
      <c r="CO156" s="2">
        <v>0</v>
      </c>
      <c r="CP156" s="2">
        <f t="shared" si="135"/>
        <v>14108.22</v>
      </c>
      <c r="CQ156" s="2">
        <f t="shared" si="136"/>
        <v>14108.22</v>
      </c>
      <c r="CR156" s="2">
        <f>(ROUND((ROUND(((ET156)*AV156*1),2)*BB156),2)+ROUND((ROUND(((AE156-(EU156))*AV156*1),2)*BS156),2))</f>
        <v>0</v>
      </c>
      <c r="CS156" s="2">
        <f>(ROUND((ROUND(((EU156)*AV156*1),2)*BS156),2)+ROUND((ROUND(((AE156-(EU156))*AV156*1),2)*BS156),2))</f>
        <v>0</v>
      </c>
      <c r="CT156" s="2">
        <f t="shared" si="137"/>
        <v>0</v>
      </c>
      <c r="CU156" s="2">
        <f t="shared" si="138"/>
        <v>0</v>
      </c>
      <c r="CV156" s="2">
        <f t="shared" si="139"/>
        <v>0</v>
      </c>
      <c r="CW156" s="2">
        <f t="shared" si="140"/>
        <v>0</v>
      </c>
      <c r="CX156" s="2">
        <f t="shared" si="141"/>
        <v>0</v>
      </c>
      <c r="CY156" s="2">
        <f>(ROUND((((S156+ROUND((ROUND(((EU156)*AV156*1),2)*BS156),2))*AT156)/100),2)+ROUND(((ROUND((ROUND(((AE156-(EU156))*AV156*1),2)*BS156),2)*AT156)/100),2))</f>
        <v>0</v>
      </c>
      <c r="CZ156" s="2">
        <f>(ROUND((((S156+ROUND((ROUND(((EU156)*AV156*1),2)*BS156),2))*AU156)/100),2)+ROUND(((ROUND((ROUND(((AE156-(EU156))*AV156*1),2)*BS156),2)*AU156)/100),2))</f>
        <v>0</v>
      </c>
      <c r="DA156" s="2"/>
      <c r="DB156" s="2"/>
      <c r="DC156" s="2" t="s">
        <v>3</v>
      </c>
      <c r="DD156" s="2" t="s">
        <v>3</v>
      </c>
      <c r="DE156" s="2" t="s">
        <v>3</v>
      </c>
      <c r="DF156" s="2" t="s">
        <v>3</v>
      </c>
      <c r="DG156" s="2" t="s">
        <v>3</v>
      </c>
      <c r="DH156" s="2" t="s">
        <v>3</v>
      </c>
      <c r="DI156" s="2" t="s">
        <v>3</v>
      </c>
      <c r="DJ156" s="2" t="s">
        <v>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1013</v>
      </c>
      <c r="DV156" s="2" t="s">
        <v>148</v>
      </c>
      <c r="DW156" s="2" t="s">
        <v>148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55393630</v>
      </c>
      <c r="EF156" s="2">
        <v>214</v>
      </c>
      <c r="EG156" s="2" t="s">
        <v>149</v>
      </c>
      <c r="EH156" s="2">
        <v>0</v>
      </c>
      <c r="EI156" s="2" t="s">
        <v>3</v>
      </c>
      <c r="EJ156" s="2">
        <v>3</v>
      </c>
      <c r="EK156" s="2">
        <v>400007</v>
      </c>
      <c r="EL156" s="2" t="s">
        <v>149</v>
      </c>
      <c r="EM156" s="2" t="s">
        <v>150</v>
      </c>
      <c r="EN156" s="2"/>
      <c r="EO156" s="2" t="s">
        <v>3</v>
      </c>
      <c r="EP156" s="2"/>
      <c r="EQ156" s="2">
        <v>16</v>
      </c>
      <c r="ER156" s="2">
        <v>0</v>
      </c>
      <c r="ES156" s="2">
        <v>14108.22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f>P156</f>
        <v>14108.22</v>
      </c>
      <c r="FS156" s="2">
        <v>0</v>
      </c>
      <c r="FT156" s="2"/>
      <c r="FU156" s="2"/>
      <c r="FV156" s="2"/>
      <c r="FW156" s="2"/>
      <c r="FX156" s="2">
        <v>0</v>
      </c>
      <c r="FY156" s="2">
        <v>0</v>
      </c>
      <c r="FZ156" s="2"/>
      <c r="GA156" s="2" t="s">
        <v>210</v>
      </c>
      <c r="GB156" s="2"/>
      <c r="GC156" s="2"/>
      <c r="GD156" s="2">
        <v>1</v>
      </c>
      <c r="GE156" s="2"/>
      <c r="GF156" s="2">
        <v>-844929918</v>
      </c>
      <c r="GG156" s="2">
        <v>2</v>
      </c>
      <c r="GH156" s="2">
        <v>4</v>
      </c>
      <c r="GI156" s="2">
        <v>-2</v>
      </c>
      <c r="GJ156" s="2">
        <v>0</v>
      </c>
      <c r="GK156" s="2">
        <v>0</v>
      </c>
      <c r="GL156" s="2">
        <f t="shared" si="142"/>
        <v>0</v>
      </c>
      <c r="GM156" s="2">
        <f t="shared" si="143"/>
        <v>14108.22</v>
      </c>
      <c r="GN156" s="2">
        <f t="shared" si="144"/>
        <v>0</v>
      </c>
      <c r="GO156" s="2">
        <f t="shared" si="145"/>
        <v>0</v>
      </c>
      <c r="GP156" s="2">
        <f t="shared" si="146"/>
        <v>0</v>
      </c>
      <c r="GQ156" s="2"/>
      <c r="GR156" s="2">
        <v>1</v>
      </c>
      <c r="GS156" s="2">
        <v>2</v>
      </c>
      <c r="GT156" s="2">
        <v>0</v>
      </c>
      <c r="GU156" s="2" t="s">
        <v>3</v>
      </c>
      <c r="GV156" s="2">
        <f t="shared" si="147"/>
        <v>0</v>
      </c>
      <c r="GW156" s="2">
        <v>1</v>
      </c>
      <c r="GX156" s="2">
        <f t="shared" si="148"/>
        <v>0</v>
      </c>
      <c r="GY156" s="2"/>
      <c r="GZ156" s="2"/>
      <c r="HA156" s="2">
        <v>0</v>
      </c>
      <c r="HB156" s="2">
        <v>0</v>
      </c>
      <c r="HC156" s="2">
        <f t="shared" si="149"/>
        <v>0</v>
      </c>
      <c r="HD156" s="2"/>
      <c r="HE156" s="2" t="s">
        <v>37</v>
      </c>
      <c r="HF156" s="2" t="s">
        <v>152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5">
      <c r="A157" s="3">
        <v>17</v>
      </c>
      <c r="B157" s="3">
        <v>1</v>
      </c>
      <c r="E157" s="3" t="s">
        <v>207</v>
      </c>
      <c r="F157" s="3" t="s">
        <v>208</v>
      </c>
      <c r="G157" s="3" t="s">
        <v>209</v>
      </c>
      <c r="H157" s="3" t="s">
        <v>148</v>
      </c>
      <c r="I157" s="3">
        <v>1</v>
      </c>
      <c r="J157" s="3">
        <v>0</v>
      </c>
      <c r="K157" s="3">
        <v>1</v>
      </c>
      <c r="O157" s="3">
        <f t="shared" si="125"/>
        <v>106799.23</v>
      </c>
      <c r="P157" s="3">
        <f t="shared" si="126"/>
        <v>106799.23</v>
      </c>
      <c r="Q157" s="3">
        <f>(ROUND((ROUND(((ET157)*AV157*I157),2)*BB157),2)+ROUND((ROUND(((AE157-(EU157))*AV157*I157),2)*BS157),2))</f>
        <v>0</v>
      </c>
      <c r="R157" s="3">
        <f>(ROUND((ROUND(((EU157)*AV157*I157),2)*BS157),2)+ROUND((ROUND(((AE157-(EU157))*AV157*I157),2)*BS157),2))</f>
        <v>0</v>
      </c>
      <c r="S157" s="3">
        <f t="shared" si="127"/>
        <v>0</v>
      </c>
      <c r="T157" s="3">
        <f t="shared" si="128"/>
        <v>0</v>
      </c>
      <c r="U157" s="3">
        <f t="shared" si="129"/>
        <v>0</v>
      </c>
      <c r="V157" s="3">
        <f t="shared" si="130"/>
        <v>0</v>
      </c>
      <c r="W157" s="3">
        <f t="shared" si="131"/>
        <v>0</v>
      </c>
      <c r="X157" s="3">
        <f>(ROUND((((S157+ROUND((ROUND(((EU157)*AV157*I157),2)*BS157),2))*AT157)/100),2)+ROUND(((ROUND((ROUND(((AE157-(EU157))*AV157*I157),2)*BS157),2)*AT157)/100),2))</f>
        <v>0</v>
      </c>
      <c r="Y157" s="3">
        <f>(ROUND((((S157+ROUND((ROUND(((EU157)*AV157*I157),2)*BS157),2))*AU157)/100),2)+ROUND(((ROUND((ROUND(((AE157-(EU157))*AV157*I157),2)*BS157),2)*AU157)/100),2))</f>
        <v>0</v>
      </c>
      <c r="AA157" s="3">
        <v>55917799</v>
      </c>
      <c r="AB157" s="3">
        <f t="shared" si="132"/>
        <v>14108.22</v>
      </c>
      <c r="AC157" s="3">
        <f>ROUND((ES157),6)</f>
        <v>14108.22</v>
      </c>
      <c r="AD157" s="3">
        <f>ROUND((((ET157)-(EU157))+AE157),6)</f>
        <v>0</v>
      </c>
      <c r="AE157" s="3">
        <f>ROUND((EU157),6)</f>
        <v>0</v>
      </c>
      <c r="AF157" s="3">
        <f>ROUND((EV157),6)</f>
        <v>0</v>
      </c>
      <c r="AG157" s="3">
        <f t="shared" si="133"/>
        <v>0</v>
      </c>
      <c r="AH157" s="3">
        <f>(EW157)</f>
        <v>0</v>
      </c>
      <c r="AI157" s="3">
        <f>(EX157)</f>
        <v>0</v>
      </c>
      <c r="AJ157" s="3">
        <f t="shared" si="134"/>
        <v>0</v>
      </c>
      <c r="AK157" s="3">
        <v>14108.22</v>
      </c>
      <c r="AL157" s="3">
        <v>14108.22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1</v>
      </c>
      <c r="AW157" s="3">
        <v>1</v>
      </c>
      <c r="AZ157" s="3">
        <v>1</v>
      </c>
      <c r="BA157" s="3">
        <v>1</v>
      </c>
      <c r="BB157" s="3">
        <v>1</v>
      </c>
      <c r="BC157" s="3">
        <v>7.57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3</v>
      </c>
      <c r="BI157" s="3">
        <v>3</v>
      </c>
      <c r="BJ157" s="3" t="s">
        <v>208</v>
      </c>
      <c r="BM157" s="3">
        <v>400007</v>
      </c>
      <c r="BN157" s="3">
        <v>0</v>
      </c>
      <c r="BO157" s="3" t="s">
        <v>3</v>
      </c>
      <c r="BP157" s="3">
        <v>0</v>
      </c>
      <c r="BQ157" s="3">
        <v>214</v>
      </c>
      <c r="BR157" s="3">
        <v>0</v>
      </c>
      <c r="BS157" s="3">
        <v>1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0</v>
      </c>
      <c r="CA157" s="3">
        <v>0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3</v>
      </c>
      <c r="CO157" s="3">
        <v>0</v>
      </c>
      <c r="CP157" s="3">
        <f t="shared" si="135"/>
        <v>106799.23</v>
      </c>
      <c r="CQ157" s="3">
        <f t="shared" si="136"/>
        <v>106799.23</v>
      </c>
      <c r="CR157" s="3">
        <f>(ROUND((ROUND(((ET157)*AV157*1),2)*BB157),2)+ROUND((ROUND(((AE157-(EU157))*AV157*1),2)*BS157),2))</f>
        <v>0</v>
      </c>
      <c r="CS157" s="3">
        <f>(ROUND((ROUND(((EU157)*AV157*1),2)*BS157),2)+ROUND((ROUND(((AE157-(EU157))*AV157*1),2)*BS157),2))</f>
        <v>0</v>
      </c>
      <c r="CT157" s="3">
        <f t="shared" si="137"/>
        <v>0</v>
      </c>
      <c r="CU157" s="3">
        <f t="shared" si="138"/>
        <v>0</v>
      </c>
      <c r="CV157" s="3">
        <f t="shared" si="139"/>
        <v>0</v>
      </c>
      <c r="CW157" s="3">
        <f t="shared" si="140"/>
        <v>0</v>
      </c>
      <c r="CX157" s="3">
        <f t="shared" si="141"/>
        <v>0</v>
      </c>
      <c r="CY157" s="3">
        <f>(ROUND((((S157+ROUND((ROUND(((EU157)*AV157*1),2)*BS157),2))*AT157)/100),2)+ROUND(((ROUND((ROUND(((AE157-(EU157))*AV157*1),2)*BS157),2)*AT157)/100),2))</f>
        <v>0</v>
      </c>
      <c r="CZ157" s="3">
        <f>(ROUND((((S157+ROUND((ROUND(((EU157)*AV157*1),2)*BS157),2))*AU157)/100),2)+ROUND(((ROUND((ROUND(((AE157-(EU157))*AV157*1),2)*BS157),2)*AU157)/100),2))</f>
        <v>0</v>
      </c>
      <c r="DC157" s="3" t="s">
        <v>3</v>
      </c>
      <c r="DD157" s="3" t="s">
        <v>3</v>
      </c>
      <c r="DE157" s="3" t="s">
        <v>3</v>
      </c>
      <c r="DF157" s="3" t="s">
        <v>3</v>
      </c>
      <c r="DG157" s="3" t="s">
        <v>3</v>
      </c>
      <c r="DH157" s="3" t="s">
        <v>3</v>
      </c>
      <c r="DI157" s="3" t="s">
        <v>3</v>
      </c>
      <c r="DJ157" s="3" t="s">
        <v>3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1013</v>
      </c>
      <c r="DV157" s="3" t="s">
        <v>148</v>
      </c>
      <c r="DW157" s="3" t="s">
        <v>148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55393630</v>
      </c>
      <c r="EF157" s="3">
        <v>214</v>
      </c>
      <c r="EG157" s="3" t="s">
        <v>149</v>
      </c>
      <c r="EH157" s="3">
        <v>0</v>
      </c>
      <c r="EI157" s="3" t="s">
        <v>3</v>
      </c>
      <c r="EJ157" s="3">
        <v>3</v>
      </c>
      <c r="EK157" s="3">
        <v>400007</v>
      </c>
      <c r="EL157" s="3" t="s">
        <v>149</v>
      </c>
      <c r="EM157" s="3" t="s">
        <v>150</v>
      </c>
      <c r="EO157" s="3" t="s">
        <v>3</v>
      </c>
      <c r="EQ157" s="3">
        <v>16</v>
      </c>
      <c r="ER157" s="3">
        <v>0</v>
      </c>
      <c r="ES157" s="3">
        <v>14108.22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5</v>
      </c>
      <c r="FC157" s="3">
        <v>1</v>
      </c>
      <c r="FD157" s="3">
        <v>18</v>
      </c>
      <c r="FF157" s="3">
        <v>125000</v>
      </c>
      <c r="FQ157" s="3">
        <v>0</v>
      </c>
      <c r="FR157" s="3">
        <f>P157</f>
        <v>106799.23</v>
      </c>
      <c r="FS157" s="3">
        <v>0</v>
      </c>
      <c r="FX157" s="3">
        <v>0</v>
      </c>
      <c r="FY157" s="3">
        <v>0</v>
      </c>
      <c r="GA157" s="3" t="s">
        <v>210</v>
      </c>
      <c r="GD157" s="3">
        <v>1</v>
      </c>
      <c r="GF157" s="3">
        <v>-844929918</v>
      </c>
      <c r="GG157" s="3">
        <v>2</v>
      </c>
      <c r="GH157" s="3">
        <v>3</v>
      </c>
      <c r="GI157" s="3">
        <v>5</v>
      </c>
      <c r="GJ157" s="3">
        <v>0</v>
      </c>
      <c r="GK157" s="3">
        <v>0</v>
      </c>
      <c r="GL157" s="3">
        <f t="shared" si="142"/>
        <v>0</v>
      </c>
      <c r="GM157" s="3">
        <f t="shared" si="143"/>
        <v>106799.23</v>
      </c>
      <c r="GN157" s="3">
        <f t="shared" si="144"/>
        <v>0</v>
      </c>
      <c r="GO157" s="3">
        <f t="shared" si="145"/>
        <v>0</v>
      </c>
      <c r="GP157" s="3">
        <f t="shared" si="146"/>
        <v>0</v>
      </c>
      <c r="GR157" s="3">
        <v>1</v>
      </c>
      <c r="GS157" s="3">
        <v>1</v>
      </c>
      <c r="GT157" s="3">
        <v>0</v>
      </c>
      <c r="GU157" s="3" t="s">
        <v>3</v>
      </c>
      <c r="GV157" s="3">
        <f t="shared" si="147"/>
        <v>0</v>
      </c>
      <c r="GW157" s="3">
        <v>1</v>
      </c>
      <c r="GX157" s="3">
        <f t="shared" si="148"/>
        <v>0</v>
      </c>
      <c r="HA157" s="3">
        <v>0</v>
      </c>
      <c r="HB157" s="3">
        <v>0</v>
      </c>
      <c r="HC157" s="3">
        <f t="shared" si="149"/>
        <v>0</v>
      </c>
      <c r="HE157" s="3" t="s">
        <v>37</v>
      </c>
      <c r="HF157" s="3" t="s">
        <v>152</v>
      </c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5">
      <c r="A158" s="2">
        <v>17</v>
      </c>
      <c r="B158" s="2">
        <v>1</v>
      </c>
      <c r="C158" s="2">
        <f>ROW(SmtRes!A263)</f>
        <v>263</v>
      </c>
      <c r="D158" s="2">
        <f>ROW(EtalonRes!A296)</f>
        <v>296</v>
      </c>
      <c r="E158" s="2" t="s">
        <v>211</v>
      </c>
      <c r="F158" s="2" t="s">
        <v>20</v>
      </c>
      <c r="G158" s="2" t="s">
        <v>144</v>
      </c>
      <c r="H158" s="2" t="s">
        <v>22</v>
      </c>
      <c r="I158" s="2">
        <v>1</v>
      </c>
      <c r="J158" s="2">
        <v>0</v>
      </c>
      <c r="K158" s="2">
        <v>1</v>
      </c>
      <c r="L158" s="2"/>
      <c r="M158" s="2"/>
      <c r="N158" s="2"/>
      <c r="O158" s="2">
        <f t="shared" si="125"/>
        <v>234.24</v>
      </c>
      <c r="P158" s="2">
        <f t="shared" si="126"/>
        <v>75.680000000000007</v>
      </c>
      <c r="Q158" s="2">
        <f>(ROUND((ROUND((((ET158*1.2))*AV158*I158),2)*BB158),2)+ROUND((ROUND(((AE158-((EU158*1.2)))*AV158*I158),2)*BS158),2))</f>
        <v>0</v>
      </c>
      <c r="R158" s="2">
        <f>(ROUND((ROUND((((EU158*1.2))*AV158*I158),2)*BS158),2)+ROUND((ROUND(((AE158-((EU158*1.2)))*AV158*I158),2)*BS158),2))</f>
        <v>0</v>
      </c>
      <c r="S158" s="2">
        <f t="shared" si="127"/>
        <v>158.56</v>
      </c>
      <c r="T158" s="2">
        <f t="shared" si="128"/>
        <v>0</v>
      </c>
      <c r="U158" s="2">
        <f t="shared" si="129"/>
        <v>12.564</v>
      </c>
      <c r="V158" s="2">
        <f t="shared" si="130"/>
        <v>0</v>
      </c>
      <c r="W158" s="2">
        <f t="shared" si="131"/>
        <v>0</v>
      </c>
      <c r="X158" s="2">
        <f>(ROUND((((S158+ROUND((ROUND((((EU158*1.2))*AV158*I158),2)*BS158),2))*AT158)/100),2)+ROUND(((ROUND((ROUND(((AE158-((EU158*1.2)))*AV158*I158),2)*BS158),2)*AT158)/100),2))</f>
        <v>150.63</v>
      </c>
      <c r="Y158" s="2">
        <f>(ROUND((((S158+ROUND((ROUND((((EU158*1.2))*AV158*I158),2)*BS158),2))*AU158)/100),2)+ROUND(((ROUND((ROUND(((AE158-((EU158*1.2)))*AV158*I158),2)*BS158),2)*AU158)/100),2))</f>
        <v>84.04</v>
      </c>
      <c r="Z158" s="2"/>
      <c r="AA158" s="2">
        <v>55917797</v>
      </c>
      <c r="AB158" s="2">
        <f t="shared" si="132"/>
        <v>227.12</v>
      </c>
      <c r="AC158" s="2">
        <f>ROUND(((ES158*1)),6)</f>
        <v>75.680000000000007</v>
      </c>
      <c r="AD158" s="2">
        <f>ROUND(((((ET158*1.2))-((EU158*1.2)))+AE158),6)</f>
        <v>0</v>
      </c>
      <c r="AE158" s="2">
        <f>ROUND(((EU158*1.2)),6)</f>
        <v>0</v>
      </c>
      <c r="AF158" s="2">
        <f>ROUND(((EV158*1.2)),6)</f>
        <v>151.44</v>
      </c>
      <c r="AG158" s="2">
        <f t="shared" si="133"/>
        <v>0</v>
      </c>
      <c r="AH158" s="2">
        <f>((EW158*1.2))</f>
        <v>12</v>
      </c>
      <c r="AI158" s="2">
        <f>((EX158*1.2))</f>
        <v>0</v>
      </c>
      <c r="AJ158" s="2">
        <f t="shared" si="134"/>
        <v>0</v>
      </c>
      <c r="AK158" s="2">
        <v>201.88</v>
      </c>
      <c r="AL158" s="2">
        <v>75.680000000000007</v>
      </c>
      <c r="AM158" s="2">
        <v>0</v>
      </c>
      <c r="AN158" s="2">
        <v>0</v>
      </c>
      <c r="AO158" s="2">
        <v>126.2</v>
      </c>
      <c r="AP158" s="2">
        <v>0</v>
      </c>
      <c r="AQ158" s="2">
        <v>10</v>
      </c>
      <c r="AR158" s="2">
        <v>0</v>
      </c>
      <c r="AS158" s="2">
        <v>0</v>
      </c>
      <c r="AT158" s="2">
        <v>95</v>
      </c>
      <c r="AU158" s="2">
        <v>53</v>
      </c>
      <c r="AV158" s="2">
        <v>1.0469999999999999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0</v>
      </c>
      <c r="BI158" s="2">
        <v>2</v>
      </c>
      <c r="BJ158" s="2" t="s">
        <v>23</v>
      </c>
      <c r="BK158" s="2"/>
      <c r="BL158" s="2"/>
      <c r="BM158" s="2">
        <v>69</v>
      </c>
      <c r="BN158" s="2">
        <v>0</v>
      </c>
      <c r="BO158" s="2" t="s">
        <v>20</v>
      </c>
      <c r="BP158" s="2">
        <v>1</v>
      </c>
      <c r="BQ158" s="2">
        <v>40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95</v>
      </c>
      <c r="CA158" s="2">
        <v>53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618</v>
      </c>
      <c r="CO158" s="2">
        <v>0</v>
      </c>
      <c r="CP158" s="2">
        <f t="shared" si="135"/>
        <v>234.24</v>
      </c>
      <c r="CQ158" s="2">
        <f t="shared" si="136"/>
        <v>75.680000000000007</v>
      </c>
      <c r="CR158" s="2">
        <f>(ROUND((ROUND((((ET158*1.2))*AV158*1),2)*BB158),2)+ROUND((ROUND(((AE158-((EU158*1.2)))*AV158*1),2)*BS158),2))</f>
        <v>0</v>
      </c>
      <c r="CS158" s="2">
        <f>(ROUND((ROUND((((EU158*1.2))*AV158*1),2)*BS158),2)+ROUND((ROUND(((AE158-((EU158*1.2)))*AV158*1),2)*BS158),2))</f>
        <v>0</v>
      </c>
      <c r="CT158" s="2">
        <f t="shared" si="137"/>
        <v>158.56</v>
      </c>
      <c r="CU158" s="2">
        <f t="shared" si="138"/>
        <v>0</v>
      </c>
      <c r="CV158" s="2">
        <f t="shared" si="139"/>
        <v>12.564</v>
      </c>
      <c r="CW158" s="2">
        <f t="shared" si="140"/>
        <v>0</v>
      </c>
      <c r="CX158" s="2">
        <f t="shared" si="141"/>
        <v>0</v>
      </c>
      <c r="CY158" s="2">
        <f>(ROUND((((S158+ROUND((ROUND((((EU158*1.2))*AV158*1),2)*BS158),2))*AT158)/100),2)+ROUND(((ROUND((ROUND(((AE158-((EU158*1.2)))*AV158*1),2)*BS158),2)*AT158)/100),2))</f>
        <v>150.63</v>
      </c>
      <c r="CZ158" s="2">
        <f>(ROUND((((S158+ROUND((ROUND((((EU158*1.2))*AV158*1),2)*BS158),2))*AU158)/100),2)+ROUND(((ROUND((ROUND(((AE158-((EU158*1.2)))*AV158*1),2)*BS158),2)*AU158)/100),2))</f>
        <v>84.04</v>
      </c>
      <c r="DA158" s="2"/>
      <c r="DB158" s="2">
        <v>65</v>
      </c>
      <c r="DC158" s="2" t="s">
        <v>3</v>
      </c>
      <c r="DD158" s="2" t="s">
        <v>55</v>
      </c>
      <c r="DE158" s="2" t="s">
        <v>56</v>
      </c>
      <c r="DF158" s="2" t="s">
        <v>56</v>
      </c>
      <c r="DG158" s="2" t="s">
        <v>56</v>
      </c>
      <c r="DH158" s="2" t="s">
        <v>3</v>
      </c>
      <c r="DI158" s="2" t="s">
        <v>56</v>
      </c>
      <c r="DJ158" s="2" t="s">
        <v>56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22</v>
      </c>
      <c r="DW158" s="2" t="s">
        <v>22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55393701</v>
      </c>
      <c r="EF158" s="2">
        <v>40</v>
      </c>
      <c r="EG158" s="2" t="s">
        <v>26</v>
      </c>
      <c r="EH158" s="2">
        <v>0</v>
      </c>
      <c r="EI158" s="2" t="s">
        <v>3</v>
      </c>
      <c r="EJ158" s="2">
        <v>2</v>
      </c>
      <c r="EK158" s="2">
        <v>69</v>
      </c>
      <c r="EL158" s="2" t="s">
        <v>27</v>
      </c>
      <c r="EM158" s="2" t="s">
        <v>28</v>
      </c>
      <c r="EN158" s="2"/>
      <c r="EO158" s="2" t="s">
        <v>60</v>
      </c>
      <c r="EP158" s="2"/>
      <c r="EQ158" s="2">
        <v>0</v>
      </c>
      <c r="ER158" s="2">
        <v>201.88</v>
      </c>
      <c r="ES158" s="2">
        <v>75.680000000000007</v>
      </c>
      <c r="ET158" s="2">
        <v>0</v>
      </c>
      <c r="EU158" s="2">
        <v>0</v>
      </c>
      <c r="EV158" s="2">
        <v>126.2</v>
      </c>
      <c r="EW158" s="2">
        <v>10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95</v>
      </c>
      <c r="FY158" s="2">
        <v>53</v>
      </c>
      <c r="FZ158" s="2"/>
      <c r="GA158" s="2" t="s">
        <v>3</v>
      </c>
      <c r="GB158" s="2"/>
      <c r="GC158" s="2"/>
      <c r="GD158" s="2">
        <v>1</v>
      </c>
      <c r="GE158" s="2"/>
      <c r="GF158" s="2">
        <v>-542777880</v>
      </c>
      <c r="GG158" s="2">
        <v>2</v>
      </c>
      <c r="GH158" s="2">
        <v>1</v>
      </c>
      <c r="GI158" s="2">
        <v>2</v>
      </c>
      <c r="GJ158" s="2">
        <v>0</v>
      </c>
      <c r="GK158" s="2">
        <v>0</v>
      </c>
      <c r="GL158" s="2">
        <f t="shared" si="142"/>
        <v>0</v>
      </c>
      <c r="GM158" s="2">
        <f t="shared" si="143"/>
        <v>468.91</v>
      </c>
      <c r="GN158" s="2">
        <f t="shared" si="144"/>
        <v>0</v>
      </c>
      <c r="GO158" s="2">
        <f t="shared" si="145"/>
        <v>468.91</v>
      </c>
      <c r="GP158" s="2">
        <f t="shared" si="146"/>
        <v>0</v>
      </c>
      <c r="GQ158" s="2"/>
      <c r="GR158" s="2">
        <v>0</v>
      </c>
      <c r="GS158" s="2">
        <v>3</v>
      </c>
      <c r="GT158" s="2">
        <v>0</v>
      </c>
      <c r="GU158" s="2" t="s">
        <v>3</v>
      </c>
      <c r="GV158" s="2">
        <f t="shared" si="147"/>
        <v>0</v>
      </c>
      <c r="GW158" s="2">
        <v>1</v>
      </c>
      <c r="GX158" s="2">
        <f t="shared" si="148"/>
        <v>0</v>
      </c>
      <c r="GY158" s="2"/>
      <c r="GZ158" s="2"/>
      <c r="HA158" s="2">
        <v>0</v>
      </c>
      <c r="HB158" s="2">
        <v>0</v>
      </c>
      <c r="HC158" s="2">
        <f t="shared" si="149"/>
        <v>0</v>
      </c>
      <c r="HD158" s="2"/>
      <c r="HE158" s="2" t="s">
        <v>3</v>
      </c>
      <c r="HF158" s="2" t="s">
        <v>3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5">
      <c r="A159" s="3">
        <v>17</v>
      </c>
      <c r="B159" s="3">
        <v>1</v>
      </c>
      <c r="C159" s="3">
        <f>ROW(SmtRes!A274)</f>
        <v>274</v>
      </c>
      <c r="D159" s="3">
        <f>ROW(EtalonRes!A308)</f>
        <v>308</v>
      </c>
      <c r="E159" s="3" t="s">
        <v>211</v>
      </c>
      <c r="F159" s="3" t="s">
        <v>20</v>
      </c>
      <c r="G159" s="3" t="s">
        <v>144</v>
      </c>
      <c r="H159" s="3" t="s">
        <v>22</v>
      </c>
      <c r="I159" s="3">
        <v>1</v>
      </c>
      <c r="J159" s="3">
        <v>0</v>
      </c>
      <c r="K159" s="3">
        <v>1</v>
      </c>
      <c r="O159" s="3">
        <f t="shared" si="125"/>
        <v>9659.8700000000008</v>
      </c>
      <c r="P159" s="3">
        <f t="shared" si="126"/>
        <v>725.01</v>
      </c>
      <c r="Q159" s="3">
        <f>(ROUND((ROUND((((ET159*1.2))*AV159*I159),2)*BB159),2)+ROUND((ROUND(((AE159-((EU159*1.2)))*AV159*I159),2)*BS159),2))</f>
        <v>0</v>
      </c>
      <c r="R159" s="3">
        <f>(ROUND((ROUND((((EU159*1.2))*AV159*I159),2)*BS159),2)+ROUND((ROUND(((AE159-((EU159*1.2)))*AV159*I159),2)*BS159),2))</f>
        <v>0</v>
      </c>
      <c r="S159" s="3">
        <f t="shared" si="127"/>
        <v>8934.86</v>
      </c>
      <c r="T159" s="3">
        <f t="shared" si="128"/>
        <v>0</v>
      </c>
      <c r="U159" s="3">
        <f t="shared" si="129"/>
        <v>12.564</v>
      </c>
      <c r="V159" s="3">
        <f t="shared" si="130"/>
        <v>0</v>
      </c>
      <c r="W159" s="3">
        <f t="shared" si="131"/>
        <v>0</v>
      </c>
      <c r="X159" s="3">
        <f>(ROUND((((S159+ROUND((ROUND((((EU159*1.2))*AV159*I159),2)*BS159),2))*AT159)/100),2)+ROUND(((ROUND((ROUND(((AE159-((EU159*1.2)))*AV159*I159),2)*BS159),2)*AT159)/100),2))</f>
        <v>8488.1200000000008</v>
      </c>
      <c r="Y159" s="3">
        <f>(ROUND((((S159+ROUND((ROUND((((EU159*1.2))*AV159*I159),2)*BS159),2))*AU159)/100),2)+ROUND(((ROUND((ROUND(((AE159-((EU159*1.2)))*AV159*I159),2)*BS159),2)*AU159)/100),2))</f>
        <v>4735.4799999999996</v>
      </c>
      <c r="AA159" s="3">
        <v>55917799</v>
      </c>
      <c r="AB159" s="3">
        <f t="shared" si="132"/>
        <v>227.12</v>
      </c>
      <c r="AC159" s="3">
        <f>ROUND(((ES159*1)),6)</f>
        <v>75.680000000000007</v>
      </c>
      <c r="AD159" s="3">
        <f>ROUND(((((ET159*1.2))-((EU159*1.2)))+AE159),6)</f>
        <v>0</v>
      </c>
      <c r="AE159" s="3">
        <f>ROUND(((EU159*1.2)),6)</f>
        <v>0</v>
      </c>
      <c r="AF159" s="3">
        <f>ROUND(((EV159*1.2)),6)</f>
        <v>151.44</v>
      </c>
      <c r="AG159" s="3">
        <f t="shared" si="133"/>
        <v>0</v>
      </c>
      <c r="AH159" s="3">
        <f>((EW159*1.2))</f>
        <v>12</v>
      </c>
      <c r="AI159" s="3">
        <f>((EX159*1.2))</f>
        <v>0</v>
      </c>
      <c r="AJ159" s="3">
        <f t="shared" si="134"/>
        <v>0</v>
      </c>
      <c r="AK159" s="3">
        <v>201.88</v>
      </c>
      <c r="AL159" s="3">
        <v>75.680000000000007</v>
      </c>
      <c r="AM159" s="3">
        <v>0</v>
      </c>
      <c r="AN159" s="3">
        <v>0</v>
      </c>
      <c r="AO159" s="3">
        <v>126.2</v>
      </c>
      <c r="AP159" s="3">
        <v>0</v>
      </c>
      <c r="AQ159" s="3">
        <v>10</v>
      </c>
      <c r="AR159" s="3">
        <v>0</v>
      </c>
      <c r="AS159" s="3">
        <v>0</v>
      </c>
      <c r="AT159" s="3">
        <v>95</v>
      </c>
      <c r="AU159" s="3">
        <v>53</v>
      </c>
      <c r="AV159" s="3">
        <v>1.0469999999999999</v>
      </c>
      <c r="AW159" s="3">
        <v>1</v>
      </c>
      <c r="AZ159" s="3">
        <v>1</v>
      </c>
      <c r="BA159" s="3">
        <v>56.35</v>
      </c>
      <c r="BB159" s="3">
        <v>1</v>
      </c>
      <c r="BC159" s="3">
        <v>9.58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0</v>
      </c>
      <c r="BI159" s="3">
        <v>2</v>
      </c>
      <c r="BJ159" s="3" t="s">
        <v>23</v>
      </c>
      <c r="BM159" s="3">
        <v>69</v>
      </c>
      <c r="BN159" s="3">
        <v>0</v>
      </c>
      <c r="BO159" s="3" t="s">
        <v>20</v>
      </c>
      <c r="BP159" s="3">
        <v>1</v>
      </c>
      <c r="BQ159" s="3">
        <v>40</v>
      </c>
      <c r="BR159" s="3">
        <v>0</v>
      </c>
      <c r="BS159" s="3">
        <v>56.35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95</v>
      </c>
      <c r="CA159" s="3">
        <v>53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618</v>
      </c>
      <c r="CO159" s="3">
        <v>0</v>
      </c>
      <c r="CP159" s="3">
        <f t="shared" si="135"/>
        <v>9659.8700000000008</v>
      </c>
      <c r="CQ159" s="3">
        <f t="shared" si="136"/>
        <v>725.01</v>
      </c>
      <c r="CR159" s="3">
        <f>(ROUND((ROUND((((ET159*1.2))*AV159*1),2)*BB159),2)+ROUND((ROUND(((AE159-((EU159*1.2)))*AV159*1),2)*BS159),2))</f>
        <v>0</v>
      </c>
      <c r="CS159" s="3">
        <f>(ROUND((ROUND((((EU159*1.2))*AV159*1),2)*BS159),2)+ROUND((ROUND(((AE159-((EU159*1.2)))*AV159*1),2)*BS159),2))</f>
        <v>0</v>
      </c>
      <c r="CT159" s="3">
        <f t="shared" si="137"/>
        <v>8934.86</v>
      </c>
      <c r="CU159" s="3">
        <f t="shared" si="138"/>
        <v>0</v>
      </c>
      <c r="CV159" s="3">
        <f t="shared" si="139"/>
        <v>12.564</v>
      </c>
      <c r="CW159" s="3">
        <f t="shared" si="140"/>
        <v>0</v>
      </c>
      <c r="CX159" s="3">
        <f t="shared" si="141"/>
        <v>0</v>
      </c>
      <c r="CY159" s="3">
        <f>(ROUND((((S159+ROUND((ROUND((((EU159*1.2))*AV159*1),2)*BS159),2))*AT159)/100),2)+ROUND(((ROUND((ROUND(((AE159-((EU159*1.2)))*AV159*1),2)*BS159),2)*AT159)/100),2))</f>
        <v>8488.1200000000008</v>
      </c>
      <c r="CZ159" s="3">
        <f>(ROUND((((S159+ROUND((ROUND((((EU159*1.2))*AV159*1),2)*BS159),2))*AU159)/100),2)+ROUND(((ROUND((ROUND(((AE159-((EU159*1.2)))*AV159*1),2)*BS159),2)*AU159)/100),2))</f>
        <v>4735.4799999999996</v>
      </c>
      <c r="DB159" s="3">
        <v>66</v>
      </c>
      <c r="DC159" s="3" t="s">
        <v>3</v>
      </c>
      <c r="DD159" s="3" t="s">
        <v>55</v>
      </c>
      <c r="DE159" s="3" t="s">
        <v>56</v>
      </c>
      <c r="DF159" s="3" t="s">
        <v>56</v>
      </c>
      <c r="DG159" s="3" t="s">
        <v>56</v>
      </c>
      <c r="DH159" s="3" t="s">
        <v>3</v>
      </c>
      <c r="DI159" s="3" t="s">
        <v>56</v>
      </c>
      <c r="DJ159" s="3" t="s">
        <v>56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1013</v>
      </c>
      <c r="DV159" s="3" t="s">
        <v>22</v>
      </c>
      <c r="DW159" s="3" t="s">
        <v>22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55393701</v>
      </c>
      <c r="EF159" s="3">
        <v>40</v>
      </c>
      <c r="EG159" s="3" t="s">
        <v>26</v>
      </c>
      <c r="EH159" s="3">
        <v>0</v>
      </c>
      <c r="EI159" s="3" t="s">
        <v>3</v>
      </c>
      <c r="EJ159" s="3">
        <v>2</v>
      </c>
      <c r="EK159" s="3">
        <v>69</v>
      </c>
      <c r="EL159" s="3" t="s">
        <v>27</v>
      </c>
      <c r="EM159" s="3" t="s">
        <v>28</v>
      </c>
      <c r="EO159" s="3" t="s">
        <v>60</v>
      </c>
      <c r="EQ159" s="3">
        <v>0</v>
      </c>
      <c r="ER159" s="3">
        <v>201.88</v>
      </c>
      <c r="ES159" s="3">
        <v>75.680000000000007</v>
      </c>
      <c r="ET159" s="3">
        <v>0</v>
      </c>
      <c r="EU159" s="3">
        <v>0</v>
      </c>
      <c r="EV159" s="3">
        <v>126.2</v>
      </c>
      <c r="EW159" s="3">
        <v>10</v>
      </c>
      <c r="EX159" s="3">
        <v>0</v>
      </c>
      <c r="EY159" s="3">
        <v>0</v>
      </c>
      <c r="FQ159" s="3">
        <v>0</v>
      </c>
      <c r="FR159" s="3">
        <v>0</v>
      </c>
      <c r="FS159" s="3">
        <v>0</v>
      </c>
      <c r="FX159" s="3">
        <v>95</v>
      </c>
      <c r="FY159" s="3">
        <v>53</v>
      </c>
      <c r="GA159" s="3" t="s">
        <v>3</v>
      </c>
      <c r="GD159" s="3">
        <v>1</v>
      </c>
      <c r="GF159" s="3">
        <v>-542777880</v>
      </c>
      <c r="GG159" s="3">
        <v>2</v>
      </c>
      <c r="GH159" s="3">
        <v>1</v>
      </c>
      <c r="GI159" s="3">
        <v>2</v>
      </c>
      <c r="GJ159" s="3">
        <v>0</v>
      </c>
      <c r="GK159" s="3">
        <v>0</v>
      </c>
      <c r="GL159" s="3">
        <f t="shared" si="142"/>
        <v>0</v>
      </c>
      <c r="GM159" s="3">
        <f t="shared" si="143"/>
        <v>22883.47</v>
      </c>
      <c r="GN159" s="3">
        <f t="shared" si="144"/>
        <v>0</v>
      </c>
      <c r="GO159" s="3">
        <f t="shared" si="145"/>
        <v>22883.47</v>
      </c>
      <c r="GP159" s="3">
        <f t="shared" si="146"/>
        <v>0</v>
      </c>
      <c r="GR159" s="3">
        <v>0</v>
      </c>
      <c r="GS159" s="3">
        <v>3</v>
      </c>
      <c r="GT159" s="3">
        <v>0</v>
      </c>
      <c r="GU159" s="3" t="s">
        <v>3</v>
      </c>
      <c r="GV159" s="3">
        <f t="shared" si="147"/>
        <v>0</v>
      </c>
      <c r="GW159" s="3">
        <v>1</v>
      </c>
      <c r="GX159" s="3">
        <f t="shared" si="148"/>
        <v>0</v>
      </c>
      <c r="HA159" s="3">
        <v>0</v>
      </c>
      <c r="HB159" s="3">
        <v>0</v>
      </c>
      <c r="HC159" s="3">
        <f t="shared" si="149"/>
        <v>0</v>
      </c>
      <c r="HE159" s="3" t="s">
        <v>3</v>
      </c>
      <c r="HF159" s="3" t="s">
        <v>3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0" spans="1:255" x14ac:dyDescent="0.25">
      <c r="A160" s="2">
        <v>17</v>
      </c>
      <c r="B160" s="2">
        <v>1</v>
      </c>
      <c r="C160" s="2"/>
      <c r="D160" s="2"/>
      <c r="E160" s="2" t="s">
        <v>212</v>
      </c>
      <c r="F160" s="2" t="s">
        <v>213</v>
      </c>
      <c r="G160" s="2" t="s">
        <v>214</v>
      </c>
      <c r="H160" s="2" t="s">
        <v>148</v>
      </c>
      <c r="I160" s="2">
        <v>1</v>
      </c>
      <c r="J160" s="2">
        <v>0</v>
      </c>
      <c r="K160" s="2">
        <v>1</v>
      </c>
      <c r="L160" s="2"/>
      <c r="M160" s="2"/>
      <c r="N160" s="2"/>
      <c r="O160" s="2">
        <f t="shared" si="125"/>
        <v>93114.22</v>
      </c>
      <c r="P160" s="2">
        <f t="shared" si="126"/>
        <v>93114.22</v>
      </c>
      <c r="Q160" s="2">
        <f>(ROUND((ROUND(((ET160)*AV160*I160),2)*BB160),2)+ROUND((ROUND(((AE160-(EU160))*AV160*I160),2)*BS160),2))</f>
        <v>0</v>
      </c>
      <c r="R160" s="2">
        <f>(ROUND((ROUND(((EU160)*AV160*I160),2)*BS160),2)+ROUND((ROUND(((AE160-(EU160))*AV160*I160),2)*BS160),2))</f>
        <v>0</v>
      </c>
      <c r="S160" s="2">
        <f t="shared" si="127"/>
        <v>0</v>
      </c>
      <c r="T160" s="2">
        <f t="shared" si="128"/>
        <v>0</v>
      </c>
      <c r="U160" s="2">
        <f t="shared" si="129"/>
        <v>0</v>
      </c>
      <c r="V160" s="2">
        <f t="shared" si="130"/>
        <v>0</v>
      </c>
      <c r="W160" s="2">
        <f t="shared" si="131"/>
        <v>0</v>
      </c>
      <c r="X160" s="2">
        <f>(ROUND((((S160+ROUND((ROUND(((EU160)*AV160*I160),2)*BS160),2))*AT160)/100),2)+ROUND(((ROUND((ROUND(((AE160-(EU160))*AV160*I160),2)*BS160),2)*AT160)/100),2))</f>
        <v>0</v>
      </c>
      <c r="Y160" s="2">
        <f>(ROUND((((S160+ROUND((ROUND(((EU160)*AV160*I160),2)*BS160),2))*AU160)/100),2)+ROUND(((ROUND((ROUND(((AE160-(EU160))*AV160*I160),2)*BS160),2)*AU160)/100),2))</f>
        <v>0</v>
      </c>
      <c r="Z160" s="2"/>
      <c r="AA160" s="2">
        <v>55917797</v>
      </c>
      <c r="AB160" s="2">
        <f t="shared" si="132"/>
        <v>93114.22</v>
      </c>
      <c r="AC160" s="2">
        <f>ROUND((ES160),6)</f>
        <v>93114.22</v>
      </c>
      <c r="AD160" s="2">
        <f>ROUND((((ET160)-(EU160))+AE160),6)</f>
        <v>0</v>
      </c>
      <c r="AE160" s="2">
        <f>ROUND((EU160),6)</f>
        <v>0</v>
      </c>
      <c r="AF160" s="2">
        <f>ROUND((EV160),6)</f>
        <v>0</v>
      </c>
      <c r="AG160" s="2">
        <f t="shared" si="133"/>
        <v>0</v>
      </c>
      <c r="AH160" s="2">
        <f>(EW160)</f>
        <v>0</v>
      </c>
      <c r="AI160" s="2">
        <f>(EX160)</f>
        <v>0</v>
      </c>
      <c r="AJ160" s="2">
        <f t="shared" si="134"/>
        <v>0</v>
      </c>
      <c r="AK160" s="2">
        <v>93114.22</v>
      </c>
      <c r="AL160" s="2">
        <v>93114.22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3</v>
      </c>
      <c r="BJ160" s="2" t="s">
        <v>213</v>
      </c>
      <c r="BK160" s="2"/>
      <c r="BL160" s="2"/>
      <c r="BM160" s="2">
        <v>400007</v>
      </c>
      <c r="BN160" s="2">
        <v>0</v>
      </c>
      <c r="BO160" s="2" t="s">
        <v>3</v>
      </c>
      <c r="BP160" s="2">
        <v>0</v>
      </c>
      <c r="BQ160" s="2">
        <v>214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0</v>
      </c>
      <c r="CA160" s="2">
        <v>0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35"/>
        <v>93114.22</v>
      </c>
      <c r="CQ160" s="2">
        <f t="shared" si="136"/>
        <v>93114.22</v>
      </c>
      <c r="CR160" s="2">
        <f>(ROUND((ROUND(((ET160)*AV160*1),2)*BB160),2)+ROUND((ROUND(((AE160-(EU160))*AV160*1),2)*BS160),2))</f>
        <v>0</v>
      </c>
      <c r="CS160" s="2">
        <f>(ROUND((ROUND(((EU160)*AV160*1),2)*BS160),2)+ROUND((ROUND(((AE160-(EU160))*AV160*1),2)*BS160),2))</f>
        <v>0</v>
      </c>
      <c r="CT160" s="2">
        <f t="shared" si="137"/>
        <v>0</v>
      </c>
      <c r="CU160" s="2">
        <f t="shared" si="138"/>
        <v>0</v>
      </c>
      <c r="CV160" s="2">
        <f t="shared" si="139"/>
        <v>0</v>
      </c>
      <c r="CW160" s="2">
        <f t="shared" si="140"/>
        <v>0</v>
      </c>
      <c r="CX160" s="2">
        <f t="shared" si="141"/>
        <v>0</v>
      </c>
      <c r="CY160" s="2">
        <f>(ROUND((((S160+ROUND((ROUND(((EU160)*AV160*1),2)*BS160),2))*AT160)/100),2)+ROUND(((ROUND((ROUND(((AE160-(EU160))*AV160*1),2)*BS160),2)*AT160)/100),2))</f>
        <v>0</v>
      </c>
      <c r="CZ160" s="2">
        <f>(ROUND((((S160+ROUND((ROUND(((EU160)*AV160*1),2)*BS160),2))*AU160)/100),2)+ROUND(((ROUND((ROUND(((AE160-(EU160))*AV160*1),2)*BS160),2)*AU160)/100),2))</f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1013</v>
      </c>
      <c r="DV160" s="2" t="s">
        <v>148</v>
      </c>
      <c r="DW160" s="2" t="s">
        <v>148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55393630</v>
      </c>
      <c r="EF160" s="2">
        <v>214</v>
      </c>
      <c r="EG160" s="2" t="s">
        <v>149</v>
      </c>
      <c r="EH160" s="2">
        <v>0</v>
      </c>
      <c r="EI160" s="2" t="s">
        <v>3</v>
      </c>
      <c r="EJ160" s="2">
        <v>3</v>
      </c>
      <c r="EK160" s="2">
        <v>400007</v>
      </c>
      <c r="EL160" s="2" t="s">
        <v>149</v>
      </c>
      <c r="EM160" s="2" t="s">
        <v>150</v>
      </c>
      <c r="EN160" s="2"/>
      <c r="EO160" s="2" t="s">
        <v>3</v>
      </c>
      <c r="EP160" s="2"/>
      <c r="EQ160" s="2">
        <v>16</v>
      </c>
      <c r="ER160" s="2">
        <v>0</v>
      </c>
      <c r="ES160" s="2">
        <v>93114.22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f>P160</f>
        <v>93114.22</v>
      </c>
      <c r="FS160" s="2">
        <v>0</v>
      </c>
      <c r="FT160" s="2"/>
      <c r="FU160" s="2"/>
      <c r="FV160" s="2"/>
      <c r="FW160" s="2"/>
      <c r="FX160" s="2">
        <v>0</v>
      </c>
      <c r="FY160" s="2">
        <v>0</v>
      </c>
      <c r="FZ160" s="2"/>
      <c r="GA160" s="2" t="s">
        <v>215</v>
      </c>
      <c r="GB160" s="2"/>
      <c r="GC160" s="2"/>
      <c r="GD160" s="2">
        <v>1</v>
      </c>
      <c r="GE160" s="2"/>
      <c r="GF160" s="2">
        <v>-1379934942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142"/>
        <v>0</v>
      </c>
      <c r="GM160" s="2">
        <f t="shared" si="143"/>
        <v>93114.22</v>
      </c>
      <c r="GN160" s="2">
        <f t="shared" si="144"/>
        <v>0</v>
      </c>
      <c r="GO160" s="2">
        <f t="shared" si="145"/>
        <v>0</v>
      </c>
      <c r="GP160" s="2">
        <f t="shared" si="146"/>
        <v>0</v>
      </c>
      <c r="GQ160" s="2"/>
      <c r="GR160" s="2">
        <v>1</v>
      </c>
      <c r="GS160" s="2">
        <v>2</v>
      </c>
      <c r="GT160" s="2">
        <v>0</v>
      </c>
      <c r="GU160" s="2" t="s">
        <v>3</v>
      </c>
      <c r="GV160" s="2">
        <f t="shared" si="147"/>
        <v>0</v>
      </c>
      <c r="GW160" s="2">
        <v>1</v>
      </c>
      <c r="GX160" s="2">
        <f t="shared" si="148"/>
        <v>0</v>
      </c>
      <c r="GY160" s="2"/>
      <c r="GZ160" s="2"/>
      <c r="HA160" s="2">
        <v>0</v>
      </c>
      <c r="HB160" s="2">
        <v>0</v>
      </c>
      <c r="HC160" s="2">
        <f t="shared" si="149"/>
        <v>0</v>
      </c>
      <c r="HD160" s="2"/>
      <c r="HE160" s="2" t="s">
        <v>37</v>
      </c>
      <c r="HF160" s="2" t="s">
        <v>152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5">
      <c r="A161" s="3">
        <v>17</v>
      </c>
      <c r="B161" s="3">
        <v>1</v>
      </c>
      <c r="E161" s="3" t="s">
        <v>212</v>
      </c>
      <c r="F161" s="3" t="s">
        <v>213</v>
      </c>
      <c r="G161" s="3" t="s">
        <v>214</v>
      </c>
      <c r="H161" s="3" t="s">
        <v>148</v>
      </c>
      <c r="I161" s="3">
        <v>1</v>
      </c>
      <c r="J161" s="3">
        <v>0</v>
      </c>
      <c r="K161" s="3">
        <v>1</v>
      </c>
      <c r="O161" s="3">
        <f t="shared" si="125"/>
        <v>704874.65</v>
      </c>
      <c r="P161" s="3">
        <f t="shared" si="126"/>
        <v>704874.65</v>
      </c>
      <c r="Q161" s="3">
        <f>(ROUND((ROUND(((ET161)*AV161*I161),2)*BB161),2)+ROUND((ROUND(((AE161-(EU161))*AV161*I161),2)*BS161),2))</f>
        <v>0</v>
      </c>
      <c r="R161" s="3">
        <f>(ROUND((ROUND(((EU161)*AV161*I161),2)*BS161),2)+ROUND((ROUND(((AE161-(EU161))*AV161*I161),2)*BS161),2))</f>
        <v>0</v>
      </c>
      <c r="S161" s="3">
        <f t="shared" si="127"/>
        <v>0</v>
      </c>
      <c r="T161" s="3">
        <f t="shared" si="128"/>
        <v>0</v>
      </c>
      <c r="U161" s="3">
        <f t="shared" si="129"/>
        <v>0</v>
      </c>
      <c r="V161" s="3">
        <f t="shared" si="130"/>
        <v>0</v>
      </c>
      <c r="W161" s="3">
        <f t="shared" si="131"/>
        <v>0</v>
      </c>
      <c r="X161" s="3">
        <f>(ROUND((((S161+ROUND((ROUND(((EU161)*AV161*I161),2)*BS161),2))*AT161)/100),2)+ROUND(((ROUND((ROUND(((AE161-(EU161))*AV161*I161),2)*BS161),2)*AT161)/100),2))</f>
        <v>0</v>
      </c>
      <c r="Y161" s="3">
        <f>(ROUND((((S161+ROUND((ROUND(((EU161)*AV161*I161),2)*BS161),2))*AU161)/100),2)+ROUND(((ROUND((ROUND(((AE161-(EU161))*AV161*I161),2)*BS161),2)*AU161)/100),2))</f>
        <v>0</v>
      </c>
      <c r="AA161" s="3">
        <v>55917799</v>
      </c>
      <c r="AB161" s="3">
        <f t="shared" si="132"/>
        <v>93114.22</v>
      </c>
      <c r="AC161" s="3">
        <f>ROUND((ES161),6)</f>
        <v>93114.22</v>
      </c>
      <c r="AD161" s="3">
        <f>ROUND((((ET161)-(EU161))+AE161),6)</f>
        <v>0</v>
      </c>
      <c r="AE161" s="3">
        <f>ROUND((EU161),6)</f>
        <v>0</v>
      </c>
      <c r="AF161" s="3">
        <f>ROUND((EV161),6)</f>
        <v>0</v>
      </c>
      <c r="AG161" s="3">
        <f t="shared" si="133"/>
        <v>0</v>
      </c>
      <c r="AH161" s="3">
        <f>(EW161)</f>
        <v>0</v>
      </c>
      <c r="AI161" s="3">
        <f>(EX161)</f>
        <v>0</v>
      </c>
      <c r="AJ161" s="3">
        <f t="shared" si="134"/>
        <v>0</v>
      </c>
      <c r="AK161" s="3">
        <v>93114.22</v>
      </c>
      <c r="AL161" s="3">
        <v>93114.22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1</v>
      </c>
      <c r="AW161" s="3">
        <v>1</v>
      </c>
      <c r="AZ161" s="3">
        <v>1</v>
      </c>
      <c r="BA161" s="3">
        <v>1</v>
      </c>
      <c r="BB161" s="3">
        <v>1</v>
      </c>
      <c r="BC161" s="3">
        <v>7.57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3</v>
      </c>
      <c r="BI161" s="3">
        <v>3</v>
      </c>
      <c r="BJ161" s="3" t="s">
        <v>213</v>
      </c>
      <c r="BM161" s="3">
        <v>400007</v>
      </c>
      <c r="BN161" s="3">
        <v>0</v>
      </c>
      <c r="BO161" s="3" t="s">
        <v>3</v>
      </c>
      <c r="BP161" s="3">
        <v>0</v>
      </c>
      <c r="BQ161" s="3">
        <v>214</v>
      </c>
      <c r="BR161" s="3">
        <v>0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0</v>
      </c>
      <c r="CA161" s="3">
        <v>0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3</v>
      </c>
      <c r="CO161" s="3">
        <v>0</v>
      </c>
      <c r="CP161" s="3">
        <f t="shared" si="135"/>
        <v>704874.65</v>
      </c>
      <c r="CQ161" s="3">
        <f t="shared" si="136"/>
        <v>704874.65</v>
      </c>
      <c r="CR161" s="3">
        <f>(ROUND((ROUND(((ET161)*AV161*1),2)*BB161),2)+ROUND((ROUND(((AE161-(EU161))*AV161*1),2)*BS161),2))</f>
        <v>0</v>
      </c>
      <c r="CS161" s="3">
        <f>(ROUND((ROUND(((EU161)*AV161*1),2)*BS161),2)+ROUND((ROUND(((AE161-(EU161))*AV161*1),2)*BS161),2))</f>
        <v>0</v>
      </c>
      <c r="CT161" s="3">
        <f t="shared" si="137"/>
        <v>0</v>
      </c>
      <c r="CU161" s="3">
        <f t="shared" si="138"/>
        <v>0</v>
      </c>
      <c r="CV161" s="3">
        <f t="shared" si="139"/>
        <v>0</v>
      </c>
      <c r="CW161" s="3">
        <f t="shared" si="140"/>
        <v>0</v>
      </c>
      <c r="CX161" s="3">
        <f t="shared" si="141"/>
        <v>0</v>
      </c>
      <c r="CY161" s="3">
        <f>(ROUND((((S161+ROUND((ROUND(((EU161)*AV161*1),2)*BS161),2))*AT161)/100),2)+ROUND(((ROUND((ROUND(((AE161-(EU161))*AV161*1),2)*BS161),2)*AT161)/100),2))</f>
        <v>0</v>
      </c>
      <c r="CZ161" s="3">
        <f>(ROUND((((S161+ROUND((ROUND(((EU161)*AV161*1),2)*BS161),2))*AU161)/100),2)+ROUND(((ROUND((ROUND(((AE161-(EU161))*AV161*1),2)*BS161),2)*AU161)/100),2))</f>
        <v>0</v>
      </c>
      <c r="DC161" s="3" t="s">
        <v>3</v>
      </c>
      <c r="DD161" s="3" t="s">
        <v>3</v>
      </c>
      <c r="DE161" s="3" t="s">
        <v>3</v>
      </c>
      <c r="DF161" s="3" t="s">
        <v>3</v>
      </c>
      <c r="DG161" s="3" t="s">
        <v>3</v>
      </c>
      <c r="DH161" s="3" t="s">
        <v>3</v>
      </c>
      <c r="DI161" s="3" t="s">
        <v>3</v>
      </c>
      <c r="DJ161" s="3" t="s">
        <v>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1013</v>
      </c>
      <c r="DV161" s="3" t="s">
        <v>148</v>
      </c>
      <c r="DW161" s="3" t="s">
        <v>148</v>
      </c>
      <c r="DX161" s="3">
        <v>1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55393630</v>
      </c>
      <c r="EF161" s="3">
        <v>214</v>
      </c>
      <c r="EG161" s="3" t="s">
        <v>149</v>
      </c>
      <c r="EH161" s="3">
        <v>0</v>
      </c>
      <c r="EI161" s="3" t="s">
        <v>3</v>
      </c>
      <c r="EJ161" s="3">
        <v>3</v>
      </c>
      <c r="EK161" s="3">
        <v>400007</v>
      </c>
      <c r="EL161" s="3" t="s">
        <v>149</v>
      </c>
      <c r="EM161" s="3" t="s">
        <v>150</v>
      </c>
      <c r="EO161" s="3" t="s">
        <v>3</v>
      </c>
      <c r="EQ161" s="3">
        <v>16</v>
      </c>
      <c r="ER161" s="3">
        <v>0</v>
      </c>
      <c r="ES161" s="3">
        <v>93114.22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5</v>
      </c>
      <c r="FC161" s="3">
        <v>1</v>
      </c>
      <c r="FD161" s="3">
        <v>18</v>
      </c>
      <c r="FF161" s="3">
        <v>825000</v>
      </c>
      <c r="FQ161" s="3">
        <v>0</v>
      </c>
      <c r="FR161" s="3">
        <f>P161</f>
        <v>704874.65</v>
      </c>
      <c r="FS161" s="3">
        <v>0</v>
      </c>
      <c r="FX161" s="3">
        <v>0</v>
      </c>
      <c r="FY161" s="3">
        <v>0</v>
      </c>
      <c r="GA161" s="3" t="s">
        <v>215</v>
      </c>
      <c r="GD161" s="3">
        <v>1</v>
      </c>
      <c r="GF161" s="3">
        <v>-1379934942</v>
      </c>
      <c r="GG161" s="3">
        <v>2</v>
      </c>
      <c r="GH161" s="3">
        <v>3</v>
      </c>
      <c r="GI161" s="3">
        <v>5</v>
      </c>
      <c r="GJ161" s="3">
        <v>0</v>
      </c>
      <c r="GK161" s="3">
        <v>0</v>
      </c>
      <c r="GL161" s="3">
        <f t="shared" si="142"/>
        <v>0</v>
      </c>
      <c r="GM161" s="3">
        <f t="shared" si="143"/>
        <v>704874.65</v>
      </c>
      <c r="GN161" s="3">
        <f t="shared" si="144"/>
        <v>0</v>
      </c>
      <c r="GO161" s="3">
        <f t="shared" si="145"/>
        <v>0</v>
      </c>
      <c r="GP161" s="3">
        <f t="shared" si="146"/>
        <v>0</v>
      </c>
      <c r="GR161" s="3">
        <v>1</v>
      </c>
      <c r="GS161" s="3">
        <v>1</v>
      </c>
      <c r="GT161" s="3">
        <v>0</v>
      </c>
      <c r="GU161" s="3" t="s">
        <v>3</v>
      </c>
      <c r="GV161" s="3">
        <f t="shared" si="147"/>
        <v>0</v>
      </c>
      <c r="GW161" s="3">
        <v>1</v>
      </c>
      <c r="GX161" s="3">
        <f t="shared" si="148"/>
        <v>0</v>
      </c>
      <c r="HA161" s="3">
        <v>0</v>
      </c>
      <c r="HB161" s="3">
        <v>0</v>
      </c>
      <c r="HC161" s="3">
        <f t="shared" si="149"/>
        <v>0</v>
      </c>
      <c r="HE161" s="3" t="s">
        <v>37</v>
      </c>
      <c r="HF161" s="3" t="s">
        <v>152</v>
      </c>
      <c r="HM161" s="3" t="s">
        <v>3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5">
      <c r="A162" s="2">
        <v>17</v>
      </c>
      <c r="B162" s="2">
        <v>1</v>
      </c>
      <c r="C162" s="2">
        <f>ROW(SmtRes!A276)</f>
        <v>276</v>
      </c>
      <c r="D162" s="2">
        <f>ROW(EtalonRes!A310)</f>
        <v>310</v>
      </c>
      <c r="E162" s="2" t="s">
        <v>216</v>
      </c>
      <c r="F162" s="2" t="s">
        <v>74</v>
      </c>
      <c r="G162" s="2" t="s">
        <v>217</v>
      </c>
      <c r="H162" s="2" t="s">
        <v>40</v>
      </c>
      <c r="I162" s="2">
        <v>1</v>
      </c>
      <c r="J162" s="2">
        <v>0</v>
      </c>
      <c r="K162" s="2">
        <v>1</v>
      </c>
      <c r="L162" s="2"/>
      <c r="M162" s="2"/>
      <c r="N162" s="2"/>
      <c r="O162" s="2">
        <f t="shared" si="125"/>
        <v>52.16</v>
      </c>
      <c r="P162" s="2">
        <f t="shared" si="126"/>
        <v>0.18</v>
      </c>
      <c r="Q162" s="2">
        <f>(ROUND((ROUND((((ET162*1.2))*AV162*I162),2)*BB162),2)+ROUND((ROUND(((AE162-((EU162*1.2)))*AV162*I162),2)*BS162),2))</f>
        <v>0</v>
      </c>
      <c r="R162" s="2">
        <f>(ROUND((ROUND((((EU162*1.2))*AV162*I162),2)*BS162),2)+ROUND((ROUND(((AE162-((EU162*1.2)))*AV162*I162),2)*BS162),2))</f>
        <v>0</v>
      </c>
      <c r="S162" s="2">
        <f t="shared" si="127"/>
        <v>51.98</v>
      </c>
      <c r="T162" s="2">
        <f t="shared" si="128"/>
        <v>0</v>
      </c>
      <c r="U162" s="2">
        <f t="shared" si="129"/>
        <v>3.6131879999999996</v>
      </c>
      <c r="V162" s="2">
        <f t="shared" si="130"/>
        <v>0</v>
      </c>
      <c r="W162" s="2">
        <f t="shared" si="131"/>
        <v>0</v>
      </c>
      <c r="X162" s="2">
        <f>(ROUND((((S162+ROUND((ROUND((((EU162*1.2))*AV162*I162),2)*BS162),2))*AT162)/100),2)+ROUND(((ROUND((ROUND(((AE162-((EU162*1.2)))*AV162*I162),2)*BS162),2)*AT162)/100),2))</f>
        <v>49.38</v>
      </c>
      <c r="Y162" s="2">
        <f>(ROUND((((S162+ROUND((ROUND((((EU162*1.2))*AV162*I162),2)*BS162),2))*AU162)/100),2)+ROUND(((ROUND((ROUND(((AE162-((EU162*1.2)))*AV162*I162),2)*BS162),2)*AU162)/100),2))</f>
        <v>27.55</v>
      </c>
      <c r="Z162" s="2"/>
      <c r="AA162" s="2">
        <v>55917797</v>
      </c>
      <c r="AB162" s="2">
        <f t="shared" si="132"/>
        <v>48</v>
      </c>
      <c r="AC162" s="2">
        <f>ROUND(((ES162*1)),6)</f>
        <v>0.18</v>
      </c>
      <c r="AD162" s="2">
        <f>ROUND(((((ET162*1.2))-((EU162*1.2)))+AE162),6)</f>
        <v>0</v>
      </c>
      <c r="AE162" s="2">
        <f>ROUND(((EU162*1.2)),6)</f>
        <v>0</v>
      </c>
      <c r="AF162" s="2">
        <f>ROUND(((EV162*1.2)),6)</f>
        <v>47.82</v>
      </c>
      <c r="AG162" s="2">
        <f t="shared" si="133"/>
        <v>0</v>
      </c>
      <c r="AH162" s="2">
        <f>((EW162*1.2))</f>
        <v>3.3239999999999998</v>
      </c>
      <c r="AI162" s="2">
        <f>((EX162*1.2))</f>
        <v>0</v>
      </c>
      <c r="AJ162" s="2">
        <f t="shared" si="134"/>
        <v>0</v>
      </c>
      <c r="AK162" s="2">
        <v>40.03</v>
      </c>
      <c r="AL162" s="2">
        <v>0.18</v>
      </c>
      <c r="AM162" s="2">
        <v>0</v>
      </c>
      <c r="AN162" s="2">
        <v>0</v>
      </c>
      <c r="AO162" s="2">
        <v>39.85</v>
      </c>
      <c r="AP162" s="2">
        <v>0</v>
      </c>
      <c r="AQ162" s="2">
        <v>2.77</v>
      </c>
      <c r="AR162" s="2">
        <v>0</v>
      </c>
      <c r="AS162" s="2">
        <v>0</v>
      </c>
      <c r="AT162" s="2">
        <v>95</v>
      </c>
      <c r="AU162" s="2">
        <v>53</v>
      </c>
      <c r="AV162" s="2">
        <v>1.087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0</v>
      </c>
      <c r="BI162" s="2">
        <v>2</v>
      </c>
      <c r="BJ162" s="2" t="s">
        <v>76</v>
      </c>
      <c r="BK162" s="2"/>
      <c r="BL162" s="2"/>
      <c r="BM162" s="2">
        <v>69</v>
      </c>
      <c r="BN162" s="2">
        <v>0</v>
      </c>
      <c r="BO162" s="2" t="s">
        <v>74</v>
      </c>
      <c r="BP162" s="2">
        <v>1</v>
      </c>
      <c r="BQ162" s="2">
        <v>40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95</v>
      </c>
      <c r="CA162" s="2">
        <v>53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618</v>
      </c>
      <c r="CO162" s="2">
        <v>0</v>
      </c>
      <c r="CP162" s="2">
        <f t="shared" si="135"/>
        <v>52.16</v>
      </c>
      <c r="CQ162" s="2">
        <f t="shared" si="136"/>
        <v>0.18</v>
      </c>
      <c r="CR162" s="2">
        <f>(ROUND((ROUND((((ET162*1.2))*AV162*1),2)*BB162),2)+ROUND((ROUND(((AE162-((EU162*1.2)))*AV162*1),2)*BS162),2))</f>
        <v>0</v>
      </c>
      <c r="CS162" s="2">
        <f>(ROUND((ROUND((((EU162*1.2))*AV162*1),2)*BS162),2)+ROUND((ROUND(((AE162-((EU162*1.2)))*AV162*1),2)*BS162),2))</f>
        <v>0</v>
      </c>
      <c r="CT162" s="2">
        <f t="shared" si="137"/>
        <v>51.98</v>
      </c>
      <c r="CU162" s="2">
        <f t="shared" si="138"/>
        <v>0</v>
      </c>
      <c r="CV162" s="2">
        <f t="shared" si="139"/>
        <v>3.6131879999999996</v>
      </c>
      <c r="CW162" s="2">
        <f t="shared" si="140"/>
        <v>0</v>
      </c>
      <c r="CX162" s="2">
        <f t="shared" si="141"/>
        <v>0</v>
      </c>
      <c r="CY162" s="2">
        <f>(ROUND((((S162+ROUND((ROUND((((EU162*1.2))*AV162*1),2)*BS162),2))*AT162)/100),2)+ROUND(((ROUND((ROUND(((AE162-((EU162*1.2)))*AV162*1),2)*BS162),2)*AT162)/100),2))</f>
        <v>49.38</v>
      </c>
      <c r="CZ162" s="2">
        <f>(ROUND((((S162+ROUND((ROUND((((EU162*1.2))*AV162*1),2)*BS162),2))*AU162)/100),2)+ROUND(((ROUND((ROUND(((AE162-((EU162*1.2)))*AV162*1),2)*BS162),2)*AU162)/100),2))</f>
        <v>27.55</v>
      </c>
      <c r="DA162" s="2"/>
      <c r="DB162" s="2">
        <v>67</v>
      </c>
      <c r="DC162" s="2" t="s">
        <v>3</v>
      </c>
      <c r="DD162" s="2" t="s">
        <v>55</v>
      </c>
      <c r="DE162" s="2" t="s">
        <v>56</v>
      </c>
      <c r="DF162" s="2" t="s">
        <v>56</v>
      </c>
      <c r="DG162" s="2" t="s">
        <v>56</v>
      </c>
      <c r="DH162" s="2" t="s">
        <v>3</v>
      </c>
      <c r="DI162" s="2" t="s">
        <v>56</v>
      </c>
      <c r="DJ162" s="2" t="s">
        <v>56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1013</v>
      </c>
      <c r="DV162" s="2" t="s">
        <v>40</v>
      </c>
      <c r="DW162" s="2" t="s">
        <v>40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55393701</v>
      </c>
      <c r="EF162" s="2">
        <v>40</v>
      </c>
      <c r="EG162" s="2" t="s">
        <v>26</v>
      </c>
      <c r="EH162" s="2">
        <v>0</v>
      </c>
      <c r="EI162" s="2" t="s">
        <v>3</v>
      </c>
      <c r="EJ162" s="2">
        <v>2</v>
      </c>
      <c r="EK162" s="2">
        <v>69</v>
      </c>
      <c r="EL162" s="2" t="s">
        <v>27</v>
      </c>
      <c r="EM162" s="2" t="s">
        <v>28</v>
      </c>
      <c r="EN162" s="2"/>
      <c r="EO162" s="2" t="s">
        <v>60</v>
      </c>
      <c r="EP162" s="2"/>
      <c r="EQ162" s="2">
        <v>0</v>
      </c>
      <c r="ER162" s="2">
        <v>40.03</v>
      </c>
      <c r="ES162" s="2">
        <v>0.18</v>
      </c>
      <c r="ET162" s="2">
        <v>0</v>
      </c>
      <c r="EU162" s="2">
        <v>0</v>
      </c>
      <c r="EV162" s="2">
        <v>39.85</v>
      </c>
      <c r="EW162" s="2">
        <v>2.77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v>0</v>
      </c>
      <c r="FS162" s="2">
        <v>0</v>
      </c>
      <c r="FT162" s="2"/>
      <c r="FU162" s="2"/>
      <c r="FV162" s="2"/>
      <c r="FW162" s="2"/>
      <c r="FX162" s="2">
        <v>95</v>
      </c>
      <c r="FY162" s="2">
        <v>53</v>
      </c>
      <c r="FZ162" s="2"/>
      <c r="GA162" s="2" t="s">
        <v>3</v>
      </c>
      <c r="GB162" s="2"/>
      <c r="GC162" s="2"/>
      <c r="GD162" s="2">
        <v>1</v>
      </c>
      <c r="GE162" s="2"/>
      <c r="GF162" s="2">
        <v>2002393274</v>
      </c>
      <c r="GG162" s="2">
        <v>2</v>
      </c>
      <c r="GH162" s="2">
        <v>1</v>
      </c>
      <c r="GI162" s="2">
        <v>2</v>
      </c>
      <c r="GJ162" s="2">
        <v>0</v>
      </c>
      <c r="GK162" s="2">
        <v>0</v>
      </c>
      <c r="GL162" s="2">
        <f t="shared" si="142"/>
        <v>0</v>
      </c>
      <c r="GM162" s="2">
        <f t="shared" si="143"/>
        <v>129.09</v>
      </c>
      <c r="GN162" s="2">
        <f t="shared" si="144"/>
        <v>0</v>
      </c>
      <c r="GO162" s="2">
        <f t="shared" si="145"/>
        <v>129.09</v>
      </c>
      <c r="GP162" s="2">
        <f t="shared" si="146"/>
        <v>0</v>
      </c>
      <c r="GQ162" s="2"/>
      <c r="GR162" s="2">
        <v>0</v>
      </c>
      <c r="GS162" s="2">
        <v>3</v>
      </c>
      <c r="GT162" s="2">
        <v>0</v>
      </c>
      <c r="GU162" s="2" t="s">
        <v>3</v>
      </c>
      <c r="GV162" s="2">
        <f t="shared" si="147"/>
        <v>0</v>
      </c>
      <c r="GW162" s="2">
        <v>1</v>
      </c>
      <c r="GX162" s="2">
        <f t="shared" si="148"/>
        <v>0</v>
      </c>
      <c r="GY162" s="2"/>
      <c r="GZ162" s="2"/>
      <c r="HA162" s="2">
        <v>0</v>
      </c>
      <c r="HB162" s="2">
        <v>0</v>
      </c>
      <c r="HC162" s="2">
        <f t="shared" si="149"/>
        <v>0</v>
      </c>
      <c r="HD162" s="2"/>
      <c r="HE162" s="2" t="s">
        <v>3</v>
      </c>
      <c r="HF162" s="2" t="s">
        <v>3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5">
      <c r="A163" s="3">
        <v>17</v>
      </c>
      <c r="B163" s="3">
        <v>1</v>
      </c>
      <c r="C163" s="3">
        <f>ROW(SmtRes!A278)</f>
        <v>278</v>
      </c>
      <c r="D163" s="3">
        <f>ROW(EtalonRes!A312)</f>
        <v>312</v>
      </c>
      <c r="E163" s="3" t="s">
        <v>216</v>
      </c>
      <c r="F163" s="3" t="s">
        <v>74</v>
      </c>
      <c r="G163" s="3" t="s">
        <v>217</v>
      </c>
      <c r="H163" s="3" t="s">
        <v>40</v>
      </c>
      <c r="I163" s="3">
        <v>1</v>
      </c>
      <c r="J163" s="3">
        <v>0</v>
      </c>
      <c r="K163" s="3">
        <v>1</v>
      </c>
      <c r="O163" s="3">
        <f t="shared" si="125"/>
        <v>2930.08</v>
      </c>
      <c r="P163" s="3">
        <f t="shared" si="126"/>
        <v>1.01</v>
      </c>
      <c r="Q163" s="3">
        <f>(ROUND((ROUND((((ET163*1.2))*AV163*I163),2)*BB163),2)+ROUND((ROUND(((AE163-((EU163*1.2)))*AV163*I163),2)*BS163),2))</f>
        <v>0</v>
      </c>
      <c r="R163" s="3">
        <f>(ROUND((ROUND((((EU163*1.2))*AV163*I163),2)*BS163),2)+ROUND((ROUND(((AE163-((EU163*1.2)))*AV163*I163),2)*BS163),2))</f>
        <v>0</v>
      </c>
      <c r="S163" s="3">
        <f t="shared" si="127"/>
        <v>2929.07</v>
      </c>
      <c r="T163" s="3">
        <f t="shared" si="128"/>
        <v>0</v>
      </c>
      <c r="U163" s="3">
        <f t="shared" si="129"/>
        <v>3.6131879999999996</v>
      </c>
      <c r="V163" s="3">
        <f t="shared" si="130"/>
        <v>0</v>
      </c>
      <c r="W163" s="3">
        <f t="shared" si="131"/>
        <v>0</v>
      </c>
      <c r="X163" s="3">
        <f>(ROUND((((S163+ROUND((ROUND((((EU163*1.2))*AV163*I163),2)*BS163),2))*AT163)/100),2)+ROUND(((ROUND((ROUND(((AE163-((EU163*1.2)))*AV163*I163),2)*BS163),2)*AT163)/100),2))</f>
        <v>2782.62</v>
      </c>
      <c r="Y163" s="3">
        <f>(ROUND((((S163+ROUND((ROUND((((EU163*1.2))*AV163*I163),2)*BS163),2))*AU163)/100),2)+ROUND(((ROUND((ROUND(((AE163-((EU163*1.2)))*AV163*I163),2)*BS163),2)*AU163)/100),2))</f>
        <v>1552.41</v>
      </c>
      <c r="AA163" s="3">
        <v>55917799</v>
      </c>
      <c r="AB163" s="3">
        <f t="shared" si="132"/>
        <v>48</v>
      </c>
      <c r="AC163" s="3">
        <f>ROUND(((ES163*1)),6)</f>
        <v>0.18</v>
      </c>
      <c r="AD163" s="3">
        <f>ROUND(((((ET163*1.2))-((EU163*1.2)))+AE163),6)</f>
        <v>0</v>
      </c>
      <c r="AE163" s="3">
        <f>ROUND(((EU163*1.2)),6)</f>
        <v>0</v>
      </c>
      <c r="AF163" s="3">
        <f>ROUND(((EV163*1.2)),6)</f>
        <v>47.82</v>
      </c>
      <c r="AG163" s="3">
        <f t="shared" si="133"/>
        <v>0</v>
      </c>
      <c r="AH163" s="3">
        <f>((EW163*1.2))</f>
        <v>3.3239999999999998</v>
      </c>
      <c r="AI163" s="3">
        <f>((EX163*1.2))</f>
        <v>0</v>
      </c>
      <c r="AJ163" s="3">
        <f t="shared" si="134"/>
        <v>0</v>
      </c>
      <c r="AK163" s="3">
        <v>40.03</v>
      </c>
      <c r="AL163" s="3">
        <v>0.18</v>
      </c>
      <c r="AM163" s="3">
        <v>0</v>
      </c>
      <c r="AN163" s="3">
        <v>0</v>
      </c>
      <c r="AO163" s="3">
        <v>39.85</v>
      </c>
      <c r="AP163" s="3">
        <v>0</v>
      </c>
      <c r="AQ163" s="3">
        <v>2.77</v>
      </c>
      <c r="AR163" s="3">
        <v>0</v>
      </c>
      <c r="AS163" s="3">
        <v>0</v>
      </c>
      <c r="AT163" s="3">
        <v>95</v>
      </c>
      <c r="AU163" s="3">
        <v>53</v>
      </c>
      <c r="AV163" s="3">
        <v>1.087</v>
      </c>
      <c r="AW163" s="3">
        <v>1</v>
      </c>
      <c r="AZ163" s="3">
        <v>1</v>
      </c>
      <c r="BA163" s="3">
        <v>56.35</v>
      </c>
      <c r="BB163" s="3">
        <v>1</v>
      </c>
      <c r="BC163" s="3">
        <v>5.61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0</v>
      </c>
      <c r="BI163" s="3">
        <v>2</v>
      </c>
      <c r="BJ163" s="3" t="s">
        <v>76</v>
      </c>
      <c r="BM163" s="3">
        <v>69</v>
      </c>
      <c r="BN163" s="3">
        <v>0</v>
      </c>
      <c r="BO163" s="3" t="s">
        <v>74</v>
      </c>
      <c r="BP163" s="3">
        <v>1</v>
      </c>
      <c r="BQ163" s="3">
        <v>40</v>
      </c>
      <c r="BR163" s="3">
        <v>0</v>
      </c>
      <c r="BS163" s="3">
        <v>56.35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95</v>
      </c>
      <c r="CA163" s="3">
        <v>53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618</v>
      </c>
      <c r="CO163" s="3">
        <v>0</v>
      </c>
      <c r="CP163" s="3">
        <f t="shared" si="135"/>
        <v>2930.0800000000004</v>
      </c>
      <c r="CQ163" s="3">
        <f t="shared" si="136"/>
        <v>1.01</v>
      </c>
      <c r="CR163" s="3">
        <f>(ROUND((ROUND((((ET163*1.2))*AV163*1),2)*BB163),2)+ROUND((ROUND(((AE163-((EU163*1.2)))*AV163*1),2)*BS163),2))</f>
        <v>0</v>
      </c>
      <c r="CS163" s="3">
        <f>(ROUND((ROUND((((EU163*1.2))*AV163*1),2)*BS163),2)+ROUND((ROUND(((AE163-((EU163*1.2)))*AV163*1),2)*BS163),2))</f>
        <v>0</v>
      </c>
      <c r="CT163" s="3">
        <f t="shared" si="137"/>
        <v>2929.07</v>
      </c>
      <c r="CU163" s="3">
        <f t="shared" si="138"/>
        <v>0</v>
      </c>
      <c r="CV163" s="3">
        <f t="shared" si="139"/>
        <v>3.6131879999999996</v>
      </c>
      <c r="CW163" s="3">
        <f t="shared" si="140"/>
        <v>0</v>
      </c>
      <c r="CX163" s="3">
        <f t="shared" si="141"/>
        <v>0</v>
      </c>
      <c r="CY163" s="3">
        <f>(ROUND((((S163+ROUND((ROUND((((EU163*1.2))*AV163*1),2)*BS163),2))*AT163)/100),2)+ROUND(((ROUND((ROUND(((AE163-((EU163*1.2)))*AV163*1),2)*BS163),2)*AT163)/100),2))</f>
        <v>2782.62</v>
      </c>
      <c r="CZ163" s="3">
        <f>(ROUND((((S163+ROUND((ROUND((((EU163*1.2))*AV163*1),2)*BS163),2))*AU163)/100),2)+ROUND(((ROUND((ROUND(((AE163-((EU163*1.2)))*AV163*1),2)*BS163),2)*AU163)/100),2))</f>
        <v>1552.41</v>
      </c>
      <c r="DB163" s="3">
        <v>68</v>
      </c>
      <c r="DC163" s="3" t="s">
        <v>3</v>
      </c>
      <c r="DD163" s="3" t="s">
        <v>55</v>
      </c>
      <c r="DE163" s="3" t="s">
        <v>56</v>
      </c>
      <c r="DF163" s="3" t="s">
        <v>56</v>
      </c>
      <c r="DG163" s="3" t="s">
        <v>56</v>
      </c>
      <c r="DH163" s="3" t="s">
        <v>3</v>
      </c>
      <c r="DI163" s="3" t="s">
        <v>56</v>
      </c>
      <c r="DJ163" s="3" t="s">
        <v>56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1013</v>
      </c>
      <c r="DV163" s="3" t="s">
        <v>40</v>
      </c>
      <c r="DW163" s="3" t="s">
        <v>40</v>
      </c>
      <c r="DX163" s="3">
        <v>1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55393701</v>
      </c>
      <c r="EF163" s="3">
        <v>40</v>
      </c>
      <c r="EG163" s="3" t="s">
        <v>26</v>
      </c>
      <c r="EH163" s="3">
        <v>0</v>
      </c>
      <c r="EI163" s="3" t="s">
        <v>3</v>
      </c>
      <c r="EJ163" s="3">
        <v>2</v>
      </c>
      <c r="EK163" s="3">
        <v>69</v>
      </c>
      <c r="EL163" s="3" t="s">
        <v>27</v>
      </c>
      <c r="EM163" s="3" t="s">
        <v>28</v>
      </c>
      <c r="EO163" s="3" t="s">
        <v>60</v>
      </c>
      <c r="EQ163" s="3">
        <v>0</v>
      </c>
      <c r="ER163" s="3">
        <v>40.03</v>
      </c>
      <c r="ES163" s="3">
        <v>0.18</v>
      </c>
      <c r="ET163" s="3">
        <v>0</v>
      </c>
      <c r="EU163" s="3">
        <v>0</v>
      </c>
      <c r="EV163" s="3">
        <v>39.85</v>
      </c>
      <c r="EW163" s="3">
        <v>2.77</v>
      </c>
      <c r="EX163" s="3">
        <v>0</v>
      </c>
      <c r="EY163" s="3">
        <v>0</v>
      </c>
      <c r="FQ163" s="3">
        <v>0</v>
      </c>
      <c r="FR163" s="3">
        <v>0</v>
      </c>
      <c r="FS163" s="3">
        <v>0</v>
      </c>
      <c r="FX163" s="3">
        <v>95</v>
      </c>
      <c r="FY163" s="3">
        <v>53</v>
      </c>
      <c r="GA163" s="3" t="s">
        <v>3</v>
      </c>
      <c r="GD163" s="3">
        <v>1</v>
      </c>
      <c r="GF163" s="3">
        <v>2002393274</v>
      </c>
      <c r="GG163" s="3">
        <v>2</v>
      </c>
      <c r="GH163" s="3">
        <v>1</v>
      </c>
      <c r="GI163" s="3">
        <v>2</v>
      </c>
      <c r="GJ163" s="3">
        <v>0</v>
      </c>
      <c r="GK163" s="3">
        <v>0</v>
      </c>
      <c r="GL163" s="3">
        <f t="shared" si="142"/>
        <v>0</v>
      </c>
      <c r="GM163" s="3">
        <f t="shared" si="143"/>
        <v>7265.11</v>
      </c>
      <c r="GN163" s="3">
        <f t="shared" si="144"/>
        <v>0</v>
      </c>
      <c r="GO163" s="3">
        <f t="shared" si="145"/>
        <v>7265.11</v>
      </c>
      <c r="GP163" s="3">
        <f t="shared" si="146"/>
        <v>0</v>
      </c>
      <c r="GR163" s="3">
        <v>0</v>
      </c>
      <c r="GS163" s="3">
        <v>3</v>
      </c>
      <c r="GT163" s="3">
        <v>0</v>
      </c>
      <c r="GU163" s="3" t="s">
        <v>3</v>
      </c>
      <c r="GV163" s="3">
        <f t="shared" si="147"/>
        <v>0</v>
      </c>
      <c r="GW163" s="3">
        <v>1</v>
      </c>
      <c r="GX163" s="3">
        <f t="shared" si="148"/>
        <v>0</v>
      </c>
      <c r="HA163" s="3">
        <v>0</v>
      </c>
      <c r="HB163" s="3">
        <v>0</v>
      </c>
      <c r="HC163" s="3">
        <f t="shared" si="149"/>
        <v>0</v>
      </c>
      <c r="HE163" s="3" t="s">
        <v>3</v>
      </c>
      <c r="HF163" s="3" t="s">
        <v>3</v>
      </c>
      <c r="HM163" s="3" t="s">
        <v>3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5">
      <c r="A164" s="2">
        <v>17</v>
      </c>
      <c r="B164" s="2">
        <v>1</v>
      </c>
      <c r="C164" s="2"/>
      <c r="D164" s="2"/>
      <c r="E164" s="2" t="s">
        <v>218</v>
      </c>
      <c r="F164" s="2" t="s">
        <v>219</v>
      </c>
      <c r="G164" s="2" t="s">
        <v>220</v>
      </c>
      <c r="H164" s="2" t="s">
        <v>148</v>
      </c>
      <c r="I164" s="2">
        <v>1</v>
      </c>
      <c r="J164" s="2">
        <v>0</v>
      </c>
      <c r="K164" s="2">
        <v>1</v>
      </c>
      <c r="L164" s="2"/>
      <c r="M164" s="2"/>
      <c r="N164" s="2"/>
      <c r="O164" s="2">
        <f t="shared" si="125"/>
        <v>1399.54</v>
      </c>
      <c r="P164" s="2">
        <f t="shared" si="126"/>
        <v>1399.54</v>
      </c>
      <c r="Q164" s="2">
        <f>(ROUND((ROUND(((ET164)*AV164*I164),2)*BB164),2)+ROUND((ROUND(((AE164-(EU164))*AV164*I164),2)*BS164),2))</f>
        <v>0</v>
      </c>
      <c r="R164" s="2">
        <f>(ROUND((ROUND(((EU164)*AV164*I164),2)*BS164),2)+ROUND((ROUND(((AE164-(EU164))*AV164*I164),2)*BS164),2))</f>
        <v>0</v>
      </c>
      <c r="S164" s="2">
        <f t="shared" si="127"/>
        <v>0</v>
      </c>
      <c r="T164" s="2">
        <f t="shared" si="128"/>
        <v>0</v>
      </c>
      <c r="U164" s="2">
        <f t="shared" si="129"/>
        <v>0</v>
      </c>
      <c r="V164" s="2">
        <f t="shared" si="130"/>
        <v>0</v>
      </c>
      <c r="W164" s="2">
        <f t="shared" si="131"/>
        <v>0</v>
      </c>
      <c r="X164" s="2">
        <f>(ROUND((((S164+ROUND((ROUND(((EU164)*AV164*I164),2)*BS164),2))*AT164)/100),2)+ROUND(((ROUND((ROUND(((AE164-(EU164))*AV164*I164),2)*BS164),2)*AT164)/100),2))</f>
        <v>0</v>
      </c>
      <c r="Y164" s="2">
        <f>(ROUND((((S164+ROUND((ROUND(((EU164)*AV164*I164),2)*BS164),2))*AU164)/100),2)+ROUND(((ROUND((ROUND(((AE164-(EU164))*AV164*I164),2)*BS164),2)*AU164)/100),2))</f>
        <v>0</v>
      </c>
      <c r="Z164" s="2"/>
      <c r="AA164" s="2">
        <v>55917797</v>
      </c>
      <c r="AB164" s="2">
        <f t="shared" si="132"/>
        <v>1399.54</v>
      </c>
      <c r="AC164" s="2">
        <f>ROUND((ES164),6)</f>
        <v>1399.54</v>
      </c>
      <c r="AD164" s="2">
        <f>ROUND((((ET164)-(EU164))+AE164),6)</f>
        <v>0</v>
      </c>
      <c r="AE164" s="2">
        <f>ROUND((EU164),6)</f>
        <v>0</v>
      </c>
      <c r="AF164" s="2">
        <f>ROUND((EV164),6)</f>
        <v>0</v>
      </c>
      <c r="AG164" s="2">
        <f t="shared" si="133"/>
        <v>0</v>
      </c>
      <c r="AH164" s="2">
        <f>(EW164)</f>
        <v>0</v>
      </c>
      <c r="AI164" s="2">
        <f>(EX164)</f>
        <v>0</v>
      </c>
      <c r="AJ164" s="2">
        <f t="shared" si="134"/>
        <v>0</v>
      </c>
      <c r="AK164" s="2">
        <v>1399.54</v>
      </c>
      <c r="AL164" s="2">
        <v>1399.54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3</v>
      </c>
      <c r="BJ164" s="2" t="s">
        <v>219</v>
      </c>
      <c r="BK164" s="2"/>
      <c r="BL164" s="2"/>
      <c r="BM164" s="2">
        <v>400007</v>
      </c>
      <c r="BN164" s="2">
        <v>0</v>
      </c>
      <c r="BO164" s="2" t="s">
        <v>3</v>
      </c>
      <c r="BP164" s="2">
        <v>0</v>
      </c>
      <c r="BQ164" s="2">
        <v>214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0</v>
      </c>
      <c r="CA164" s="2">
        <v>0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135"/>
        <v>1399.54</v>
      </c>
      <c r="CQ164" s="2">
        <f t="shared" si="136"/>
        <v>1399.54</v>
      </c>
      <c r="CR164" s="2">
        <f>(ROUND((ROUND(((ET164)*AV164*1),2)*BB164),2)+ROUND((ROUND(((AE164-(EU164))*AV164*1),2)*BS164),2))</f>
        <v>0</v>
      </c>
      <c r="CS164" s="2">
        <f>(ROUND((ROUND(((EU164)*AV164*1),2)*BS164),2)+ROUND((ROUND(((AE164-(EU164))*AV164*1),2)*BS164),2))</f>
        <v>0</v>
      </c>
      <c r="CT164" s="2">
        <f t="shared" si="137"/>
        <v>0</v>
      </c>
      <c r="CU164" s="2">
        <f t="shared" si="138"/>
        <v>0</v>
      </c>
      <c r="CV164" s="2">
        <f t="shared" si="139"/>
        <v>0</v>
      </c>
      <c r="CW164" s="2">
        <f t="shared" si="140"/>
        <v>0</v>
      </c>
      <c r="CX164" s="2">
        <f t="shared" si="141"/>
        <v>0</v>
      </c>
      <c r="CY164" s="2">
        <f>(ROUND((((S164+ROUND((ROUND(((EU164)*AV164*1),2)*BS164),2))*AT164)/100),2)+ROUND(((ROUND((ROUND(((AE164-(EU164))*AV164*1),2)*BS164),2)*AT164)/100),2))</f>
        <v>0</v>
      </c>
      <c r="CZ164" s="2">
        <f>(ROUND((((S164+ROUND((ROUND(((EU164)*AV164*1),2)*BS164),2))*AU164)/100),2)+ROUND(((ROUND((ROUND(((AE164-(EU164))*AV164*1),2)*BS164),2)*AU164)/100),2))</f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1013</v>
      </c>
      <c r="DV164" s="2" t="s">
        <v>148</v>
      </c>
      <c r="DW164" s="2" t="s">
        <v>148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55393630</v>
      </c>
      <c r="EF164" s="2">
        <v>214</v>
      </c>
      <c r="EG164" s="2" t="s">
        <v>149</v>
      </c>
      <c r="EH164" s="2">
        <v>0</v>
      </c>
      <c r="EI164" s="2" t="s">
        <v>3</v>
      </c>
      <c r="EJ164" s="2">
        <v>3</v>
      </c>
      <c r="EK164" s="2">
        <v>400007</v>
      </c>
      <c r="EL164" s="2" t="s">
        <v>149</v>
      </c>
      <c r="EM164" s="2" t="s">
        <v>150</v>
      </c>
      <c r="EN164" s="2"/>
      <c r="EO164" s="2" t="s">
        <v>3</v>
      </c>
      <c r="EP164" s="2"/>
      <c r="EQ164" s="2">
        <v>16</v>
      </c>
      <c r="ER164" s="2">
        <v>0</v>
      </c>
      <c r="ES164" s="2">
        <v>1399.54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f>P164</f>
        <v>1399.54</v>
      </c>
      <c r="FS164" s="2">
        <v>0</v>
      </c>
      <c r="FT164" s="2"/>
      <c r="FU164" s="2"/>
      <c r="FV164" s="2"/>
      <c r="FW164" s="2"/>
      <c r="FX164" s="2">
        <v>0</v>
      </c>
      <c r="FY164" s="2">
        <v>0</v>
      </c>
      <c r="FZ164" s="2"/>
      <c r="GA164" s="2" t="s">
        <v>221</v>
      </c>
      <c r="GB164" s="2"/>
      <c r="GC164" s="2"/>
      <c r="GD164" s="2">
        <v>1</v>
      </c>
      <c r="GE164" s="2"/>
      <c r="GF164" s="2">
        <v>-1087856026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142"/>
        <v>0</v>
      </c>
      <c r="GM164" s="2">
        <f t="shared" si="143"/>
        <v>1399.54</v>
      </c>
      <c r="GN164" s="2">
        <f t="shared" si="144"/>
        <v>0</v>
      </c>
      <c r="GO164" s="2">
        <f t="shared" si="145"/>
        <v>0</v>
      </c>
      <c r="GP164" s="2">
        <f t="shared" si="146"/>
        <v>0</v>
      </c>
      <c r="GQ164" s="2"/>
      <c r="GR164" s="2">
        <v>1</v>
      </c>
      <c r="GS164" s="2">
        <v>2</v>
      </c>
      <c r="GT164" s="2">
        <v>0</v>
      </c>
      <c r="GU164" s="2" t="s">
        <v>3</v>
      </c>
      <c r="GV164" s="2">
        <f t="shared" si="147"/>
        <v>0</v>
      </c>
      <c r="GW164" s="2">
        <v>1</v>
      </c>
      <c r="GX164" s="2">
        <f t="shared" si="148"/>
        <v>0</v>
      </c>
      <c r="GY164" s="2"/>
      <c r="GZ164" s="2"/>
      <c r="HA164" s="2">
        <v>0</v>
      </c>
      <c r="HB164" s="2">
        <v>0</v>
      </c>
      <c r="HC164" s="2">
        <f t="shared" si="149"/>
        <v>0</v>
      </c>
      <c r="HD164" s="2"/>
      <c r="HE164" s="2" t="s">
        <v>37</v>
      </c>
      <c r="HF164" s="2" t="s">
        <v>152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5">
      <c r="A165" s="3">
        <v>17</v>
      </c>
      <c r="B165" s="3">
        <v>1</v>
      </c>
      <c r="E165" s="3" t="s">
        <v>218</v>
      </c>
      <c r="F165" s="3" t="s">
        <v>219</v>
      </c>
      <c r="G165" s="3" t="s">
        <v>220</v>
      </c>
      <c r="H165" s="3" t="s">
        <v>148</v>
      </c>
      <c r="I165" s="3">
        <v>1</v>
      </c>
      <c r="J165" s="3">
        <v>0</v>
      </c>
      <c r="K165" s="3">
        <v>1</v>
      </c>
      <c r="O165" s="3">
        <f t="shared" si="125"/>
        <v>10594.52</v>
      </c>
      <c r="P165" s="3">
        <f t="shared" si="126"/>
        <v>10594.52</v>
      </c>
      <c r="Q165" s="3">
        <f>(ROUND((ROUND(((ET165)*AV165*I165),2)*BB165),2)+ROUND((ROUND(((AE165-(EU165))*AV165*I165),2)*BS165),2))</f>
        <v>0</v>
      </c>
      <c r="R165" s="3">
        <f>(ROUND((ROUND(((EU165)*AV165*I165),2)*BS165),2)+ROUND((ROUND(((AE165-(EU165))*AV165*I165),2)*BS165),2))</f>
        <v>0</v>
      </c>
      <c r="S165" s="3">
        <f t="shared" si="127"/>
        <v>0</v>
      </c>
      <c r="T165" s="3">
        <f t="shared" si="128"/>
        <v>0</v>
      </c>
      <c r="U165" s="3">
        <f t="shared" si="129"/>
        <v>0</v>
      </c>
      <c r="V165" s="3">
        <f t="shared" si="130"/>
        <v>0</v>
      </c>
      <c r="W165" s="3">
        <f t="shared" si="131"/>
        <v>0</v>
      </c>
      <c r="X165" s="3">
        <f>(ROUND((((S165+ROUND((ROUND(((EU165)*AV165*I165),2)*BS165),2))*AT165)/100),2)+ROUND(((ROUND((ROUND(((AE165-(EU165))*AV165*I165),2)*BS165),2)*AT165)/100),2))</f>
        <v>0</v>
      </c>
      <c r="Y165" s="3">
        <f>(ROUND((((S165+ROUND((ROUND(((EU165)*AV165*I165),2)*BS165),2))*AU165)/100),2)+ROUND(((ROUND((ROUND(((AE165-(EU165))*AV165*I165),2)*BS165),2)*AU165)/100),2))</f>
        <v>0</v>
      </c>
      <c r="AA165" s="3">
        <v>55917799</v>
      </c>
      <c r="AB165" s="3">
        <f t="shared" si="132"/>
        <v>1399.54</v>
      </c>
      <c r="AC165" s="3">
        <f>ROUND((ES165),6)</f>
        <v>1399.54</v>
      </c>
      <c r="AD165" s="3">
        <f>ROUND((((ET165)-(EU165))+AE165),6)</f>
        <v>0</v>
      </c>
      <c r="AE165" s="3">
        <f>ROUND((EU165),6)</f>
        <v>0</v>
      </c>
      <c r="AF165" s="3">
        <f>ROUND((EV165),6)</f>
        <v>0</v>
      </c>
      <c r="AG165" s="3">
        <f t="shared" si="133"/>
        <v>0</v>
      </c>
      <c r="AH165" s="3">
        <f>(EW165)</f>
        <v>0</v>
      </c>
      <c r="AI165" s="3">
        <f>(EX165)</f>
        <v>0</v>
      </c>
      <c r="AJ165" s="3">
        <f t="shared" si="134"/>
        <v>0</v>
      </c>
      <c r="AK165" s="3">
        <v>1399.54</v>
      </c>
      <c r="AL165" s="3">
        <v>1399.54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7.57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3</v>
      </c>
      <c r="BJ165" s="3" t="s">
        <v>219</v>
      </c>
      <c r="BM165" s="3">
        <v>400007</v>
      </c>
      <c r="BN165" s="3">
        <v>0</v>
      </c>
      <c r="BO165" s="3" t="s">
        <v>3</v>
      </c>
      <c r="BP165" s="3">
        <v>0</v>
      </c>
      <c r="BQ165" s="3">
        <v>214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0</v>
      </c>
      <c r="CA165" s="3">
        <v>0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3</v>
      </c>
      <c r="CO165" s="3">
        <v>0</v>
      </c>
      <c r="CP165" s="3">
        <f t="shared" si="135"/>
        <v>10594.52</v>
      </c>
      <c r="CQ165" s="3">
        <f t="shared" si="136"/>
        <v>10594.52</v>
      </c>
      <c r="CR165" s="3">
        <f>(ROUND((ROUND(((ET165)*AV165*1),2)*BB165),2)+ROUND((ROUND(((AE165-(EU165))*AV165*1),2)*BS165),2))</f>
        <v>0</v>
      </c>
      <c r="CS165" s="3">
        <f>(ROUND((ROUND(((EU165)*AV165*1),2)*BS165),2)+ROUND((ROUND(((AE165-(EU165))*AV165*1),2)*BS165),2))</f>
        <v>0</v>
      </c>
      <c r="CT165" s="3">
        <f t="shared" si="137"/>
        <v>0</v>
      </c>
      <c r="CU165" s="3">
        <f t="shared" si="138"/>
        <v>0</v>
      </c>
      <c r="CV165" s="3">
        <f t="shared" si="139"/>
        <v>0</v>
      </c>
      <c r="CW165" s="3">
        <f t="shared" si="140"/>
        <v>0</v>
      </c>
      <c r="CX165" s="3">
        <f t="shared" si="141"/>
        <v>0</v>
      </c>
      <c r="CY165" s="3">
        <f>(ROUND((((S165+ROUND((ROUND(((EU165)*AV165*1),2)*BS165),2))*AT165)/100),2)+ROUND(((ROUND((ROUND(((AE165-(EU165))*AV165*1),2)*BS165),2)*AT165)/100),2))</f>
        <v>0</v>
      </c>
      <c r="CZ165" s="3">
        <f>(ROUND((((S165+ROUND((ROUND(((EU165)*AV165*1),2)*BS165),2))*AU165)/100),2)+ROUND(((ROUND((ROUND(((AE165-(EU165))*AV165*1),2)*BS165),2)*AU165)/100),2))</f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1013</v>
      </c>
      <c r="DV165" s="3" t="s">
        <v>148</v>
      </c>
      <c r="DW165" s="3" t="s">
        <v>148</v>
      </c>
      <c r="DX165" s="3">
        <v>1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55393630</v>
      </c>
      <c r="EF165" s="3">
        <v>214</v>
      </c>
      <c r="EG165" s="3" t="s">
        <v>149</v>
      </c>
      <c r="EH165" s="3">
        <v>0</v>
      </c>
      <c r="EI165" s="3" t="s">
        <v>3</v>
      </c>
      <c r="EJ165" s="3">
        <v>3</v>
      </c>
      <c r="EK165" s="3">
        <v>400007</v>
      </c>
      <c r="EL165" s="3" t="s">
        <v>149</v>
      </c>
      <c r="EM165" s="3" t="s">
        <v>150</v>
      </c>
      <c r="EO165" s="3" t="s">
        <v>3</v>
      </c>
      <c r="EQ165" s="3">
        <v>16</v>
      </c>
      <c r="ER165" s="3">
        <v>0</v>
      </c>
      <c r="ES165" s="3">
        <v>1399.54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5</v>
      </c>
      <c r="FC165" s="3">
        <v>1</v>
      </c>
      <c r="FD165" s="3">
        <v>18</v>
      </c>
      <c r="FF165" s="3">
        <v>12400</v>
      </c>
      <c r="FQ165" s="3">
        <v>0</v>
      </c>
      <c r="FR165" s="3">
        <f>P165</f>
        <v>10594.52</v>
      </c>
      <c r="FS165" s="3">
        <v>0</v>
      </c>
      <c r="FX165" s="3">
        <v>0</v>
      </c>
      <c r="FY165" s="3">
        <v>0</v>
      </c>
      <c r="GA165" s="3" t="s">
        <v>221</v>
      </c>
      <c r="GD165" s="3">
        <v>1</v>
      </c>
      <c r="GF165" s="3">
        <v>-1087856026</v>
      </c>
      <c r="GG165" s="3">
        <v>2</v>
      </c>
      <c r="GH165" s="3">
        <v>3</v>
      </c>
      <c r="GI165" s="3">
        <v>5</v>
      </c>
      <c r="GJ165" s="3">
        <v>0</v>
      </c>
      <c r="GK165" s="3">
        <v>0</v>
      </c>
      <c r="GL165" s="3">
        <f t="shared" si="142"/>
        <v>0</v>
      </c>
      <c r="GM165" s="3">
        <f t="shared" si="143"/>
        <v>10594.52</v>
      </c>
      <c r="GN165" s="3">
        <f t="shared" si="144"/>
        <v>0</v>
      </c>
      <c r="GO165" s="3">
        <f t="shared" si="145"/>
        <v>0</v>
      </c>
      <c r="GP165" s="3">
        <f t="shared" si="146"/>
        <v>0</v>
      </c>
      <c r="GR165" s="3">
        <v>1</v>
      </c>
      <c r="GS165" s="3">
        <v>1</v>
      </c>
      <c r="GT165" s="3">
        <v>0</v>
      </c>
      <c r="GU165" s="3" t="s">
        <v>3</v>
      </c>
      <c r="GV165" s="3">
        <f t="shared" si="147"/>
        <v>0</v>
      </c>
      <c r="GW165" s="3">
        <v>1</v>
      </c>
      <c r="GX165" s="3">
        <f t="shared" si="148"/>
        <v>0</v>
      </c>
      <c r="HA165" s="3">
        <v>0</v>
      </c>
      <c r="HB165" s="3">
        <v>0</v>
      </c>
      <c r="HC165" s="3">
        <f t="shared" si="149"/>
        <v>0</v>
      </c>
      <c r="HE165" s="3" t="s">
        <v>37</v>
      </c>
      <c r="HF165" s="3" t="s">
        <v>152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6" spans="1:255" x14ac:dyDescent="0.25">
      <c r="A166" s="2">
        <v>17</v>
      </c>
      <c r="B166" s="2">
        <v>1</v>
      </c>
      <c r="C166" s="2">
        <f>ROW(SmtRes!A293)</f>
        <v>293</v>
      </c>
      <c r="D166" s="2">
        <f>ROW(EtalonRes!A329)</f>
        <v>329</v>
      </c>
      <c r="E166" s="2" t="s">
        <v>222</v>
      </c>
      <c r="F166" s="2" t="s">
        <v>43</v>
      </c>
      <c r="G166" s="2" t="s">
        <v>170</v>
      </c>
      <c r="H166" s="2" t="s">
        <v>22</v>
      </c>
      <c r="I166" s="2">
        <v>1</v>
      </c>
      <c r="J166" s="2">
        <v>0</v>
      </c>
      <c r="K166" s="2">
        <v>1</v>
      </c>
      <c r="L166" s="2"/>
      <c r="M166" s="2"/>
      <c r="N166" s="2"/>
      <c r="O166" s="2">
        <f t="shared" si="125"/>
        <v>90.18</v>
      </c>
      <c r="P166" s="2">
        <f t="shared" si="126"/>
        <v>42.61</v>
      </c>
      <c r="Q166" s="2">
        <f>(ROUND((ROUND((((ET166*1.2))*AV166*I166),2)*BB166),2)+ROUND((ROUND(((AE166-((EU166*1.2)))*AV166*I166),2)*BS166),2))</f>
        <v>0</v>
      </c>
      <c r="R166" s="2">
        <f>(ROUND((ROUND((((EU166*1.2))*AV166*I166),2)*BS166),2)+ROUND((ROUND(((AE166-((EU166*1.2)))*AV166*I166),2)*BS166),2))</f>
        <v>0</v>
      </c>
      <c r="S166" s="2">
        <f t="shared" si="127"/>
        <v>47.57</v>
      </c>
      <c r="T166" s="2">
        <f t="shared" si="128"/>
        <v>0</v>
      </c>
      <c r="U166" s="2">
        <f t="shared" si="129"/>
        <v>3.7691999999999992</v>
      </c>
      <c r="V166" s="2">
        <f t="shared" si="130"/>
        <v>0</v>
      </c>
      <c r="W166" s="2">
        <f t="shared" si="131"/>
        <v>0</v>
      </c>
      <c r="X166" s="2">
        <f>(ROUND((((S166+ROUND((ROUND((((EU166*1.2))*AV166*I166),2)*BS166),2))*AT166)/100),2)+ROUND(((ROUND((ROUND(((AE166-((EU166*1.2)))*AV166*I166),2)*BS166),2)*AT166)/100),2))</f>
        <v>42.81</v>
      </c>
      <c r="Y166" s="2">
        <f>(ROUND((((S166+ROUND((ROUND((((EU166*1.2))*AV166*I166),2)*BS166),2))*AU166)/100),2)+ROUND(((ROUND((ROUND(((AE166-((EU166*1.2)))*AV166*I166),2)*BS166),2)*AU166)/100),2))</f>
        <v>21.88</v>
      </c>
      <c r="Z166" s="2"/>
      <c r="AA166" s="2">
        <v>55917797</v>
      </c>
      <c r="AB166" s="2">
        <f t="shared" si="132"/>
        <v>88.042000000000002</v>
      </c>
      <c r="AC166" s="2">
        <f>ROUND(((ES166*1)),6)</f>
        <v>42.61</v>
      </c>
      <c r="AD166" s="2">
        <f>ROUND(((((ET166*1.2))-((EU166*1.2)))+AE166),6)</f>
        <v>0</v>
      </c>
      <c r="AE166" s="2">
        <f>ROUND(((EU166*1.2)),6)</f>
        <v>0</v>
      </c>
      <c r="AF166" s="2">
        <f>ROUND(((EV166*1.2)),6)</f>
        <v>45.432000000000002</v>
      </c>
      <c r="AG166" s="2">
        <f t="shared" si="133"/>
        <v>0</v>
      </c>
      <c r="AH166" s="2">
        <f>((EW166*1.2))</f>
        <v>3.5999999999999996</v>
      </c>
      <c r="AI166" s="2">
        <f>((EX166*1.2))</f>
        <v>0</v>
      </c>
      <c r="AJ166" s="2">
        <f t="shared" si="134"/>
        <v>0</v>
      </c>
      <c r="AK166" s="2">
        <v>80.47</v>
      </c>
      <c r="AL166" s="2">
        <v>42.61</v>
      </c>
      <c r="AM166" s="2">
        <v>0</v>
      </c>
      <c r="AN166" s="2">
        <v>0</v>
      </c>
      <c r="AO166" s="2">
        <v>37.86</v>
      </c>
      <c r="AP166" s="2">
        <v>0</v>
      </c>
      <c r="AQ166" s="2">
        <v>3</v>
      </c>
      <c r="AR166" s="2">
        <v>0</v>
      </c>
      <c r="AS166" s="2">
        <v>0</v>
      </c>
      <c r="AT166" s="2">
        <v>90</v>
      </c>
      <c r="AU166" s="2">
        <v>46</v>
      </c>
      <c r="AV166" s="2">
        <v>1.0469999999999999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0</v>
      </c>
      <c r="BI166" s="2">
        <v>2</v>
      </c>
      <c r="BJ166" s="2" t="s">
        <v>45</v>
      </c>
      <c r="BK166" s="2"/>
      <c r="BL166" s="2"/>
      <c r="BM166" s="2">
        <v>68</v>
      </c>
      <c r="BN166" s="2">
        <v>0</v>
      </c>
      <c r="BO166" s="2" t="s">
        <v>43</v>
      </c>
      <c r="BP166" s="2">
        <v>1</v>
      </c>
      <c r="BQ166" s="2">
        <v>40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90</v>
      </c>
      <c r="CA166" s="2">
        <v>46</v>
      </c>
      <c r="CB166" s="2" t="s">
        <v>3</v>
      </c>
      <c r="CC166" s="2"/>
      <c r="CD166" s="2"/>
      <c r="CE166" s="2">
        <v>1566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618</v>
      </c>
      <c r="CO166" s="2">
        <v>0</v>
      </c>
      <c r="CP166" s="2">
        <f t="shared" si="135"/>
        <v>90.18</v>
      </c>
      <c r="CQ166" s="2">
        <f t="shared" si="136"/>
        <v>42.61</v>
      </c>
      <c r="CR166" s="2">
        <f>(ROUND((ROUND((((ET166*1.2))*AV166*1),2)*BB166),2)+ROUND((ROUND(((AE166-((EU166*1.2)))*AV166*1),2)*BS166),2))</f>
        <v>0</v>
      </c>
      <c r="CS166" s="2">
        <f>(ROUND((ROUND((((EU166*1.2))*AV166*1),2)*BS166),2)+ROUND((ROUND(((AE166-((EU166*1.2)))*AV166*1),2)*BS166),2))</f>
        <v>0</v>
      </c>
      <c r="CT166" s="2">
        <f t="shared" si="137"/>
        <v>47.57</v>
      </c>
      <c r="CU166" s="2">
        <f t="shared" si="138"/>
        <v>0</v>
      </c>
      <c r="CV166" s="2">
        <f t="shared" si="139"/>
        <v>3.7691999999999992</v>
      </c>
      <c r="CW166" s="2">
        <f t="shared" si="140"/>
        <v>0</v>
      </c>
      <c r="CX166" s="2">
        <f t="shared" si="141"/>
        <v>0</v>
      </c>
      <c r="CY166" s="2">
        <f>(ROUND((((S166+ROUND((ROUND((((EU166*1.2))*AV166*1),2)*BS166),2))*AT166)/100),2)+ROUND(((ROUND((ROUND(((AE166-((EU166*1.2)))*AV166*1),2)*BS166),2)*AT166)/100),2))</f>
        <v>42.81</v>
      </c>
      <c r="CZ166" s="2">
        <f>(ROUND((((S166+ROUND((ROUND((((EU166*1.2))*AV166*1),2)*BS166),2))*AU166)/100),2)+ROUND(((ROUND((ROUND(((AE166-((EU166*1.2)))*AV166*1),2)*BS166),2)*AU166)/100),2))</f>
        <v>21.88</v>
      </c>
      <c r="DA166" s="2"/>
      <c r="DB166" s="2">
        <v>69</v>
      </c>
      <c r="DC166" s="2" t="s">
        <v>3</v>
      </c>
      <c r="DD166" s="2" t="s">
        <v>55</v>
      </c>
      <c r="DE166" s="2" t="s">
        <v>56</v>
      </c>
      <c r="DF166" s="2" t="s">
        <v>56</v>
      </c>
      <c r="DG166" s="2" t="s">
        <v>56</v>
      </c>
      <c r="DH166" s="2" t="s">
        <v>3</v>
      </c>
      <c r="DI166" s="2" t="s">
        <v>56</v>
      </c>
      <c r="DJ166" s="2" t="s">
        <v>56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1013</v>
      </c>
      <c r="DV166" s="2" t="s">
        <v>22</v>
      </c>
      <c r="DW166" s="2" t="s">
        <v>22</v>
      </c>
      <c r="DX166" s="2">
        <v>1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55393700</v>
      </c>
      <c r="EF166" s="2">
        <v>40</v>
      </c>
      <c r="EG166" s="2" t="s">
        <v>26</v>
      </c>
      <c r="EH166" s="2">
        <v>0</v>
      </c>
      <c r="EI166" s="2" t="s">
        <v>3</v>
      </c>
      <c r="EJ166" s="2">
        <v>2</v>
      </c>
      <c r="EK166" s="2">
        <v>68</v>
      </c>
      <c r="EL166" s="2" t="s">
        <v>35</v>
      </c>
      <c r="EM166" s="2" t="s">
        <v>36</v>
      </c>
      <c r="EN166" s="2"/>
      <c r="EO166" s="2" t="s">
        <v>60</v>
      </c>
      <c r="EP166" s="2"/>
      <c r="EQ166" s="2">
        <v>0</v>
      </c>
      <c r="ER166" s="2">
        <v>80.47</v>
      </c>
      <c r="ES166" s="2">
        <v>42.61</v>
      </c>
      <c r="ET166" s="2">
        <v>0</v>
      </c>
      <c r="EU166" s="2">
        <v>0</v>
      </c>
      <c r="EV166" s="2">
        <v>37.86</v>
      </c>
      <c r="EW166" s="2">
        <v>3</v>
      </c>
      <c r="EX166" s="2">
        <v>0</v>
      </c>
      <c r="EY166" s="2">
        <v>0</v>
      </c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v>0</v>
      </c>
      <c r="FS166" s="2">
        <v>0</v>
      </c>
      <c r="FT166" s="2"/>
      <c r="FU166" s="2"/>
      <c r="FV166" s="2"/>
      <c r="FW166" s="2"/>
      <c r="FX166" s="2">
        <v>90</v>
      </c>
      <c r="FY166" s="2">
        <v>46</v>
      </c>
      <c r="FZ166" s="2"/>
      <c r="GA166" s="2" t="s">
        <v>3</v>
      </c>
      <c r="GB166" s="2"/>
      <c r="GC166" s="2"/>
      <c r="GD166" s="2">
        <v>1</v>
      </c>
      <c r="GE166" s="2"/>
      <c r="GF166" s="2">
        <v>-1785550083</v>
      </c>
      <c r="GG166" s="2">
        <v>2</v>
      </c>
      <c r="GH166" s="2">
        <v>1</v>
      </c>
      <c r="GI166" s="2">
        <v>2</v>
      </c>
      <c r="GJ166" s="2">
        <v>0</v>
      </c>
      <c r="GK166" s="2">
        <v>0</v>
      </c>
      <c r="GL166" s="2">
        <f t="shared" si="142"/>
        <v>0</v>
      </c>
      <c r="GM166" s="2">
        <f t="shared" si="143"/>
        <v>154.87</v>
      </c>
      <c r="GN166" s="2">
        <f t="shared" si="144"/>
        <v>0</v>
      </c>
      <c r="GO166" s="2">
        <f t="shared" si="145"/>
        <v>154.87</v>
      </c>
      <c r="GP166" s="2">
        <f t="shared" si="146"/>
        <v>0</v>
      </c>
      <c r="GQ166" s="2"/>
      <c r="GR166" s="2">
        <v>0</v>
      </c>
      <c r="GS166" s="2">
        <v>3</v>
      </c>
      <c r="GT166" s="2">
        <v>0</v>
      </c>
      <c r="GU166" s="2" t="s">
        <v>3</v>
      </c>
      <c r="GV166" s="2">
        <f t="shared" si="147"/>
        <v>0</v>
      </c>
      <c r="GW166" s="2">
        <v>1</v>
      </c>
      <c r="GX166" s="2">
        <f t="shared" si="148"/>
        <v>0</v>
      </c>
      <c r="GY166" s="2"/>
      <c r="GZ166" s="2"/>
      <c r="HA166" s="2">
        <v>0</v>
      </c>
      <c r="HB166" s="2">
        <v>0</v>
      </c>
      <c r="HC166" s="2">
        <f t="shared" si="149"/>
        <v>0</v>
      </c>
      <c r="HD166" s="2"/>
      <c r="HE166" s="2" t="s">
        <v>3</v>
      </c>
      <c r="HF166" s="2" t="s">
        <v>3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5">
      <c r="A167" s="3">
        <v>17</v>
      </c>
      <c r="B167" s="3">
        <v>1</v>
      </c>
      <c r="C167" s="3">
        <f>ROW(SmtRes!A308)</f>
        <v>308</v>
      </c>
      <c r="D167" s="3">
        <f>ROW(EtalonRes!A346)</f>
        <v>346</v>
      </c>
      <c r="E167" s="3" t="s">
        <v>222</v>
      </c>
      <c r="F167" s="3" t="s">
        <v>43</v>
      </c>
      <c r="G167" s="3" t="s">
        <v>170</v>
      </c>
      <c r="H167" s="3" t="s">
        <v>22</v>
      </c>
      <c r="I167" s="3">
        <v>1</v>
      </c>
      <c r="J167" s="3">
        <v>0</v>
      </c>
      <c r="K167" s="3">
        <v>1</v>
      </c>
      <c r="O167" s="3">
        <f t="shared" si="125"/>
        <v>2900.01</v>
      </c>
      <c r="P167" s="3">
        <f t="shared" si="126"/>
        <v>219.44</v>
      </c>
      <c r="Q167" s="3">
        <f>(ROUND((ROUND((((ET167*1.2))*AV167*I167),2)*BB167),2)+ROUND((ROUND(((AE167-((EU167*1.2)))*AV167*I167),2)*BS167),2))</f>
        <v>0</v>
      </c>
      <c r="R167" s="3">
        <f>(ROUND((ROUND((((EU167*1.2))*AV167*I167),2)*BS167),2)+ROUND((ROUND(((AE167-((EU167*1.2)))*AV167*I167),2)*BS167),2))</f>
        <v>0</v>
      </c>
      <c r="S167" s="3">
        <f t="shared" si="127"/>
        <v>2680.57</v>
      </c>
      <c r="T167" s="3">
        <f t="shared" si="128"/>
        <v>0</v>
      </c>
      <c r="U167" s="3">
        <f t="shared" si="129"/>
        <v>3.7691999999999992</v>
      </c>
      <c r="V167" s="3">
        <f t="shared" si="130"/>
        <v>0</v>
      </c>
      <c r="W167" s="3">
        <f t="shared" si="131"/>
        <v>0</v>
      </c>
      <c r="X167" s="3">
        <f>(ROUND((((S167+ROUND((ROUND((((EU167*1.2))*AV167*I167),2)*BS167),2))*AT167)/100),2)+ROUND(((ROUND((ROUND(((AE167-((EU167*1.2)))*AV167*I167),2)*BS167),2)*AT167)/100),2))</f>
        <v>2412.5100000000002</v>
      </c>
      <c r="Y167" s="3">
        <f>(ROUND((((S167+ROUND((ROUND((((EU167*1.2))*AV167*I167),2)*BS167),2))*AU167)/100),2)+ROUND(((ROUND((ROUND(((AE167-((EU167*1.2)))*AV167*I167),2)*BS167),2)*AU167)/100),2))</f>
        <v>1233.06</v>
      </c>
      <c r="AA167" s="3">
        <v>55917799</v>
      </c>
      <c r="AB167" s="3">
        <f t="shared" si="132"/>
        <v>88.042000000000002</v>
      </c>
      <c r="AC167" s="3">
        <f>ROUND(((ES167*1)),6)</f>
        <v>42.61</v>
      </c>
      <c r="AD167" s="3">
        <f>ROUND(((((ET167*1.2))-((EU167*1.2)))+AE167),6)</f>
        <v>0</v>
      </c>
      <c r="AE167" s="3">
        <f>ROUND(((EU167*1.2)),6)</f>
        <v>0</v>
      </c>
      <c r="AF167" s="3">
        <f>ROUND(((EV167*1.2)),6)</f>
        <v>45.432000000000002</v>
      </c>
      <c r="AG167" s="3">
        <f t="shared" si="133"/>
        <v>0</v>
      </c>
      <c r="AH167" s="3">
        <f>((EW167*1.2))</f>
        <v>3.5999999999999996</v>
      </c>
      <c r="AI167" s="3">
        <f>((EX167*1.2))</f>
        <v>0</v>
      </c>
      <c r="AJ167" s="3">
        <f t="shared" si="134"/>
        <v>0</v>
      </c>
      <c r="AK167" s="3">
        <v>80.47</v>
      </c>
      <c r="AL167" s="3">
        <v>42.61</v>
      </c>
      <c r="AM167" s="3">
        <v>0</v>
      </c>
      <c r="AN167" s="3">
        <v>0</v>
      </c>
      <c r="AO167" s="3">
        <v>37.86</v>
      </c>
      <c r="AP167" s="3">
        <v>0</v>
      </c>
      <c r="AQ167" s="3">
        <v>3</v>
      </c>
      <c r="AR167" s="3">
        <v>0</v>
      </c>
      <c r="AS167" s="3">
        <v>0</v>
      </c>
      <c r="AT167" s="3">
        <v>90</v>
      </c>
      <c r="AU167" s="3">
        <v>46</v>
      </c>
      <c r="AV167" s="3">
        <v>1.0469999999999999</v>
      </c>
      <c r="AW167" s="3">
        <v>1</v>
      </c>
      <c r="AZ167" s="3">
        <v>1</v>
      </c>
      <c r="BA167" s="3">
        <v>56.35</v>
      </c>
      <c r="BB167" s="3">
        <v>1</v>
      </c>
      <c r="BC167" s="3">
        <v>5.15</v>
      </c>
      <c r="BD167" s="3" t="s">
        <v>3</v>
      </c>
      <c r="BE167" s="3" t="s">
        <v>3</v>
      </c>
      <c r="BF167" s="3" t="s">
        <v>3</v>
      </c>
      <c r="BG167" s="3" t="s">
        <v>3</v>
      </c>
      <c r="BH167" s="3">
        <v>0</v>
      </c>
      <c r="BI167" s="3">
        <v>2</v>
      </c>
      <c r="BJ167" s="3" t="s">
        <v>45</v>
      </c>
      <c r="BM167" s="3">
        <v>68</v>
      </c>
      <c r="BN167" s="3">
        <v>0</v>
      </c>
      <c r="BO167" s="3" t="s">
        <v>43</v>
      </c>
      <c r="BP167" s="3">
        <v>1</v>
      </c>
      <c r="BQ167" s="3">
        <v>40</v>
      </c>
      <c r="BR167" s="3">
        <v>0</v>
      </c>
      <c r="BS167" s="3">
        <v>56.35</v>
      </c>
      <c r="BT167" s="3">
        <v>1</v>
      </c>
      <c r="BU167" s="3">
        <v>1</v>
      </c>
      <c r="BV167" s="3">
        <v>1</v>
      </c>
      <c r="BW167" s="3">
        <v>1</v>
      </c>
      <c r="BX167" s="3">
        <v>1</v>
      </c>
      <c r="BY167" s="3" t="s">
        <v>3</v>
      </c>
      <c r="BZ167" s="3">
        <v>90</v>
      </c>
      <c r="CA167" s="3">
        <v>46</v>
      </c>
      <c r="CB167" s="3" t="s">
        <v>3</v>
      </c>
      <c r="CE167" s="3">
        <v>1566</v>
      </c>
      <c r="CF167" s="3">
        <v>0</v>
      </c>
      <c r="CG167" s="3">
        <v>0</v>
      </c>
      <c r="CM167" s="3">
        <v>0</v>
      </c>
      <c r="CN167" s="3" t="s">
        <v>618</v>
      </c>
      <c r="CO167" s="3">
        <v>0</v>
      </c>
      <c r="CP167" s="3">
        <f t="shared" si="135"/>
        <v>2900.01</v>
      </c>
      <c r="CQ167" s="3">
        <f t="shared" si="136"/>
        <v>219.44</v>
      </c>
      <c r="CR167" s="3">
        <f>(ROUND((ROUND((((ET167*1.2))*AV167*1),2)*BB167),2)+ROUND((ROUND(((AE167-((EU167*1.2)))*AV167*1),2)*BS167),2))</f>
        <v>0</v>
      </c>
      <c r="CS167" s="3">
        <f>(ROUND((ROUND((((EU167*1.2))*AV167*1),2)*BS167),2)+ROUND((ROUND(((AE167-((EU167*1.2)))*AV167*1),2)*BS167),2))</f>
        <v>0</v>
      </c>
      <c r="CT167" s="3">
        <f t="shared" si="137"/>
        <v>2680.57</v>
      </c>
      <c r="CU167" s="3">
        <f t="shared" si="138"/>
        <v>0</v>
      </c>
      <c r="CV167" s="3">
        <f t="shared" si="139"/>
        <v>3.7691999999999992</v>
      </c>
      <c r="CW167" s="3">
        <f t="shared" si="140"/>
        <v>0</v>
      </c>
      <c r="CX167" s="3">
        <f t="shared" si="141"/>
        <v>0</v>
      </c>
      <c r="CY167" s="3">
        <f>(ROUND((((S167+ROUND((ROUND((((EU167*1.2))*AV167*1),2)*BS167),2))*AT167)/100),2)+ROUND(((ROUND((ROUND(((AE167-((EU167*1.2)))*AV167*1),2)*BS167),2)*AT167)/100),2))</f>
        <v>2412.5100000000002</v>
      </c>
      <c r="CZ167" s="3">
        <f>(ROUND((((S167+ROUND((ROUND((((EU167*1.2))*AV167*1),2)*BS167),2))*AU167)/100),2)+ROUND(((ROUND((ROUND(((AE167-((EU167*1.2)))*AV167*1),2)*BS167),2)*AU167)/100),2))</f>
        <v>1233.06</v>
      </c>
      <c r="DB167" s="3">
        <v>70</v>
      </c>
      <c r="DC167" s="3" t="s">
        <v>3</v>
      </c>
      <c r="DD167" s="3" t="s">
        <v>55</v>
      </c>
      <c r="DE167" s="3" t="s">
        <v>56</v>
      </c>
      <c r="DF167" s="3" t="s">
        <v>56</v>
      </c>
      <c r="DG167" s="3" t="s">
        <v>56</v>
      </c>
      <c r="DH167" s="3" t="s">
        <v>3</v>
      </c>
      <c r="DI167" s="3" t="s">
        <v>56</v>
      </c>
      <c r="DJ167" s="3" t="s">
        <v>56</v>
      </c>
      <c r="DK167" s="3" t="s">
        <v>3</v>
      </c>
      <c r="DL167" s="3" t="s">
        <v>3</v>
      </c>
      <c r="DM167" s="3" t="s">
        <v>3</v>
      </c>
      <c r="DN167" s="3">
        <v>0</v>
      </c>
      <c r="DO167" s="3">
        <v>0</v>
      </c>
      <c r="DP167" s="3">
        <v>1</v>
      </c>
      <c r="DQ167" s="3">
        <v>1</v>
      </c>
      <c r="DU167" s="3">
        <v>1013</v>
      </c>
      <c r="DV167" s="3" t="s">
        <v>22</v>
      </c>
      <c r="DW167" s="3" t="s">
        <v>22</v>
      </c>
      <c r="DX167" s="3">
        <v>1</v>
      </c>
      <c r="DZ167" s="3" t="s">
        <v>3</v>
      </c>
      <c r="EA167" s="3" t="s">
        <v>3</v>
      </c>
      <c r="EB167" s="3" t="s">
        <v>3</v>
      </c>
      <c r="EC167" s="3" t="s">
        <v>3</v>
      </c>
      <c r="EE167" s="3">
        <v>55393700</v>
      </c>
      <c r="EF167" s="3">
        <v>40</v>
      </c>
      <c r="EG167" s="3" t="s">
        <v>26</v>
      </c>
      <c r="EH167" s="3">
        <v>0</v>
      </c>
      <c r="EI167" s="3" t="s">
        <v>3</v>
      </c>
      <c r="EJ167" s="3">
        <v>2</v>
      </c>
      <c r="EK167" s="3">
        <v>68</v>
      </c>
      <c r="EL167" s="3" t="s">
        <v>35</v>
      </c>
      <c r="EM167" s="3" t="s">
        <v>36</v>
      </c>
      <c r="EO167" s="3" t="s">
        <v>60</v>
      </c>
      <c r="EQ167" s="3">
        <v>0</v>
      </c>
      <c r="ER167" s="3">
        <v>80.47</v>
      </c>
      <c r="ES167" s="3">
        <v>42.61</v>
      </c>
      <c r="ET167" s="3">
        <v>0</v>
      </c>
      <c r="EU167" s="3">
        <v>0</v>
      </c>
      <c r="EV167" s="3">
        <v>37.86</v>
      </c>
      <c r="EW167" s="3">
        <v>3</v>
      </c>
      <c r="EX167" s="3">
        <v>0</v>
      </c>
      <c r="EY167" s="3">
        <v>0</v>
      </c>
      <c r="FQ167" s="3">
        <v>0</v>
      </c>
      <c r="FR167" s="3">
        <v>0</v>
      </c>
      <c r="FS167" s="3">
        <v>0</v>
      </c>
      <c r="FX167" s="3">
        <v>90</v>
      </c>
      <c r="FY167" s="3">
        <v>46</v>
      </c>
      <c r="GA167" s="3" t="s">
        <v>3</v>
      </c>
      <c r="GD167" s="3">
        <v>1</v>
      </c>
      <c r="GF167" s="3">
        <v>-1785550083</v>
      </c>
      <c r="GG167" s="3">
        <v>2</v>
      </c>
      <c r="GH167" s="3">
        <v>1</v>
      </c>
      <c r="GI167" s="3">
        <v>2</v>
      </c>
      <c r="GJ167" s="3">
        <v>0</v>
      </c>
      <c r="GK167" s="3">
        <v>0</v>
      </c>
      <c r="GL167" s="3">
        <f t="shared" si="142"/>
        <v>0</v>
      </c>
      <c r="GM167" s="3">
        <f t="shared" si="143"/>
        <v>6545.58</v>
      </c>
      <c r="GN167" s="3">
        <f t="shared" si="144"/>
        <v>0</v>
      </c>
      <c r="GO167" s="3">
        <f t="shared" si="145"/>
        <v>6545.58</v>
      </c>
      <c r="GP167" s="3">
        <f t="shared" si="146"/>
        <v>0</v>
      </c>
      <c r="GR167" s="3">
        <v>0</v>
      </c>
      <c r="GS167" s="3">
        <v>3</v>
      </c>
      <c r="GT167" s="3">
        <v>0</v>
      </c>
      <c r="GU167" s="3" t="s">
        <v>3</v>
      </c>
      <c r="GV167" s="3">
        <f t="shared" si="147"/>
        <v>0</v>
      </c>
      <c r="GW167" s="3">
        <v>1</v>
      </c>
      <c r="GX167" s="3">
        <f t="shared" si="148"/>
        <v>0</v>
      </c>
      <c r="HA167" s="3">
        <v>0</v>
      </c>
      <c r="HB167" s="3">
        <v>0</v>
      </c>
      <c r="HC167" s="3">
        <f t="shared" si="149"/>
        <v>0</v>
      </c>
      <c r="HE167" s="3" t="s">
        <v>3</v>
      </c>
      <c r="HF167" s="3" t="s">
        <v>3</v>
      </c>
      <c r="HM167" s="3" t="s">
        <v>3</v>
      </c>
      <c r="HN167" s="3" t="s">
        <v>3</v>
      </c>
      <c r="HO167" s="3" t="s">
        <v>3</v>
      </c>
      <c r="HP167" s="3" t="s">
        <v>3</v>
      </c>
      <c r="HQ167" s="3" t="s">
        <v>3</v>
      </c>
      <c r="HS167" s="3">
        <v>0</v>
      </c>
      <c r="IK167" s="3">
        <v>0</v>
      </c>
    </row>
    <row r="168" spans="1:255" x14ac:dyDescent="0.25">
      <c r="A168" s="2">
        <v>17</v>
      </c>
      <c r="B168" s="2">
        <v>1</v>
      </c>
      <c r="C168" s="2"/>
      <c r="D168" s="2"/>
      <c r="E168" s="2" t="s">
        <v>223</v>
      </c>
      <c r="F168" s="2" t="s">
        <v>224</v>
      </c>
      <c r="G168" s="2" t="s">
        <v>225</v>
      </c>
      <c r="H168" s="2" t="s">
        <v>148</v>
      </c>
      <c r="I168" s="2">
        <v>1</v>
      </c>
      <c r="J168" s="2">
        <v>0</v>
      </c>
      <c r="K168" s="2">
        <v>1</v>
      </c>
      <c r="L168" s="2"/>
      <c r="M168" s="2"/>
      <c r="N168" s="2"/>
      <c r="O168" s="2">
        <f t="shared" si="125"/>
        <v>720.08</v>
      </c>
      <c r="P168" s="2">
        <f t="shared" si="126"/>
        <v>720.08</v>
      </c>
      <c r="Q168" s="2">
        <f t="shared" ref="Q168:Q173" si="150">(ROUND((ROUND(((ET168)*AV168*I168),2)*BB168),2)+ROUND((ROUND(((AE168-(EU168))*AV168*I168),2)*BS168),2))</f>
        <v>0</v>
      </c>
      <c r="R168" s="2">
        <f t="shared" ref="R168:R173" si="151">(ROUND((ROUND(((EU168)*AV168*I168),2)*BS168),2)+ROUND((ROUND(((AE168-(EU168))*AV168*I168),2)*BS168),2))</f>
        <v>0</v>
      </c>
      <c r="S168" s="2">
        <f t="shared" si="127"/>
        <v>0</v>
      </c>
      <c r="T168" s="2">
        <f t="shared" si="128"/>
        <v>0</v>
      </c>
      <c r="U168" s="2">
        <f t="shared" si="129"/>
        <v>0</v>
      </c>
      <c r="V168" s="2">
        <f t="shared" si="130"/>
        <v>0</v>
      </c>
      <c r="W168" s="2">
        <f t="shared" si="131"/>
        <v>0</v>
      </c>
      <c r="X168" s="2">
        <f t="shared" ref="X168:X173" si="152">(ROUND((((S168+ROUND((ROUND(((EU168)*AV168*I168),2)*BS168),2))*AT168)/100),2)+ROUND(((ROUND((ROUND(((AE168-(EU168))*AV168*I168),2)*BS168),2)*AT168)/100),2))</f>
        <v>0</v>
      </c>
      <c r="Y168" s="2">
        <f t="shared" ref="Y168:Y173" si="153">(ROUND((((S168+ROUND((ROUND(((EU168)*AV168*I168),2)*BS168),2))*AU168)/100),2)+ROUND(((ROUND((ROUND(((AE168-(EU168))*AV168*I168),2)*BS168),2)*AU168)/100),2))</f>
        <v>0</v>
      </c>
      <c r="Z168" s="2"/>
      <c r="AA168" s="2">
        <v>55917797</v>
      </c>
      <c r="AB168" s="2">
        <f t="shared" si="132"/>
        <v>720.08</v>
      </c>
      <c r="AC168" s="2">
        <f t="shared" ref="AC168:AC173" si="154">ROUND((ES168),6)</f>
        <v>720.08</v>
      </c>
      <c r="AD168" s="2">
        <f t="shared" ref="AD168:AD173" si="155">ROUND((((ET168)-(EU168))+AE168),6)</f>
        <v>0</v>
      </c>
      <c r="AE168" s="2">
        <f t="shared" ref="AE168:AF173" si="156">ROUND((EU168),6)</f>
        <v>0</v>
      </c>
      <c r="AF168" s="2">
        <f t="shared" si="156"/>
        <v>0</v>
      </c>
      <c r="AG168" s="2">
        <f t="shared" si="133"/>
        <v>0</v>
      </c>
      <c r="AH168" s="2">
        <f t="shared" ref="AH168:AI173" si="157">(EW168)</f>
        <v>0</v>
      </c>
      <c r="AI168" s="2">
        <f t="shared" si="157"/>
        <v>0</v>
      </c>
      <c r="AJ168" s="2">
        <f t="shared" si="134"/>
        <v>0</v>
      </c>
      <c r="AK168" s="2">
        <v>720.08</v>
      </c>
      <c r="AL168" s="2">
        <v>720.08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3</v>
      </c>
      <c r="BJ168" s="2" t="s">
        <v>224</v>
      </c>
      <c r="BK168" s="2"/>
      <c r="BL168" s="2"/>
      <c r="BM168" s="2">
        <v>400007</v>
      </c>
      <c r="BN168" s="2">
        <v>0</v>
      </c>
      <c r="BO168" s="2" t="s">
        <v>3</v>
      </c>
      <c r="BP168" s="2">
        <v>0</v>
      </c>
      <c r="BQ168" s="2">
        <v>214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0</v>
      </c>
      <c r="CA168" s="2">
        <v>0</v>
      </c>
      <c r="CB168" s="2" t="s">
        <v>3</v>
      </c>
      <c r="CC168" s="2"/>
      <c r="CD168" s="2"/>
      <c r="CE168" s="2">
        <v>1566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135"/>
        <v>720.08</v>
      </c>
      <c r="CQ168" s="2">
        <f t="shared" si="136"/>
        <v>720.08</v>
      </c>
      <c r="CR168" s="2">
        <f t="shared" ref="CR168:CR173" si="158">(ROUND((ROUND(((ET168)*AV168*1),2)*BB168),2)+ROUND((ROUND(((AE168-(EU168))*AV168*1),2)*BS168),2))</f>
        <v>0</v>
      </c>
      <c r="CS168" s="2">
        <f t="shared" ref="CS168:CS173" si="159">(ROUND((ROUND(((EU168)*AV168*1),2)*BS168),2)+ROUND((ROUND(((AE168-(EU168))*AV168*1),2)*BS168),2))</f>
        <v>0</v>
      </c>
      <c r="CT168" s="2">
        <f t="shared" si="137"/>
        <v>0</v>
      </c>
      <c r="CU168" s="2">
        <f t="shared" si="138"/>
        <v>0</v>
      </c>
      <c r="CV168" s="2">
        <f t="shared" si="139"/>
        <v>0</v>
      </c>
      <c r="CW168" s="2">
        <f t="shared" si="140"/>
        <v>0</v>
      </c>
      <c r="CX168" s="2">
        <f t="shared" si="141"/>
        <v>0</v>
      </c>
      <c r="CY168" s="2">
        <f t="shared" ref="CY168:CY173" si="160">(ROUND((((S168+ROUND((ROUND(((EU168)*AV168*1),2)*BS168),2))*AT168)/100),2)+ROUND(((ROUND((ROUND(((AE168-(EU168))*AV168*1),2)*BS168),2)*AT168)/100),2))</f>
        <v>0</v>
      </c>
      <c r="CZ168" s="2">
        <f t="shared" ref="CZ168:CZ173" si="161">(ROUND((((S168+ROUND((ROUND(((EU168)*AV168*1),2)*BS168),2))*AU168)/100),2)+ROUND(((ROUND((ROUND(((AE168-(EU168))*AV168*1),2)*BS168),2)*AU168)/100),2))</f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1013</v>
      </c>
      <c r="DV168" s="2" t="s">
        <v>148</v>
      </c>
      <c r="DW168" s="2" t="s">
        <v>148</v>
      </c>
      <c r="DX168" s="2">
        <v>1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55393630</v>
      </c>
      <c r="EF168" s="2">
        <v>214</v>
      </c>
      <c r="EG168" s="2" t="s">
        <v>149</v>
      </c>
      <c r="EH168" s="2">
        <v>0</v>
      </c>
      <c r="EI168" s="2" t="s">
        <v>3</v>
      </c>
      <c r="EJ168" s="2">
        <v>3</v>
      </c>
      <c r="EK168" s="2">
        <v>400007</v>
      </c>
      <c r="EL168" s="2" t="s">
        <v>149</v>
      </c>
      <c r="EM168" s="2" t="s">
        <v>150</v>
      </c>
      <c r="EN168" s="2"/>
      <c r="EO168" s="2" t="s">
        <v>3</v>
      </c>
      <c r="EP168" s="2"/>
      <c r="EQ168" s="2">
        <v>16</v>
      </c>
      <c r="ER168" s="2">
        <v>0</v>
      </c>
      <c r="ES168" s="2">
        <v>720.08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f>P168</f>
        <v>720.08</v>
      </c>
      <c r="FS168" s="2">
        <v>0</v>
      </c>
      <c r="FT168" s="2"/>
      <c r="FU168" s="2"/>
      <c r="FV168" s="2"/>
      <c r="FW168" s="2"/>
      <c r="FX168" s="2">
        <v>0</v>
      </c>
      <c r="FY168" s="2">
        <v>0</v>
      </c>
      <c r="FZ168" s="2"/>
      <c r="GA168" s="2" t="s">
        <v>226</v>
      </c>
      <c r="GB168" s="2"/>
      <c r="GC168" s="2"/>
      <c r="GD168" s="2">
        <v>1</v>
      </c>
      <c r="GE168" s="2"/>
      <c r="GF168" s="2">
        <v>837349593</v>
      </c>
      <c r="GG168" s="2">
        <v>2</v>
      </c>
      <c r="GH168" s="2">
        <v>4</v>
      </c>
      <c r="GI168" s="2">
        <v>-2</v>
      </c>
      <c r="GJ168" s="2">
        <v>0</v>
      </c>
      <c r="GK168" s="2">
        <v>0</v>
      </c>
      <c r="GL168" s="2">
        <f t="shared" si="142"/>
        <v>0</v>
      </c>
      <c r="GM168" s="2">
        <f t="shared" si="143"/>
        <v>720.08</v>
      </c>
      <c r="GN168" s="2">
        <f t="shared" si="144"/>
        <v>0</v>
      </c>
      <c r="GO168" s="2">
        <f t="shared" si="145"/>
        <v>0</v>
      </c>
      <c r="GP168" s="2">
        <f t="shared" si="146"/>
        <v>0</v>
      </c>
      <c r="GQ168" s="2"/>
      <c r="GR168" s="2">
        <v>1</v>
      </c>
      <c r="GS168" s="2">
        <v>2</v>
      </c>
      <c r="GT168" s="2">
        <v>0</v>
      </c>
      <c r="GU168" s="2" t="s">
        <v>3</v>
      </c>
      <c r="GV168" s="2">
        <f t="shared" si="147"/>
        <v>0</v>
      </c>
      <c r="GW168" s="2">
        <v>1</v>
      </c>
      <c r="GX168" s="2">
        <f t="shared" si="148"/>
        <v>0</v>
      </c>
      <c r="GY168" s="2"/>
      <c r="GZ168" s="2"/>
      <c r="HA168" s="2">
        <v>0</v>
      </c>
      <c r="HB168" s="2">
        <v>0</v>
      </c>
      <c r="HC168" s="2">
        <f t="shared" si="149"/>
        <v>0</v>
      </c>
      <c r="HD168" s="2"/>
      <c r="HE168" s="2" t="s">
        <v>37</v>
      </c>
      <c r="HF168" s="2" t="s">
        <v>152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5">
      <c r="A169" s="3">
        <v>17</v>
      </c>
      <c r="B169" s="3">
        <v>1</v>
      </c>
      <c r="E169" s="3" t="s">
        <v>223</v>
      </c>
      <c r="F169" s="3" t="s">
        <v>224</v>
      </c>
      <c r="G169" s="3" t="s">
        <v>225</v>
      </c>
      <c r="H169" s="3" t="s">
        <v>148</v>
      </c>
      <c r="I169" s="3">
        <v>1</v>
      </c>
      <c r="J169" s="3">
        <v>0</v>
      </c>
      <c r="K169" s="3">
        <v>1</v>
      </c>
      <c r="O169" s="3">
        <f t="shared" si="125"/>
        <v>5451.01</v>
      </c>
      <c r="P169" s="3">
        <f t="shared" si="126"/>
        <v>5451.01</v>
      </c>
      <c r="Q169" s="3">
        <f t="shared" si="150"/>
        <v>0</v>
      </c>
      <c r="R169" s="3">
        <f t="shared" si="151"/>
        <v>0</v>
      </c>
      <c r="S169" s="3">
        <f t="shared" si="127"/>
        <v>0</v>
      </c>
      <c r="T169" s="3">
        <f t="shared" si="128"/>
        <v>0</v>
      </c>
      <c r="U169" s="3">
        <f t="shared" si="129"/>
        <v>0</v>
      </c>
      <c r="V169" s="3">
        <f t="shared" si="130"/>
        <v>0</v>
      </c>
      <c r="W169" s="3">
        <f t="shared" si="131"/>
        <v>0</v>
      </c>
      <c r="X169" s="3">
        <f t="shared" si="152"/>
        <v>0</v>
      </c>
      <c r="Y169" s="3">
        <f t="shared" si="153"/>
        <v>0</v>
      </c>
      <c r="AA169" s="3">
        <v>55917799</v>
      </c>
      <c r="AB169" s="3">
        <f t="shared" si="132"/>
        <v>720.08</v>
      </c>
      <c r="AC169" s="3">
        <f t="shared" si="154"/>
        <v>720.08</v>
      </c>
      <c r="AD169" s="3">
        <f t="shared" si="155"/>
        <v>0</v>
      </c>
      <c r="AE169" s="3">
        <f t="shared" si="156"/>
        <v>0</v>
      </c>
      <c r="AF169" s="3">
        <f t="shared" si="156"/>
        <v>0</v>
      </c>
      <c r="AG169" s="3">
        <f t="shared" si="133"/>
        <v>0</v>
      </c>
      <c r="AH169" s="3">
        <f t="shared" si="157"/>
        <v>0</v>
      </c>
      <c r="AI169" s="3">
        <f t="shared" si="157"/>
        <v>0</v>
      </c>
      <c r="AJ169" s="3">
        <f t="shared" si="134"/>
        <v>0</v>
      </c>
      <c r="AK169" s="3">
        <v>720.08</v>
      </c>
      <c r="AL169" s="3">
        <v>720.08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1</v>
      </c>
      <c r="AW169" s="3">
        <v>1</v>
      </c>
      <c r="AZ169" s="3">
        <v>1</v>
      </c>
      <c r="BA169" s="3">
        <v>1</v>
      </c>
      <c r="BB169" s="3">
        <v>1</v>
      </c>
      <c r="BC169" s="3">
        <v>7.57</v>
      </c>
      <c r="BD169" s="3" t="s">
        <v>3</v>
      </c>
      <c r="BE169" s="3" t="s">
        <v>3</v>
      </c>
      <c r="BF169" s="3" t="s">
        <v>3</v>
      </c>
      <c r="BG169" s="3" t="s">
        <v>3</v>
      </c>
      <c r="BH169" s="3">
        <v>3</v>
      </c>
      <c r="BI169" s="3">
        <v>3</v>
      </c>
      <c r="BJ169" s="3" t="s">
        <v>224</v>
      </c>
      <c r="BM169" s="3">
        <v>400007</v>
      </c>
      <c r="BN169" s="3">
        <v>0</v>
      </c>
      <c r="BO169" s="3" t="s">
        <v>3</v>
      </c>
      <c r="BP169" s="3">
        <v>0</v>
      </c>
      <c r="BQ169" s="3">
        <v>214</v>
      </c>
      <c r="BR169" s="3">
        <v>0</v>
      </c>
      <c r="BS169" s="3">
        <v>1</v>
      </c>
      <c r="BT169" s="3">
        <v>1</v>
      </c>
      <c r="BU169" s="3">
        <v>1</v>
      </c>
      <c r="BV169" s="3">
        <v>1</v>
      </c>
      <c r="BW169" s="3">
        <v>1</v>
      </c>
      <c r="BX169" s="3">
        <v>1</v>
      </c>
      <c r="BY169" s="3" t="s">
        <v>3</v>
      </c>
      <c r="BZ169" s="3">
        <v>0</v>
      </c>
      <c r="CA169" s="3">
        <v>0</v>
      </c>
      <c r="CB169" s="3" t="s">
        <v>3</v>
      </c>
      <c r="CE169" s="3">
        <v>1566</v>
      </c>
      <c r="CF169" s="3">
        <v>0</v>
      </c>
      <c r="CG169" s="3">
        <v>0</v>
      </c>
      <c r="CM169" s="3">
        <v>0</v>
      </c>
      <c r="CN169" s="3" t="s">
        <v>3</v>
      </c>
      <c r="CO169" s="3">
        <v>0</v>
      </c>
      <c r="CP169" s="3">
        <f t="shared" si="135"/>
        <v>5451.01</v>
      </c>
      <c r="CQ169" s="3">
        <f t="shared" si="136"/>
        <v>5451.01</v>
      </c>
      <c r="CR169" s="3">
        <f t="shared" si="158"/>
        <v>0</v>
      </c>
      <c r="CS169" s="3">
        <f t="shared" si="159"/>
        <v>0</v>
      </c>
      <c r="CT169" s="3">
        <f t="shared" si="137"/>
        <v>0</v>
      </c>
      <c r="CU169" s="3">
        <f t="shared" si="138"/>
        <v>0</v>
      </c>
      <c r="CV169" s="3">
        <f t="shared" si="139"/>
        <v>0</v>
      </c>
      <c r="CW169" s="3">
        <f t="shared" si="140"/>
        <v>0</v>
      </c>
      <c r="CX169" s="3">
        <f t="shared" si="141"/>
        <v>0</v>
      </c>
      <c r="CY169" s="3">
        <f t="shared" si="160"/>
        <v>0</v>
      </c>
      <c r="CZ169" s="3">
        <f t="shared" si="161"/>
        <v>0</v>
      </c>
      <c r="DC169" s="3" t="s">
        <v>3</v>
      </c>
      <c r="DD169" s="3" t="s">
        <v>3</v>
      </c>
      <c r="DE169" s="3" t="s">
        <v>3</v>
      </c>
      <c r="DF169" s="3" t="s">
        <v>3</v>
      </c>
      <c r="DG169" s="3" t="s">
        <v>3</v>
      </c>
      <c r="DH169" s="3" t="s">
        <v>3</v>
      </c>
      <c r="DI169" s="3" t="s">
        <v>3</v>
      </c>
      <c r="DJ169" s="3" t="s">
        <v>3</v>
      </c>
      <c r="DK169" s="3" t="s">
        <v>3</v>
      </c>
      <c r="DL169" s="3" t="s">
        <v>3</v>
      </c>
      <c r="DM169" s="3" t="s">
        <v>3</v>
      </c>
      <c r="DN169" s="3">
        <v>0</v>
      </c>
      <c r="DO169" s="3">
        <v>0</v>
      </c>
      <c r="DP169" s="3">
        <v>1</v>
      </c>
      <c r="DQ169" s="3">
        <v>1</v>
      </c>
      <c r="DU169" s="3">
        <v>1013</v>
      </c>
      <c r="DV169" s="3" t="s">
        <v>148</v>
      </c>
      <c r="DW169" s="3" t="s">
        <v>148</v>
      </c>
      <c r="DX169" s="3">
        <v>1</v>
      </c>
      <c r="DZ169" s="3" t="s">
        <v>3</v>
      </c>
      <c r="EA169" s="3" t="s">
        <v>3</v>
      </c>
      <c r="EB169" s="3" t="s">
        <v>3</v>
      </c>
      <c r="EC169" s="3" t="s">
        <v>3</v>
      </c>
      <c r="EE169" s="3">
        <v>55393630</v>
      </c>
      <c r="EF169" s="3">
        <v>214</v>
      </c>
      <c r="EG169" s="3" t="s">
        <v>149</v>
      </c>
      <c r="EH169" s="3">
        <v>0</v>
      </c>
      <c r="EI169" s="3" t="s">
        <v>3</v>
      </c>
      <c r="EJ169" s="3">
        <v>3</v>
      </c>
      <c r="EK169" s="3">
        <v>400007</v>
      </c>
      <c r="EL169" s="3" t="s">
        <v>149</v>
      </c>
      <c r="EM169" s="3" t="s">
        <v>150</v>
      </c>
      <c r="EO169" s="3" t="s">
        <v>3</v>
      </c>
      <c r="EQ169" s="3">
        <v>16</v>
      </c>
      <c r="ER169" s="3">
        <v>0</v>
      </c>
      <c r="ES169" s="3">
        <v>720.08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5</v>
      </c>
      <c r="FC169" s="3">
        <v>1</v>
      </c>
      <c r="FD169" s="3">
        <v>18</v>
      </c>
      <c r="FF169" s="3">
        <v>6380</v>
      </c>
      <c r="FQ169" s="3">
        <v>0</v>
      </c>
      <c r="FR169" s="3">
        <f>P169</f>
        <v>5451.01</v>
      </c>
      <c r="FS169" s="3">
        <v>0</v>
      </c>
      <c r="FX169" s="3">
        <v>0</v>
      </c>
      <c r="FY169" s="3">
        <v>0</v>
      </c>
      <c r="GA169" s="3" t="s">
        <v>226</v>
      </c>
      <c r="GD169" s="3">
        <v>1</v>
      </c>
      <c r="GF169" s="3">
        <v>837349593</v>
      </c>
      <c r="GG169" s="3">
        <v>2</v>
      </c>
      <c r="GH169" s="3">
        <v>3</v>
      </c>
      <c r="GI169" s="3">
        <v>5</v>
      </c>
      <c r="GJ169" s="3">
        <v>0</v>
      </c>
      <c r="GK169" s="3">
        <v>0</v>
      </c>
      <c r="GL169" s="3">
        <f t="shared" si="142"/>
        <v>0</v>
      </c>
      <c r="GM169" s="3">
        <f t="shared" si="143"/>
        <v>5451.01</v>
      </c>
      <c r="GN169" s="3">
        <f t="shared" si="144"/>
        <v>0</v>
      </c>
      <c r="GO169" s="3">
        <f t="shared" si="145"/>
        <v>0</v>
      </c>
      <c r="GP169" s="3">
        <f t="shared" si="146"/>
        <v>0</v>
      </c>
      <c r="GR169" s="3">
        <v>1</v>
      </c>
      <c r="GS169" s="3">
        <v>1</v>
      </c>
      <c r="GT169" s="3">
        <v>0</v>
      </c>
      <c r="GU169" s="3" t="s">
        <v>3</v>
      </c>
      <c r="GV169" s="3">
        <f t="shared" si="147"/>
        <v>0</v>
      </c>
      <c r="GW169" s="3">
        <v>1</v>
      </c>
      <c r="GX169" s="3">
        <f t="shared" si="148"/>
        <v>0</v>
      </c>
      <c r="HA169" s="3">
        <v>0</v>
      </c>
      <c r="HB169" s="3">
        <v>0</v>
      </c>
      <c r="HC169" s="3">
        <f t="shared" si="149"/>
        <v>0</v>
      </c>
      <c r="HE169" s="3" t="s">
        <v>37</v>
      </c>
      <c r="HF169" s="3" t="s">
        <v>152</v>
      </c>
      <c r="HM169" s="3" t="s">
        <v>3</v>
      </c>
      <c r="HN169" s="3" t="s">
        <v>3</v>
      </c>
      <c r="HO169" s="3" t="s">
        <v>3</v>
      </c>
      <c r="HP169" s="3" t="s">
        <v>3</v>
      </c>
      <c r="HQ169" s="3" t="s">
        <v>3</v>
      </c>
      <c r="HS169" s="3">
        <v>0</v>
      </c>
      <c r="IK169" s="3">
        <v>0</v>
      </c>
    </row>
    <row r="170" spans="1:255" x14ac:dyDescent="0.25">
      <c r="A170" s="2">
        <v>17</v>
      </c>
      <c r="B170" s="2">
        <v>1</v>
      </c>
      <c r="C170" s="2"/>
      <c r="D170" s="2"/>
      <c r="E170" s="2" t="s">
        <v>227</v>
      </c>
      <c r="F170" s="2" t="s">
        <v>228</v>
      </c>
      <c r="G170" s="2" t="s">
        <v>229</v>
      </c>
      <c r="H170" s="2" t="s">
        <v>164</v>
      </c>
      <c r="I170" s="2">
        <v>1</v>
      </c>
      <c r="J170" s="2">
        <v>0</v>
      </c>
      <c r="K170" s="2">
        <v>1</v>
      </c>
      <c r="L170" s="2"/>
      <c r="M170" s="2"/>
      <c r="N170" s="2"/>
      <c r="O170" s="2">
        <f t="shared" si="125"/>
        <v>42.99</v>
      </c>
      <c r="P170" s="2">
        <f t="shared" si="126"/>
        <v>42.99</v>
      </c>
      <c r="Q170" s="2">
        <f t="shared" si="150"/>
        <v>0</v>
      </c>
      <c r="R170" s="2">
        <f t="shared" si="151"/>
        <v>0</v>
      </c>
      <c r="S170" s="2">
        <f t="shared" si="127"/>
        <v>0</v>
      </c>
      <c r="T170" s="2">
        <f t="shared" si="128"/>
        <v>0</v>
      </c>
      <c r="U170" s="2">
        <f t="shared" si="129"/>
        <v>0</v>
      </c>
      <c r="V170" s="2">
        <f t="shared" si="130"/>
        <v>0</v>
      </c>
      <c r="W170" s="2">
        <f t="shared" si="131"/>
        <v>0</v>
      </c>
      <c r="X170" s="2">
        <f t="shared" si="152"/>
        <v>0</v>
      </c>
      <c r="Y170" s="2">
        <f t="shared" si="153"/>
        <v>0</v>
      </c>
      <c r="Z170" s="2"/>
      <c r="AA170" s="2">
        <v>55917797</v>
      </c>
      <c r="AB170" s="2">
        <f t="shared" si="132"/>
        <v>42.99</v>
      </c>
      <c r="AC170" s="2">
        <f t="shared" si="154"/>
        <v>42.99</v>
      </c>
      <c r="AD170" s="2">
        <f t="shared" si="155"/>
        <v>0</v>
      </c>
      <c r="AE170" s="2">
        <f t="shared" si="156"/>
        <v>0</v>
      </c>
      <c r="AF170" s="2">
        <f t="shared" si="156"/>
        <v>0</v>
      </c>
      <c r="AG170" s="2">
        <f t="shared" si="133"/>
        <v>0</v>
      </c>
      <c r="AH170" s="2">
        <f t="shared" si="157"/>
        <v>0</v>
      </c>
      <c r="AI170" s="2">
        <f t="shared" si="157"/>
        <v>0</v>
      </c>
      <c r="AJ170" s="2">
        <f t="shared" si="134"/>
        <v>0</v>
      </c>
      <c r="AK170" s="2">
        <v>42.99</v>
      </c>
      <c r="AL170" s="2">
        <v>42.99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1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3</v>
      </c>
      <c r="BI170" s="2">
        <v>2</v>
      </c>
      <c r="BJ170" s="2" t="s">
        <v>230</v>
      </c>
      <c r="BK170" s="2"/>
      <c r="BL170" s="2"/>
      <c r="BM170" s="2">
        <v>1618</v>
      </c>
      <c r="BN170" s="2">
        <v>0</v>
      </c>
      <c r="BO170" s="2" t="s">
        <v>3</v>
      </c>
      <c r="BP170" s="2">
        <v>0</v>
      </c>
      <c r="BQ170" s="2">
        <v>201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0</v>
      </c>
      <c r="CA170" s="2">
        <v>0</v>
      </c>
      <c r="CB170" s="2" t="s">
        <v>3</v>
      </c>
      <c r="CC170" s="2"/>
      <c r="CD170" s="2"/>
      <c r="CE170" s="2">
        <v>1566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3</v>
      </c>
      <c r="CO170" s="2">
        <v>0</v>
      </c>
      <c r="CP170" s="2">
        <f t="shared" si="135"/>
        <v>42.99</v>
      </c>
      <c r="CQ170" s="2">
        <f t="shared" si="136"/>
        <v>42.99</v>
      </c>
      <c r="CR170" s="2">
        <f t="shared" si="158"/>
        <v>0</v>
      </c>
      <c r="CS170" s="2">
        <f t="shared" si="159"/>
        <v>0</v>
      </c>
      <c r="CT170" s="2">
        <f t="shared" si="137"/>
        <v>0</v>
      </c>
      <c r="CU170" s="2">
        <f t="shared" si="138"/>
        <v>0</v>
      </c>
      <c r="CV170" s="2">
        <f t="shared" si="139"/>
        <v>0</v>
      </c>
      <c r="CW170" s="2">
        <f t="shared" si="140"/>
        <v>0</v>
      </c>
      <c r="CX170" s="2">
        <f t="shared" si="141"/>
        <v>0</v>
      </c>
      <c r="CY170" s="2">
        <f t="shared" si="160"/>
        <v>0</v>
      </c>
      <c r="CZ170" s="2">
        <f t="shared" si="161"/>
        <v>0</v>
      </c>
      <c r="DA170" s="2"/>
      <c r="DB170" s="2"/>
      <c r="DC170" s="2" t="s">
        <v>3</v>
      </c>
      <c r="DD170" s="2" t="s">
        <v>3</v>
      </c>
      <c r="DE170" s="2" t="s">
        <v>3</v>
      </c>
      <c r="DF170" s="2" t="s">
        <v>3</v>
      </c>
      <c r="DG170" s="2" t="s">
        <v>3</v>
      </c>
      <c r="DH170" s="2" t="s">
        <v>3</v>
      </c>
      <c r="DI170" s="2" t="s">
        <v>3</v>
      </c>
      <c r="DJ170" s="2" t="s">
        <v>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1010</v>
      </c>
      <c r="DV170" s="2" t="s">
        <v>164</v>
      </c>
      <c r="DW170" s="2" t="s">
        <v>164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55393729</v>
      </c>
      <c r="EF170" s="2">
        <v>201</v>
      </c>
      <c r="EG170" s="2" t="s">
        <v>179</v>
      </c>
      <c r="EH170" s="2">
        <v>0</v>
      </c>
      <c r="EI170" s="2" t="s">
        <v>3</v>
      </c>
      <c r="EJ170" s="2">
        <v>2</v>
      </c>
      <c r="EK170" s="2">
        <v>1618</v>
      </c>
      <c r="EL170" s="2" t="s">
        <v>180</v>
      </c>
      <c r="EM170" s="2" t="s">
        <v>181</v>
      </c>
      <c r="EN170" s="2"/>
      <c r="EO170" s="2" t="s">
        <v>3</v>
      </c>
      <c r="EP170" s="2"/>
      <c r="EQ170" s="2">
        <v>0</v>
      </c>
      <c r="ER170" s="2">
        <v>42.99</v>
      </c>
      <c r="ES170" s="2">
        <v>42.99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v>0</v>
      </c>
      <c r="FS170" s="2">
        <v>0</v>
      </c>
      <c r="FT170" s="2"/>
      <c r="FU170" s="2"/>
      <c r="FV170" s="2"/>
      <c r="FW170" s="2"/>
      <c r="FX170" s="2">
        <v>0</v>
      </c>
      <c r="FY170" s="2">
        <v>0</v>
      </c>
      <c r="FZ170" s="2"/>
      <c r="GA170" s="2" t="s">
        <v>3</v>
      </c>
      <c r="GB170" s="2"/>
      <c r="GC170" s="2"/>
      <c r="GD170" s="2">
        <v>1</v>
      </c>
      <c r="GE170" s="2"/>
      <c r="GF170" s="2">
        <v>-1721948503</v>
      </c>
      <c r="GG170" s="2">
        <v>2</v>
      </c>
      <c r="GH170" s="2">
        <v>1</v>
      </c>
      <c r="GI170" s="2">
        <v>-2</v>
      </c>
      <c r="GJ170" s="2">
        <v>0</v>
      </c>
      <c r="GK170" s="2">
        <v>0</v>
      </c>
      <c r="GL170" s="2">
        <f t="shared" si="142"/>
        <v>0</v>
      </c>
      <c r="GM170" s="2">
        <f t="shared" si="143"/>
        <v>42.99</v>
      </c>
      <c r="GN170" s="2">
        <f t="shared" si="144"/>
        <v>0</v>
      </c>
      <c r="GO170" s="2">
        <f t="shared" si="145"/>
        <v>42.99</v>
      </c>
      <c r="GP170" s="2">
        <f t="shared" si="146"/>
        <v>0</v>
      </c>
      <c r="GQ170" s="2"/>
      <c r="GR170" s="2">
        <v>0</v>
      </c>
      <c r="GS170" s="2">
        <v>3</v>
      </c>
      <c r="GT170" s="2">
        <v>0</v>
      </c>
      <c r="GU170" s="2" t="s">
        <v>3</v>
      </c>
      <c r="GV170" s="2">
        <f t="shared" si="147"/>
        <v>0</v>
      </c>
      <c r="GW170" s="2">
        <v>1</v>
      </c>
      <c r="GX170" s="2">
        <f t="shared" si="148"/>
        <v>0</v>
      </c>
      <c r="GY170" s="2"/>
      <c r="GZ170" s="2"/>
      <c r="HA170" s="2">
        <v>0</v>
      </c>
      <c r="HB170" s="2">
        <v>0</v>
      </c>
      <c r="HC170" s="2">
        <f t="shared" si="149"/>
        <v>0</v>
      </c>
      <c r="HD170" s="2"/>
      <c r="HE170" s="2" t="s">
        <v>3</v>
      </c>
      <c r="HF170" s="2" t="s">
        <v>3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5">
      <c r="A171" s="3">
        <v>17</v>
      </c>
      <c r="B171" s="3">
        <v>1</v>
      </c>
      <c r="E171" s="3" t="s">
        <v>227</v>
      </c>
      <c r="F171" s="3" t="s">
        <v>228</v>
      </c>
      <c r="G171" s="3" t="s">
        <v>229</v>
      </c>
      <c r="H171" s="3" t="s">
        <v>164</v>
      </c>
      <c r="I171" s="3">
        <v>1</v>
      </c>
      <c r="J171" s="3">
        <v>0</v>
      </c>
      <c r="K171" s="3">
        <v>1</v>
      </c>
      <c r="O171" s="3">
        <f t="shared" si="125"/>
        <v>247.62</v>
      </c>
      <c r="P171" s="3">
        <f t="shared" si="126"/>
        <v>247.62</v>
      </c>
      <c r="Q171" s="3">
        <f t="shared" si="150"/>
        <v>0</v>
      </c>
      <c r="R171" s="3">
        <f t="shared" si="151"/>
        <v>0</v>
      </c>
      <c r="S171" s="3">
        <f t="shared" si="127"/>
        <v>0</v>
      </c>
      <c r="T171" s="3">
        <f t="shared" si="128"/>
        <v>0</v>
      </c>
      <c r="U171" s="3">
        <f t="shared" si="129"/>
        <v>0</v>
      </c>
      <c r="V171" s="3">
        <f t="shared" si="130"/>
        <v>0</v>
      </c>
      <c r="W171" s="3">
        <f t="shared" si="131"/>
        <v>0</v>
      </c>
      <c r="X171" s="3">
        <f t="shared" si="152"/>
        <v>0</v>
      </c>
      <c r="Y171" s="3">
        <f t="shared" si="153"/>
        <v>0</v>
      </c>
      <c r="AA171" s="3">
        <v>55917799</v>
      </c>
      <c r="AB171" s="3">
        <f t="shared" si="132"/>
        <v>42.99</v>
      </c>
      <c r="AC171" s="3">
        <f t="shared" si="154"/>
        <v>42.99</v>
      </c>
      <c r="AD171" s="3">
        <f t="shared" si="155"/>
        <v>0</v>
      </c>
      <c r="AE171" s="3">
        <f t="shared" si="156"/>
        <v>0</v>
      </c>
      <c r="AF171" s="3">
        <f t="shared" si="156"/>
        <v>0</v>
      </c>
      <c r="AG171" s="3">
        <f t="shared" si="133"/>
        <v>0</v>
      </c>
      <c r="AH171" s="3">
        <f t="shared" si="157"/>
        <v>0</v>
      </c>
      <c r="AI171" s="3">
        <f t="shared" si="157"/>
        <v>0</v>
      </c>
      <c r="AJ171" s="3">
        <f t="shared" si="134"/>
        <v>0</v>
      </c>
      <c r="AK171" s="3">
        <v>42.99</v>
      </c>
      <c r="AL171" s="3">
        <v>42.99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1</v>
      </c>
      <c r="AW171" s="3">
        <v>1</v>
      </c>
      <c r="AZ171" s="3">
        <v>1</v>
      </c>
      <c r="BA171" s="3">
        <v>1</v>
      </c>
      <c r="BB171" s="3">
        <v>1</v>
      </c>
      <c r="BC171" s="3">
        <v>5.76</v>
      </c>
      <c r="BD171" s="3" t="s">
        <v>3</v>
      </c>
      <c r="BE171" s="3" t="s">
        <v>3</v>
      </c>
      <c r="BF171" s="3" t="s">
        <v>3</v>
      </c>
      <c r="BG171" s="3" t="s">
        <v>3</v>
      </c>
      <c r="BH171" s="3">
        <v>3</v>
      </c>
      <c r="BI171" s="3">
        <v>2</v>
      </c>
      <c r="BJ171" s="3" t="s">
        <v>230</v>
      </c>
      <c r="BM171" s="3">
        <v>1618</v>
      </c>
      <c r="BN171" s="3">
        <v>0</v>
      </c>
      <c r="BO171" s="3" t="s">
        <v>228</v>
      </c>
      <c r="BP171" s="3">
        <v>1</v>
      </c>
      <c r="BQ171" s="3">
        <v>201</v>
      </c>
      <c r="BR171" s="3">
        <v>0</v>
      </c>
      <c r="BS171" s="3">
        <v>1</v>
      </c>
      <c r="BT171" s="3">
        <v>1</v>
      </c>
      <c r="BU171" s="3">
        <v>1</v>
      </c>
      <c r="BV171" s="3">
        <v>1</v>
      </c>
      <c r="BW171" s="3">
        <v>1</v>
      </c>
      <c r="BX171" s="3">
        <v>1</v>
      </c>
      <c r="BY171" s="3" t="s">
        <v>3</v>
      </c>
      <c r="BZ171" s="3">
        <v>0</v>
      </c>
      <c r="CA171" s="3">
        <v>0</v>
      </c>
      <c r="CB171" s="3" t="s">
        <v>3</v>
      </c>
      <c r="CE171" s="3">
        <v>1566</v>
      </c>
      <c r="CF171" s="3">
        <v>0</v>
      </c>
      <c r="CG171" s="3">
        <v>0</v>
      </c>
      <c r="CM171" s="3">
        <v>0</v>
      </c>
      <c r="CN171" s="3" t="s">
        <v>3</v>
      </c>
      <c r="CO171" s="3">
        <v>0</v>
      </c>
      <c r="CP171" s="3">
        <f t="shared" si="135"/>
        <v>247.62</v>
      </c>
      <c r="CQ171" s="3">
        <f t="shared" si="136"/>
        <v>247.62</v>
      </c>
      <c r="CR171" s="3">
        <f t="shared" si="158"/>
        <v>0</v>
      </c>
      <c r="CS171" s="3">
        <f t="shared" si="159"/>
        <v>0</v>
      </c>
      <c r="CT171" s="3">
        <f t="shared" si="137"/>
        <v>0</v>
      </c>
      <c r="CU171" s="3">
        <f t="shared" si="138"/>
        <v>0</v>
      </c>
      <c r="CV171" s="3">
        <f t="shared" si="139"/>
        <v>0</v>
      </c>
      <c r="CW171" s="3">
        <f t="shared" si="140"/>
        <v>0</v>
      </c>
      <c r="CX171" s="3">
        <f t="shared" si="141"/>
        <v>0</v>
      </c>
      <c r="CY171" s="3">
        <f t="shared" si="160"/>
        <v>0</v>
      </c>
      <c r="CZ171" s="3">
        <f t="shared" si="161"/>
        <v>0</v>
      </c>
      <c r="DC171" s="3" t="s">
        <v>3</v>
      </c>
      <c r="DD171" s="3" t="s">
        <v>3</v>
      </c>
      <c r="DE171" s="3" t="s">
        <v>3</v>
      </c>
      <c r="DF171" s="3" t="s">
        <v>3</v>
      </c>
      <c r="DG171" s="3" t="s">
        <v>3</v>
      </c>
      <c r="DH171" s="3" t="s">
        <v>3</v>
      </c>
      <c r="DI171" s="3" t="s">
        <v>3</v>
      </c>
      <c r="DJ171" s="3" t="s">
        <v>3</v>
      </c>
      <c r="DK171" s="3" t="s">
        <v>3</v>
      </c>
      <c r="DL171" s="3" t="s">
        <v>3</v>
      </c>
      <c r="DM171" s="3" t="s">
        <v>3</v>
      </c>
      <c r="DN171" s="3">
        <v>0</v>
      </c>
      <c r="DO171" s="3">
        <v>0</v>
      </c>
      <c r="DP171" s="3">
        <v>1</v>
      </c>
      <c r="DQ171" s="3">
        <v>1</v>
      </c>
      <c r="DU171" s="3">
        <v>1010</v>
      </c>
      <c r="DV171" s="3" t="s">
        <v>164</v>
      </c>
      <c r="DW171" s="3" t="s">
        <v>164</v>
      </c>
      <c r="DX171" s="3">
        <v>1</v>
      </c>
      <c r="DZ171" s="3" t="s">
        <v>3</v>
      </c>
      <c r="EA171" s="3" t="s">
        <v>3</v>
      </c>
      <c r="EB171" s="3" t="s">
        <v>3</v>
      </c>
      <c r="EC171" s="3" t="s">
        <v>3</v>
      </c>
      <c r="EE171" s="3">
        <v>55393729</v>
      </c>
      <c r="EF171" s="3">
        <v>201</v>
      </c>
      <c r="EG171" s="3" t="s">
        <v>179</v>
      </c>
      <c r="EH171" s="3">
        <v>0</v>
      </c>
      <c r="EI171" s="3" t="s">
        <v>3</v>
      </c>
      <c r="EJ171" s="3">
        <v>2</v>
      </c>
      <c r="EK171" s="3">
        <v>1618</v>
      </c>
      <c r="EL171" s="3" t="s">
        <v>180</v>
      </c>
      <c r="EM171" s="3" t="s">
        <v>181</v>
      </c>
      <c r="EO171" s="3" t="s">
        <v>3</v>
      </c>
      <c r="EQ171" s="3">
        <v>0</v>
      </c>
      <c r="ER171" s="3">
        <v>42.99</v>
      </c>
      <c r="ES171" s="3">
        <v>42.99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FQ171" s="3">
        <v>0</v>
      </c>
      <c r="FR171" s="3">
        <v>0</v>
      </c>
      <c r="FS171" s="3">
        <v>0</v>
      </c>
      <c r="FX171" s="3">
        <v>0</v>
      </c>
      <c r="FY171" s="3">
        <v>0</v>
      </c>
      <c r="GA171" s="3" t="s">
        <v>3</v>
      </c>
      <c r="GD171" s="3">
        <v>1</v>
      </c>
      <c r="GF171" s="3">
        <v>-1721948503</v>
      </c>
      <c r="GG171" s="3">
        <v>2</v>
      </c>
      <c r="GH171" s="3">
        <v>1</v>
      </c>
      <c r="GI171" s="3">
        <v>2</v>
      </c>
      <c r="GJ171" s="3">
        <v>0</v>
      </c>
      <c r="GK171" s="3">
        <v>0</v>
      </c>
      <c r="GL171" s="3">
        <f t="shared" si="142"/>
        <v>0</v>
      </c>
      <c r="GM171" s="3">
        <f t="shared" si="143"/>
        <v>247.62</v>
      </c>
      <c r="GN171" s="3">
        <f t="shared" si="144"/>
        <v>0</v>
      </c>
      <c r="GO171" s="3">
        <f t="shared" si="145"/>
        <v>247.62</v>
      </c>
      <c r="GP171" s="3">
        <f t="shared" si="146"/>
        <v>0</v>
      </c>
      <c r="GR171" s="3">
        <v>0</v>
      </c>
      <c r="GS171" s="3">
        <v>3</v>
      </c>
      <c r="GT171" s="3">
        <v>0</v>
      </c>
      <c r="GU171" s="3" t="s">
        <v>3</v>
      </c>
      <c r="GV171" s="3">
        <f t="shared" si="147"/>
        <v>0</v>
      </c>
      <c r="GW171" s="3">
        <v>1</v>
      </c>
      <c r="GX171" s="3">
        <f t="shared" si="148"/>
        <v>0</v>
      </c>
      <c r="HA171" s="3">
        <v>0</v>
      </c>
      <c r="HB171" s="3">
        <v>0</v>
      </c>
      <c r="HC171" s="3">
        <f t="shared" si="149"/>
        <v>0</v>
      </c>
      <c r="HE171" s="3" t="s">
        <v>3</v>
      </c>
      <c r="HF171" s="3" t="s">
        <v>3</v>
      </c>
      <c r="HM171" s="3" t="s">
        <v>3</v>
      </c>
      <c r="HN171" s="3" t="s">
        <v>3</v>
      </c>
      <c r="HO171" s="3" t="s">
        <v>3</v>
      </c>
      <c r="HP171" s="3" t="s">
        <v>3</v>
      </c>
      <c r="HQ171" s="3" t="s">
        <v>3</v>
      </c>
      <c r="HS171" s="3">
        <v>0</v>
      </c>
      <c r="IK171" s="3">
        <v>0</v>
      </c>
    </row>
    <row r="172" spans="1:255" x14ac:dyDescent="0.25">
      <c r="A172" s="2">
        <v>17</v>
      </c>
      <c r="B172" s="2">
        <v>1</v>
      </c>
      <c r="C172" s="2"/>
      <c r="D172" s="2"/>
      <c r="E172" s="2" t="s">
        <v>231</v>
      </c>
      <c r="F172" s="2" t="s">
        <v>228</v>
      </c>
      <c r="G172" s="2" t="s">
        <v>232</v>
      </c>
      <c r="H172" s="2" t="s">
        <v>164</v>
      </c>
      <c r="I172" s="2">
        <v>3</v>
      </c>
      <c r="J172" s="2">
        <v>0</v>
      </c>
      <c r="K172" s="2">
        <v>3</v>
      </c>
      <c r="L172" s="2"/>
      <c r="M172" s="2"/>
      <c r="N172" s="2"/>
      <c r="O172" s="2">
        <f t="shared" si="125"/>
        <v>128.97</v>
      </c>
      <c r="P172" s="2">
        <f t="shared" si="126"/>
        <v>128.97</v>
      </c>
      <c r="Q172" s="2">
        <f t="shared" si="150"/>
        <v>0</v>
      </c>
      <c r="R172" s="2">
        <f t="shared" si="151"/>
        <v>0</v>
      </c>
      <c r="S172" s="2">
        <f t="shared" si="127"/>
        <v>0</v>
      </c>
      <c r="T172" s="2">
        <f t="shared" si="128"/>
        <v>0</v>
      </c>
      <c r="U172" s="2">
        <f t="shared" si="129"/>
        <v>0</v>
      </c>
      <c r="V172" s="2">
        <f t="shared" si="130"/>
        <v>0</v>
      </c>
      <c r="W172" s="2">
        <f t="shared" si="131"/>
        <v>0</v>
      </c>
      <c r="X172" s="2">
        <f t="shared" si="152"/>
        <v>0</v>
      </c>
      <c r="Y172" s="2">
        <f t="shared" si="153"/>
        <v>0</v>
      </c>
      <c r="Z172" s="2"/>
      <c r="AA172" s="2">
        <v>55917797</v>
      </c>
      <c r="AB172" s="2">
        <f t="shared" si="132"/>
        <v>42.99</v>
      </c>
      <c r="AC172" s="2">
        <f t="shared" si="154"/>
        <v>42.99</v>
      </c>
      <c r="AD172" s="2">
        <f t="shared" si="155"/>
        <v>0</v>
      </c>
      <c r="AE172" s="2">
        <f t="shared" si="156"/>
        <v>0</v>
      </c>
      <c r="AF172" s="2">
        <f t="shared" si="156"/>
        <v>0</v>
      </c>
      <c r="AG172" s="2">
        <f t="shared" si="133"/>
        <v>0</v>
      </c>
      <c r="AH172" s="2">
        <f t="shared" si="157"/>
        <v>0</v>
      </c>
      <c r="AI172" s="2">
        <f t="shared" si="157"/>
        <v>0</v>
      </c>
      <c r="AJ172" s="2">
        <f t="shared" si="134"/>
        <v>0</v>
      </c>
      <c r="AK172" s="2">
        <v>42.99</v>
      </c>
      <c r="AL172" s="2">
        <v>42.99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3</v>
      </c>
      <c r="BI172" s="2">
        <v>2</v>
      </c>
      <c r="BJ172" s="2" t="s">
        <v>230</v>
      </c>
      <c r="BK172" s="2"/>
      <c r="BL172" s="2"/>
      <c r="BM172" s="2">
        <v>1618</v>
      </c>
      <c r="BN172" s="2">
        <v>0</v>
      </c>
      <c r="BO172" s="2" t="s">
        <v>3</v>
      </c>
      <c r="BP172" s="2">
        <v>0</v>
      </c>
      <c r="BQ172" s="2">
        <v>201</v>
      </c>
      <c r="BR172" s="2">
        <v>0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0</v>
      </c>
      <c r="CA172" s="2">
        <v>0</v>
      </c>
      <c r="CB172" s="2" t="s">
        <v>3</v>
      </c>
      <c r="CC172" s="2"/>
      <c r="CD172" s="2"/>
      <c r="CE172" s="2">
        <v>1566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3</v>
      </c>
      <c r="CO172" s="2">
        <v>0</v>
      </c>
      <c r="CP172" s="2">
        <f t="shared" si="135"/>
        <v>128.97</v>
      </c>
      <c r="CQ172" s="2">
        <f t="shared" si="136"/>
        <v>42.99</v>
      </c>
      <c r="CR172" s="2">
        <f t="shared" si="158"/>
        <v>0</v>
      </c>
      <c r="CS172" s="2">
        <f t="shared" si="159"/>
        <v>0</v>
      </c>
      <c r="CT172" s="2">
        <f t="shared" si="137"/>
        <v>0</v>
      </c>
      <c r="CU172" s="2">
        <f t="shared" si="138"/>
        <v>0</v>
      </c>
      <c r="CV172" s="2">
        <f t="shared" si="139"/>
        <v>0</v>
      </c>
      <c r="CW172" s="2">
        <f t="shared" si="140"/>
        <v>0</v>
      </c>
      <c r="CX172" s="2">
        <f t="shared" si="141"/>
        <v>0</v>
      </c>
      <c r="CY172" s="2">
        <f t="shared" si="160"/>
        <v>0</v>
      </c>
      <c r="CZ172" s="2">
        <f t="shared" si="161"/>
        <v>0</v>
      </c>
      <c r="DA172" s="2"/>
      <c r="DB172" s="2"/>
      <c r="DC172" s="2" t="s">
        <v>3</v>
      </c>
      <c r="DD172" s="2" t="s">
        <v>3</v>
      </c>
      <c r="DE172" s="2" t="s">
        <v>3</v>
      </c>
      <c r="DF172" s="2" t="s">
        <v>3</v>
      </c>
      <c r="DG172" s="2" t="s">
        <v>3</v>
      </c>
      <c r="DH172" s="2" t="s">
        <v>3</v>
      </c>
      <c r="DI172" s="2" t="s">
        <v>3</v>
      </c>
      <c r="DJ172" s="2" t="s">
        <v>3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1010</v>
      </c>
      <c r="DV172" s="2" t="s">
        <v>164</v>
      </c>
      <c r="DW172" s="2" t="s">
        <v>164</v>
      </c>
      <c r="DX172" s="2">
        <v>1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55393729</v>
      </c>
      <c r="EF172" s="2">
        <v>201</v>
      </c>
      <c r="EG172" s="2" t="s">
        <v>179</v>
      </c>
      <c r="EH172" s="2">
        <v>0</v>
      </c>
      <c r="EI172" s="2" t="s">
        <v>3</v>
      </c>
      <c r="EJ172" s="2">
        <v>2</v>
      </c>
      <c r="EK172" s="2">
        <v>1618</v>
      </c>
      <c r="EL172" s="2" t="s">
        <v>180</v>
      </c>
      <c r="EM172" s="2" t="s">
        <v>181</v>
      </c>
      <c r="EN172" s="2"/>
      <c r="EO172" s="2" t="s">
        <v>3</v>
      </c>
      <c r="EP172" s="2"/>
      <c r="EQ172" s="2">
        <v>0</v>
      </c>
      <c r="ER172" s="2">
        <v>42.99</v>
      </c>
      <c r="ES172" s="2">
        <v>42.99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v>0</v>
      </c>
      <c r="FS172" s="2">
        <v>0</v>
      </c>
      <c r="FT172" s="2"/>
      <c r="FU172" s="2"/>
      <c r="FV172" s="2"/>
      <c r="FW172" s="2"/>
      <c r="FX172" s="2">
        <v>0</v>
      </c>
      <c r="FY172" s="2">
        <v>0</v>
      </c>
      <c r="FZ172" s="2"/>
      <c r="GA172" s="2" t="s">
        <v>3</v>
      </c>
      <c r="GB172" s="2"/>
      <c r="GC172" s="2"/>
      <c r="GD172" s="2">
        <v>1</v>
      </c>
      <c r="GE172" s="2"/>
      <c r="GF172" s="2">
        <v>1799445931</v>
      </c>
      <c r="GG172" s="2">
        <v>2</v>
      </c>
      <c r="GH172" s="2">
        <v>1</v>
      </c>
      <c r="GI172" s="2">
        <v>-2</v>
      </c>
      <c r="GJ172" s="2">
        <v>0</v>
      </c>
      <c r="GK172" s="2">
        <v>0</v>
      </c>
      <c r="GL172" s="2">
        <f t="shared" si="142"/>
        <v>0</v>
      </c>
      <c r="GM172" s="2">
        <f t="shared" si="143"/>
        <v>128.97</v>
      </c>
      <c r="GN172" s="2">
        <f t="shared" si="144"/>
        <v>0</v>
      </c>
      <c r="GO172" s="2">
        <f t="shared" si="145"/>
        <v>128.97</v>
      </c>
      <c r="GP172" s="2">
        <f t="shared" si="146"/>
        <v>0</v>
      </c>
      <c r="GQ172" s="2"/>
      <c r="GR172" s="2">
        <v>0</v>
      </c>
      <c r="GS172" s="2">
        <v>3</v>
      </c>
      <c r="GT172" s="2">
        <v>0</v>
      </c>
      <c r="GU172" s="2" t="s">
        <v>3</v>
      </c>
      <c r="GV172" s="2">
        <f t="shared" si="147"/>
        <v>0</v>
      </c>
      <c r="GW172" s="2">
        <v>1</v>
      </c>
      <c r="GX172" s="2">
        <f t="shared" si="148"/>
        <v>0</v>
      </c>
      <c r="GY172" s="2"/>
      <c r="GZ172" s="2"/>
      <c r="HA172" s="2">
        <v>0</v>
      </c>
      <c r="HB172" s="2">
        <v>0</v>
      </c>
      <c r="HC172" s="2">
        <f t="shared" si="149"/>
        <v>0</v>
      </c>
      <c r="HD172" s="2"/>
      <c r="HE172" s="2" t="s">
        <v>3</v>
      </c>
      <c r="HF172" s="2" t="s">
        <v>3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5">
      <c r="A173" s="3">
        <v>17</v>
      </c>
      <c r="B173" s="3">
        <v>1</v>
      </c>
      <c r="E173" s="3" t="s">
        <v>231</v>
      </c>
      <c r="F173" s="3" t="s">
        <v>228</v>
      </c>
      <c r="G173" s="3" t="s">
        <v>232</v>
      </c>
      <c r="H173" s="3" t="s">
        <v>164</v>
      </c>
      <c r="I173" s="3">
        <v>3</v>
      </c>
      <c r="J173" s="3">
        <v>0</v>
      </c>
      <c r="K173" s="3">
        <v>3</v>
      </c>
      <c r="O173" s="3">
        <f t="shared" si="125"/>
        <v>742.87</v>
      </c>
      <c r="P173" s="3">
        <f t="shared" si="126"/>
        <v>742.87</v>
      </c>
      <c r="Q173" s="3">
        <f t="shared" si="150"/>
        <v>0</v>
      </c>
      <c r="R173" s="3">
        <f t="shared" si="151"/>
        <v>0</v>
      </c>
      <c r="S173" s="3">
        <f t="shared" si="127"/>
        <v>0</v>
      </c>
      <c r="T173" s="3">
        <f t="shared" si="128"/>
        <v>0</v>
      </c>
      <c r="U173" s="3">
        <f t="shared" si="129"/>
        <v>0</v>
      </c>
      <c r="V173" s="3">
        <f t="shared" si="130"/>
        <v>0</v>
      </c>
      <c r="W173" s="3">
        <f t="shared" si="131"/>
        <v>0</v>
      </c>
      <c r="X173" s="3">
        <f t="shared" si="152"/>
        <v>0</v>
      </c>
      <c r="Y173" s="3">
        <f t="shared" si="153"/>
        <v>0</v>
      </c>
      <c r="AA173" s="3">
        <v>55917799</v>
      </c>
      <c r="AB173" s="3">
        <f t="shared" si="132"/>
        <v>42.99</v>
      </c>
      <c r="AC173" s="3">
        <f t="shared" si="154"/>
        <v>42.99</v>
      </c>
      <c r="AD173" s="3">
        <f t="shared" si="155"/>
        <v>0</v>
      </c>
      <c r="AE173" s="3">
        <f t="shared" si="156"/>
        <v>0</v>
      </c>
      <c r="AF173" s="3">
        <f t="shared" si="156"/>
        <v>0</v>
      </c>
      <c r="AG173" s="3">
        <f t="shared" si="133"/>
        <v>0</v>
      </c>
      <c r="AH173" s="3">
        <f t="shared" si="157"/>
        <v>0</v>
      </c>
      <c r="AI173" s="3">
        <f t="shared" si="157"/>
        <v>0</v>
      </c>
      <c r="AJ173" s="3">
        <f t="shared" si="134"/>
        <v>0</v>
      </c>
      <c r="AK173" s="3">
        <v>42.99</v>
      </c>
      <c r="AL173" s="3">
        <v>42.99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1</v>
      </c>
      <c r="AW173" s="3">
        <v>1</v>
      </c>
      <c r="AZ173" s="3">
        <v>1</v>
      </c>
      <c r="BA173" s="3">
        <v>1</v>
      </c>
      <c r="BB173" s="3">
        <v>1</v>
      </c>
      <c r="BC173" s="3">
        <v>5.76</v>
      </c>
      <c r="BD173" s="3" t="s">
        <v>3</v>
      </c>
      <c r="BE173" s="3" t="s">
        <v>3</v>
      </c>
      <c r="BF173" s="3" t="s">
        <v>3</v>
      </c>
      <c r="BG173" s="3" t="s">
        <v>3</v>
      </c>
      <c r="BH173" s="3">
        <v>3</v>
      </c>
      <c r="BI173" s="3">
        <v>2</v>
      </c>
      <c r="BJ173" s="3" t="s">
        <v>230</v>
      </c>
      <c r="BM173" s="3">
        <v>1618</v>
      </c>
      <c r="BN173" s="3">
        <v>0</v>
      </c>
      <c r="BO173" s="3" t="s">
        <v>228</v>
      </c>
      <c r="BP173" s="3">
        <v>1</v>
      </c>
      <c r="BQ173" s="3">
        <v>201</v>
      </c>
      <c r="BR173" s="3">
        <v>0</v>
      </c>
      <c r="BS173" s="3">
        <v>1</v>
      </c>
      <c r="BT173" s="3">
        <v>1</v>
      </c>
      <c r="BU173" s="3">
        <v>1</v>
      </c>
      <c r="BV173" s="3">
        <v>1</v>
      </c>
      <c r="BW173" s="3">
        <v>1</v>
      </c>
      <c r="BX173" s="3">
        <v>1</v>
      </c>
      <c r="BY173" s="3" t="s">
        <v>3</v>
      </c>
      <c r="BZ173" s="3">
        <v>0</v>
      </c>
      <c r="CA173" s="3">
        <v>0</v>
      </c>
      <c r="CB173" s="3" t="s">
        <v>3</v>
      </c>
      <c r="CE173" s="3">
        <v>1566</v>
      </c>
      <c r="CF173" s="3">
        <v>0</v>
      </c>
      <c r="CG173" s="3">
        <v>0</v>
      </c>
      <c r="CM173" s="3">
        <v>0</v>
      </c>
      <c r="CN173" s="3" t="s">
        <v>3</v>
      </c>
      <c r="CO173" s="3">
        <v>0</v>
      </c>
      <c r="CP173" s="3">
        <f t="shared" si="135"/>
        <v>742.87</v>
      </c>
      <c r="CQ173" s="3">
        <f t="shared" si="136"/>
        <v>247.62</v>
      </c>
      <c r="CR173" s="3">
        <f t="shared" si="158"/>
        <v>0</v>
      </c>
      <c r="CS173" s="3">
        <f t="shared" si="159"/>
        <v>0</v>
      </c>
      <c r="CT173" s="3">
        <f t="shared" si="137"/>
        <v>0</v>
      </c>
      <c r="CU173" s="3">
        <f t="shared" si="138"/>
        <v>0</v>
      </c>
      <c r="CV173" s="3">
        <f t="shared" si="139"/>
        <v>0</v>
      </c>
      <c r="CW173" s="3">
        <f t="shared" si="140"/>
        <v>0</v>
      </c>
      <c r="CX173" s="3">
        <f t="shared" si="141"/>
        <v>0</v>
      </c>
      <c r="CY173" s="3">
        <f t="shared" si="160"/>
        <v>0</v>
      </c>
      <c r="CZ173" s="3">
        <f t="shared" si="161"/>
        <v>0</v>
      </c>
      <c r="DC173" s="3" t="s">
        <v>3</v>
      </c>
      <c r="DD173" s="3" t="s">
        <v>3</v>
      </c>
      <c r="DE173" s="3" t="s">
        <v>3</v>
      </c>
      <c r="DF173" s="3" t="s">
        <v>3</v>
      </c>
      <c r="DG173" s="3" t="s">
        <v>3</v>
      </c>
      <c r="DH173" s="3" t="s">
        <v>3</v>
      </c>
      <c r="DI173" s="3" t="s">
        <v>3</v>
      </c>
      <c r="DJ173" s="3" t="s">
        <v>3</v>
      </c>
      <c r="DK173" s="3" t="s">
        <v>3</v>
      </c>
      <c r="DL173" s="3" t="s">
        <v>3</v>
      </c>
      <c r="DM173" s="3" t="s">
        <v>3</v>
      </c>
      <c r="DN173" s="3">
        <v>0</v>
      </c>
      <c r="DO173" s="3">
        <v>0</v>
      </c>
      <c r="DP173" s="3">
        <v>1</v>
      </c>
      <c r="DQ173" s="3">
        <v>1</v>
      </c>
      <c r="DU173" s="3">
        <v>1010</v>
      </c>
      <c r="DV173" s="3" t="s">
        <v>164</v>
      </c>
      <c r="DW173" s="3" t="s">
        <v>164</v>
      </c>
      <c r="DX173" s="3">
        <v>1</v>
      </c>
      <c r="DZ173" s="3" t="s">
        <v>3</v>
      </c>
      <c r="EA173" s="3" t="s">
        <v>3</v>
      </c>
      <c r="EB173" s="3" t="s">
        <v>3</v>
      </c>
      <c r="EC173" s="3" t="s">
        <v>3</v>
      </c>
      <c r="EE173" s="3">
        <v>55393729</v>
      </c>
      <c r="EF173" s="3">
        <v>201</v>
      </c>
      <c r="EG173" s="3" t="s">
        <v>179</v>
      </c>
      <c r="EH173" s="3">
        <v>0</v>
      </c>
      <c r="EI173" s="3" t="s">
        <v>3</v>
      </c>
      <c r="EJ173" s="3">
        <v>2</v>
      </c>
      <c r="EK173" s="3">
        <v>1618</v>
      </c>
      <c r="EL173" s="3" t="s">
        <v>180</v>
      </c>
      <c r="EM173" s="3" t="s">
        <v>181</v>
      </c>
      <c r="EO173" s="3" t="s">
        <v>3</v>
      </c>
      <c r="EQ173" s="3">
        <v>0</v>
      </c>
      <c r="ER173" s="3">
        <v>42.99</v>
      </c>
      <c r="ES173" s="3">
        <v>42.99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FQ173" s="3">
        <v>0</v>
      </c>
      <c r="FR173" s="3">
        <v>0</v>
      </c>
      <c r="FS173" s="3">
        <v>0</v>
      </c>
      <c r="FX173" s="3">
        <v>0</v>
      </c>
      <c r="FY173" s="3">
        <v>0</v>
      </c>
      <c r="GA173" s="3" t="s">
        <v>3</v>
      </c>
      <c r="GD173" s="3">
        <v>1</v>
      </c>
      <c r="GF173" s="3">
        <v>1799445931</v>
      </c>
      <c r="GG173" s="3">
        <v>2</v>
      </c>
      <c r="GH173" s="3">
        <v>1</v>
      </c>
      <c r="GI173" s="3">
        <v>2</v>
      </c>
      <c r="GJ173" s="3">
        <v>0</v>
      </c>
      <c r="GK173" s="3">
        <v>0</v>
      </c>
      <c r="GL173" s="3">
        <f t="shared" si="142"/>
        <v>0</v>
      </c>
      <c r="GM173" s="3">
        <f t="shared" si="143"/>
        <v>742.87</v>
      </c>
      <c r="GN173" s="3">
        <f t="shared" si="144"/>
        <v>0</v>
      </c>
      <c r="GO173" s="3">
        <f t="shared" si="145"/>
        <v>742.87</v>
      </c>
      <c r="GP173" s="3">
        <f t="shared" si="146"/>
        <v>0</v>
      </c>
      <c r="GR173" s="3">
        <v>0</v>
      </c>
      <c r="GS173" s="3">
        <v>3</v>
      </c>
      <c r="GT173" s="3">
        <v>0</v>
      </c>
      <c r="GU173" s="3" t="s">
        <v>3</v>
      </c>
      <c r="GV173" s="3">
        <f t="shared" si="147"/>
        <v>0</v>
      </c>
      <c r="GW173" s="3">
        <v>1</v>
      </c>
      <c r="GX173" s="3">
        <f t="shared" si="148"/>
        <v>0</v>
      </c>
      <c r="HA173" s="3">
        <v>0</v>
      </c>
      <c r="HB173" s="3">
        <v>0</v>
      </c>
      <c r="HC173" s="3">
        <f t="shared" si="149"/>
        <v>0</v>
      </c>
      <c r="HE173" s="3" t="s">
        <v>3</v>
      </c>
      <c r="HF173" s="3" t="s">
        <v>3</v>
      </c>
      <c r="HM173" s="3" t="s">
        <v>3</v>
      </c>
      <c r="HN173" s="3" t="s">
        <v>3</v>
      </c>
      <c r="HO173" s="3" t="s">
        <v>3</v>
      </c>
      <c r="HP173" s="3" t="s">
        <v>3</v>
      </c>
      <c r="HQ173" s="3" t="s">
        <v>3</v>
      </c>
      <c r="HS173" s="3">
        <v>0</v>
      </c>
      <c r="IK173" s="3">
        <v>0</v>
      </c>
    </row>
    <row r="175" spans="1:255" ht="13" x14ac:dyDescent="0.3">
      <c r="A175" s="11">
        <v>51</v>
      </c>
      <c r="B175" s="11">
        <f>B150</f>
        <v>1</v>
      </c>
      <c r="C175" s="11">
        <f>A150</f>
        <v>4</v>
      </c>
      <c r="D175" s="11">
        <f>ROW(A150)</f>
        <v>150</v>
      </c>
      <c r="E175" s="11"/>
      <c r="F175" s="11" t="str">
        <f>IF(F150&lt;&gt;"",F150,"")</f>
        <v>2</v>
      </c>
      <c r="G175" s="11" t="str">
        <f>IF(G150&lt;&gt;"",G150,"")</f>
        <v>Комплект основного оборудования (передача сигнала СПС на службу "01" и приём сигнала о ЧС)</v>
      </c>
      <c r="H175" s="11">
        <v>0</v>
      </c>
      <c r="I175" s="11"/>
      <c r="J175" s="11"/>
      <c r="K175" s="11"/>
      <c r="L175" s="11"/>
      <c r="M175" s="11"/>
      <c r="N175" s="11"/>
      <c r="O175" s="11">
        <f t="shared" ref="O175:T175" si="162">ROUND(AB175,2)</f>
        <v>110529.56</v>
      </c>
      <c r="P175" s="11">
        <f t="shared" si="162"/>
        <v>109709.24</v>
      </c>
      <c r="Q175" s="11">
        <f t="shared" si="162"/>
        <v>0</v>
      </c>
      <c r="R175" s="11">
        <f t="shared" si="162"/>
        <v>0</v>
      </c>
      <c r="S175" s="11">
        <f t="shared" si="162"/>
        <v>820.32</v>
      </c>
      <c r="T175" s="11">
        <f t="shared" si="162"/>
        <v>0</v>
      </c>
      <c r="U175" s="11">
        <f>AH175</f>
        <v>61.407587999999997</v>
      </c>
      <c r="V175" s="11">
        <f>AI175</f>
        <v>0</v>
      </c>
      <c r="W175" s="11">
        <f>ROUND(AJ175,2)</f>
        <v>0</v>
      </c>
      <c r="X175" s="11">
        <f>ROUND(AK175,2)</f>
        <v>776.92</v>
      </c>
      <c r="Y175" s="11">
        <f>ROUND(AL175,2)</f>
        <v>431.44</v>
      </c>
      <c r="Z175" s="11"/>
      <c r="AA175" s="11"/>
      <c r="AB175" s="11">
        <f>ROUND(SUMIF(AA154:AA173,"=55917797",O154:O173),2)</f>
        <v>110529.56</v>
      </c>
      <c r="AC175" s="11">
        <f>ROUND(SUMIF(AA154:AA173,"=55917797",P154:P173),2)</f>
        <v>109709.24</v>
      </c>
      <c r="AD175" s="11">
        <f>ROUND(SUMIF(AA154:AA173,"=55917797",Q154:Q173),2)</f>
        <v>0</v>
      </c>
      <c r="AE175" s="11">
        <f>ROUND(SUMIF(AA154:AA173,"=55917797",R154:R173),2)</f>
        <v>0</v>
      </c>
      <c r="AF175" s="11">
        <f>ROUND(SUMIF(AA154:AA173,"=55917797",S154:S173),2)</f>
        <v>820.32</v>
      </c>
      <c r="AG175" s="11">
        <f>ROUND(SUMIF(AA154:AA173,"=55917797",T154:T173),2)</f>
        <v>0</v>
      </c>
      <c r="AH175" s="11">
        <f>SUMIF(AA154:AA173,"=55917797",U154:U173)</f>
        <v>61.407587999999997</v>
      </c>
      <c r="AI175" s="11">
        <f>SUMIF(AA154:AA173,"=55917797",V154:V173)</f>
        <v>0</v>
      </c>
      <c r="AJ175" s="11">
        <f>ROUND(SUMIF(AA154:AA173,"=55917797",W154:W173),2)</f>
        <v>0</v>
      </c>
      <c r="AK175" s="11">
        <f>ROUND(SUMIF(AA154:AA173,"=55917797",X154:X173),2)</f>
        <v>776.92</v>
      </c>
      <c r="AL175" s="11">
        <f>ROUND(SUMIF(AA154:AA173,"=55917797",Y154:Y173),2)</f>
        <v>431.44</v>
      </c>
      <c r="AM175" s="11"/>
      <c r="AN175" s="11"/>
      <c r="AO175" s="11">
        <f t="shared" ref="AO175:BD175" si="163">ROUND(BX175,2)</f>
        <v>0</v>
      </c>
      <c r="AP175" s="11">
        <f t="shared" si="163"/>
        <v>109342.06</v>
      </c>
      <c r="AQ175" s="11">
        <f t="shared" si="163"/>
        <v>0</v>
      </c>
      <c r="AR175" s="11">
        <f t="shared" si="163"/>
        <v>111737.92</v>
      </c>
      <c r="AS175" s="11">
        <f t="shared" si="163"/>
        <v>0</v>
      </c>
      <c r="AT175" s="11">
        <f t="shared" si="163"/>
        <v>2395.86</v>
      </c>
      <c r="AU175" s="11">
        <f t="shared" si="163"/>
        <v>0</v>
      </c>
      <c r="AV175" s="11">
        <f t="shared" si="163"/>
        <v>109709.24</v>
      </c>
      <c r="AW175" s="11">
        <f t="shared" si="163"/>
        <v>367.18</v>
      </c>
      <c r="AX175" s="11">
        <f t="shared" si="163"/>
        <v>0</v>
      </c>
      <c r="AY175" s="11">
        <f t="shared" si="163"/>
        <v>367.18</v>
      </c>
      <c r="AZ175" s="11">
        <f t="shared" si="163"/>
        <v>109342.06</v>
      </c>
      <c r="BA175" s="11">
        <f t="shared" si="163"/>
        <v>0</v>
      </c>
      <c r="BB175" s="11">
        <f t="shared" si="163"/>
        <v>0</v>
      </c>
      <c r="BC175" s="11">
        <f t="shared" si="163"/>
        <v>0</v>
      </c>
      <c r="BD175" s="11">
        <f t="shared" si="163"/>
        <v>0</v>
      </c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>
        <f>ROUND(SUMIF(AA154:AA173,"=55917797",FQ154:FQ173),2)</f>
        <v>0</v>
      </c>
      <c r="BY175" s="11">
        <f>ROUND(SUMIF(AA154:AA173,"=55917797",FR154:FR173),2)</f>
        <v>109342.06</v>
      </c>
      <c r="BZ175" s="11">
        <f>ROUND(SUMIF(AA154:AA173,"=55917797",GL154:GL173),2)</f>
        <v>0</v>
      </c>
      <c r="CA175" s="11">
        <f>ROUND(SUMIF(AA154:AA173,"=55917797",GM154:GM173),2)</f>
        <v>111737.92</v>
      </c>
      <c r="CB175" s="11">
        <f>ROUND(SUMIF(AA154:AA173,"=55917797",GN154:GN173),2)</f>
        <v>0</v>
      </c>
      <c r="CC175" s="11">
        <f>ROUND(SUMIF(AA154:AA173,"=55917797",GO154:GO173),2)</f>
        <v>2395.86</v>
      </c>
      <c r="CD175" s="11">
        <f>ROUND(SUMIF(AA154:AA173,"=55917797",GP154:GP173),2)</f>
        <v>0</v>
      </c>
      <c r="CE175" s="11">
        <f>AC175-BX175</f>
        <v>109709.24</v>
      </c>
      <c r="CF175" s="11">
        <f>AC175-BY175</f>
        <v>367.18000000000757</v>
      </c>
      <c r="CG175" s="11">
        <f>BX175-BZ175</f>
        <v>0</v>
      </c>
      <c r="CH175" s="11">
        <f>AC175-BX175-BY175+BZ175</f>
        <v>367.18000000000757</v>
      </c>
      <c r="CI175" s="11">
        <f>BY175-BZ175</f>
        <v>109342.06</v>
      </c>
      <c r="CJ175" s="11">
        <f>ROUND(SUMIF(AA154:AA173,"=55917797",GX154:GX173),2)</f>
        <v>0</v>
      </c>
      <c r="CK175" s="11">
        <f>ROUND(SUMIF(AA154:AA173,"=55917797",GY154:GY173),2)</f>
        <v>0</v>
      </c>
      <c r="CL175" s="11">
        <f>ROUND(SUMIF(AA154:AA173,"=55917797",GZ154:GZ173),2)</f>
        <v>0</v>
      </c>
      <c r="CM175" s="11">
        <f>ROUND(SUMIF(AA154:AA173,"=55917797",HD154:HD173),2)</f>
        <v>0</v>
      </c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2">
        <f t="shared" ref="DG175:DL175" si="164">ROUND(DT175,2)</f>
        <v>876577.28000000003</v>
      </c>
      <c r="DH175" s="12">
        <f t="shared" si="164"/>
        <v>830352.25</v>
      </c>
      <c r="DI175" s="12">
        <f t="shared" si="164"/>
        <v>0</v>
      </c>
      <c r="DJ175" s="12">
        <f t="shared" si="164"/>
        <v>0</v>
      </c>
      <c r="DK175" s="12">
        <f t="shared" si="164"/>
        <v>46225.03</v>
      </c>
      <c r="DL175" s="12">
        <f t="shared" si="164"/>
        <v>0</v>
      </c>
      <c r="DM175" s="12">
        <f>DZ175</f>
        <v>61.407587999999997</v>
      </c>
      <c r="DN175" s="12">
        <f>EA175</f>
        <v>0</v>
      </c>
      <c r="DO175" s="12">
        <f>ROUND(EB175,2)</f>
        <v>0</v>
      </c>
      <c r="DP175" s="12">
        <f>ROUND(EC175,2)</f>
        <v>43779.75</v>
      </c>
      <c r="DQ175" s="12">
        <f>ROUND(ED175,2)</f>
        <v>24311.63</v>
      </c>
      <c r="DR175" s="12"/>
      <c r="DS175" s="12"/>
      <c r="DT175" s="12">
        <f>ROUND(SUMIF(AA154:AA173,"=55917799",O154:O173),2)</f>
        <v>876577.28000000003</v>
      </c>
      <c r="DU175" s="12">
        <f>ROUND(SUMIF(AA154:AA173,"=55917799",P154:P173),2)</f>
        <v>830352.25</v>
      </c>
      <c r="DV175" s="12">
        <f>ROUND(SUMIF(AA154:AA173,"=55917799",Q154:Q173),2)</f>
        <v>0</v>
      </c>
      <c r="DW175" s="12">
        <f>ROUND(SUMIF(AA154:AA173,"=55917799",R154:R173),2)</f>
        <v>0</v>
      </c>
      <c r="DX175" s="12">
        <f>ROUND(SUMIF(AA154:AA173,"=55917799",S154:S173),2)</f>
        <v>46225.03</v>
      </c>
      <c r="DY175" s="12">
        <f>ROUND(SUMIF(AA154:AA173,"=55917799",T154:T173),2)</f>
        <v>0</v>
      </c>
      <c r="DZ175" s="12">
        <f>SUMIF(AA154:AA173,"=55917799",U154:U173)</f>
        <v>61.407587999999997</v>
      </c>
      <c r="EA175" s="12">
        <f>SUMIF(AA154:AA173,"=55917799",V154:V173)</f>
        <v>0</v>
      </c>
      <c r="EB175" s="12">
        <f>ROUND(SUMIF(AA154:AA173,"=55917799",W154:W173),2)</f>
        <v>0</v>
      </c>
      <c r="EC175" s="12">
        <f>ROUND(SUMIF(AA154:AA173,"=55917799",X154:X173),2)</f>
        <v>43779.75</v>
      </c>
      <c r="ED175" s="12">
        <f>ROUND(SUMIF(AA154:AA173,"=55917799",Y154:Y173),2)</f>
        <v>24311.63</v>
      </c>
      <c r="EE175" s="12"/>
      <c r="EF175" s="12"/>
      <c r="EG175" s="12">
        <f t="shared" ref="EG175:EV175" si="165">ROUND(FP175,2)</f>
        <v>0</v>
      </c>
      <c r="EH175" s="12">
        <f t="shared" si="165"/>
        <v>827719.41</v>
      </c>
      <c r="EI175" s="12">
        <f t="shared" si="165"/>
        <v>0</v>
      </c>
      <c r="EJ175" s="12">
        <f t="shared" si="165"/>
        <v>944668.66</v>
      </c>
      <c r="EK175" s="12">
        <f t="shared" si="165"/>
        <v>0</v>
      </c>
      <c r="EL175" s="12">
        <f t="shared" si="165"/>
        <v>116949.25</v>
      </c>
      <c r="EM175" s="12">
        <f t="shared" si="165"/>
        <v>0</v>
      </c>
      <c r="EN175" s="12">
        <f t="shared" si="165"/>
        <v>830352.25</v>
      </c>
      <c r="EO175" s="12">
        <f t="shared" si="165"/>
        <v>2632.84</v>
      </c>
      <c r="EP175" s="12">
        <f t="shared" si="165"/>
        <v>0</v>
      </c>
      <c r="EQ175" s="12">
        <f t="shared" si="165"/>
        <v>2632.84</v>
      </c>
      <c r="ER175" s="12">
        <f t="shared" si="165"/>
        <v>827719.41</v>
      </c>
      <c r="ES175" s="12">
        <f t="shared" si="165"/>
        <v>0</v>
      </c>
      <c r="ET175" s="12">
        <f t="shared" si="165"/>
        <v>0</v>
      </c>
      <c r="EU175" s="12">
        <f t="shared" si="165"/>
        <v>0</v>
      </c>
      <c r="EV175" s="12">
        <f t="shared" si="165"/>
        <v>0</v>
      </c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>
        <f>ROUND(SUMIF(AA154:AA173,"=55917799",FQ154:FQ173),2)</f>
        <v>0</v>
      </c>
      <c r="FQ175" s="12">
        <f>ROUND(SUMIF(AA154:AA173,"=55917799",FR154:FR173),2)</f>
        <v>827719.41</v>
      </c>
      <c r="FR175" s="12">
        <f>ROUND(SUMIF(AA154:AA173,"=55917799",GL154:GL173),2)</f>
        <v>0</v>
      </c>
      <c r="FS175" s="12">
        <f>ROUND(SUMIF(AA154:AA173,"=55917799",GM154:GM173),2)</f>
        <v>944668.66</v>
      </c>
      <c r="FT175" s="12">
        <f>ROUND(SUMIF(AA154:AA173,"=55917799",GN154:GN173),2)</f>
        <v>0</v>
      </c>
      <c r="FU175" s="12">
        <f>ROUND(SUMIF(AA154:AA173,"=55917799",GO154:GO173),2)</f>
        <v>116949.25</v>
      </c>
      <c r="FV175" s="12">
        <f>ROUND(SUMIF(AA154:AA173,"=55917799",GP154:GP173),2)</f>
        <v>0</v>
      </c>
      <c r="FW175" s="12">
        <f>DU175-FP175</f>
        <v>830352.25</v>
      </c>
      <c r="FX175" s="12">
        <f>DU175-FQ175</f>
        <v>2632.8399999999674</v>
      </c>
      <c r="FY175" s="12">
        <f>FP175-FR175</f>
        <v>0</v>
      </c>
      <c r="FZ175" s="12">
        <f>DU175-FP175-FQ175+FR175</f>
        <v>2632.8399999999674</v>
      </c>
      <c r="GA175" s="12">
        <f>FQ175-FR175</f>
        <v>827719.41</v>
      </c>
      <c r="GB175" s="12">
        <f>ROUND(SUMIF(AA154:AA173,"=55917799",GX154:GX173),2)</f>
        <v>0</v>
      </c>
      <c r="GC175" s="12">
        <f>ROUND(SUMIF(AA154:AA173,"=55917799",GY154:GY173),2)</f>
        <v>0</v>
      </c>
      <c r="GD175" s="12">
        <f>ROUND(SUMIF(AA154:AA173,"=55917799",GZ154:GZ173),2)</f>
        <v>0</v>
      </c>
      <c r="GE175" s="12">
        <f>ROUND(SUMIF(AA154:AA173,"=55917799",HD154:HD173),2)</f>
        <v>0</v>
      </c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>
        <v>0</v>
      </c>
    </row>
    <row r="177" spans="1:28" ht="13" x14ac:dyDescent="0.3">
      <c r="A177" s="13">
        <v>50</v>
      </c>
      <c r="B177" s="13">
        <v>0</v>
      </c>
      <c r="C177" s="13">
        <v>0</v>
      </c>
      <c r="D177" s="13">
        <v>1</v>
      </c>
      <c r="E177" s="13">
        <v>201</v>
      </c>
      <c r="F177" s="13">
        <f>ROUND(Source!O175,O177)</f>
        <v>110529.56</v>
      </c>
      <c r="G177" s="13" t="s">
        <v>88</v>
      </c>
      <c r="H177" s="13" t="s">
        <v>89</v>
      </c>
      <c r="I177" s="13"/>
      <c r="J177" s="13"/>
      <c r="K177" s="13">
        <v>201</v>
      </c>
      <c r="L177" s="13">
        <v>1</v>
      </c>
      <c r="M177" s="13">
        <v>3</v>
      </c>
      <c r="N177" s="13" t="s">
        <v>3</v>
      </c>
      <c r="O177" s="13">
        <v>2</v>
      </c>
      <c r="P177" s="13">
        <f>ROUND(Source!DG175,O177)</f>
        <v>876577.28000000003</v>
      </c>
      <c r="Q177" s="13"/>
      <c r="R177" s="13"/>
      <c r="S177" s="13"/>
      <c r="T177" s="13"/>
      <c r="U177" s="13"/>
      <c r="V177" s="13"/>
      <c r="W177" s="13">
        <v>110529.56</v>
      </c>
      <c r="X177" s="13">
        <v>1</v>
      </c>
      <c r="Y177" s="13">
        <v>110529.56</v>
      </c>
      <c r="Z177" s="13">
        <v>876577.28000000003</v>
      </c>
      <c r="AA177" s="13">
        <v>1</v>
      </c>
      <c r="AB177" s="13">
        <v>876577.28000000003</v>
      </c>
    </row>
    <row r="178" spans="1:28" ht="13" x14ac:dyDescent="0.3">
      <c r="A178" s="13">
        <v>50</v>
      </c>
      <c r="B178" s="13">
        <v>0</v>
      </c>
      <c r="C178" s="13">
        <v>0</v>
      </c>
      <c r="D178" s="13">
        <v>1</v>
      </c>
      <c r="E178" s="13">
        <v>202</v>
      </c>
      <c r="F178" s="13">
        <f>ROUND(Source!P175,O178)</f>
        <v>109709.24</v>
      </c>
      <c r="G178" s="13" t="s">
        <v>90</v>
      </c>
      <c r="H178" s="13" t="s">
        <v>91</v>
      </c>
      <c r="I178" s="13"/>
      <c r="J178" s="13"/>
      <c r="K178" s="13">
        <v>202</v>
      </c>
      <c r="L178" s="13">
        <v>2</v>
      </c>
      <c r="M178" s="13">
        <v>3</v>
      </c>
      <c r="N178" s="13" t="s">
        <v>3</v>
      </c>
      <c r="O178" s="13">
        <v>2</v>
      </c>
      <c r="P178" s="13">
        <f>ROUND(Source!DH175,O178)</f>
        <v>830352.25</v>
      </c>
      <c r="Q178" s="13"/>
      <c r="R178" s="13"/>
      <c r="S178" s="13"/>
      <c r="T178" s="13"/>
      <c r="U178" s="13"/>
      <c r="V178" s="13"/>
      <c r="W178" s="13">
        <v>109709.24</v>
      </c>
      <c r="X178" s="13">
        <v>1</v>
      </c>
      <c r="Y178" s="13">
        <v>109709.24</v>
      </c>
      <c r="Z178" s="13">
        <v>830352.25</v>
      </c>
      <c r="AA178" s="13">
        <v>1</v>
      </c>
      <c r="AB178" s="13">
        <v>830352.25</v>
      </c>
    </row>
    <row r="179" spans="1:28" ht="13" x14ac:dyDescent="0.3">
      <c r="A179" s="13">
        <v>50</v>
      </c>
      <c r="B179" s="13">
        <v>0</v>
      </c>
      <c r="C179" s="13">
        <v>0</v>
      </c>
      <c r="D179" s="13">
        <v>1</v>
      </c>
      <c r="E179" s="13">
        <v>222</v>
      </c>
      <c r="F179" s="13">
        <f>ROUND(Source!AO175,O179)</f>
        <v>0</v>
      </c>
      <c r="G179" s="13" t="s">
        <v>92</v>
      </c>
      <c r="H179" s="13" t="s">
        <v>93</v>
      </c>
      <c r="I179" s="13"/>
      <c r="J179" s="13"/>
      <c r="K179" s="13">
        <v>222</v>
      </c>
      <c r="L179" s="13">
        <v>3</v>
      </c>
      <c r="M179" s="13">
        <v>3</v>
      </c>
      <c r="N179" s="13" t="s">
        <v>3</v>
      </c>
      <c r="O179" s="13">
        <v>2</v>
      </c>
      <c r="P179" s="13">
        <f>ROUND(Source!EG175,O179)</f>
        <v>0</v>
      </c>
      <c r="Q179" s="13"/>
      <c r="R179" s="13"/>
      <c r="S179" s="13"/>
      <c r="T179" s="13"/>
      <c r="U179" s="13"/>
      <c r="V179" s="13"/>
      <c r="W179" s="13">
        <v>0</v>
      </c>
      <c r="X179" s="13">
        <v>1</v>
      </c>
      <c r="Y179" s="13">
        <v>0</v>
      </c>
      <c r="Z179" s="13">
        <v>0</v>
      </c>
      <c r="AA179" s="13">
        <v>1</v>
      </c>
      <c r="AB179" s="13">
        <v>0</v>
      </c>
    </row>
    <row r="180" spans="1:28" ht="13" x14ac:dyDescent="0.3">
      <c r="A180" s="13">
        <v>50</v>
      </c>
      <c r="B180" s="13">
        <v>0</v>
      </c>
      <c r="C180" s="13">
        <v>0</v>
      </c>
      <c r="D180" s="13">
        <v>1</v>
      </c>
      <c r="E180" s="13">
        <v>225</v>
      </c>
      <c r="F180" s="13">
        <f>ROUND(Source!AV175,O180)</f>
        <v>109709.24</v>
      </c>
      <c r="G180" s="13" t="s">
        <v>94</v>
      </c>
      <c r="H180" s="13" t="s">
        <v>95</v>
      </c>
      <c r="I180" s="13"/>
      <c r="J180" s="13"/>
      <c r="K180" s="13">
        <v>225</v>
      </c>
      <c r="L180" s="13">
        <v>4</v>
      </c>
      <c r="M180" s="13">
        <v>3</v>
      </c>
      <c r="N180" s="13" t="s">
        <v>3</v>
      </c>
      <c r="O180" s="13">
        <v>2</v>
      </c>
      <c r="P180" s="13">
        <f>ROUND(Source!EN175,O180)</f>
        <v>830352.25</v>
      </c>
      <c r="Q180" s="13"/>
      <c r="R180" s="13"/>
      <c r="S180" s="13"/>
      <c r="T180" s="13"/>
      <c r="U180" s="13"/>
      <c r="V180" s="13"/>
      <c r="W180" s="13">
        <v>109709.24</v>
      </c>
      <c r="X180" s="13">
        <v>1</v>
      </c>
      <c r="Y180" s="13">
        <v>109709.24</v>
      </c>
      <c r="Z180" s="13">
        <v>830352.25</v>
      </c>
      <c r="AA180" s="13">
        <v>1</v>
      </c>
      <c r="AB180" s="13">
        <v>830352.25</v>
      </c>
    </row>
    <row r="181" spans="1:28" ht="13" x14ac:dyDescent="0.3">
      <c r="A181" s="13">
        <v>50</v>
      </c>
      <c r="B181" s="13">
        <v>0</v>
      </c>
      <c r="C181" s="13">
        <v>0</v>
      </c>
      <c r="D181" s="13">
        <v>1</v>
      </c>
      <c r="E181" s="13">
        <v>226</v>
      </c>
      <c r="F181" s="13">
        <f>ROUND(Source!AW175,O181)</f>
        <v>367.18</v>
      </c>
      <c r="G181" s="13" t="s">
        <v>96</v>
      </c>
      <c r="H181" s="13" t="s">
        <v>97</v>
      </c>
      <c r="I181" s="13"/>
      <c r="J181" s="13"/>
      <c r="K181" s="13">
        <v>226</v>
      </c>
      <c r="L181" s="13">
        <v>5</v>
      </c>
      <c r="M181" s="13">
        <v>3</v>
      </c>
      <c r="N181" s="13" t="s">
        <v>3</v>
      </c>
      <c r="O181" s="13">
        <v>2</v>
      </c>
      <c r="P181" s="13">
        <f>ROUND(Source!EO175,O181)</f>
        <v>2632.84</v>
      </c>
      <c r="Q181" s="13"/>
      <c r="R181" s="13"/>
      <c r="S181" s="13"/>
      <c r="T181" s="13"/>
      <c r="U181" s="13"/>
      <c r="V181" s="13"/>
      <c r="W181" s="13">
        <v>367.18</v>
      </c>
      <c r="X181" s="13">
        <v>1</v>
      </c>
      <c r="Y181" s="13">
        <v>367.18</v>
      </c>
      <c r="Z181" s="13">
        <v>2632.84</v>
      </c>
      <c r="AA181" s="13">
        <v>1</v>
      </c>
      <c r="AB181" s="13">
        <v>2632.84</v>
      </c>
    </row>
    <row r="182" spans="1:28" ht="13" x14ac:dyDescent="0.3">
      <c r="A182" s="13">
        <v>50</v>
      </c>
      <c r="B182" s="13">
        <v>0</v>
      </c>
      <c r="C182" s="13">
        <v>0</v>
      </c>
      <c r="D182" s="13">
        <v>1</v>
      </c>
      <c r="E182" s="13">
        <v>227</v>
      </c>
      <c r="F182" s="13">
        <f>ROUND(Source!AX175,O182)</f>
        <v>0</v>
      </c>
      <c r="G182" s="13" t="s">
        <v>98</v>
      </c>
      <c r="H182" s="13" t="s">
        <v>99</v>
      </c>
      <c r="I182" s="13"/>
      <c r="J182" s="13"/>
      <c r="K182" s="13">
        <v>227</v>
      </c>
      <c r="L182" s="13">
        <v>6</v>
      </c>
      <c r="M182" s="13">
        <v>3</v>
      </c>
      <c r="N182" s="13" t="s">
        <v>3</v>
      </c>
      <c r="O182" s="13">
        <v>2</v>
      </c>
      <c r="P182" s="13">
        <f>ROUND(Source!EP175,O182)</f>
        <v>0</v>
      </c>
      <c r="Q182" s="13"/>
      <c r="R182" s="13"/>
      <c r="S182" s="13"/>
      <c r="T182" s="13"/>
      <c r="U182" s="13"/>
      <c r="V182" s="13"/>
      <c r="W182" s="13">
        <v>0</v>
      </c>
      <c r="X182" s="13">
        <v>1</v>
      </c>
      <c r="Y182" s="13">
        <v>0</v>
      </c>
      <c r="Z182" s="13">
        <v>0</v>
      </c>
      <c r="AA182" s="13">
        <v>1</v>
      </c>
      <c r="AB182" s="13">
        <v>0</v>
      </c>
    </row>
    <row r="183" spans="1:28" ht="13" x14ac:dyDescent="0.3">
      <c r="A183" s="13">
        <v>50</v>
      </c>
      <c r="B183" s="13">
        <v>0</v>
      </c>
      <c r="C183" s="13">
        <v>0</v>
      </c>
      <c r="D183" s="13">
        <v>1</v>
      </c>
      <c r="E183" s="13">
        <v>228</v>
      </c>
      <c r="F183" s="13">
        <f>ROUND(Source!AY175,O183)</f>
        <v>367.18</v>
      </c>
      <c r="G183" s="13" t="s">
        <v>100</v>
      </c>
      <c r="H183" s="13" t="s">
        <v>101</v>
      </c>
      <c r="I183" s="13"/>
      <c r="J183" s="13"/>
      <c r="K183" s="13">
        <v>228</v>
      </c>
      <c r="L183" s="13">
        <v>7</v>
      </c>
      <c r="M183" s="13">
        <v>3</v>
      </c>
      <c r="N183" s="13" t="s">
        <v>3</v>
      </c>
      <c r="O183" s="13">
        <v>2</v>
      </c>
      <c r="P183" s="13">
        <f>ROUND(Source!EQ175,O183)</f>
        <v>2632.84</v>
      </c>
      <c r="Q183" s="13"/>
      <c r="R183" s="13"/>
      <c r="S183" s="13"/>
      <c r="T183" s="13"/>
      <c r="U183" s="13"/>
      <c r="V183" s="13"/>
      <c r="W183" s="13">
        <v>367.18</v>
      </c>
      <c r="X183" s="13">
        <v>1</v>
      </c>
      <c r="Y183" s="13">
        <v>367.18</v>
      </c>
      <c r="Z183" s="13">
        <v>2632.84</v>
      </c>
      <c r="AA183" s="13">
        <v>1</v>
      </c>
      <c r="AB183" s="13">
        <v>2632.84</v>
      </c>
    </row>
    <row r="184" spans="1:28" ht="13" x14ac:dyDescent="0.3">
      <c r="A184" s="13">
        <v>50</v>
      </c>
      <c r="B184" s="13">
        <v>0</v>
      </c>
      <c r="C184" s="13">
        <v>0</v>
      </c>
      <c r="D184" s="13">
        <v>1</v>
      </c>
      <c r="E184" s="13">
        <v>216</v>
      </c>
      <c r="F184" s="13">
        <f>ROUND(Source!AP175,O184)</f>
        <v>109342.06</v>
      </c>
      <c r="G184" s="13" t="s">
        <v>102</v>
      </c>
      <c r="H184" s="13" t="s">
        <v>103</v>
      </c>
      <c r="I184" s="13"/>
      <c r="J184" s="13"/>
      <c r="K184" s="13">
        <v>216</v>
      </c>
      <c r="L184" s="13">
        <v>8</v>
      </c>
      <c r="M184" s="13">
        <v>3</v>
      </c>
      <c r="N184" s="13" t="s">
        <v>3</v>
      </c>
      <c r="O184" s="13">
        <v>2</v>
      </c>
      <c r="P184" s="13">
        <f>ROUND(Source!EH175,O184)</f>
        <v>827719.41</v>
      </c>
      <c r="Q184" s="13"/>
      <c r="R184" s="13"/>
      <c r="S184" s="13"/>
      <c r="T184" s="13"/>
      <c r="U184" s="13"/>
      <c r="V184" s="13"/>
      <c r="W184" s="13">
        <v>109342.06</v>
      </c>
      <c r="X184" s="13">
        <v>1</v>
      </c>
      <c r="Y184" s="13">
        <v>109342.06</v>
      </c>
      <c r="Z184" s="13">
        <v>827719.41</v>
      </c>
      <c r="AA184" s="13">
        <v>1</v>
      </c>
      <c r="AB184" s="13">
        <v>827719.41</v>
      </c>
    </row>
    <row r="185" spans="1:28" ht="13" x14ac:dyDescent="0.3">
      <c r="A185" s="13">
        <v>50</v>
      </c>
      <c r="B185" s="13">
        <v>0</v>
      </c>
      <c r="C185" s="13">
        <v>0</v>
      </c>
      <c r="D185" s="13">
        <v>1</v>
      </c>
      <c r="E185" s="13">
        <v>223</v>
      </c>
      <c r="F185" s="13">
        <f>ROUND(Source!AQ175,O185)</f>
        <v>0</v>
      </c>
      <c r="G185" s="13" t="s">
        <v>104</v>
      </c>
      <c r="H185" s="13" t="s">
        <v>105</v>
      </c>
      <c r="I185" s="13"/>
      <c r="J185" s="13"/>
      <c r="K185" s="13">
        <v>223</v>
      </c>
      <c r="L185" s="13">
        <v>9</v>
      </c>
      <c r="M185" s="13">
        <v>3</v>
      </c>
      <c r="N185" s="13" t="s">
        <v>3</v>
      </c>
      <c r="O185" s="13">
        <v>2</v>
      </c>
      <c r="P185" s="13">
        <f>ROUND(Source!EI175,O185)</f>
        <v>0</v>
      </c>
      <c r="Q185" s="13"/>
      <c r="R185" s="13"/>
      <c r="S185" s="13"/>
      <c r="T185" s="13"/>
      <c r="U185" s="13"/>
      <c r="V185" s="13"/>
      <c r="W185" s="13">
        <v>0</v>
      </c>
      <c r="X185" s="13">
        <v>1</v>
      </c>
      <c r="Y185" s="13">
        <v>0</v>
      </c>
      <c r="Z185" s="13">
        <v>0</v>
      </c>
      <c r="AA185" s="13">
        <v>1</v>
      </c>
      <c r="AB185" s="13">
        <v>0</v>
      </c>
    </row>
    <row r="186" spans="1:28" ht="13" x14ac:dyDescent="0.3">
      <c r="A186" s="13">
        <v>50</v>
      </c>
      <c r="B186" s="13">
        <v>0</v>
      </c>
      <c r="C186" s="13">
        <v>0</v>
      </c>
      <c r="D186" s="13">
        <v>1</v>
      </c>
      <c r="E186" s="13">
        <v>229</v>
      </c>
      <c r="F186" s="13">
        <f>ROUND(Source!AZ175,O186)</f>
        <v>109342.06</v>
      </c>
      <c r="G186" s="13" t="s">
        <v>106</v>
      </c>
      <c r="H186" s="13" t="s">
        <v>107</v>
      </c>
      <c r="I186" s="13"/>
      <c r="J186" s="13"/>
      <c r="K186" s="13">
        <v>229</v>
      </c>
      <c r="L186" s="13">
        <v>10</v>
      </c>
      <c r="M186" s="13">
        <v>3</v>
      </c>
      <c r="N186" s="13" t="s">
        <v>3</v>
      </c>
      <c r="O186" s="13">
        <v>2</v>
      </c>
      <c r="P186" s="13">
        <f>ROUND(Source!ER175,O186)</f>
        <v>827719.41</v>
      </c>
      <c r="Q186" s="13"/>
      <c r="R186" s="13"/>
      <c r="S186" s="13"/>
      <c r="T186" s="13"/>
      <c r="U186" s="13"/>
      <c r="V186" s="13"/>
      <c r="W186" s="13">
        <v>109342.06</v>
      </c>
      <c r="X186" s="13">
        <v>1</v>
      </c>
      <c r="Y186" s="13">
        <v>109342.06</v>
      </c>
      <c r="Z186" s="13">
        <v>827719.41</v>
      </c>
      <c r="AA186" s="13">
        <v>1</v>
      </c>
      <c r="AB186" s="13">
        <v>827719.41</v>
      </c>
    </row>
    <row r="187" spans="1:28" ht="13" x14ac:dyDescent="0.3">
      <c r="A187" s="13">
        <v>50</v>
      </c>
      <c r="B187" s="13">
        <v>0</v>
      </c>
      <c r="C187" s="13">
        <v>0</v>
      </c>
      <c r="D187" s="13">
        <v>1</v>
      </c>
      <c r="E187" s="13">
        <v>203</v>
      </c>
      <c r="F187" s="13">
        <f>ROUND(Source!Q175,O187)</f>
        <v>0</v>
      </c>
      <c r="G187" s="13" t="s">
        <v>108</v>
      </c>
      <c r="H187" s="13" t="s">
        <v>109</v>
      </c>
      <c r="I187" s="13"/>
      <c r="J187" s="13"/>
      <c r="K187" s="13">
        <v>203</v>
      </c>
      <c r="L187" s="13">
        <v>11</v>
      </c>
      <c r="M187" s="13">
        <v>3</v>
      </c>
      <c r="N187" s="13" t="s">
        <v>3</v>
      </c>
      <c r="O187" s="13">
        <v>2</v>
      </c>
      <c r="P187" s="13">
        <f>ROUND(Source!DI175,O187)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8" ht="13" x14ac:dyDescent="0.3">
      <c r="A188" s="13">
        <v>50</v>
      </c>
      <c r="B188" s="13">
        <v>0</v>
      </c>
      <c r="C188" s="13">
        <v>0</v>
      </c>
      <c r="D188" s="13">
        <v>1</v>
      </c>
      <c r="E188" s="13">
        <v>231</v>
      </c>
      <c r="F188" s="13">
        <f>ROUND(Source!BB175,O188)</f>
        <v>0</v>
      </c>
      <c r="G188" s="13" t="s">
        <v>110</v>
      </c>
      <c r="H188" s="13" t="s">
        <v>111</v>
      </c>
      <c r="I188" s="13"/>
      <c r="J188" s="13"/>
      <c r="K188" s="13">
        <v>231</v>
      </c>
      <c r="L188" s="13">
        <v>12</v>
      </c>
      <c r="M188" s="13">
        <v>3</v>
      </c>
      <c r="N188" s="13" t="s">
        <v>3</v>
      </c>
      <c r="O188" s="13">
        <v>2</v>
      </c>
      <c r="P188" s="13">
        <f>ROUND(Source!ET175,O188)</f>
        <v>0</v>
      </c>
      <c r="Q188" s="13"/>
      <c r="R188" s="13"/>
      <c r="S188" s="13"/>
      <c r="T188" s="13"/>
      <c r="U188" s="13"/>
      <c r="V188" s="13"/>
      <c r="W188" s="13">
        <v>0</v>
      </c>
      <c r="X188" s="13">
        <v>1</v>
      </c>
      <c r="Y188" s="13">
        <v>0</v>
      </c>
      <c r="Z188" s="13">
        <v>0</v>
      </c>
      <c r="AA188" s="13">
        <v>1</v>
      </c>
      <c r="AB188" s="13">
        <v>0</v>
      </c>
    </row>
    <row r="189" spans="1:28" ht="13" x14ac:dyDescent="0.3">
      <c r="A189" s="13">
        <v>50</v>
      </c>
      <c r="B189" s="13">
        <v>0</v>
      </c>
      <c r="C189" s="13">
        <v>0</v>
      </c>
      <c r="D189" s="13">
        <v>1</v>
      </c>
      <c r="E189" s="13">
        <v>204</v>
      </c>
      <c r="F189" s="13">
        <f>ROUND(Source!R175,O189)</f>
        <v>0</v>
      </c>
      <c r="G189" s="13" t="s">
        <v>112</v>
      </c>
      <c r="H189" s="13" t="s">
        <v>113</v>
      </c>
      <c r="I189" s="13"/>
      <c r="J189" s="13"/>
      <c r="K189" s="13">
        <v>204</v>
      </c>
      <c r="L189" s="13">
        <v>13</v>
      </c>
      <c r="M189" s="13">
        <v>3</v>
      </c>
      <c r="N189" s="13" t="s">
        <v>3</v>
      </c>
      <c r="O189" s="13">
        <v>2</v>
      </c>
      <c r="P189" s="13">
        <f>ROUND(Source!DJ175,O189)</f>
        <v>0</v>
      </c>
      <c r="Q189" s="13"/>
      <c r="R189" s="13"/>
      <c r="S189" s="13"/>
      <c r="T189" s="13"/>
      <c r="U189" s="13"/>
      <c r="V189" s="13"/>
      <c r="W189" s="13">
        <v>0</v>
      </c>
      <c r="X189" s="13">
        <v>1</v>
      </c>
      <c r="Y189" s="13">
        <v>0</v>
      </c>
      <c r="Z189" s="13">
        <v>0</v>
      </c>
      <c r="AA189" s="13">
        <v>1</v>
      </c>
      <c r="AB189" s="13">
        <v>0</v>
      </c>
    </row>
    <row r="190" spans="1:28" ht="13" x14ac:dyDescent="0.3">
      <c r="A190" s="13">
        <v>50</v>
      </c>
      <c r="B190" s="13">
        <v>0</v>
      </c>
      <c r="C190" s="13">
        <v>0</v>
      </c>
      <c r="D190" s="13">
        <v>1</v>
      </c>
      <c r="E190" s="13">
        <v>205</v>
      </c>
      <c r="F190" s="13">
        <f>ROUND(Source!S175,O190)</f>
        <v>820.32</v>
      </c>
      <c r="G190" s="13" t="s">
        <v>114</v>
      </c>
      <c r="H190" s="13" t="s">
        <v>115</v>
      </c>
      <c r="I190" s="13"/>
      <c r="J190" s="13"/>
      <c r="K190" s="13">
        <v>205</v>
      </c>
      <c r="L190" s="13">
        <v>14</v>
      </c>
      <c r="M190" s="13">
        <v>3</v>
      </c>
      <c r="N190" s="13" t="s">
        <v>3</v>
      </c>
      <c r="O190" s="13">
        <v>2</v>
      </c>
      <c r="P190" s="13">
        <f>ROUND(Source!DK175,O190)</f>
        <v>46225.03</v>
      </c>
      <c r="Q190" s="13"/>
      <c r="R190" s="13"/>
      <c r="S190" s="13"/>
      <c r="T190" s="13"/>
      <c r="U190" s="13"/>
      <c r="V190" s="13"/>
      <c r="W190" s="13">
        <v>820.32</v>
      </c>
      <c r="X190" s="13">
        <v>1</v>
      </c>
      <c r="Y190" s="13">
        <v>820.32</v>
      </c>
      <c r="Z190" s="13">
        <v>46225.03</v>
      </c>
      <c r="AA190" s="13">
        <v>1</v>
      </c>
      <c r="AB190" s="13">
        <v>46225.03</v>
      </c>
    </row>
    <row r="191" spans="1:28" ht="13" x14ac:dyDescent="0.3">
      <c r="A191" s="13">
        <v>50</v>
      </c>
      <c r="B191" s="13">
        <v>0</v>
      </c>
      <c r="C191" s="13">
        <v>0</v>
      </c>
      <c r="D191" s="13">
        <v>1</v>
      </c>
      <c r="E191" s="13">
        <v>232</v>
      </c>
      <c r="F191" s="13">
        <f>ROUND(Source!BC175,O191)</f>
        <v>0</v>
      </c>
      <c r="G191" s="13" t="s">
        <v>116</v>
      </c>
      <c r="H191" s="13" t="s">
        <v>117</v>
      </c>
      <c r="I191" s="13"/>
      <c r="J191" s="13"/>
      <c r="K191" s="13">
        <v>232</v>
      </c>
      <c r="L191" s="13">
        <v>15</v>
      </c>
      <c r="M191" s="13">
        <v>3</v>
      </c>
      <c r="N191" s="13" t="s">
        <v>3</v>
      </c>
      <c r="O191" s="13">
        <v>2</v>
      </c>
      <c r="P191" s="13">
        <f>ROUND(Source!EU175,O191)</f>
        <v>0</v>
      </c>
      <c r="Q191" s="13"/>
      <c r="R191" s="13"/>
      <c r="S191" s="13"/>
      <c r="T191" s="13"/>
      <c r="U191" s="13"/>
      <c r="V191" s="13"/>
      <c r="W191" s="13">
        <v>0</v>
      </c>
      <c r="X191" s="13">
        <v>1</v>
      </c>
      <c r="Y191" s="13">
        <v>0</v>
      </c>
      <c r="Z191" s="13">
        <v>0</v>
      </c>
      <c r="AA191" s="13">
        <v>1</v>
      </c>
      <c r="AB191" s="13">
        <v>0</v>
      </c>
    </row>
    <row r="192" spans="1:28" ht="13" x14ac:dyDescent="0.3">
      <c r="A192" s="13">
        <v>50</v>
      </c>
      <c r="B192" s="13">
        <v>0</v>
      </c>
      <c r="C192" s="13">
        <v>0</v>
      </c>
      <c r="D192" s="13">
        <v>1</v>
      </c>
      <c r="E192" s="13">
        <v>214</v>
      </c>
      <c r="F192" s="13">
        <f>ROUND(Source!AS175,O192)</f>
        <v>0</v>
      </c>
      <c r="G192" s="13" t="s">
        <v>118</v>
      </c>
      <c r="H192" s="13" t="s">
        <v>119</v>
      </c>
      <c r="I192" s="13"/>
      <c r="J192" s="13"/>
      <c r="K192" s="13">
        <v>214</v>
      </c>
      <c r="L192" s="13">
        <v>16</v>
      </c>
      <c r="M192" s="13">
        <v>3</v>
      </c>
      <c r="N192" s="13" t="s">
        <v>3</v>
      </c>
      <c r="O192" s="13">
        <v>2</v>
      </c>
      <c r="P192" s="13">
        <f>ROUND(Source!EK175,O192)</f>
        <v>0</v>
      </c>
      <c r="Q192" s="13"/>
      <c r="R192" s="13"/>
      <c r="S192" s="13"/>
      <c r="T192" s="13"/>
      <c r="U192" s="13"/>
      <c r="V192" s="13"/>
      <c r="W192" s="13">
        <v>0</v>
      </c>
      <c r="X192" s="13">
        <v>1</v>
      </c>
      <c r="Y192" s="13">
        <v>0</v>
      </c>
      <c r="Z192" s="13">
        <v>0</v>
      </c>
      <c r="AA192" s="13">
        <v>1</v>
      </c>
      <c r="AB192" s="13">
        <v>0</v>
      </c>
    </row>
    <row r="193" spans="1:206" ht="13" x14ac:dyDescent="0.3">
      <c r="A193" s="13">
        <v>50</v>
      </c>
      <c r="B193" s="13">
        <v>0</v>
      </c>
      <c r="C193" s="13">
        <v>0</v>
      </c>
      <c r="D193" s="13">
        <v>1</v>
      </c>
      <c r="E193" s="13">
        <v>215</v>
      </c>
      <c r="F193" s="13">
        <f>ROUND(Source!AT175,O193)</f>
        <v>2395.86</v>
      </c>
      <c r="G193" s="13" t="s">
        <v>120</v>
      </c>
      <c r="H193" s="13" t="s">
        <v>121</v>
      </c>
      <c r="I193" s="13"/>
      <c r="J193" s="13"/>
      <c r="K193" s="13">
        <v>215</v>
      </c>
      <c r="L193" s="13">
        <v>17</v>
      </c>
      <c r="M193" s="13">
        <v>3</v>
      </c>
      <c r="N193" s="13" t="s">
        <v>3</v>
      </c>
      <c r="O193" s="13">
        <v>2</v>
      </c>
      <c r="P193" s="13">
        <f>ROUND(Source!EL175,O193)</f>
        <v>116949.25</v>
      </c>
      <c r="Q193" s="13"/>
      <c r="R193" s="13"/>
      <c r="S193" s="13"/>
      <c r="T193" s="13"/>
      <c r="U193" s="13"/>
      <c r="V193" s="13"/>
      <c r="W193" s="13">
        <v>2395.86</v>
      </c>
      <c r="X193" s="13">
        <v>1</v>
      </c>
      <c r="Y193" s="13">
        <v>2395.86</v>
      </c>
      <c r="Z193" s="13">
        <v>116949.25</v>
      </c>
      <c r="AA193" s="13">
        <v>1</v>
      </c>
      <c r="AB193" s="13">
        <v>116949.25</v>
      </c>
    </row>
    <row r="194" spans="1:206" ht="13" x14ac:dyDescent="0.3">
      <c r="A194" s="13">
        <v>50</v>
      </c>
      <c r="B194" s="13">
        <v>0</v>
      </c>
      <c r="C194" s="13">
        <v>0</v>
      </c>
      <c r="D194" s="13">
        <v>1</v>
      </c>
      <c r="E194" s="13">
        <v>217</v>
      </c>
      <c r="F194" s="13">
        <f>ROUND(Source!AU175,O194)</f>
        <v>0</v>
      </c>
      <c r="G194" s="13" t="s">
        <v>122</v>
      </c>
      <c r="H194" s="13" t="s">
        <v>123</v>
      </c>
      <c r="I194" s="13"/>
      <c r="J194" s="13"/>
      <c r="K194" s="13">
        <v>217</v>
      </c>
      <c r="L194" s="13">
        <v>18</v>
      </c>
      <c r="M194" s="13">
        <v>3</v>
      </c>
      <c r="N194" s="13" t="s">
        <v>3</v>
      </c>
      <c r="O194" s="13">
        <v>2</v>
      </c>
      <c r="P194" s="13">
        <f>ROUND(Source!EM175,O194)</f>
        <v>0</v>
      </c>
      <c r="Q194" s="13"/>
      <c r="R194" s="13"/>
      <c r="S194" s="13"/>
      <c r="T194" s="13"/>
      <c r="U194" s="13"/>
      <c r="V194" s="13"/>
      <c r="W194" s="13">
        <v>0</v>
      </c>
      <c r="X194" s="13">
        <v>1</v>
      </c>
      <c r="Y194" s="13">
        <v>0</v>
      </c>
      <c r="Z194" s="13">
        <v>0</v>
      </c>
      <c r="AA194" s="13">
        <v>1</v>
      </c>
      <c r="AB194" s="13">
        <v>0</v>
      </c>
    </row>
    <row r="195" spans="1:206" ht="13" x14ac:dyDescent="0.3">
      <c r="A195" s="13">
        <v>50</v>
      </c>
      <c r="B195" s="13">
        <v>0</v>
      </c>
      <c r="C195" s="13">
        <v>0</v>
      </c>
      <c r="D195" s="13">
        <v>1</v>
      </c>
      <c r="E195" s="13">
        <v>230</v>
      </c>
      <c r="F195" s="13">
        <f>ROUND(Source!BA175,O195)</f>
        <v>0</v>
      </c>
      <c r="G195" s="13" t="s">
        <v>124</v>
      </c>
      <c r="H195" s="13" t="s">
        <v>125</v>
      </c>
      <c r="I195" s="13"/>
      <c r="J195" s="13"/>
      <c r="K195" s="13">
        <v>230</v>
      </c>
      <c r="L195" s="13">
        <v>19</v>
      </c>
      <c r="M195" s="13">
        <v>3</v>
      </c>
      <c r="N195" s="13" t="s">
        <v>3</v>
      </c>
      <c r="O195" s="13">
        <v>2</v>
      </c>
      <c r="P195" s="13">
        <f>ROUND(Source!ES175,O195)</f>
        <v>0</v>
      </c>
      <c r="Q195" s="13"/>
      <c r="R195" s="13"/>
      <c r="S195" s="13"/>
      <c r="T195" s="13"/>
      <c r="U195" s="13"/>
      <c r="V195" s="13"/>
      <c r="W195" s="13">
        <v>0</v>
      </c>
      <c r="X195" s="13">
        <v>1</v>
      </c>
      <c r="Y195" s="13">
        <v>0</v>
      </c>
      <c r="Z195" s="13">
        <v>0</v>
      </c>
      <c r="AA195" s="13">
        <v>1</v>
      </c>
      <c r="AB195" s="13">
        <v>0</v>
      </c>
    </row>
    <row r="196" spans="1:206" ht="13" x14ac:dyDescent="0.3">
      <c r="A196" s="13">
        <v>50</v>
      </c>
      <c r="B196" s="13">
        <v>0</v>
      </c>
      <c r="C196" s="13">
        <v>0</v>
      </c>
      <c r="D196" s="13">
        <v>1</v>
      </c>
      <c r="E196" s="13">
        <v>206</v>
      </c>
      <c r="F196" s="13">
        <f>ROUND(Source!T175,O196)</f>
        <v>0</v>
      </c>
      <c r="G196" s="13" t="s">
        <v>126</v>
      </c>
      <c r="H196" s="13" t="s">
        <v>127</v>
      </c>
      <c r="I196" s="13"/>
      <c r="J196" s="13"/>
      <c r="K196" s="13">
        <v>206</v>
      </c>
      <c r="L196" s="13">
        <v>20</v>
      </c>
      <c r="M196" s="13">
        <v>3</v>
      </c>
      <c r="N196" s="13" t="s">
        <v>3</v>
      </c>
      <c r="O196" s="13">
        <v>2</v>
      </c>
      <c r="P196" s="13">
        <f>ROUND(Source!DL175,O196)</f>
        <v>0</v>
      </c>
      <c r="Q196" s="13"/>
      <c r="R196" s="13"/>
      <c r="S196" s="13"/>
      <c r="T196" s="13"/>
      <c r="U196" s="13"/>
      <c r="V196" s="13"/>
      <c r="W196" s="13">
        <v>0</v>
      </c>
      <c r="X196" s="13">
        <v>1</v>
      </c>
      <c r="Y196" s="13">
        <v>0</v>
      </c>
      <c r="Z196" s="13">
        <v>0</v>
      </c>
      <c r="AA196" s="13">
        <v>1</v>
      </c>
      <c r="AB196" s="13">
        <v>0</v>
      </c>
    </row>
    <row r="197" spans="1:206" ht="13" x14ac:dyDescent="0.3">
      <c r="A197" s="13">
        <v>50</v>
      </c>
      <c r="B197" s="13">
        <v>0</v>
      </c>
      <c r="C197" s="13">
        <v>0</v>
      </c>
      <c r="D197" s="13">
        <v>1</v>
      </c>
      <c r="E197" s="13">
        <v>207</v>
      </c>
      <c r="F197" s="13">
        <f>Source!U175</f>
        <v>61.407587999999997</v>
      </c>
      <c r="G197" s="13" t="s">
        <v>128</v>
      </c>
      <c r="H197" s="13" t="s">
        <v>129</v>
      </c>
      <c r="I197" s="13"/>
      <c r="J197" s="13"/>
      <c r="K197" s="13">
        <v>207</v>
      </c>
      <c r="L197" s="13">
        <v>21</v>
      </c>
      <c r="M197" s="13">
        <v>3</v>
      </c>
      <c r="N197" s="13" t="s">
        <v>3</v>
      </c>
      <c r="O197" s="13">
        <v>-1</v>
      </c>
      <c r="P197" s="13">
        <f>Source!DM175</f>
        <v>61.407587999999997</v>
      </c>
      <c r="Q197" s="13"/>
      <c r="R197" s="13"/>
      <c r="S197" s="13"/>
      <c r="T197" s="13"/>
      <c r="U197" s="13"/>
      <c r="V197" s="13"/>
      <c r="W197" s="13">
        <v>61.407587999999997</v>
      </c>
      <c r="X197" s="13">
        <v>1</v>
      </c>
      <c r="Y197" s="13">
        <v>61.407587999999997</v>
      </c>
      <c r="Z197" s="13">
        <v>61.407587999999997</v>
      </c>
      <c r="AA197" s="13">
        <v>1</v>
      </c>
      <c r="AB197" s="13">
        <v>61.407587999999997</v>
      </c>
    </row>
    <row r="198" spans="1:206" ht="13" x14ac:dyDescent="0.3">
      <c r="A198" s="13">
        <v>50</v>
      </c>
      <c r="B198" s="13">
        <v>0</v>
      </c>
      <c r="C198" s="13">
        <v>0</v>
      </c>
      <c r="D198" s="13">
        <v>1</v>
      </c>
      <c r="E198" s="13">
        <v>208</v>
      </c>
      <c r="F198" s="13">
        <f>Source!V175</f>
        <v>0</v>
      </c>
      <c r="G198" s="13" t="s">
        <v>130</v>
      </c>
      <c r="H198" s="13" t="s">
        <v>131</v>
      </c>
      <c r="I198" s="13"/>
      <c r="J198" s="13"/>
      <c r="K198" s="13">
        <v>208</v>
      </c>
      <c r="L198" s="13">
        <v>22</v>
      </c>
      <c r="M198" s="13">
        <v>3</v>
      </c>
      <c r="N198" s="13" t="s">
        <v>3</v>
      </c>
      <c r="O198" s="13">
        <v>-1</v>
      </c>
      <c r="P198" s="13">
        <f>Source!DN175</f>
        <v>0</v>
      </c>
      <c r="Q198" s="13"/>
      <c r="R198" s="13"/>
      <c r="S198" s="13"/>
      <c r="T198" s="13"/>
      <c r="U198" s="13"/>
      <c r="V198" s="13"/>
      <c r="W198" s="13">
        <v>0</v>
      </c>
      <c r="X198" s="13">
        <v>1</v>
      </c>
      <c r="Y198" s="13">
        <v>0</v>
      </c>
      <c r="Z198" s="13">
        <v>0</v>
      </c>
      <c r="AA198" s="13">
        <v>1</v>
      </c>
      <c r="AB198" s="13">
        <v>0</v>
      </c>
    </row>
    <row r="199" spans="1:206" ht="13" x14ac:dyDescent="0.3">
      <c r="A199" s="13">
        <v>50</v>
      </c>
      <c r="B199" s="13">
        <v>0</v>
      </c>
      <c r="C199" s="13">
        <v>0</v>
      </c>
      <c r="D199" s="13">
        <v>1</v>
      </c>
      <c r="E199" s="13">
        <v>209</v>
      </c>
      <c r="F199" s="13">
        <f>ROUND(Source!W175,O199)</f>
        <v>0</v>
      </c>
      <c r="G199" s="13" t="s">
        <v>132</v>
      </c>
      <c r="H199" s="13" t="s">
        <v>133</v>
      </c>
      <c r="I199" s="13"/>
      <c r="J199" s="13"/>
      <c r="K199" s="13">
        <v>209</v>
      </c>
      <c r="L199" s="13">
        <v>23</v>
      </c>
      <c r="M199" s="13">
        <v>3</v>
      </c>
      <c r="N199" s="13" t="s">
        <v>3</v>
      </c>
      <c r="O199" s="13">
        <v>2</v>
      </c>
      <c r="P199" s="13">
        <f>ROUND(Source!DO175,O199)</f>
        <v>0</v>
      </c>
      <c r="Q199" s="13"/>
      <c r="R199" s="13"/>
      <c r="S199" s="13"/>
      <c r="T199" s="13"/>
      <c r="U199" s="13"/>
      <c r="V199" s="13"/>
      <c r="W199" s="13">
        <v>0</v>
      </c>
      <c r="X199" s="13">
        <v>1</v>
      </c>
      <c r="Y199" s="13">
        <v>0</v>
      </c>
      <c r="Z199" s="13">
        <v>0</v>
      </c>
      <c r="AA199" s="13">
        <v>1</v>
      </c>
      <c r="AB199" s="13">
        <v>0</v>
      </c>
    </row>
    <row r="200" spans="1:206" ht="13" x14ac:dyDescent="0.3">
      <c r="A200" s="13">
        <v>50</v>
      </c>
      <c r="B200" s="13">
        <v>0</v>
      </c>
      <c r="C200" s="13">
        <v>0</v>
      </c>
      <c r="D200" s="13">
        <v>1</v>
      </c>
      <c r="E200" s="13">
        <v>233</v>
      </c>
      <c r="F200" s="13">
        <f>ROUND(Source!BD175,O200)</f>
        <v>0</v>
      </c>
      <c r="G200" s="13" t="s">
        <v>134</v>
      </c>
      <c r="H200" s="13" t="s">
        <v>135</v>
      </c>
      <c r="I200" s="13"/>
      <c r="J200" s="13"/>
      <c r="K200" s="13">
        <v>233</v>
      </c>
      <c r="L200" s="13">
        <v>24</v>
      </c>
      <c r="M200" s="13">
        <v>3</v>
      </c>
      <c r="N200" s="13" t="s">
        <v>3</v>
      </c>
      <c r="O200" s="13">
        <v>2</v>
      </c>
      <c r="P200" s="13">
        <f>ROUND(Source!EV175,O200)</f>
        <v>0</v>
      </c>
      <c r="Q200" s="13"/>
      <c r="R200" s="13"/>
      <c r="S200" s="13"/>
      <c r="T200" s="13"/>
      <c r="U200" s="13"/>
      <c r="V200" s="13"/>
      <c r="W200" s="13">
        <v>0</v>
      </c>
      <c r="X200" s="13">
        <v>1</v>
      </c>
      <c r="Y200" s="13">
        <v>0</v>
      </c>
      <c r="Z200" s="13">
        <v>0</v>
      </c>
      <c r="AA200" s="13">
        <v>1</v>
      </c>
      <c r="AB200" s="13">
        <v>0</v>
      </c>
    </row>
    <row r="201" spans="1:206" ht="13" x14ac:dyDescent="0.3">
      <c r="A201" s="13">
        <v>50</v>
      </c>
      <c r="B201" s="13">
        <v>0</v>
      </c>
      <c r="C201" s="13">
        <v>0</v>
      </c>
      <c r="D201" s="13">
        <v>1</v>
      </c>
      <c r="E201" s="13">
        <v>210</v>
      </c>
      <c r="F201" s="13">
        <f>ROUND(Source!X175,O201)</f>
        <v>776.92</v>
      </c>
      <c r="G201" s="13" t="s">
        <v>136</v>
      </c>
      <c r="H201" s="13" t="s">
        <v>137</v>
      </c>
      <c r="I201" s="13"/>
      <c r="J201" s="13"/>
      <c r="K201" s="13">
        <v>210</v>
      </c>
      <c r="L201" s="13">
        <v>25</v>
      </c>
      <c r="M201" s="13">
        <v>3</v>
      </c>
      <c r="N201" s="13" t="s">
        <v>3</v>
      </c>
      <c r="O201" s="13">
        <v>2</v>
      </c>
      <c r="P201" s="13">
        <f>ROUND(Source!DP175,O201)</f>
        <v>43779.75</v>
      </c>
      <c r="Q201" s="13"/>
      <c r="R201" s="13"/>
      <c r="S201" s="13"/>
      <c r="T201" s="13"/>
      <c r="U201" s="13"/>
      <c r="V201" s="13"/>
      <c r="W201" s="13">
        <v>776.92</v>
      </c>
      <c r="X201" s="13">
        <v>1</v>
      </c>
      <c r="Y201" s="13">
        <v>776.92</v>
      </c>
      <c r="Z201" s="13">
        <v>43779.75</v>
      </c>
      <c r="AA201" s="13">
        <v>1</v>
      </c>
      <c r="AB201" s="13">
        <v>43779.75</v>
      </c>
    </row>
    <row r="202" spans="1:206" ht="13" x14ac:dyDescent="0.3">
      <c r="A202" s="13">
        <v>50</v>
      </c>
      <c r="B202" s="13">
        <v>0</v>
      </c>
      <c r="C202" s="13">
        <v>0</v>
      </c>
      <c r="D202" s="13">
        <v>1</v>
      </c>
      <c r="E202" s="13">
        <v>211</v>
      </c>
      <c r="F202" s="13">
        <f>ROUND(Source!Y175,O202)</f>
        <v>431.44</v>
      </c>
      <c r="G202" s="13" t="s">
        <v>138</v>
      </c>
      <c r="H202" s="13" t="s">
        <v>139</v>
      </c>
      <c r="I202" s="13"/>
      <c r="J202" s="13"/>
      <c r="K202" s="13">
        <v>211</v>
      </c>
      <c r="L202" s="13">
        <v>26</v>
      </c>
      <c r="M202" s="13">
        <v>3</v>
      </c>
      <c r="N202" s="13" t="s">
        <v>3</v>
      </c>
      <c r="O202" s="13">
        <v>2</v>
      </c>
      <c r="P202" s="13">
        <f>ROUND(Source!DQ175,O202)</f>
        <v>24311.63</v>
      </c>
      <c r="Q202" s="13"/>
      <c r="R202" s="13"/>
      <c r="S202" s="13"/>
      <c r="T202" s="13"/>
      <c r="U202" s="13"/>
      <c r="V202" s="13"/>
      <c r="W202" s="13">
        <v>431.44</v>
      </c>
      <c r="X202" s="13">
        <v>1</v>
      </c>
      <c r="Y202" s="13">
        <v>431.44</v>
      </c>
      <c r="Z202" s="13">
        <v>24311.63</v>
      </c>
      <c r="AA202" s="13">
        <v>1</v>
      </c>
      <c r="AB202" s="13">
        <v>24311.63</v>
      </c>
    </row>
    <row r="203" spans="1:206" ht="13" x14ac:dyDescent="0.3">
      <c r="A203" s="13">
        <v>50</v>
      </c>
      <c r="B203" s="13">
        <v>0</v>
      </c>
      <c r="C203" s="13">
        <v>0</v>
      </c>
      <c r="D203" s="13">
        <v>1</v>
      </c>
      <c r="E203" s="13">
        <v>224</v>
      </c>
      <c r="F203" s="13">
        <f>ROUND(Source!AR175,O203)</f>
        <v>111737.92</v>
      </c>
      <c r="G203" s="13" t="s">
        <v>140</v>
      </c>
      <c r="H203" s="13" t="s">
        <v>141</v>
      </c>
      <c r="I203" s="13"/>
      <c r="J203" s="13"/>
      <c r="K203" s="13">
        <v>224</v>
      </c>
      <c r="L203" s="13">
        <v>27</v>
      </c>
      <c r="M203" s="13">
        <v>3</v>
      </c>
      <c r="N203" s="13" t="s">
        <v>3</v>
      </c>
      <c r="O203" s="13">
        <v>2</v>
      </c>
      <c r="P203" s="13">
        <f>ROUND(Source!EJ175,O203)</f>
        <v>944668.66</v>
      </c>
      <c r="Q203" s="13"/>
      <c r="R203" s="13"/>
      <c r="S203" s="13"/>
      <c r="T203" s="13"/>
      <c r="U203" s="13"/>
      <c r="V203" s="13"/>
      <c r="W203" s="13">
        <v>111737.92</v>
      </c>
      <c r="X203" s="13">
        <v>1</v>
      </c>
      <c r="Y203" s="13">
        <v>111737.92</v>
      </c>
      <c r="Z203" s="13">
        <v>944668.66</v>
      </c>
      <c r="AA203" s="13">
        <v>1</v>
      </c>
      <c r="AB203" s="13">
        <v>944668.66</v>
      </c>
    </row>
    <row r="205" spans="1:206" ht="13" x14ac:dyDescent="0.3">
      <c r="A205" s="10">
        <v>4</v>
      </c>
      <c r="B205" s="10">
        <v>1</v>
      </c>
      <c r="C205" s="10"/>
      <c r="D205" s="10">
        <f>ROW(A218)</f>
        <v>218</v>
      </c>
      <c r="E205" s="10"/>
      <c r="F205" s="10" t="s">
        <v>37</v>
      </c>
      <c r="G205" s="10" t="s">
        <v>233</v>
      </c>
      <c r="H205" s="10" t="s">
        <v>3</v>
      </c>
      <c r="I205" s="10">
        <v>0</v>
      </c>
      <c r="J205" s="10"/>
      <c r="K205" s="10">
        <v>-1</v>
      </c>
      <c r="L205" s="10"/>
      <c r="M205" s="10" t="s">
        <v>3</v>
      </c>
      <c r="N205" s="10"/>
      <c r="O205" s="10"/>
      <c r="P205" s="10"/>
      <c r="Q205" s="10"/>
      <c r="R205" s="10"/>
      <c r="S205" s="10">
        <v>0</v>
      </c>
      <c r="T205" s="10">
        <v>0</v>
      </c>
      <c r="U205" s="10" t="s">
        <v>3</v>
      </c>
      <c r="V205" s="10">
        <v>0</v>
      </c>
      <c r="W205" s="10"/>
      <c r="X205" s="10"/>
      <c r="Y205" s="10"/>
      <c r="Z205" s="10"/>
      <c r="AA205" s="10"/>
      <c r="AB205" s="10" t="s">
        <v>3</v>
      </c>
      <c r="AC205" s="10" t="s">
        <v>3</v>
      </c>
      <c r="AD205" s="10" t="s">
        <v>3</v>
      </c>
      <c r="AE205" s="10" t="s">
        <v>3</v>
      </c>
      <c r="AF205" s="10" t="s">
        <v>3</v>
      </c>
      <c r="AG205" s="10" t="s">
        <v>3</v>
      </c>
      <c r="AH205" s="10"/>
      <c r="AI205" s="10"/>
      <c r="AJ205" s="10"/>
      <c r="AK205" s="10"/>
      <c r="AL205" s="10"/>
      <c r="AM205" s="10"/>
      <c r="AN205" s="10"/>
      <c r="AO205" s="10"/>
      <c r="AP205" s="10" t="s">
        <v>3</v>
      </c>
      <c r="AQ205" s="10" t="s">
        <v>3</v>
      </c>
      <c r="AR205" s="10" t="s">
        <v>3</v>
      </c>
      <c r="AS205" s="10"/>
      <c r="AT205" s="10"/>
      <c r="AU205" s="10"/>
      <c r="AV205" s="10"/>
      <c r="AW205" s="10"/>
      <c r="AX205" s="10"/>
      <c r="AY205" s="10"/>
      <c r="AZ205" s="10" t="s">
        <v>3</v>
      </c>
      <c r="BA205" s="10"/>
      <c r="BB205" s="10" t="s">
        <v>3</v>
      </c>
      <c r="BC205" s="10" t="s">
        <v>3</v>
      </c>
      <c r="BD205" s="10" t="s">
        <v>3</v>
      </c>
      <c r="BE205" s="10" t="s">
        <v>3</v>
      </c>
      <c r="BF205" s="10" t="s">
        <v>3</v>
      </c>
      <c r="BG205" s="10" t="s">
        <v>3</v>
      </c>
      <c r="BH205" s="10" t="s">
        <v>3</v>
      </c>
      <c r="BI205" s="10" t="s">
        <v>3</v>
      </c>
      <c r="BJ205" s="10" t="s">
        <v>3</v>
      </c>
      <c r="BK205" s="10" t="s">
        <v>3</v>
      </c>
      <c r="BL205" s="10" t="s">
        <v>3</v>
      </c>
      <c r="BM205" s="10" t="s">
        <v>3</v>
      </c>
      <c r="BN205" s="10" t="s">
        <v>3</v>
      </c>
      <c r="BO205" s="10" t="s">
        <v>3</v>
      </c>
      <c r="BP205" s="10" t="s">
        <v>3</v>
      </c>
      <c r="BQ205" s="10"/>
      <c r="BR205" s="10"/>
      <c r="BS205" s="10"/>
      <c r="BT205" s="10"/>
      <c r="BU205" s="10"/>
      <c r="BV205" s="10"/>
      <c r="BW205" s="10"/>
      <c r="BX205" s="10">
        <v>0</v>
      </c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>
        <v>0</v>
      </c>
    </row>
    <row r="207" spans="1:206" ht="13" x14ac:dyDescent="0.3">
      <c r="A207" s="11">
        <v>52</v>
      </c>
      <c r="B207" s="11">
        <f t="shared" ref="B207:G207" si="166">B218</f>
        <v>1</v>
      </c>
      <c r="C207" s="11">
        <f t="shared" si="166"/>
        <v>4</v>
      </c>
      <c r="D207" s="11">
        <f t="shared" si="166"/>
        <v>205</v>
      </c>
      <c r="E207" s="11">
        <f t="shared" si="166"/>
        <v>0</v>
      </c>
      <c r="F207" s="11" t="str">
        <f t="shared" si="166"/>
        <v>3</v>
      </c>
      <c r="G207" s="11" t="str">
        <f t="shared" si="166"/>
        <v>Мачта для установки антенн</v>
      </c>
      <c r="H207" s="11"/>
      <c r="I207" s="11"/>
      <c r="J207" s="11"/>
      <c r="K207" s="11"/>
      <c r="L207" s="11"/>
      <c r="M207" s="11"/>
      <c r="N207" s="11"/>
      <c r="O207" s="11">
        <f t="shared" ref="O207:AT207" si="167">O218</f>
        <v>665.43</v>
      </c>
      <c r="P207" s="11">
        <f t="shared" si="167"/>
        <v>660.77</v>
      </c>
      <c r="Q207" s="11">
        <f t="shared" si="167"/>
        <v>0.02</v>
      </c>
      <c r="R207" s="11">
        <f t="shared" si="167"/>
        <v>0</v>
      </c>
      <c r="S207" s="11">
        <f t="shared" si="167"/>
        <v>4.6399999999999997</v>
      </c>
      <c r="T207" s="11">
        <f t="shared" si="167"/>
        <v>0</v>
      </c>
      <c r="U207" s="11">
        <f t="shared" si="167"/>
        <v>0.34227456000000001</v>
      </c>
      <c r="V207" s="11">
        <f t="shared" si="167"/>
        <v>0</v>
      </c>
      <c r="W207" s="11">
        <f t="shared" si="167"/>
        <v>0</v>
      </c>
      <c r="X207" s="11">
        <f t="shared" si="167"/>
        <v>4.41</v>
      </c>
      <c r="Y207" s="11">
        <f t="shared" si="167"/>
        <v>2.46</v>
      </c>
      <c r="Z207" s="11">
        <f t="shared" si="167"/>
        <v>0</v>
      </c>
      <c r="AA207" s="11">
        <f t="shared" si="167"/>
        <v>0</v>
      </c>
      <c r="AB207" s="11">
        <f t="shared" si="167"/>
        <v>665.43</v>
      </c>
      <c r="AC207" s="11">
        <f t="shared" si="167"/>
        <v>660.77</v>
      </c>
      <c r="AD207" s="11">
        <f t="shared" si="167"/>
        <v>0.02</v>
      </c>
      <c r="AE207" s="11">
        <f t="shared" si="167"/>
        <v>0</v>
      </c>
      <c r="AF207" s="11">
        <f t="shared" si="167"/>
        <v>4.6399999999999997</v>
      </c>
      <c r="AG207" s="11">
        <f t="shared" si="167"/>
        <v>0</v>
      </c>
      <c r="AH207" s="11">
        <f t="shared" si="167"/>
        <v>0.34227456000000001</v>
      </c>
      <c r="AI207" s="11">
        <f t="shared" si="167"/>
        <v>0</v>
      </c>
      <c r="AJ207" s="11">
        <f t="shared" si="167"/>
        <v>0</v>
      </c>
      <c r="AK207" s="11">
        <f t="shared" si="167"/>
        <v>4.41</v>
      </c>
      <c r="AL207" s="11">
        <f t="shared" si="167"/>
        <v>2.46</v>
      </c>
      <c r="AM207" s="11">
        <f t="shared" si="167"/>
        <v>0</v>
      </c>
      <c r="AN207" s="11">
        <f t="shared" si="167"/>
        <v>0</v>
      </c>
      <c r="AO207" s="11">
        <f t="shared" si="167"/>
        <v>0</v>
      </c>
      <c r="AP207" s="11">
        <f t="shared" si="167"/>
        <v>342.13</v>
      </c>
      <c r="AQ207" s="11">
        <f t="shared" si="167"/>
        <v>0</v>
      </c>
      <c r="AR207" s="11">
        <f t="shared" si="167"/>
        <v>672.3</v>
      </c>
      <c r="AS207" s="11">
        <f t="shared" si="167"/>
        <v>0</v>
      </c>
      <c r="AT207" s="11">
        <f t="shared" si="167"/>
        <v>330.17</v>
      </c>
      <c r="AU207" s="11">
        <f t="shared" ref="AU207:BZ207" si="168">AU218</f>
        <v>0</v>
      </c>
      <c r="AV207" s="11">
        <f t="shared" si="168"/>
        <v>660.77</v>
      </c>
      <c r="AW207" s="11">
        <f t="shared" si="168"/>
        <v>318.64</v>
      </c>
      <c r="AX207" s="11">
        <f t="shared" si="168"/>
        <v>0</v>
      </c>
      <c r="AY207" s="11">
        <f t="shared" si="168"/>
        <v>318.64</v>
      </c>
      <c r="AZ207" s="11">
        <f t="shared" si="168"/>
        <v>342.13</v>
      </c>
      <c r="BA207" s="11">
        <f t="shared" si="168"/>
        <v>0</v>
      </c>
      <c r="BB207" s="11">
        <f t="shared" si="168"/>
        <v>0</v>
      </c>
      <c r="BC207" s="11">
        <f t="shared" si="168"/>
        <v>0</v>
      </c>
      <c r="BD207" s="11">
        <f t="shared" si="168"/>
        <v>0</v>
      </c>
      <c r="BE207" s="11">
        <f t="shared" si="168"/>
        <v>0</v>
      </c>
      <c r="BF207" s="11">
        <f t="shared" si="168"/>
        <v>0</v>
      </c>
      <c r="BG207" s="11">
        <f t="shared" si="168"/>
        <v>0</v>
      </c>
      <c r="BH207" s="11">
        <f t="shared" si="168"/>
        <v>0</v>
      </c>
      <c r="BI207" s="11">
        <f t="shared" si="168"/>
        <v>0</v>
      </c>
      <c r="BJ207" s="11">
        <f t="shared" si="168"/>
        <v>0</v>
      </c>
      <c r="BK207" s="11">
        <f t="shared" si="168"/>
        <v>0</v>
      </c>
      <c r="BL207" s="11">
        <f t="shared" si="168"/>
        <v>0</v>
      </c>
      <c r="BM207" s="11">
        <f t="shared" si="168"/>
        <v>0</v>
      </c>
      <c r="BN207" s="11">
        <f t="shared" si="168"/>
        <v>0</v>
      </c>
      <c r="BO207" s="11">
        <f t="shared" si="168"/>
        <v>0</v>
      </c>
      <c r="BP207" s="11">
        <f t="shared" si="168"/>
        <v>0</v>
      </c>
      <c r="BQ207" s="11">
        <f t="shared" si="168"/>
        <v>0</v>
      </c>
      <c r="BR207" s="11">
        <f t="shared" si="168"/>
        <v>0</v>
      </c>
      <c r="BS207" s="11">
        <f t="shared" si="168"/>
        <v>0</v>
      </c>
      <c r="BT207" s="11">
        <f t="shared" si="168"/>
        <v>0</v>
      </c>
      <c r="BU207" s="11">
        <f t="shared" si="168"/>
        <v>0</v>
      </c>
      <c r="BV207" s="11">
        <f t="shared" si="168"/>
        <v>0</v>
      </c>
      <c r="BW207" s="11">
        <f t="shared" si="168"/>
        <v>0</v>
      </c>
      <c r="BX207" s="11">
        <f t="shared" si="168"/>
        <v>0</v>
      </c>
      <c r="BY207" s="11">
        <f t="shared" si="168"/>
        <v>342.13</v>
      </c>
      <c r="BZ207" s="11">
        <f t="shared" si="168"/>
        <v>0</v>
      </c>
      <c r="CA207" s="11">
        <f t="shared" ref="CA207:DF207" si="169">CA218</f>
        <v>672.3</v>
      </c>
      <c r="CB207" s="11">
        <f t="shared" si="169"/>
        <v>0</v>
      </c>
      <c r="CC207" s="11">
        <f t="shared" si="169"/>
        <v>330.17</v>
      </c>
      <c r="CD207" s="11">
        <f t="shared" si="169"/>
        <v>0</v>
      </c>
      <c r="CE207" s="11">
        <f t="shared" si="169"/>
        <v>660.77</v>
      </c>
      <c r="CF207" s="11">
        <f t="shared" si="169"/>
        <v>318.64</v>
      </c>
      <c r="CG207" s="11">
        <f t="shared" si="169"/>
        <v>0</v>
      </c>
      <c r="CH207" s="11">
        <f t="shared" si="169"/>
        <v>318.64</v>
      </c>
      <c r="CI207" s="11">
        <f t="shared" si="169"/>
        <v>342.13</v>
      </c>
      <c r="CJ207" s="11">
        <f t="shared" si="169"/>
        <v>0</v>
      </c>
      <c r="CK207" s="11">
        <f t="shared" si="169"/>
        <v>0</v>
      </c>
      <c r="CL207" s="11">
        <f t="shared" si="169"/>
        <v>0</v>
      </c>
      <c r="CM207" s="11">
        <f t="shared" si="169"/>
        <v>0</v>
      </c>
      <c r="CN207" s="11">
        <f t="shared" si="169"/>
        <v>0</v>
      </c>
      <c r="CO207" s="11">
        <f t="shared" si="169"/>
        <v>0</v>
      </c>
      <c r="CP207" s="11">
        <f t="shared" si="169"/>
        <v>0</v>
      </c>
      <c r="CQ207" s="11">
        <f t="shared" si="169"/>
        <v>0</v>
      </c>
      <c r="CR207" s="11">
        <f t="shared" si="169"/>
        <v>0</v>
      </c>
      <c r="CS207" s="11">
        <f t="shared" si="169"/>
        <v>0</v>
      </c>
      <c r="CT207" s="11">
        <f t="shared" si="169"/>
        <v>0</v>
      </c>
      <c r="CU207" s="11">
        <f t="shared" si="169"/>
        <v>0</v>
      </c>
      <c r="CV207" s="11">
        <f t="shared" si="169"/>
        <v>0</v>
      </c>
      <c r="CW207" s="11">
        <f t="shared" si="169"/>
        <v>0</v>
      </c>
      <c r="CX207" s="11">
        <f t="shared" si="169"/>
        <v>0</v>
      </c>
      <c r="CY207" s="11">
        <f t="shared" si="169"/>
        <v>0</v>
      </c>
      <c r="CZ207" s="11">
        <f t="shared" si="169"/>
        <v>0</v>
      </c>
      <c r="DA207" s="11">
        <f t="shared" si="169"/>
        <v>0</v>
      </c>
      <c r="DB207" s="11">
        <f t="shared" si="169"/>
        <v>0</v>
      </c>
      <c r="DC207" s="11">
        <f t="shared" si="169"/>
        <v>0</v>
      </c>
      <c r="DD207" s="11">
        <f t="shared" si="169"/>
        <v>0</v>
      </c>
      <c r="DE207" s="11">
        <f t="shared" si="169"/>
        <v>0</v>
      </c>
      <c r="DF207" s="11">
        <f t="shared" si="169"/>
        <v>0</v>
      </c>
      <c r="DG207" s="12">
        <f t="shared" ref="DG207:EL207" si="170">DG218</f>
        <v>8062.81</v>
      </c>
      <c r="DH207" s="12">
        <f t="shared" si="170"/>
        <v>7801.15</v>
      </c>
      <c r="DI207" s="12">
        <f t="shared" si="170"/>
        <v>0.2</v>
      </c>
      <c r="DJ207" s="12">
        <f t="shared" si="170"/>
        <v>0</v>
      </c>
      <c r="DK207" s="12">
        <f t="shared" si="170"/>
        <v>261.45999999999998</v>
      </c>
      <c r="DL207" s="12">
        <f t="shared" si="170"/>
        <v>0</v>
      </c>
      <c r="DM207" s="12">
        <f t="shared" si="170"/>
        <v>0.34227456000000001</v>
      </c>
      <c r="DN207" s="12">
        <f t="shared" si="170"/>
        <v>0</v>
      </c>
      <c r="DO207" s="12">
        <f t="shared" si="170"/>
        <v>0</v>
      </c>
      <c r="DP207" s="12">
        <f t="shared" si="170"/>
        <v>248.39</v>
      </c>
      <c r="DQ207" s="12">
        <f t="shared" si="170"/>
        <v>138.57</v>
      </c>
      <c r="DR207" s="12">
        <f t="shared" si="170"/>
        <v>0</v>
      </c>
      <c r="DS207" s="12">
        <f t="shared" si="170"/>
        <v>0</v>
      </c>
      <c r="DT207" s="12">
        <f t="shared" si="170"/>
        <v>8062.81</v>
      </c>
      <c r="DU207" s="12">
        <f t="shared" si="170"/>
        <v>7801.15</v>
      </c>
      <c r="DV207" s="12">
        <f t="shared" si="170"/>
        <v>0.2</v>
      </c>
      <c r="DW207" s="12">
        <f t="shared" si="170"/>
        <v>0</v>
      </c>
      <c r="DX207" s="12">
        <f t="shared" si="170"/>
        <v>261.45999999999998</v>
      </c>
      <c r="DY207" s="12">
        <f t="shared" si="170"/>
        <v>0</v>
      </c>
      <c r="DZ207" s="12">
        <f t="shared" si="170"/>
        <v>0.34227456000000001</v>
      </c>
      <c r="EA207" s="12">
        <f t="shared" si="170"/>
        <v>0</v>
      </c>
      <c r="EB207" s="12">
        <f t="shared" si="170"/>
        <v>0</v>
      </c>
      <c r="EC207" s="12">
        <f t="shared" si="170"/>
        <v>248.39</v>
      </c>
      <c r="ED207" s="12">
        <f t="shared" si="170"/>
        <v>138.57</v>
      </c>
      <c r="EE207" s="12">
        <f t="shared" si="170"/>
        <v>0</v>
      </c>
      <c r="EF207" s="12">
        <f t="shared" si="170"/>
        <v>0</v>
      </c>
      <c r="EG207" s="12">
        <f t="shared" si="170"/>
        <v>0</v>
      </c>
      <c r="EH207" s="12">
        <f t="shared" si="170"/>
        <v>4810.3500000000004</v>
      </c>
      <c r="EI207" s="12">
        <f t="shared" si="170"/>
        <v>0</v>
      </c>
      <c r="EJ207" s="12">
        <f t="shared" si="170"/>
        <v>8449.77</v>
      </c>
      <c r="EK207" s="12">
        <f t="shared" si="170"/>
        <v>0</v>
      </c>
      <c r="EL207" s="12">
        <f t="shared" si="170"/>
        <v>3639.42</v>
      </c>
      <c r="EM207" s="12">
        <f t="shared" ref="EM207:FR207" si="171">EM218</f>
        <v>0</v>
      </c>
      <c r="EN207" s="12">
        <f t="shared" si="171"/>
        <v>7801.15</v>
      </c>
      <c r="EO207" s="12">
        <f t="shared" si="171"/>
        <v>2990.8</v>
      </c>
      <c r="EP207" s="12">
        <f t="shared" si="171"/>
        <v>0</v>
      </c>
      <c r="EQ207" s="12">
        <f t="shared" si="171"/>
        <v>2990.8</v>
      </c>
      <c r="ER207" s="12">
        <f t="shared" si="171"/>
        <v>4810.3500000000004</v>
      </c>
      <c r="ES207" s="12">
        <f t="shared" si="171"/>
        <v>0</v>
      </c>
      <c r="ET207" s="12">
        <f t="shared" si="171"/>
        <v>0</v>
      </c>
      <c r="EU207" s="12">
        <f t="shared" si="171"/>
        <v>0</v>
      </c>
      <c r="EV207" s="12">
        <f t="shared" si="171"/>
        <v>0</v>
      </c>
      <c r="EW207" s="12">
        <f t="shared" si="171"/>
        <v>0</v>
      </c>
      <c r="EX207" s="12">
        <f t="shared" si="171"/>
        <v>0</v>
      </c>
      <c r="EY207" s="12">
        <f t="shared" si="171"/>
        <v>0</v>
      </c>
      <c r="EZ207" s="12">
        <f t="shared" si="171"/>
        <v>0</v>
      </c>
      <c r="FA207" s="12">
        <f t="shared" si="171"/>
        <v>0</v>
      </c>
      <c r="FB207" s="12">
        <f t="shared" si="171"/>
        <v>0</v>
      </c>
      <c r="FC207" s="12">
        <f t="shared" si="171"/>
        <v>0</v>
      </c>
      <c r="FD207" s="12">
        <f t="shared" si="171"/>
        <v>0</v>
      </c>
      <c r="FE207" s="12">
        <f t="shared" si="171"/>
        <v>0</v>
      </c>
      <c r="FF207" s="12">
        <f t="shared" si="171"/>
        <v>0</v>
      </c>
      <c r="FG207" s="12">
        <f t="shared" si="171"/>
        <v>0</v>
      </c>
      <c r="FH207" s="12">
        <f t="shared" si="171"/>
        <v>0</v>
      </c>
      <c r="FI207" s="12">
        <f t="shared" si="171"/>
        <v>0</v>
      </c>
      <c r="FJ207" s="12">
        <f t="shared" si="171"/>
        <v>0</v>
      </c>
      <c r="FK207" s="12">
        <f t="shared" si="171"/>
        <v>0</v>
      </c>
      <c r="FL207" s="12">
        <f t="shared" si="171"/>
        <v>0</v>
      </c>
      <c r="FM207" s="12">
        <f t="shared" si="171"/>
        <v>0</v>
      </c>
      <c r="FN207" s="12">
        <f t="shared" si="171"/>
        <v>0</v>
      </c>
      <c r="FO207" s="12">
        <f t="shared" si="171"/>
        <v>0</v>
      </c>
      <c r="FP207" s="12">
        <f t="shared" si="171"/>
        <v>0</v>
      </c>
      <c r="FQ207" s="12">
        <f t="shared" si="171"/>
        <v>4810.3500000000004</v>
      </c>
      <c r="FR207" s="12">
        <f t="shared" si="171"/>
        <v>0</v>
      </c>
      <c r="FS207" s="12">
        <f t="shared" ref="FS207:GX207" si="172">FS218</f>
        <v>8449.77</v>
      </c>
      <c r="FT207" s="12">
        <f t="shared" si="172"/>
        <v>0</v>
      </c>
      <c r="FU207" s="12">
        <f t="shared" si="172"/>
        <v>3639.42</v>
      </c>
      <c r="FV207" s="12">
        <f t="shared" si="172"/>
        <v>0</v>
      </c>
      <c r="FW207" s="12">
        <f t="shared" si="172"/>
        <v>7801.15</v>
      </c>
      <c r="FX207" s="12">
        <f t="shared" si="172"/>
        <v>2990.7999999999993</v>
      </c>
      <c r="FY207" s="12">
        <f t="shared" si="172"/>
        <v>0</v>
      </c>
      <c r="FZ207" s="12">
        <f t="shared" si="172"/>
        <v>2990.7999999999993</v>
      </c>
      <c r="GA207" s="12">
        <f t="shared" si="172"/>
        <v>4810.3500000000004</v>
      </c>
      <c r="GB207" s="12">
        <f t="shared" si="172"/>
        <v>0</v>
      </c>
      <c r="GC207" s="12">
        <f t="shared" si="172"/>
        <v>0</v>
      </c>
      <c r="GD207" s="12">
        <f t="shared" si="172"/>
        <v>0</v>
      </c>
      <c r="GE207" s="12">
        <f t="shared" si="172"/>
        <v>0</v>
      </c>
      <c r="GF207" s="12">
        <f t="shared" si="172"/>
        <v>0</v>
      </c>
      <c r="GG207" s="12">
        <f t="shared" si="172"/>
        <v>0</v>
      </c>
      <c r="GH207" s="12">
        <f t="shared" si="172"/>
        <v>0</v>
      </c>
      <c r="GI207" s="12">
        <f t="shared" si="172"/>
        <v>0</v>
      </c>
      <c r="GJ207" s="12">
        <f t="shared" si="172"/>
        <v>0</v>
      </c>
      <c r="GK207" s="12">
        <f t="shared" si="172"/>
        <v>0</v>
      </c>
      <c r="GL207" s="12">
        <f t="shared" si="172"/>
        <v>0</v>
      </c>
      <c r="GM207" s="12">
        <f t="shared" si="172"/>
        <v>0</v>
      </c>
      <c r="GN207" s="12">
        <f t="shared" si="172"/>
        <v>0</v>
      </c>
      <c r="GO207" s="12">
        <f t="shared" si="172"/>
        <v>0</v>
      </c>
      <c r="GP207" s="12">
        <f t="shared" si="172"/>
        <v>0</v>
      </c>
      <c r="GQ207" s="12">
        <f t="shared" si="172"/>
        <v>0</v>
      </c>
      <c r="GR207" s="12">
        <f t="shared" si="172"/>
        <v>0</v>
      </c>
      <c r="GS207" s="12">
        <f t="shared" si="172"/>
        <v>0</v>
      </c>
      <c r="GT207" s="12">
        <f t="shared" si="172"/>
        <v>0</v>
      </c>
      <c r="GU207" s="12">
        <f t="shared" si="172"/>
        <v>0</v>
      </c>
      <c r="GV207" s="12">
        <f t="shared" si="172"/>
        <v>0</v>
      </c>
      <c r="GW207" s="12">
        <f t="shared" si="172"/>
        <v>0</v>
      </c>
      <c r="GX207" s="12">
        <f t="shared" si="172"/>
        <v>0</v>
      </c>
    </row>
    <row r="209" spans="1:255" x14ac:dyDescent="0.25">
      <c r="A209" s="2">
        <v>17</v>
      </c>
      <c r="B209" s="2">
        <v>1</v>
      </c>
      <c r="C209" s="2">
        <f>ROW(SmtRes!A312)</f>
        <v>312</v>
      </c>
      <c r="D209" s="2">
        <f>ROW(EtalonRes!A350)</f>
        <v>350</v>
      </c>
      <c r="E209" s="2" t="s">
        <v>234</v>
      </c>
      <c r="F209" s="2" t="s">
        <v>79</v>
      </c>
      <c r="G209" s="2" t="s">
        <v>235</v>
      </c>
      <c r="H209" s="2" t="s">
        <v>81</v>
      </c>
      <c r="I209" s="2">
        <f>ROUND((5.1+3.1)/1000,9)</f>
        <v>8.2000000000000007E-3</v>
      </c>
      <c r="J209" s="2">
        <v>0</v>
      </c>
      <c r="K209" s="2">
        <f>ROUND((5.1+3.1)/1000,9)</f>
        <v>8.2000000000000007E-3</v>
      </c>
      <c r="L209" s="2"/>
      <c r="M209" s="2"/>
      <c r="N209" s="2"/>
      <c r="O209" s="2">
        <f t="shared" ref="O209:O216" si="173">ROUND(CP209,2)</f>
        <v>5.55</v>
      </c>
      <c r="P209" s="2">
        <f>ROUND((ROUND((AC209*AW209*I209),2)*BC209),2)</f>
        <v>0.89</v>
      </c>
      <c r="Q209" s="2">
        <f>(ROUND((ROUND((((ET209*1.2))*AV209*I209),2)*BB209),2)+ROUND((ROUND(((AE209-((EU209*1.2)))*AV209*I209),2)*BS209),2))</f>
        <v>0.02</v>
      </c>
      <c r="R209" s="2">
        <f>(ROUND((ROUND((((EU209*1.2))*AV209*I209),2)*BS209),2)+ROUND((ROUND(((AE209-((EU209*1.2)))*AV209*I209),2)*BS209),2))</f>
        <v>0</v>
      </c>
      <c r="S209" s="2">
        <f t="shared" ref="S209:S216" si="174">ROUND((ROUND((AF209*AV209*I209),2)*BA209),2)</f>
        <v>4.6399999999999997</v>
      </c>
      <c r="T209" s="2">
        <f t="shared" ref="T209:T216" si="175">ROUND(CU209*I209,2)</f>
        <v>0</v>
      </c>
      <c r="U209" s="2">
        <f t="shared" ref="U209:U216" si="176">CV209*I209</f>
        <v>0.34227456000000001</v>
      </c>
      <c r="V209" s="2">
        <f t="shared" ref="V209:V216" si="177">CW209*I209</f>
        <v>0</v>
      </c>
      <c r="W209" s="2">
        <f t="shared" ref="W209:W216" si="178">ROUND(CX209*I209,2)</f>
        <v>0</v>
      </c>
      <c r="X209" s="2">
        <f>(ROUND((((S209+ROUND((ROUND((((EU209*1.2))*AV209*I209),2)*BS209),2))*AT209)/100),2)+ROUND(((ROUND((ROUND(((AE209-((EU209*1.2)))*AV209*I209),2)*BS209),2)*AT209)/100),2))</f>
        <v>4.41</v>
      </c>
      <c r="Y209" s="2">
        <f>(ROUND((((S209+ROUND((ROUND((((EU209*1.2))*AV209*I209),2)*BS209),2))*AU209)/100),2)+ROUND(((ROUND((ROUND(((AE209-((EU209*1.2)))*AV209*I209),2)*BS209),2)*AU209)/100),2))</f>
        <v>2.46</v>
      </c>
      <c r="Z209" s="2"/>
      <c r="AA209" s="2">
        <v>55917797</v>
      </c>
      <c r="AB209" s="2">
        <f t="shared" ref="AB209:AB216" si="179">ROUND((AC209+AD209+AF209),6)</f>
        <v>632.38599999999997</v>
      </c>
      <c r="AC209" s="2">
        <f>ROUND(((ES209*1)),6)</f>
        <v>108.97</v>
      </c>
      <c r="AD209" s="2">
        <f>ROUND(((((ET209*1.2))-((EU209*1.2)))+AE209),6)</f>
        <v>2.3279999999999998</v>
      </c>
      <c r="AE209" s="2">
        <f>ROUND(((EU209*1.2)),6)</f>
        <v>0</v>
      </c>
      <c r="AF209" s="2">
        <f>ROUND(((EV209*1.2)),6)</f>
        <v>521.08799999999997</v>
      </c>
      <c r="AG209" s="2">
        <f t="shared" ref="AG209:AG216" si="180">ROUND((AP209),6)</f>
        <v>0</v>
      </c>
      <c r="AH209" s="2">
        <f>((EW209*1.2))</f>
        <v>38.4</v>
      </c>
      <c r="AI209" s="2">
        <f>((EX209*1.2))</f>
        <v>0</v>
      </c>
      <c r="AJ209" s="2">
        <f t="shared" ref="AJ209:AJ216" si="181">(AS209)</f>
        <v>0</v>
      </c>
      <c r="AK209" s="2">
        <v>545.15</v>
      </c>
      <c r="AL209" s="2">
        <v>108.97</v>
      </c>
      <c r="AM209" s="2">
        <v>1.94</v>
      </c>
      <c r="AN209" s="2">
        <v>0</v>
      </c>
      <c r="AO209" s="2">
        <v>434.24</v>
      </c>
      <c r="AP209" s="2">
        <v>0</v>
      </c>
      <c r="AQ209" s="2">
        <v>32</v>
      </c>
      <c r="AR209" s="2">
        <v>0</v>
      </c>
      <c r="AS209" s="2">
        <v>0</v>
      </c>
      <c r="AT209" s="2">
        <v>95</v>
      </c>
      <c r="AU209" s="2">
        <v>53</v>
      </c>
      <c r="AV209" s="2">
        <v>1.087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0</v>
      </c>
      <c r="BI209" s="2">
        <v>2</v>
      </c>
      <c r="BJ209" s="2" t="s">
        <v>82</v>
      </c>
      <c r="BK209" s="2"/>
      <c r="BL209" s="2"/>
      <c r="BM209" s="2">
        <v>69</v>
      </c>
      <c r="BN209" s="2">
        <v>0</v>
      </c>
      <c r="BO209" s="2" t="s">
        <v>79</v>
      </c>
      <c r="BP209" s="2">
        <v>1</v>
      </c>
      <c r="BQ209" s="2">
        <v>40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95</v>
      </c>
      <c r="CA209" s="2">
        <v>53</v>
      </c>
      <c r="CB209" s="2" t="s">
        <v>3</v>
      </c>
      <c r="CC209" s="2"/>
      <c r="CD209" s="2"/>
      <c r="CE209" s="2">
        <v>1566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618</v>
      </c>
      <c r="CO209" s="2">
        <v>0</v>
      </c>
      <c r="CP209" s="2">
        <f t="shared" ref="CP209:CP216" si="182">(P209+Q209+S209)</f>
        <v>5.55</v>
      </c>
      <c r="CQ209" s="2">
        <f>ROUND((ROUND((AC209*AW209*1),2)*BC209),2)</f>
        <v>108.97</v>
      </c>
      <c r="CR209" s="2">
        <f>(ROUND((ROUND((((ET209*1.2))*AV209*1),2)*BB209),2)+ROUND((ROUND(((AE209-((EU209*1.2)))*AV209*1),2)*BS209),2))</f>
        <v>2.5299999999999998</v>
      </c>
      <c r="CS209" s="2">
        <f>(ROUND((ROUND((((EU209*1.2))*AV209*1),2)*BS209),2)+ROUND((ROUND(((AE209-((EU209*1.2)))*AV209*1),2)*BS209),2))</f>
        <v>0</v>
      </c>
      <c r="CT209" s="2">
        <f t="shared" ref="CT209:CT216" si="183">ROUND((ROUND((AF209*AV209*1),2)*BA209),2)</f>
        <v>566.41999999999996</v>
      </c>
      <c r="CU209" s="2">
        <f t="shared" ref="CU209:CU216" si="184">AG209</f>
        <v>0</v>
      </c>
      <c r="CV209" s="2">
        <f t="shared" ref="CV209:CV216" si="185">(AH209*AV209)</f>
        <v>41.7408</v>
      </c>
      <c r="CW209" s="2">
        <f t="shared" ref="CW209:CX216" si="186">AI209</f>
        <v>0</v>
      </c>
      <c r="CX209" s="2">
        <f t="shared" si="186"/>
        <v>0</v>
      </c>
      <c r="CY209" s="2">
        <f>(ROUND((((S209+ROUND((ROUND((((EU209*1.2))*AV209*1),2)*BS209),2))*AT209)/100),2)+ROUND(((ROUND((ROUND(((AE209-((EU209*1.2)))*AV209*1),2)*BS209),2)*AT209)/100),2))</f>
        <v>4.41</v>
      </c>
      <c r="CZ209" s="2">
        <f>(ROUND((((S209+ROUND((ROUND((((EU209*1.2))*AV209*1),2)*BS209),2))*AU209)/100),2)+ROUND(((ROUND((ROUND(((AE209-((EU209*1.2)))*AV209*1),2)*BS209),2)*AU209)/100),2))</f>
        <v>2.46</v>
      </c>
      <c r="DA209" s="2"/>
      <c r="DB209" s="2">
        <v>71</v>
      </c>
      <c r="DC209" s="2" t="s">
        <v>3</v>
      </c>
      <c r="DD209" s="2" t="s">
        <v>55</v>
      </c>
      <c r="DE209" s="2" t="s">
        <v>56</v>
      </c>
      <c r="DF209" s="2" t="s">
        <v>56</v>
      </c>
      <c r="DG209" s="2" t="s">
        <v>56</v>
      </c>
      <c r="DH209" s="2" t="s">
        <v>3</v>
      </c>
      <c r="DI209" s="2" t="s">
        <v>56</v>
      </c>
      <c r="DJ209" s="2" t="s">
        <v>56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1013</v>
      </c>
      <c r="DV209" s="2" t="s">
        <v>81</v>
      </c>
      <c r="DW209" s="2" t="s">
        <v>81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55393701</v>
      </c>
      <c r="EF209" s="2">
        <v>40</v>
      </c>
      <c r="EG209" s="2" t="s">
        <v>26</v>
      </c>
      <c r="EH209" s="2">
        <v>0</v>
      </c>
      <c r="EI209" s="2" t="s">
        <v>3</v>
      </c>
      <c r="EJ209" s="2">
        <v>2</v>
      </c>
      <c r="EK209" s="2">
        <v>69</v>
      </c>
      <c r="EL209" s="2" t="s">
        <v>27</v>
      </c>
      <c r="EM209" s="2" t="s">
        <v>28</v>
      </c>
      <c r="EN209" s="2"/>
      <c r="EO209" s="2" t="s">
        <v>60</v>
      </c>
      <c r="EP209" s="2"/>
      <c r="EQ209" s="2">
        <v>0</v>
      </c>
      <c r="ER209" s="2">
        <v>545.15</v>
      </c>
      <c r="ES209" s="2">
        <v>108.97</v>
      </c>
      <c r="ET209" s="2">
        <v>1.94</v>
      </c>
      <c r="EU209" s="2">
        <v>0</v>
      </c>
      <c r="EV209" s="2">
        <v>434.24</v>
      </c>
      <c r="EW209" s="2">
        <v>32</v>
      </c>
      <c r="EX209" s="2">
        <v>0</v>
      </c>
      <c r="EY209" s="2">
        <v>0</v>
      </c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v>0</v>
      </c>
      <c r="FS209" s="2">
        <v>0</v>
      </c>
      <c r="FT209" s="2"/>
      <c r="FU209" s="2"/>
      <c r="FV209" s="2"/>
      <c r="FW209" s="2"/>
      <c r="FX209" s="2">
        <v>95</v>
      </c>
      <c r="FY209" s="2">
        <v>53</v>
      </c>
      <c r="FZ209" s="2"/>
      <c r="GA209" s="2" t="s">
        <v>3</v>
      </c>
      <c r="GB209" s="2"/>
      <c r="GC209" s="2"/>
      <c r="GD209" s="2">
        <v>1</v>
      </c>
      <c r="GE209" s="2"/>
      <c r="GF209" s="2">
        <v>665838385</v>
      </c>
      <c r="GG209" s="2">
        <v>2</v>
      </c>
      <c r="GH209" s="2">
        <v>1</v>
      </c>
      <c r="GI209" s="2">
        <v>2</v>
      </c>
      <c r="GJ209" s="2">
        <v>0</v>
      </c>
      <c r="GK209" s="2">
        <v>0</v>
      </c>
      <c r="GL209" s="2">
        <f t="shared" ref="GL209:GL216" si="187">ROUND(IF(AND(BH209=3,BI209=3,FS209&lt;&gt;0),P209,0),2)</f>
        <v>0</v>
      </c>
      <c r="GM209" s="2">
        <f t="shared" ref="GM209:GM216" si="188">ROUND(O209+X209+Y209,2)+GX209</f>
        <v>12.42</v>
      </c>
      <c r="GN209" s="2">
        <f t="shared" ref="GN209:GN216" si="189">IF(OR(BI209=0,BI209=1),GM209-GX209,0)</f>
        <v>0</v>
      </c>
      <c r="GO209" s="2">
        <f t="shared" ref="GO209:GO216" si="190">IF(BI209=2,GM209-GX209,0)</f>
        <v>12.42</v>
      </c>
      <c r="GP209" s="2">
        <f t="shared" ref="GP209:GP216" si="191">IF(BI209=4,GM209-GX209,0)</f>
        <v>0</v>
      </c>
      <c r="GQ209" s="2"/>
      <c r="GR209" s="2">
        <v>0</v>
      </c>
      <c r="GS209" s="2">
        <v>3</v>
      </c>
      <c r="GT209" s="2">
        <v>0</v>
      </c>
      <c r="GU209" s="2" t="s">
        <v>3</v>
      </c>
      <c r="GV209" s="2">
        <f t="shared" ref="GV209:GV216" si="192">ROUND((GT209),6)</f>
        <v>0</v>
      </c>
      <c r="GW209" s="2">
        <v>1</v>
      </c>
      <c r="GX209" s="2">
        <f t="shared" ref="GX209:GX216" si="193">ROUND(HC209*I209,2)</f>
        <v>0</v>
      </c>
      <c r="GY209" s="2"/>
      <c r="GZ209" s="2"/>
      <c r="HA209" s="2">
        <v>0</v>
      </c>
      <c r="HB209" s="2">
        <v>0</v>
      </c>
      <c r="HC209" s="2">
        <f t="shared" ref="HC209:HC216" si="194">GV209*GW209</f>
        <v>0</v>
      </c>
      <c r="HD209" s="2"/>
      <c r="HE209" s="2" t="s">
        <v>3</v>
      </c>
      <c r="HF209" s="2" t="s">
        <v>3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5">
      <c r="A210" s="3">
        <v>17</v>
      </c>
      <c r="B210" s="3">
        <v>1</v>
      </c>
      <c r="C210" s="3">
        <f>ROW(SmtRes!A316)</f>
        <v>316</v>
      </c>
      <c r="D210" s="3">
        <f>ROW(EtalonRes!A354)</f>
        <v>354</v>
      </c>
      <c r="E210" s="3" t="s">
        <v>234</v>
      </c>
      <c r="F210" s="3" t="s">
        <v>79</v>
      </c>
      <c r="G210" s="3" t="s">
        <v>235</v>
      </c>
      <c r="H210" s="3" t="s">
        <v>81</v>
      </c>
      <c r="I210" s="3">
        <f>ROUND((5.1+3.1)/1000,9)</f>
        <v>8.2000000000000007E-3</v>
      </c>
      <c r="J210" s="3">
        <v>0</v>
      </c>
      <c r="K210" s="3">
        <f>ROUND((5.1+3.1)/1000,9)</f>
        <v>8.2000000000000007E-3</v>
      </c>
      <c r="O210" s="3">
        <f t="shared" si="173"/>
        <v>265.63</v>
      </c>
      <c r="P210" s="3">
        <f>ROUND((ROUND((AC210*AW210*I210),2)*BC210),2)</f>
        <v>3.97</v>
      </c>
      <c r="Q210" s="3">
        <f>(ROUND((ROUND((((ET210*1.2))*AV210*I210),2)*BB210),2)+ROUND((ROUND(((AE210-((EU210*1.2)))*AV210*I210),2)*BS210),2))</f>
        <v>0.2</v>
      </c>
      <c r="R210" s="3">
        <f>(ROUND((ROUND((((EU210*1.2))*AV210*I210),2)*BS210),2)+ROUND((ROUND(((AE210-((EU210*1.2)))*AV210*I210),2)*BS210),2))</f>
        <v>0</v>
      </c>
      <c r="S210" s="3">
        <f t="shared" si="174"/>
        <v>261.45999999999998</v>
      </c>
      <c r="T210" s="3">
        <f t="shared" si="175"/>
        <v>0</v>
      </c>
      <c r="U210" s="3">
        <f t="shared" si="176"/>
        <v>0.34227456000000001</v>
      </c>
      <c r="V210" s="3">
        <f t="shared" si="177"/>
        <v>0</v>
      </c>
      <c r="W210" s="3">
        <f t="shared" si="178"/>
        <v>0</v>
      </c>
      <c r="X210" s="3">
        <f>(ROUND((((S210+ROUND((ROUND((((EU210*1.2))*AV210*I210),2)*BS210),2))*AT210)/100),2)+ROUND(((ROUND((ROUND(((AE210-((EU210*1.2)))*AV210*I210),2)*BS210),2)*AT210)/100),2))</f>
        <v>248.39</v>
      </c>
      <c r="Y210" s="3">
        <f>(ROUND((((S210+ROUND((ROUND((((EU210*1.2))*AV210*I210),2)*BS210),2))*AU210)/100),2)+ROUND(((ROUND((ROUND(((AE210-((EU210*1.2)))*AV210*I210),2)*BS210),2)*AU210)/100),2))</f>
        <v>138.57</v>
      </c>
      <c r="AA210" s="3">
        <v>55917799</v>
      </c>
      <c r="AB210" s="3">
        <f t="shared" si="179"/>
        <v>632.38599999999997</v>
      </c>
      <c r="AC210" s="3">
        <f>ROUND(((ES210*1)),6)</f>
        <v>108.97</v>
      </c>
      <c r="AD210" s="3">
        <f>ROUND(((((ET210*1.2))-((EU210*1.2)))+AE210),6)</f>
        <v>2.3279999999999998</v>
      </c>
      <c r="AE210" s="3">
        <f>ROUND(((EU210*1.2)),6)</f>
        <v>0</v>
      </c>
      <c r="AF210" s="3">
        <f>ROUND(((EV210*1.2)),6)</f>
        <v>521.08799999999997</v>
      </c>
      <c r="AG210" s="3">
        <f t="shared" si="180"/>
        <v>0</v>
      </c>
      <c r="AH210" s="3">
        <f>((EW210*1.2))</f>
        <v>38.4</v>
      </c>
      <c r="AI210" s="3">
        <f>((EX210*1.2))</f>
        <v>0</v>
      </c>
      <c r="AJ210" s="3">
        <f t="shared" si="181"/>
        <v>0</v>
      </c>
      <c r="AK210" s="3">
        <v>545.15</v>
      </c>
      <c r="AL210" s="3">
        <v>108.97</v>
      </c>
      <c r="AM210" s="3">
        <v>1.94</v>
      </c>
      <c r="AN210" s="3">
        <v>0</v>
      </c>
      <c r="AO210" s="3">
        <v>434.24</v>
      </c>
      <c r="AP210" s="3">
        <v>0</v>
      </c>
      <c r="AQ210" s="3">
        <v>32</v>
      </c>
      <c r="AR210" s="3">
        <v>0</v>
      </c>
      <c r="AS210" s="3">
        <v>0</v>
      </c>
      <c r="AT210" s="3">
        <v>95</v>
      </c>
      <c r="AU210" s="3">
        <v>53</v>
      </c>
      <c r="AV210" s="3">
        <v>1.087</v>
      </c>
      <c r="AW210" s="3">
        <v>1</v>
      </c>
      <c r="AZ210" s="3">
        <v>1</v>
      </c>
      <c r="BA210" s="3">
        <v>56.35</v>
      </c>
      <c r="BB210" s="3">
        <v>9.9700000000000006</v>
      </c>
      <c r="BC210" s="3">
        <v>4.46</v>
      </c>
      <c r="BD210" s="3" t="s">
        <v>3</v>
      </c>
      <c r="BE210" s="3" t="s">
        <v>3</v>
      </c>
      <c r="BF210" s="3" t="s">
        <v>3</v>
      </c>
      <c r="BG210" s="3" t="s">
        <v>3</v>
      </c>
      <c r="BH210" s="3">
        <v>0</v>
      </c>
      <c r="BI210" s="3">
        <v>2</v>
      </c>
      <c r="BJ210" s="3" t="s">
        <v>82</v>
      </c>
      <c r="BM210" s="3">
        <v>69</v>
      </c>
      <c r="BN210" s="3">
        <v>0</v>
      </c>
      <c r="BO210" s="3" t="s">
        <v>79</v>
      </c>
      <c r="BP210" s="3">
        <v>1</v>
      </c>
      <c r="BQ210" s="3">
        <v>40</v>
      </c>
      <c r="BR210" s="3">
        <v>0</v>
      </c>
      <c r="BS210" s="3">
        <v>56.35</v>
      </c>
      <c r="BT210" s="3">
        <v>1</v>
      </c>
      <c r="BU210" s="3">
        <v>1</v>
      </c>
      <c r="BV210" s="3">
        <v>1</v>
      </c>
      <c r="BW210" s="3">
        <v>1</v>
      </c>
      <c r="BX210" s="3">
        <v>1</v>
      </c>
      <c r="BY210" s="3" t="s">
        <v>3</v>
      </c>
      <c r="BZ210" s="3">
        <v>95</v>
      </c>
      <c r="CA210" s="3">
        <v>53</v>
      </c>
      <c r="CB210" s="3" t="s">
        <v>3</v>
      </c>
      <c r="CE210" s="3">
        <v>1566</v>
      </c>
      <c r="CF210" s="3">
        <v>0</v>
      </c>
      <c r="CG210" s="3">
        <v>0</v>
      </c>
      <c r="CM210" s="3">
        <v>0</v>
      </c>
      <c r="CN210" s="3" t="s">
        <v>618</v>
      </c>
      <c r="CO210" s="3">
        <v>0</v>
      </c>
      <c r="CP210" s="3">
        <f t="shared" si="182"/>
        <v>265.63</v>
      </c>
      <c r="CQ210" s="3">
        <f>ROUND((ROUND((AC210*AW210*1),2)*BC210),2)</f>
        <v>486.01</v>
      </c>
      <c r="CR210" s="3">
        <f>(ROUND((ROUND((((ET210*1.2))*AV210*1),2)*BB210),2)+ROUND((ROUND(((AE210-((EU210*1.2)))*AV210*1),2)*BS210),2))</f>
        <v>25.22</v>
      </c>
      <c r="CS210" s="3">
        <f>(ROUND((ROUND((((EU210*1.2))*AV210*1),2)*BS210),2)+ROUND((ROUND(((AE210-((EU210*1.2)))*AV210*1),2)*BS210),2))</f>
        <v>0</v>
      </c>
      <c r="CT210" s="3">
        <f t="shared" si="183"/>
        <v>31917.77</v>
      </c>
      <c r="CU210" s="3">
        <f t="shared" si="184"/>
        <v>0</v>
      </c>
      <c r="CV210" s="3">
        <f t="shared" si="185"/>
        <v>41.7408</v>
      </c>
      <c r="CW210" s="3">
        <f t="shared" si="186"/>
        <v>0</v>
      </c>
      <c r="CX210" s="3">
        <f t="shared" si="186"/>
        <v>0</v>
      </c>
      <c r="CY210" s="3">
        <f>(ROUND((((S210+ROUND((ROUND((((EU210*1.2))*AV210*1),2)*BS210),2))*AT210)/100),2)+ROUND(((ROUND((ROUND(((AE210-((EU210*1.2)))*AV210*1),2)*BS210),2)*AT210)/100),2))</f>
        <v>248.39</v>
      </c>
      <c r="CZ210" s="3">
        <f>(ROUND((((S210+ROUND((ROUND((((EU210*1.2))*AV210*1),2)*BS210),2))*AU210)/100),2)+ROUND(((ROUND((ROUND(((AE210-((EU210*1.2)))*AV210*1),2)*BS210),2)*AU210)/100),2))</f>
        <v>138.57</v>
      </c>
      <c r="DB210" s="3">
        <v>72</v>
      </c>
      <c r="DC210" s="3" t="s">
        <v>3</v>
      </c>
      <c r="DD210" s="3" t="s">
        <v>55</v>
      </c>
      <c r="DE210" s="3" t="s">
        <v>56</v>
      </c>
      <c r="DF210" s="3" t="s">
        <v>56</v>
      </c>
      <c r="DG210" s="3" t="s">
        <v>56</v>
      </c>
      <c r="DH210" s="3" t="s">
        <v>3</v>
      </c>
      <c r="DI210" s="3" t="s">
        <v>56</v>
      </c>
      <c r="DJ210" s="3" t="s">
        <v>56</v>
      </c>
      <c r="DK210" s="3" t="s">
        <v>3</v>
      </c>
      <c r="DL210" s="3" t="s">
        <v>3</v>
      </c>
      <c r="DM210" s="3" t="s">
        <v>3</v>
      </c>
      <c r="DN210" s="3">
        <v>0</v>
      </c>
      <c r="DO210" s="3">
        <v>0</v>
      </c>
      <c r="DP210" s="3">
        <v>1</v>
      </c>
      <c r="DQ210" s="3">
        <v>1</v>
      </c>
      <c r="DU210" s="3">
        <v>1013</v>
      </c>
      <c r="DV210" s="3" t="s">
        <v>81</v>
      </c>
      <c r="DW210" s="3" t="s">
        <v>81</v>
      </c>
      <c r="DX210" s="3">
        <v>1</v>
      </c>
      <c r="DZ210" s="3" t="s">
        <v>3</v>
      </c>
      <c r="EA210" s="3" t="s">
        <v>3</v>
      </c>
      <c r="EB210" s="3" t="s">
        <v>3</v>
      </c>
      <c r="EC210" s="3" t="s">
        <v>3</v>
      </c>
      <c r="EE210" s="3">
        <v>55393701</v>
      </c>
      <c r="EF210" s="3">
        <v>40</v>
      </c>
      <c r="EG210" s="3" t="s">
        <v>26</v>
      </c>
      <c r="EH210" s="3">
        <v>0</v>
      </c>
      <c r="EI210" s="3" t="s">
        <v>3</v>
      </c>
      <c r="EJ210" s="3">
        <v>2</v>
      </c>
      <c r="EK210" s="3">
        <v>69</v>
      </c>
      <c r="EL210" s="3" t="s">
        <v>27</v>
      </c>
      <c r="EM210" s="3" t="s">
        <v>28</v>
      </c>
      <c r="EO210" s="3" t="s">
        <v>60</v>
      </c>
      <c r="EQ210" s="3">
        <v>0</v>
      </c>
      <c r="ER210" s="3">
        <v>545.15</v>
      </c>
      <c r="ES210" s="3">
        <v>108.97</v>
      </c>
      <c r="ET210" s="3">
        <v>1.94</v>
      </c>
      <c r="EU210" s="3">
        <v>0</v>
      </c>
      <c r="EV210" s="3">
        <v>434.24</v>
      </c>
      <c r="EW210" s="3">
        <v>32</v>
      </c>
      <c r="EX210" s="3">
        <v>0</v>
      </c>
      <c r="EY210" s="3">
        <v>0</v>
      </c>
      <c r="FQ210" s="3">
        <v>0</v>
      </c>
      <c r="FR210" s="3">
        <v>0</v>
      </c>
      <c r="FS210" s="3">
        <v>0</v>
      </c>
      <c r="FX210" s="3">
        <v>95</v>
      </c>
      <c r="FY210" s="3">
        <v>53</v>
      </c>
      <c r="GA210" s="3" t="s">
        <v>3</v>
      </c>
      <c r="GD210" s="3">
        <v>1</v>
      </c>
      <c r="GF210" s="3">
        <v>665838385</v>
      </c>
      <c r="GG210" s="3">
        <v>2</v>
      </c>
      <c r="GH210" s="3">
        <v>1</v>
      </c>
      <c r="GI210" s="3">
        <v>2</v>
      </c>
      <c r="GJ210" s="3">
        <v>0</v>
      </c>
      <c r="GK210" s="3">
        <v>0</v>
      </c>
      <c r="GL210" s="3">
        <f t="shared" si="187"/>
        <v>0</v>
      </c>
      <c r="GM210" s="3">
        <f t="shared" si="188"/>
        <v>652.59</v>
      </c>
      <c r="GN210" s="3">
        <f t="shared" si="189"/>
        <v>0</v>
      </c>
      <c r="GO210" s="3">
        <f t="shared" si="190"/>
        <v>652.59</v>
      </c>
      <c r="GP210" s="3">
        <f t="shared" si="191"/>
        <v>0</v>
      </c>
      <c r="GR210" s="3">
        <v>0</v>
      </c>
      <c r="GS210" s="3">
        <v>3</v>
      </c>
      <c r="GT210" s="3">
        <v>0</v>
      </c>
      <c r="GU210" s="3" t="s">
        <v>3</v>
      </c>
      <c r="GV210" s="3">
        <f t="shared" si="192"/>
        <v>0</v>
      </c>
      <c r="GW210" s="3">
        <v>1</v>
      </c>
      <c r="GX210" s="3">
        <f t="shared" si="193"/>
        <v>0</v>
      </c>
      <c r="HA210" s="3">
        <v>0</v>
      </c>
      <c r="HB210" s="3">
        <v>0</v>
      </c>
      <c r="HC210" s="3">
        <f t="shared" si="194"/>
        <v>0</v>
      </c>
      <c r="HE210" s="3" t="s">
        <v>3</v>
      </c>
      <c r="HF210" s="3" t="s">
        <v>3</v>
      </c>
      <c r="HM210" s="3" t="s">
        <v>3</v>
      </c>
      <c r="HN210" s="3" t="s">
        <v>3</v>
      </c>
      <c r="HO210" s="3" t="s">
        <v>3</v>
      </c>
      <c r="HP210" s="3" t="s">
        <v>3</v>
      </c>
      <c r="HQ210" s="3" t="s">
        <v>3</v>
      </c>
      <c r="HS210" s="3">
        <v>0</v>
      </c>
      <c r="IK210" s="3">
        <v>0</v>
      </c>
    </row>
    <row r="211" spans="1:255" x14ac:dyDescent="0.25">
      <c r="A211" s="2">
        <v>17</v>
      </c>
      <c r="B211" s="2">
        <v>1</v>
      </c>
      <c r="C211" s="2"/>
      <c r="D211" s="2"/>
      <c r="E211" s="2" t="s">
        <v>236</v>
      </c>
      <c r="F211" s="2" t="s">
        <v>237</v>
      </c>
      <c r="G211" s="2" t="s">
        <v>238</v>
      </c>
      <c r="H211" s="2" t="s">
        <v>164</v>
      </c>
      <c r="I211" s="2">
        <v>1</v>
      </c>
      <c r="J211" s="2">
        <v>0</v>
      </c>
      <c r="K211" s="2">
        <v>1</v>
      </c>
      <c r="L211" s="2"/>
      <c r="M211" s="2"/>
      <c r="N211" s="2"/>
      <c r="O211" s="2">
        <f t="shared" si="173"/>
        <v>342.13</v>
      </c>
      <c r="P211" s="2">
        <f>ROUND((ROUND((AC211*I211),2)*BC211),2)</f>
        <v>342.13</v>
      </c>
      <c r="Q211" s="2">
        <f t="shared" ref="Q211:Q216" si="195">(ROUND((ROUND(((ET211)*AV211*I211),2)*BB211),2)+ROUND((ROUND(((AE211-(EU211))*AV211*I211),2)*BS211),2))</f>
        <v>0</v>
      </c>
      <c r="R211" s="2">
        <f t="shared" ref="R211:R216" si="196">(ROUND((ROUND(((EU211)*AV211*I211),2)*BS211),2)+ROUND((ROUND(((AE211-(EU211))*AV211*I211),2)*BS211),2))</f>
        <v>0</v>
      </c>
      <c r="S211" s="2">
        <f t="shared" si="174"/>
        <v>0</v>
      </c>
      <c r="T211" s="2">
        <f t="shared" si="175"/>
        <v>0</v>
      </c>
      <c r="U211" s="2">
        <f t="shared" si="176"/>
        <v>0</v>
      </c>
      <c r="V211" s="2">
        <f t="shared" si="177"/>
        <v>0</v>
      </c>
      <c r="W211" s="2">
        <f t="shared" si="178"/>
        <v>0</v>
      </c>
      <c r="X211" s="2">
        <f t="shared" ref="X211:X216" si="197">(ROUND((((S211+ROUND((ROUND(((EU211)*AV211*I211),2)*BS211),2))*AT211)/100),2)+ROUND(((ROUND((ROUND(((AE211-(EU211))*AV211*I211),2)*BS211),2)*AT211)/100),2))</f>
        <v>0</v>
      </c>
      <c r="Y211" s="2">
        <f t="shared" ref="Y211:Y216" si="198">(ROUND((((S211+ROUND((ROUND(((EU211)*AV211*I211),2)*BS211),2))*AU211)/100),2)+ROUND(((ROUND((ROUND(((AE211-(EU211))*AV211*I211),2)*BS211),2)*AU211)/100),2))</f>
        <v>0</v>
      </c>
      <c r="Z211" s="2"/>
      <c r="AA211" s="2">
        <v>55917797</v>
      </c>
      <c r="AB211" s="2">
        <f t="shared" si="179"/>
        <v>342.13</v>
      </c>
      <c r="AC211" s="2">
        <f t="shared" ref="AC211:AC216" si="199">ROUND((ES211),6)</f>
        <v>342.13</v>
      </c>
      <c r="AD211" s="2">
        <f t="shared" ref="AD211:AD216" si="200">ROUND((((ET211)-(EU211))+AE211),6)</f>
        <v>0</v>
      </c>
      <c r="AE211" s="2">
        <f t="shared" ref="AE211:AF216" si="201">ROUND((EU211),6)</f>
        <v>0</v>
      </c>
      <c r="AF211" s="2">
        <f t="shared" si="201"/>
        <v>0</v>
      </c>
      <c r="AG211" s="2">
        <f t="shared" si="180"/>
        <v>0</v>
      </c>
      <c r="AH211" s="2">
        <f t="shared" ref="AH211:AI216" si="202">(EW211)</f>
        <v>0</v>
      </c>
      <c r="AI211" s="2">
        <f t="shared" si="202"/>
        <v>0</v>
      </c>
      <c r="AJ211" s="2">
        <f t="shared" si="181"/>
        <v>0</v>
      </c>
      <c r="AK211" s="2">
        <v>342.13</v>
      </c>
      <c r="AL211" s="2">
        <v>342.13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1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3</v>
      </c>
      <c r="BI211" s="2">
        <v>3</v>
      </c>
      <c r="BJ211" s="2" t="s">
        <v>239</v>
      </c>
      <c r="BK211" s="2"/>
      <c r="BL211" s="2"/>
      <c r="BM211" s="2">
        <v>746</v>
      </c>
      <c r="BN211" s="2">
        <v>0</v>
      </c>
      <c r="BO211" s="2" t="s">
        <v>3</v>
      </c>
      <c r="BP211" s="2">
        <v>0</v>
      </c>
      <c r="BQ211" s="2">
        <v>130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0</v>
      </c>
      <c r="CA211" s="2">
        <v>0</v>
      </c>
      <c r="CB211" s="2" t="s">
        <v>3</v>
      </c>
      <c r="CC211" s="2"/>
      <c r="CD211" s="2"/>
      <c r="CE211" s="2">
        <v>1566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3</v>
      </c>
      <c r="CO211" s="2">
        <v>0</v>
      </c>
      <c r="CP211" s="2">
        <f t="shared" si="182"/>
        <v>342.13</v>
      </c>
      <c r="CQ211" s="2">
        <f>ROUND((ROUND((AC211*1),2)*BC211),2)</f>
        <v>342.13</v>
      </c>
      <c r="CR211" s="2">
        <f t="shared" ref="CR211:CR216" si="203">(ROUND((ROUND(((ET211)*AV211*1),2)*BB211),2)+ROUND((ROUND(((AE211-(EU211))*AV211*1),2)*BS211),2))</f>
        <v>0</v>
      </c>
      <c r="CS211" s="2">
        <f t="shared" ref="CS211:CS216" si="204">(ROUND((ROUND(((EU211)*AV211*1),2)*BS211),2)+ROUND((ROUND(((AE211-(EU211))*AV211*1),2)*BS211),2))</f>
        <v>0</v>
      </c>
      <c r="CT211" s="2">
        <f t="shared" si="183"/>
        <v>0</v>
      </c>
      <c r="CU211" s="2">
        <f t="shared" si="184"/>
        <v>0</v>
      </c>
      <c r="CV211" s="2">
        <f t="shared" si="185"/>
        <v>0</v>
      </c>
      <c r="CW211" s="2">
        <f t="shared" si="186"/>
        <v>0</v>
      </c>
      <c r="CX211" s="2">
        <f t="shared" si="186"/>
        <v>0</v>
      </c>
      <c r="CY211" s="2">
        <f t="shared" ref="CY211:CY216" si="205">(ROUND((((S211+ROUND((ROUND(((EU211)*AV211*1),2)*BS211),2))*AT211)/100),2)+ROUND(((ROUND((ROUND(((AE211-(EU211))*AV211*1),2)*BS211),2)*AT211)/100),2))</f>
        <v>0</v>
      </c>
      <c r="CZ211" s="2">
        <f t="shared" ref="CZ211:CZ216" si="206">(ROUND((((S211+ROUND((ROUND(((EU211)*AV211*1),2)*BS211),2))*AU211)/100),2)+ROUND(((ROUND((ROUND(((AE211-(EU211))*AV211*1),2)*BS211),2)*AU211)/100),2))</f>
        <v>0</v>
      </c>
      <c r="DA211" s="2"/>
      <c r="DB211" s="2"/>
      <c r="DC211" s="2" t="s">
        <v>3</v>
      </c>
      <c r="DD211" s="2" t="s">
        <v>3</v>
      </c>
      <c r="DE211" s="2" t="s">
        <v>3</v>
      </c>
      <c r="DF211" s="2" t="s">
        <v>3</v>
      </c>
      <c r="DG211" s="2" t="s">
        <v>3</v>
      </c>
      <c r="DH211" s="2" t="s">
        <v>3</v>
      </c>
      <c r="DI211" s="2" t="s">
        <v>3</v>
      </c>
      <c r="DJ211" s="2" t="s">
        <v>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1010</v>
      </c>
      <c r="DV211" s="2" t="s">
        <v>164</v>
      </c>
      <c r="DW211" s="2" t="s">
        <v>164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55393806</v>
      </c>
      <c r="EF211" s="2">
        <v>130</v>
      </c>
      <c r="EG211" s="2" t="s">
        <v>166</v>
      </c>
      <c r="EH211" s="2">
        <v>0</v>
      </c>
      <c r="EI211" s="2" t="s">
        <v>3</v>
      </c>
      <c r="EJ211" s="2">
        <v>3</v>
      </c>
      <c r="EK211" s="2">
        <v>746</v>
      </c>
      <c r="EL211" s="2" t="s">
        <v>167</v>
      </c>
      <c r="EM211" s="2" t="s">
        <v>168</v>
      </c>
      <c r="EN211" s="2"/>
      <c r="EO211" s="2" t="s">
        <v>3</v>
      </c>
      <c r="EP211" s="2"/>
      <c r="EQ211" s="2">
        <v>0</v>
      </c>
      <c r="ER211" s="2">
        <v>342.13</v>
      </c>
      <c r="ES211" s="2">
        <v>342.13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f>P211</f>
        <v>342.13</v>
      </c>
      <c r="FS211" s="2">
        <v>0</v>
      </c>
      <c r="FT211" s="2"/>
      <c r="FU211" s="2"/>
      <c r="FV211" s="2"/>
      <c r="FW211" s="2"/>
      <c r="FX211" s="2">
        <v>0</v>
      </c>
      <c r="FY211" s="2">
        <v>0</v>
      </c>
      <c r="FZ211" s="2"/>
      <c r="GA211" s="2" t="s">
        <v>3</v>
      </c>
      <c r="GB211" s="2"/>
      <c r="GC211" s="2"/>
      <c r="GD211" s="2">
        <v>1</v>
      </c>
      <c r="GE211" s="2"/>
      <c r="GF211" s="2">
        <v>1655461810</v>
      </c>
      <c r="GG211" s="2">
        <v>2</v>
      </c>
      <c r="GH211" s="2">
        <v>1</v>
      </c>
      <c r="GI211" s="2">
        <v>-2</v>
      </c>
      <c r="GJ211" s="2">
        <v>0</v>
      </c>
      <c r="GK211" s="2">
        <v>0</v>
      </c>
      <c r="GL211" s="2">
        <f t="shared" si="187"/>
        <v>0</v>
      </c>
      <c r="GM211" s="2">
        <f t="shared" si="188"/>
        <v>342.13</v>
      </c>
      <c r="GN211" s="2">
        <f t="shared" si="189"/>
        <v>0</v>
      </c>
      <c r="GO211" s="2">
        <f t="shared" si="190"/>
        <v>0</v>
      </c>
      <c r="GP211" s="2">
        <f t="shared" si="191"/>
        <v>0</v>
      </c>
      <c r="GQ211" s="2"/>
      <c r="GR211" s="2">
        <v>0</v>
      </c>
      <c r="GS211" s="2">
        <v>3</v>
      </c>
      <c r="GT211" s="2">
        <v>0</v>
      </c>
      <c r="GU211" s="2" t="s">
        <v>3</v>
      </c>
      <c r="GV211" s="2">
        <f t="shared" si="192"/>
        <v>0</v>
      </c>
      <c r="GW211" s="2">
        <v>1</v>
      </c>
      <c r="GX211" s="2">
        <f t="shared" si="193"/>
        <v>0</v>
      </c>
      <c r="GY211" s="2"/>
      <c r="GZ211" s="2"/>
      <c r="HA211" s="2">
        <v>0</v>
      </c>
      <c r="HB211" s="2">
        <v>0</v>
      </c>
      <c r="HC211" s="2">
        <f t="shared" si="194"/>
        <v>0</v>
      </c>
      <c r="HD211" s="2"/>
      <c r="HE211" s="2" t="s">
        <v>3</v>
      </c>
      <c r="HF211" s="2" t="s">
        <v>3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5">
      <c r="A212" s="3">
        <v>17</v>
      </c>
      <c r="B212" s="3">
        <v>1</v>
      </c>
      <c r="E212" s="3" t="s">
        <v>236</v>
      </c>
      <c r="F212" s="3" t="s">
        <v>237</v>
      </c>
      <c r="G212" s="3" t="s">
        <v>238</v>
      </c>
      <c r="H212" s="3" t="s">
        <v>164</v>
      </c>
      <c r="I212" s="3">
        <v>1</v>
      </c>
      <c r="J212" s="3">
        <v>0</v>
      </c>
      <c r="K212" s="3">
        <v>1</v>
      </c>
      <c r="O212" s="3">
        <f t="shared" si="173"/>
        <v>4810.3500000000004</v>
      </c>
      <c r="P212" s="3">
        <f>ROUND((ROUND((AC212*I212),2)*BC212),2)</f>
        <v>4810.3500000000004</v>
      </c>
      <c r="Q212" s="3">
        <f t="shared" si="195"/>
        <v>0</v>
      </c>
      <c r="R212" s="3">
        <f t="shared" si="196"/>
        <v>0</v>
      </c>
      <c r="S212" s="3">
        <f t="shared" si="174"/>
        <v>0</v>
      </c>
      <c r="T212" s="3">
        <f t="shared" si="175"/>
        <v>0</v>
      </c>
      <c r="U212" s="3">
        <f t="shared" si="176"/>
        <v>0</v>
      </c>
      <c r="V212" s="3">
        <f t="shared" si="177"/>
        <v>0</v>
      </c>
      <c r="W212" s="3">
        <f t="shared" si="178"/>
        <v>0</v>
      </c>
      <c r="X212" s="3">
        <f t="shared" si="197"/>
        <v>0</v>
      </c>
      <c r="Y212" s="3">
        <f t="shared" si="198"/>
        <v>0</v>
      </c>
      <c r="AA212" s="3">
        <v>55917799</v>
      </c>
      <c r="AB212" s="3">
        <f t="shared" si="179"/>
        <v>342.13</v>
      </c>
      <c r="AC212" s="3">
        <f t="shared" si="199"/>
        <v>342.13</v>
      </c>
      <c r="AD212" s="3">
        <f t="shared" si="200"/>
        <v>0</v>
      </c>
      <c r="AE212" s="3">
        <f t="shared" si="201"/>
        <v>0</v>
      </c>
      <c r="AF212" s="3">
        <f t="shared" si="201"/>
        <v>0</v>
      </c>
      <c r="AG212" s="3">
        <f t="shared" si="180"/>
        <v>0</v>
      </c>
      <c r="AH212" s="3">
        <f t="shared" si="202"/>
        <v>0</v>
      </c>
      <c r="AI212" s="3">
        <f t="shared" si="202"/>
        <v>0</v>
      </c>
      <c r="AJ212" s="3">
        <f t="shared" si="181"/>
        <v>0</v>
      </c>
      <c r="AK212" s="3">
        <v>342.13</v>
      </c>
      <c r="AL212" s="3">
        <v>342.13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1</v>
      </c>
      <c r="AW212" s="3">
        <v>1</v>
      </c>
      <c r="AZ212" s="3">
        <v>1</v>
      </c>
      <c r="BA212" s="3">
        <v>1</v>
      </c>
      <c r="BB212" s="3">
        <v>1</v>
      </c>
      <c r="BC212" s="3">
        <v>14.06</v>
      </c>
      <c r="BD212" s="3" t="s">
        <v>3</v>
      </c>
      <c r="BE212" s="3" t="s">
        <v>3</v>
      </c>
      <c r="BF212" s="3" t="s">
        <v>3</v>
      </c>
      <c r="BG212" s="3" t="s">
        <v>3</v>
      </c>
      <c r="BH212" s="3">
        <v>3</v>
      </c>
      <c r="BI212" s="3">
        <v>3</v>
      </c>
      <c r="BJ212" s="3" t="s">
        <v>239</v>
      </c>
      <c r="BM212" s="3">
        <v>746</v>
      </c>
      <c r="BN212" s="3">
        <v>0</v>
      </c>
      <c r="BO212" s="3" t="s">
        <v>3</v>
      </c>
      <c r="BP212" s="3">
        <v>0</v>
      </c>
      <c r="BQ212" s="3">
        <v>130</v>
      </c>
      <c r="BR212" s="3">
        <v>0</v>
      </c>
      <c r="BS212" s="3">
        <v>1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 t="s">
        <v>3</v>
      </c>
      <c r="BZ212" s="3">
        <v>0</v>
      </c>
      <c r="CA212" s="3">
        <v>0</v>
      </c>
      <c r="CB212" s="3" t="s">
        <v>3</v>
      </c>
      <c r="CE212" s="3">
        <v>1566</v>
      </c>
      <c r="CF212" s="3">
        <v>0</v>
      </c>
      <c r="CG212" s="3">
        <v>0</v>
      </c>
      <c r="CM212" s="3">
        <v>0</v>
      </c>
      <c r="CN212" s="3" t="s">
        <v>3</v>
      </c>
      <c r="CO212" s="3">
        <v>0</v>
      </c>
      <c r="CP212" s="3">
        <f t="shared" si="182"/>
        <v>4810.3500000000004</v>
      </c>
      <c r="CQ212" s="3">
        <f>ROUND((ROUND((AC212*1),2)*BC212),2)</f>
        <v>4810.3500000000004</v>
      </c>
      <c r="CR212" s="3">
        <f t="shared" si="203"/>
        <v>0</v>
      </c>
      <c r="CS212" s="3">
        <f t="shared" si="204"/>
        <v>0</v>
      </c>
      <c r="CT212" s="3">
        <f t="shared" si="183"/>
        <v>0</v>
      </c>
      <c r="CU212" s="3">
        <f t="shared" si="184"/>
        <v>0</v>
      </c>
      <c r="CV212" s="3">
        <f t="shared" si="185"/>
        <v>0</v>
      </c>
      <c r="CW212" s="3">
        <f t="shared" si="186"/>
        <v>0</v>
      </c>
      <c r="CX212" s="3">
        <f t="shared" si="186"/>
        <v>0</v>
      </c>
      <c r="CY212" s="3">
        <f t="shared" si="205"/>
        <v>0</v>
      </c>
      <c r="CZ212" s="3">
        <f t="shared" si="206"/>
        <v>0</v>
      </c>
      <c r="DC212" s="3" t="s">
        <v>3</v>
      </c>
      <c r="DD212" s="3" t="s">
        <v>3</v>
      </c>
      <c r="DE212" s="3" t="s">
        <v>3</v>
      </c>
      <c r="DF212" s="3" t="s">
        <v>3</v>
      </c>
      <c r="DG212" s="3" t="s">
        <v>3</v>
      </c>
      <c r="DH212" s="3" t="s">
        <v>3</v>
      </c>
      <c r="DI212" s="3" t="s">
        <v>3</v>
      </c>
      <c r="DJ212" s="3" t="s">
        <v>3</v>
      </c>
      <c r="DK212" s="3" t="s">
        <v>3</v>
      </c>
      <c r="DL212" s="3" t="s">
        <v>3</v>
      </c>
      <c r="DM212" s="3" t="s">
        <v>3</v>
      </c>
      <c r="DN212" s="3">
        <v>0</v>
      </c>
      <c r="DO212" s="3">
        <v>0</v>
      </c>
      <c r="DP212" s="3">
        <v>1</v>
      </c>
      <c r="DQ212" s="3">
        <v>1</v>
      </c>
      <c r="DU212" s="3">
        <v>1010</v>
      </c>
      <c r="DV212" s="3" t="s">
        <v>164</v>
      </c>
      <c r="DW212" s="3" t="s">
        <v>164</v>
      </c>
      <c r="DX212" s="3">
        <v>1</v>
      </c>
      <c r="DZ212" s="3" t="s">
        <v>3</v>
      </c>
      <c r="EA212" s="3" t="s">
        <v>3</v>
      </c>
      <c r="EB212" s="3" t="s">
        <v>3</v>
      </c>
      <c r="EC212" s="3" t="s">
        <v>3</v>
      </c>
      <c r="EE212" s="3">
        <v>55393806</v>
      </c>
      <c r="EF212" s="3">
        <v>130</v>
      </c>
      <c r="EG212" s="3" t="s">
        <v>166</v>
      </c>
      <c r="EH212" s="3">
        <v>0</v>
      </c>
      <c r="EI212" s="3" t="s">
        <v>3</v>
      </c>
      <c r="EJ212" s="3">
        <v>3</v>
      </c>
      <c r="EK212" s="3">
        <v>746</v>
      </c>
      <c r="EL212" s="3" t="s">
        <v>167</v>
      </c>
      <c r="EM212" s="3" t="s">
        <v>168</v>
      </c>
      <c r="EO212" s="3" t="s">
        <v>3</v>
      </c>
      <c r="EQ212" s="3">
        <v>0</v>
      </c>
      <c r="ER212" s="3">
        <v>342.13</v>
      </c>
      <c r="ES212" s="3">
        <v>342.13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FQ212" s="3">
        <v>0</v>
      </c>
      <c r="FR212" s="3">
        <f>P212</f>
        <v>4810.3500000000004</v>
      </c>
      <c r="FS212" s="3">
        <v>0</v>
      </c>
      <c r="FX212" s="3">
        <v>0</v>
      </c>
      <c r="FY212" s="3">
        <v>0</v>
      </c>
      <c r="GA212" s="3" t="s">
        <v>3</v>
      </c>
      <c r="GD212" s="3">
        <v>1</v>
      </c>
      <c r="GF212" s="3">
        <v>1655461810</v>
      </c>
      <c r="GG212" s="3">
        <v>2</v>
      </c>
      <c r="GH212" s="3">
        <v>1</v>
      </c>
      <c r="GI212" s="3">
        <v>2</v>
      </c>
      <c r="GJ212" s="3">
        <v>0</v>
      </c>
      <c r="GK212" s="3">
        <v>0</v>
      </c>
      <c r="GL212" s="3">
        <f t="shared" si="187"/>
        <v>0</v>
      </c>
      <c r="GM212" s="3">
        <f t="shared" si="188"/>
        <v>4810.3500000000004</v>
      </c>
      <c r="GN212" s="3">
        <f t="shared" si="189"/>
        <v>0</v>
      </c>
      <c r="GO212" s="3">
        <f t="shared" si="190"/>
        <v>0</v>
      </c>
      <c r="GP212" s="3">
        <f t="shared" si="191"/>
        <v>0</v>
      </c>
      <c r="GR212" s="3">
        <v>0</v>
      </c>
      <c r="GS212" s="3">
        <v>3</v>
      </c>
      <c r="GT212" s="3">
        <v>0</v>
      </c>
      <c r="GU212" s="3" t="s">
        <v>3</v>
      </c>
      <c r="GV212" s="3">
        <f t="shared" si="192"/>
        <v>0</v>
      </c>
      <c r="GW212" s="3">
        <v>1</v>
      </c>
      <c r="GX212" s="3">
        <f t="shared" si="193"/>
        <v>0</v>
      </c>
      <c r="HA212" s="3">
        <v>0</v>
      </c>
      <c r="HB212" s="3">
        <v>0</v>
      </c>
      <c r="HC212" s="3">
        <f t="shared" si="194"/>
        <v>0</v>
      </c>
      <c r="HE212" s="3" t="s">
        <v>3</v>
      </c>
      <c r="HF212" s="3" t="s">
        <v>3</v>
      </c>
      <c r="HM212" s="3" t="s">
        <v>3</v>
      </c>
      <c r="HN212" s="3" t="s">
        <v>3</v>
      </c>
      <c r="HO212" s="3" t="s">
        <v>3</v>
      </c>
      <c r="HP212" s="3" t="s">
        <v>3</v>
      </c>
      <c r="HQ212" s="3" t="s">
        <v>3</v>
      </c>
      <c r="HS212" s="3">
        <v>0</v>
      </c>
      <c r="IK212" s="3">
        <v>0</v>
      </c>
    </row>
    <row r="213" spans="1:255" x14ac:dyDescent="0.25">
      <c r="A213" s="2">
        <v>17</v>
      </c>
      <c r="B213" s="2">
        <v>1</v>
      </c>
      <c r="C213" s="2"/>
      <c r="D213" s="2"/>
      <c r="E213" s="2" t="s">
        <v>240</v>
      </c>
      <c r="F213" s="2" t="s">
        <v>241</v>
      </c>
      <c r="G213" s="2" t="s">
        <v>242</v>
      </c>
      <c r="H213" s="2" t="s">
        <v>148</v>
      </c>
      <c r="I213" s="2">
        <v>1</v>
      </c>
      <c r="J213" s="2">
        <v>0</v>
      </c>
      <c r="K213" s="2">
        <v>1</v>
      </c>
      <c r="L213" s="2"/>
      <c r="M213" s="2"/>
      <c r="N213" s="2"/>
      <c r="O213" s="2">
        <f t="shared" si="173"/>
        <v>296.52999999999997</v>
      </c>
      <c r="P213" s="2">
        <f>ROUND((ROUND((AC213*AW213*I213),2)*BC213),2)</f>
        <v>296.52999999999997</v>
      </c>
      <c r="Q213" s="2">
        <f t="shared" si="195"/>
        <v>0</v>
      </c>
      <c r="R213" s="2">
        <f t="shared" si="196"/>
        <v>0</v>
      </c>
      <c r="S213" s="2">
        <f t="shared" si="174"/>
        <v>0</v>
      </c>
      <c r="T213" s="2">
        <f t="shared" si="175"/>
        <v>0</v>
      </c>
      <c r="U213" s="2">
        <f t="shared" si="176"/>
        <v>0</v>
      </c>
      <c r="V213" s="2">
        <f t="shared" si="177"/>
        <v>0</v>
      </c>
      <c r="W213" s="2">
        <f t="shared" si="178"/>
        <v>0</v>
      </c>
      <c r="X213" s="2">
        <f t="shared" si="197"/>
        <v>0</v>
      </c>
      <c r="Y213" s="2">
        <f t="shared" si="198"/>
        <v>0</v>
      </c>
      <c r="Z213" s="2"/>
      <c r="AA213" s="2">
        <v>55917797</v>
      </c>
      <c r="AB213" s="2">
        <f t="shared" si="179"/>
        <v>296.52999999999997</v>
      </c>
      <c r="AC213" s="2">
        <f t="shared" si="199"/>
        <v>296.52999999999997</v>
      </c>
      <c r="AD213" s="2">
        <f t="shared" si="200"/>
        <v>0</v>
      </c>
      <c r="AE213" s="2">
        <f t="shared" si="201"/>
        <v>0</v>
      </c>
      <c r="AF213" s="2">
        <f t="shared" si="201"/>
        <v>0</v>
      </c>
      <c r="AG213" s="2">
        <f t="shared" si="180"/>
        <v>0</v>
      </c>
      <c r="AH213" s="2">
        <f t="shared" si="202"/>
        <v>0</v>
      </c>
      <c r="AI213" s="2">
        <f t="shared" si="202"/>
        <v>0</v>
      </c>
      <c r="AJ213" s="2">
        <f t="shared" si="181"/>
        <v>0</v>
      </c>
      <c r="AK213" s="2">
        <v>296.53000000000003</v>
      </c>
      <c r="AL213" s="2">
        <v>296.53000000000003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1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3</v>
      </c>
      <c r="BI213" s="2">
        <v>2</v>
      </c>
      <c r="BJ213" s="2" t="s">
        <v>241</v>
      </c>
      <c r="BK213" s="2"/>
      <c r="BL213" s="2"/>
      <c r="BM213" s="2">
        <v>400005</v>
      </c>
      <c r="BN213" s="2">
        <v>0</v>
      </c>
      <c r="BO213" s="2" t="s">
        <v>3</v>
      </c>
      <c r="BP213" s="2">
        <v>0</v>
      </c>
      <c r="BQ213" s="2">
        <v>213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0</v>
      </c>
      <c r="CA213" s="2">
        <v>0</v>
      </c>
      <c r="CB213" s="2" t="s">
        <v>3</v>
      </c>
      <c r="CC213" s="2"/>
      <c r="CD213" s="2"/>
      <c r="CE213" s="2">
        <v>1566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3</v>
      </c>
      <c r="CO213" s="2">
        <v>0</v>
      </c>
      <c r="CP213" s="2">
        <f t="shared" si="182"/>
        <v>296.52999999999997</v>
      </c>
      <c r="CQ213" s="2">
        <f>ROUND((ROUND((AC213*AW213*1),2)*BC213),2)</f>
        <v>296.52999999999997</v>
      </c>
      <c r="CR213" s="2">
        <f t="shared" si="203"/>
        <v>0</v>
      </c>
      <c r="CS213" s="2">
        <f t="shared" si="204"/>
        <v>0</v>
      </c>
      <c r="CT213" s="2">
        <f t="shared" si="183"/>
        <v>0</v>
      </c>
      <c r="CU213" s="2">
        <f t="shared" si="184"/>
        <v>0</v>
      </c>
      <c r="CV213" s="2">
        <f t="shared" si="185"/>
        <v>0</v>
      </c>
      <c r="CW213" s="2">
        <f t="shared" si="186"/>
        <v>0</v>
      </c>
      <c r="CX213" s="2">
        <f t="shared" si="186"/>
        <v>0</v>
      </c>
      <c r="CY213" s="2">
        <f t="shared" si="205"/>
        <v>0</v>
      </c>
      <c r="CZ213" s="2">
        <f t="shared" si="206"/>
        <v>0</v>
      </c>
      <c r="DA213" s="2"/>
      <c r="DB213" s="2"/>
      <c r="DC213" s="2" t="s">
        <v>3</v>
      </c>
      <c r="DD213" s="2" t="s">
        <v>3</v>
      </c>
      <c r="DE213" s="2" t="s">
        <v>3</v>
      </c>
      <c r="DF213" s="2" t="s">
        <v>3</v>
      </c>
      <c r="DG213" s="2" t="s">
        <v>3</v>
      </c>
      <c r="DH213" s="2" t="s">
        <v>3</v>
      </c>
      <c r="DI213" s="2" t="s">
        <v>3</v>
      </c>
      <c r="DJ213" s="2" t="s">
        <v>3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1013</v>
      </c>
      <c r="DV213" s="2" t="s">
        <v>148</v>
      </c>
      <c r="DW213" s="2" t="s">
        <v>148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55393628</v>
      </c>
      <c r="EF213" s="2">
        <v>213</v>
      </c>
      <c r="EG213" s="2" t="s">
        <v>243</v>
      </c>
      <c r="EH213" s="2">
        <v>0</v>
      </c>
      <c r="EI213" s="2" t="s">
        <v>3</v>
      </c>
      <c r="EJ213" s="2">
        <v>1</v>
      </c>
      <c r="EK213" s="2">
        <v>400005</v>
      </c>
      <c r="EL213" s="2" t="s">
        <v>243</v>
      </c>
      <c r="EM213" s="2" t="s">
        <v>244</v>
      </c>
      <c r="EN213" s="2"/>
      <c r="EO213" s="2" t="s">
        <v>3</v>
      </c>
      <c r="EP213" s="2"/>
      <c r="EQ213" s="2">
        <v>16</v>
      </c>
      <c r="ER213" s="2">
        <v>0</v>
      </c>
      <c r="ES213" s="2">
        <v>296.53000000000003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v>0</v>
      </c>
      <c r="FS213" s="2">
        <v>0</v>
      </c>
      <c r="FT213" s="2"/>
      <c r="FU213" s="2"/>
      <c r="FV213" s="2"/>
      <c r="FW213" s="2"/>
      <c r="FX213" s="2">
        <v>0</v>
      </c>
      <c r="FY213" s="2">
        <v>0</v>
      </c>
      <c r="FZ213" s="2"/>
      <c r="GA213" s="2" t="s">
        <v>245</v>
      </c>
      <c r="GB213" s="2"/>
      <c r="GC213" s="2"/>
      <c r="GD213" s="2">
        <v>1</v>
      </c>
      <c r="GE213" s="2"/>
      <c r="GF213" s="2">
        <v>-1545385014</v>
      </c>
      <c r="GG213" s="2">
        <v>2</v>
      </c>
      <c r="GH213" s="2">
        <v>4</v>
      </c>
      <c r="GI213" s="2">
        <v>-2</v>
      </c>
      <c r="GJ213" s="2">
        <v>0</v>
      </c>
      <c r="GK213" s="2">
        <v>0</v>
      </c>
      <c r="GL213" s="2">
        <f t="shared" si="187"/>
        <v>0</v>
      </c>
      <c r="GM213" s="2">
        <f t="shared" si="188"/>
        <v>296.52999999999997</v>
      </c>
      <c r="GN213" s="2">
        <f t="shared" si="189"/>
        <v>0</v>
      </c>
      <c r="GO213" s="2">
        <f t="shared" si="190"/>
        <v>296.52999999999997</v>
      </c>
      <c r="GP213" s="2">
        <f t="shared" si="191"/>
        <v>0</v>
      </c>
      <c r="GQ213" s="2"/>
      <c r="GR213" s="2">
        <v>1</v>
      </c>
      <c r="GS213" s="2">
        <v>2</v>
      </c>
      <c r="GT213" s="2">
        <v>0</v>
      </c>
      <c r="GU213" s="2" t="s">
        <v>3</v>
      </c>
      <c r="GV213" s="2">
        <f t="shared" si="192"/>
        <v>0</v>
      </c>
      <c r="GW213" s="2">
        <v>1</v>
      </c>
      <c r="GX213" s="2">
        <f t="shared" si="193"/>
        <v>0</v>
      </c>
      <c r="GY213" s="2"/>
      <c r="GZ213" s="2"/>
      <c r="HA213" s="2">
        <v>0</v>
      </c>
      <c r="HB213" s="2">
        <v>0</v>
      </c>
      <c r="HC213" s="2">
        <f t="shared" si="194"/>
        <v>0</v>
      </c>
      <c r="HD213" s="2"/>
      <c r="HE213" s="2" t="s">
        <v>246</v>
      </c>
      <c r="HF213" s="2" t="s">
        <v>30</v>
      </c>
      <c r="HG213" s="2"/>
      <c r="HH213" s="2"/>
      <c r="HI213" s="2"/>
      <c r="HJ213" s="2"/>
      <c r="HK213" s="2"/>
      <c r="HL213" s="2"/>
      <c r="HM213" s="2" t="s">
        <v>3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5">
      <c r="A214" s="3">
        <v>17</v>
      </c>
      <c r="B214" s="3">
        <v>1</v>
      </c>
      <c r="E214" s="3" t="s">
        <v>240</v>
      </c>
      <c r="F214" s="3" t="s">
        <v>241</v>
      </c>
      <c r="G214" s="3" t="s">
        <v>242</v>
      </c>
      <c r="H214" s="3" t="s">
        <v>148</v>
      </c>
      <c r="I214" s="3">
        <v>1</v>
      </c>
      <c r="J214" s="3">
        <v>0</v>
      </c>
      <c r="K214" s="3">
        <v>1</v>
      </c>
      <c r="O214" s="3">
        <f t="shared" si="173"/>
        <v>2917.86</v>
      </c>
      <c r="P214" s="3">
        <f>ROUND((ROUND((AC214*AW214*I214),2)*BC214),2)</f>
        <v>2917.86</v>
      </c>
      <c r="Q214" s="3">
        <f t="shared" si="195"/>
        <v>0</v>
      </c>
      <c r="R214" s="3">
        <f t="shared" si="196"/>
        <v>0</v>
      </c>
      <c r="S214" s="3">
        <f t="shared" si="174"/>
        <v>0</v>
      </c>
      <c r="T214" s="3">
        <f t="shared" si="175"/>
        <v>0</v>
      </c>
      <c r="U214" s="3">
        <f t="shared" si="176"/>
        <v>0</v>
      </c>
      <c r="V214" s="3">
        <f t="shared" si="177"/>
        <v>0</v>
      </c>
      <c r="W214" s="3">
        <f t="shared" si="178"/>
        <v>0</v>
      </c>
      <c r="X214" s="3">
        <f t="shared" si="197"/>
        <v>0</v>
      </c>
      <c r="Y214" s="3">
        <f t="shared" si="198"/>
        <v>0</v>
      </c>
      <c r="AA214" s="3">
        <v>55917799</v>
      </c>
      <c r="AB214" s="3">
        <f t="shared" si="179"/>
        <v>296.52999999999997</v>
      </c>
      <c r="AC214" s="3">
        <f t="shared" si="199"/>
        <v>296.52999999999997</v>
      </c>
      <c r="AD214" s="3">
        <f t="shared" si="200"/>
        <v>0</v>
      </c>
      <c r="AE214" s="3">
        <f t="shared" si="201"/>
        <v>0</v>
      </c>
      <c r="AF214" s="3">
        <f t="shared" si="201"/>
        <v>0</v>
      </c>
      <c r="AG214" s="3">
        <f t="shared" si="180"/>
        <v>0</v>
      </c>
      <c r="AH214" s="3">
        <f t="shared" si="202"/>
        <v>0</v>
      </c>
      <c r="AI214" s="3">
        <f t="shared" si="202"/>
        <v>0</v>
      </c>
      <c r="AJ214" s="3">
        <f t="shared" si="181"/>
        <v>0</v>
      </c>
      <c r="AK214" s="3">
        <v>296.53000000000003</v>
      </c>
      <c r="AL214" s="3">
        <v>296.53000000000003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1</v>
      </c>
      <c r="AW214" s="3">
        <v>1</v>
      </c>
      <c r="AZ214" s="3">
        <v>1</v>
      </c>
      <c r="BA214" s="3">
        <v>1</v>
      </c>
      <c r="BB214" s="3">
        <v>1</v>
      </c>
      <c r="BC214" s="3">
        <v>9.84</v>
      </c>
      <c r="BD214" s="3" t="s">
        <v>3</v>
      </c>
      <c r="BE214" s="3" t="s">
        <v>3</v>
      </c>
      <c r="BF214" s="3" t="s">
        <v>3</v>
      </c>
      <c r="BG214" s="3" t="s">
        <v>3</v>
      </c>
      <c r="BH214" s="3">
        <v>3</v>
      </c>
      <c r="BI214" s="3">
        <v>2</v>
      </c>
      <c r="BJ214" s="3" t="s">
        <v>241</v>
      </c>
      <c r="BM214" s="3">
        <v>400005</v>
      </c>
      <c r="BN214" s="3">
        <v>0</v>
      </c>
      <c r="BO214" s="3" t="s">
        <v>3</v>
      </c>
      <c r="BP214" s="3">
        <v>0</v>
      </c>
      <c r="BQ214" s="3">
        <v>213</v>
      </c>
      <c r="BR214" s="3">
        <v>0</v>
      </c>
      <c r="BS214" s="3">
        <v>1</v>
      </c>
      <c r="BT214" s="3">
        <v>1</v>
      </c>
      <c r="BU214" s="3">
        <v>1</v>
      </c>
      <c r="BV214" s="3">
        <v>1</v>
      </c>
      <c r="BW214" s="3">
        <v>1</v>
      </c>
      <c r="BX214" s="3">
        <v>1</v>
      </c>
      <c r="BY214" s="3" t="s">
        <v>3</v>
      </c>
      <c r="BZ214" s="3">
        <v>0</v>
      </c>
      <c r="CA214" s="3">
        <v>0</v>
      </c>
      <c r="CB214" s="3" t="s">
        <v>3</v>
      </c>
      <c r="CE214" s="3">
        <v>1566</v>
      </c>
      <c r="CF214" s="3">
        <v>0</v>
      </c>
      <c r="CG214" s="3">
        <v>0</v>
      </c>
      <c r="CM214" s="3">
        <v>0</v>
      </c>
      <c r="CN214" s="3" t="s">
        <v>3</v>
      </c>
      <c r="CO214" s="3">
        <v>0</v>
      </c>
      <c r="CP214" s="3">
        <f t="shared" si="182"/>
        <v>2917.86</v>
      </c>
      <c r="CQ214" s="3">
        <f>ROUND((ROUND((AC214*AW214*1),2)*BC214),2)</f>
        <v>2917.86</v>
      </c>
      <c r="CR214" s="3">
        <f t="shared" si="203"/>
        <v>0</v>
      </c>
      <c r="CS214" s="3">
        <f t="shared" si="204"/>
        <v>0</v>
      </c>
      <c r="CT214" s="3">
        <f t="shared" si="183"/>
        <v>0</v>
      </c>
      <c r="CU214" s="3">
        <f t="shared" si="184"/>
        <v>0</v>
      </c>
      <c r="CV214" s="3">
        <f t="shared" si="185"/>
        <v>0</v>
      </c>
      <c r="CW214" s="3">
        <f t="shared" si="186"/>
        <v>0</v>
      </c>
      <c r="CX214" s="3">
        <f t="shared" si="186"/>
        <v>0</v>
      </c>
      <c r="CY214" s="3">
        <f t="shared" si="205"/>
        <v>0</v>
      </c>
      <c r="CZ214" s="3">
        <f t="shared" si="206"/>
        <v>0</v>
      </c>
      <c r="DC214" s="3" t="s">
        <v>3</v>
      </c>
      <c r="DD214" s="3" t="s">
        <v>3</v>
      </c>
      <c r="DE214" s="3" t="s">
        <v>3</v>
      </c>
      <c r="DF214" s="3" t="s">
        <v>3</v>
      </c>
      <c r="DG214" s="3" t="s">
        <v>3</v>
      </c>
      <c r="DH214" s="3" t="s">
        <v>3</v>
      </c>
      <c r="DI214" s="3" t="s">
        <v>3</v>
      </c>
      <c r="DJ214" s="3" t="s">
        <v>3</v>
      </c>
      <c r="DK214" s="3" t="s">
        <v>3</v>
      </c>
      <c r="DL214" s="3" t="s">
        <v>3</v>
      </c>
      <c r="DM214" s="3" t="s">
        <v>3</v>
      </c>
      <c r="DN214" s="3">
        <v>0</v>
      </c>
      <c r="DO214" s="3">
        <v>0</v>
      </c>
      <c r="DP214" s="3">
        <v>1</v>
      </c>
      <c r="DQ214" s="3">
        <v>1</v>
      </c>
      <c r="DU214" s="3">
        <v>1013</v>
      </c>
      <c r="DV214" s="3" t="s">
        <v>148</v>
      </c>
      <c r="DW214" s="3" t="s">
        <v>148</v>
      </c>
      <c r="DX214" s="3">
        <v>1</v>
      </c>
      <c r="DZ214" s="3" t="s">
        <v>3</v>
      </c>
      <c r="EA214" s="3" t="s">
        <v>3</v>
      </c>
      <c r="EB214" s="3" t="s">
        <v>3</v>
      </c>
      <c r="EC214" s="3" t="s">
        <v>3</v>
      </c>
      <c r="EE214" s="3">
        <v>55393628</v>
      </c>
      <c r="EF214" s="3">
        <v>213</v>
      </c>
      <c r="EG214" s="3" t="s">
        <v>243</v>
      </c>
      <c r="EH214" s="3">
        <v>0</v>
      </c>
      <c r="EI214" s="3" t="s">
        <v>3</v>
      </c>
      <c r="EJ214" s="3">
        <v>1</v>
      </c>
      <c r="EK214" s="3">
        <v>400005</v>
      </c>
      <c r="EL214" s="3" t="s">
        <v>243</v>
      </c>
      <c r="EM214" s="3" t="s">
        <v>244</v>
      </c>
      <c r="EO214" s="3" t="s">
        <v>3</v>
      </c>
      <c r="EQ214" s="3">
        <v>16</v>
      </c>
      <c r="ER214" s="3">
        <v>0</v>
      </c>
      <c r="ES214" s="3">
        <v>296.53000000000003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5</v>
      </c>
      <c r="FC214" s="3">
        <v>1</v>
      </c>
      <c r="FD214" s="3">
        <v>18</v>
      </c>
      <c r="FF214" s="3">
        <v>3490</v>
      </c>
      <c r="FQ214" s="3">
        <v>0</v>
      </c>
      <c r="FR214" s="3">
        <v>0</v>
      </c>
      <c r="FS214" s="3">
        <v>0</v>
      </c>
      <c r="FX214" s="3">
        <v>0</v>
      </c>
      <c r="FY214" s="3">
        <v>0</v>
      </c>
      <c r="GA214" s="3" t="s">
        <v>245</v>
      </c>
      <c r="GD214" s="3">
        <v>1</v>
      </c>
      <c r="GF214" s="3">
        <v>-1545385014</v>
      </c>
      <c r="GG214" s="3">
        <v>2</v>
      </c>
      <c r="GH214" s="3">
        <v>3</v>
      </c>
      <c r="GI214" s="3">
        <v>5</v>
      </c>
      <c r="GJ214" s="3">
        <v>0</v>
      </c>
      <c r="GK214" s="3">
        <v>0</v>
      </c>
      <c r="GL214" s="3">
        <f t="shared" si="187"/>
        <v>0</v>
      </c>
      <c r="GM214" s="3">
        <f t="shared" si="188"/>
        <v>2917.86</v>
      </c>
      <c r="GN214" s="3">
        <f t="shared" si="189"/>
        <v>0</v>
      </c>
      <c r="GO214" s="3">
        <f t="shared" si="190"/>
        <v>2917.86</v>
      </c>
      <c r="GP214" s="3">
        <f t="shared" si="191"/>
        <v>0</v>
      </c>
      <c r="GR214" s="3">
        <v>1</v>
      </c>
      <c r="GS214" s="3">
        <v>1</v>
      </c>
      <c r="GT214" s="3">
        <v>0</v>
      </c>
      <c r="GU214" s="3" t="s">
        <v>3</v>
      </c>
      <c r="GV214" s="3">
        <f t="shared" si="192"/>
        <v>0</v>
      </c>
      <c r="GW214" s="3">
        <v>1</v>
      </c>
      <c r="GX214" s="3">
        <f t="shared" si="193"/>
        <v>0</v>
      </c>
      <c r="HA214" s="3">
        <v>0</v>
      </c>
      <c r="HB214" s="3">
        <v>0</v>
      </c>
      <c r="HC214" s="3">
        <f t="shared" si="194"/>
        <v>0</v>
      </c>
      <c r="HE214" s="3" t="s">
        <v>246</v>
      </c>
      <c r="HF214" s="3" t="s">
        <v>30</v>
      </c>
      <c r="HM214" s="3" t="s">
        <v>3</v>
      </c>
      <c r="HN214" s="3" t="s">
        <v>3</v>
      </c>
      <c r="HO214" s="3" t="s">
        <v>3</v>
      </c>
      <c r="HP214" s="3" t="s">
        <v>3</v>
      </c>
      <c r="HQ214" s="3" t="s">
        <v>3</v>
      </c>
      <c r="HS214" s="3">
        <v>0</v>
      </c>
      <c r="IK214" s="3">
        <v>0</v>
      </c>
    </row>
    <row r="215" spans="1:255" x14ac:dyDescent="0.25">
      <c r="A215" s="2">
        <v>17</v>
      </c>
      <c r="B215" s="2">
        <v>1</v>
      </c>
      <c r="C215" s="2"/>
      <c r="D215" s="2"/>
      <c r="E215" s="2" t="s">
        <v>247</v>
      </c>
      <c r="F215" s="2" t="s">
        <v>248</v>
      </c>
      <c r="G215" s="2" t="s">
        <v>249</v>
      </c>
      <c r="H215" s="2" t="s">
        <v>164</v>
      </c>
      <c r="I215" s="2">
        <v>1</v>
      </c>
      <c r="J215" s="2">
        <v>0</v>
      </c>
      <c r="K215" s="2">
        <v>1</v>
      </c>
      <c r="L215" s="2"/>
      <c r="M215" s="2"/>
      <c r="N215" s="2"/>
      <c r="O215" s="2">
        <f t="shared" si="173"/>
        <v>21.22</v>
      </c>
      <c r="P215" s="2">
        <f>ROUND((ROUND((AC215*AW215*I215),2)*BC215),2)</f>
        <v>21.22</v>
      </c>
      <c r="Q215" s="2">
        <f t="shared" si="195"/>
        <v>0</v>
      </c>
      <c r="R215" s="2">
        <f t="shared" si="196"/>
        <v>0</v>
      </c>
      <c r="S215" s="2">
        <f t="shared" si="174"/>
        <v>0</v>
      </c>
      <c r="T215" s="2">
        <f t="shared" si="175"/>
        <v>0</v>
      </c>
      <c r="U215" s="2">
        <f t="shared" si="176"/>
        <v>0</v>
      </c>
      <c r="V215" s="2">
        <f t="shared" si="177"/>
        <v>0</v>
      </c>
      <c r="W215" s="2">
        <f t="shared" si="178"/>
        <v>0</v>
      </c>
      <c r="X215" s="2">
        <f t="shared" si="197"/>
        <v>0</v>
      </c>
      <c r="Y215" s="2">
        <f t="shared" si="198"/>
        <v>0</v>
      </c>
      <c r="Z215" s="2"/>
      <c r="AA215" s="2">
        <v>55917797</v>
      </c>
      <c r="AB215" s="2">
        <f t="shared" si="179"/>
        <v>21.22</v>
      </c>
      <c r="AC215" s="2">
        <f t="shared" si="199"/>
        <v>21.22</v>
      </c>
      <c r="AD215" s="2">
        <f t="shared" si="200"/>
        <v>0</v>
      </c>
      <c r="AE215" s="2">
        <f t="shared" si="201"/>
        <v>0</v>
      </c>
      <c r="AF215" s="2">
        <f t="shared" si="201"/>
        <v>0</v>
      </c>
      <c r="AG215" s="2">
        <f t="shared" si="180"/>
        <v>0</v>
      </c>
      <c r="AH215" s="2">
        <f t="shared" si="202"/>
        <v>0</v>
      </c>
      <c r="AI215" s="2">
        <f t="shared" si="202"/>
        <v>0</v>
      </c>
      <c r="AJ215" s="2">
        <f t="shared" si="181"/>
        <v>0</v>
      </c>
      <c r="AK215" s="2">
        <v>21.22</v>
      </c>
      <c r="AL215" s="2">
        <v>21.22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1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3</v>
      </c>
      <c r="BI215" s="2">
        <v>2</v>
      </c>
      <c r="BJ215" s="2" t="s">
        <v>250</v>
      </c>
      <c r="BK215" s="2"/>
      <c r="BL215" s="2"/>
      <c r="BM215" s="2">
        <v>1618</v>
      </c>
      <c r="BN215" s="2">
        <v>0</v>
      </c>
      <c r="BO215" s="2" t="s">
        <v>3</v>
      </c>
      <c r="BP215" s="2">
        <v>0</v>
      </c>
      <c r="BQ215" s="2">
        <v>201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0</v>
      </c>
      <c r="CA215" s="2">
        <v>0</v>
      </c>
      <c r="CB215" s="2" t="s">
        <v>3</v>
      </c>
      <c r="CC215" s="2"/>
      <c r="CD215" s="2"/>
      <c r="CE215" s="2">
        <v>1566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3</v>
      </c>
      <c r="CO215" s="2">
        <v>0</v>
      </c>
      <c r="CP215" s="2">
        <f t="shared" si="182"/>
        <v>21.22</v>
      </c>
      <c r="CQ215" s="2">
        <f>ROUND((ROUND((AC215*AW215*1),2)*BC215),2)</f>
        <v>21.22</v>
      </c>
      <c r="CR215" s="2">
        <f t="shared" si="203"/>
        <v>0</v>
      </c>
      <c r="CS215" s="2">
        <f t="shared" si="204"/>
        <v>0</v>
      </c>
      <c r="CT215" s="2">
        <f t="shared" si="183"/>
        <v>0</v>
      </c>
      <c r="CU215" s="2">
        <f t="shared" si="184"/>
        <v>0</v>
      </c>
      <c r="CV215" s="2">
        <f t="shared" si="185"/>
        <v>0</v>
      </c>
      <c r="CW215" s="2">
        <f t="shared" si="186"/>
        <v>0</v>
      </c>
      <c r="CX215" s="2">
        <f t="shared" si="186"/>
        <v>0</v>
      </c>
      <c r="CY215" s="2">
        <f t="shared" si="205"/>
        <v>0</v>
      </c>
      <c r="CZ215" s="2">
        <f t="shared" si="206"/>
        <v>0</v>
      </c>
      <c r="DA215" s="2"/>
      <c r="DB215" s="2"/>
      <c r="DC215" s="2" t="s">
        <v>3</v>
      </c>
      <c r="DD215" s="2" t="s">
        <v>3</v>
      </c>
      <c r="DE215" s="2" t="s">
        <v>3</v>
      </c>
      <c r="DF215" s="2" t="s">
        <v>3</v>
      </c>
      <c r="DG215" s="2" t="s">
        <v>3</v>
      </c>
      <c r="DH215" s="2" t="s">
        <v>3</v>
      </c>
      <c r="DI215" s="2" t="s">
        <v>3</v>
      </c>
      <c r="DJ215" s="2" t="s">
        <v>3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1010</v>
      </c>
      <c r="DV215" s="2" t="s">
        <v>164</v>
      </c>
      <c r="DW215" s="2" t="s">
        <v>164</v>
      </c>
      <c r="DX215" s="2">
        <v>1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55393729</v>
      </c>
      <c r="EF215" s="2">
        <v>201</v>
      </c>
      <c r="EG215" s="2" t="s">
        <v>179</v>
      </c>
      <c r="EH215" s="2">
        <v>0</v>
      </c>
      <c r="EI215" s="2" t="s">
        <v>3</v>
      </c>
      <c r="EJ215" s="2">
        <v>2</v>
      </c>
      <c r="EK215" s="2">
        <v>1618</v>
      </c>
      <c r="EL215" s="2" t="s">
        <v>180</v>
      </c>
      <c r="EM215" s="2" t="s">
        <v>181</v>
      </c>
      <c r="EN215" s="2"/>
      <c r="EO215" s="2" t="s">
        <v>3</v>
      </c>
      <c r="EP215" s="2"/>
      <c r="EQ215" s="2">
        <v>0</v>
      </c>
      <c r="ER215" s="2">
        <v>21.22</v>
      </c>
      <c r="ES215" s="2">
        <v>21.22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v>0</v>
      </c>
      <c r="FS215" s="2">
        <v>0</v>
      </c>
      <c r="FT215" s="2"/>
      <c r="FU215" s="2"/>
      <c r="FV215" s="2"/>
      <c r="FW215" s="2"/>
      <c r="FX215" s="2">
        <v>0</v>
      </c>
      <c r="FY215" s="2">
        <v>0</v>
      </c>
      <c r="FZ215" s="2"/>
      <c r="GA215" s="2" t="s">
        <v>3</v>
      </c>
      <c r="GB215" s="2"/>
      <c r="GC215" s="2"/>
      <c r="GD215" s="2">
        <v>1</v>
      </c>
      <c r="GE215" s="2"/>
      <c r="GF215" s="2">
        <v>-311511070</v>
      </c>
      <c r="GG215" s="2">
        <v>2</v>
      </c>
      <c r="GH215" s="2">
        <v>1</v>
      </c>
      <c r="GI215" s="2">
        <v>-2</v>
      </c>
      <c r="GJ215" s="2">
        <v>0</v>
      </c>
      <c r="GK215" s="2">
        <v>0</v>
      </c>
      <c r="GL215" s="2">
        <f t="shared" si="187"/>
        <v>0</v>
      </c>
      <c r="GM215" s="2">
        <f t="shared" si="188"/>
        <v>21.22</v>
      </c>
      <c r="GN215" s="2">
        <f t="shared" si="189"/>
        <v>0</v>
      </c>
      <c r="GO215" s="2">
        <f t="shared" si="190"/>
        <v>21.22</v>
      </c>
      <c r="GP215" s="2">
        <f t="shared" si="191"/>
        <v>0</v>
      </c>
      <c r="GQ215" s="2"/>
      <c r="GR215" s="2">
        <v>0</v>
      </c>
      <c r="GS215" s="2">
        <v>3</v>
      </c>
      <c r="GT215" s="2">
        <v>0</v>
      </c>
      <c r="GU215" s="2" t="s">
        <v>3</v>
      </c>
      <c r="GV215" s="2">
        <f t="shared" si="192"/>
        <v>0</v>
      </c>
      <c r="GW215" s="2">
        <v>1</v>
      </c>
      <c r="GX215" s="2">
        <f t="shared" si="193"/>
        <v>0</v>
      </c>
      <c r="GY215" s="2"/>
      <c r="GZ215" s="2"/>
      <c r="HA215" s="2">
        <v>0</v>
      </c>
      <c r="HB215" s="2">
        <v>0</v>
      </c>
      <c r="HC215" s="2">
        <f t="shared" si="194"/>
        <v>0</v>
      </c>
      <c r="HD215" s="2"/>
      <c r="HE215" s="2" t="s">
        <v>3</v>
      </c>
      <c r="HF215" s="2" t="s">
        <v>3</v>
      </c>
      <c r="HG215" s="2"/>
      <c r="HH215" s="2"/>
      <c r="HI215" s="2"/>
      <c r="HJ215" s="2"/>
      <c r="HK215" s="2"/>
      <c r="HL215" s="2"/>
      <c r="HM215" s="2" t="s">
        <v>3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5">
      <c r="A216" s="3">
        <v>17</v>
      </c>
      <c r="B216" s="3">
        <v>1</v>
      </c>
      <c r="E216" s="3" t="s">
        <v>247</v>
      </c>
      <c r="F216" s="3" t="s">
        <v>248</v>
      </c>
      <c r="G216" s="3" t="s">
        <v>249</v>
      </c>
      <c r="H216" s="3" t="s">
        <v>164</v>
      </c>
      <c r="I216" s="3">
        <v>1</v>
      </c>
      <c r="J216" s="3">
        <v>0</v>
      </c>
      <c r="K216" s="3">
        <v>1</v>
      </c>
      <c r="O216" s="3">
        <f t="shared" si="173"/>
        <v>68.97</v>
      </c>
      <c r="P216" s="3">
        <f>ROUND((ROUND((AC216*AW216*I216),2)*BC216),2)</f>
        <v>68.97</v>
      </c>
      <c r="Q216" s="3">
        <f t="shared" si="195"/>
        <v>0</v>
      </c>
      <c r="R216" s="3">
        <f t="shared" si="196"/>
        <v>0</v>
      </c>
      <c r="S216" s="3">
        <f t="shared" si="174"/>
        <v>0</v>
      </c>
      <c r="T216" s="3">
        <f t="shared" si="175"/>
        <v>0</v>
      </c>
      <c r="U216" s="3">
        <f t="shared" si="176"/>
        <v>0</v>
      </c>
      <c r="V216" s="3">
        <f t="shared" si="177"/>
        <v>0</v>
      </c>
      <c r="W216" s="3">
        <f t="shared" si="178"/>
        <v>0</v>
      </c>
      <c r="X216" s="3">
        <f t="shared" si="197"/>
        <v>0</v>
      </c>
      <c r="Y216" s="3">
        <f t="shared" si="198"/>
        <v>0</v>
      </c>
      <c r="AA216" s="3">
        <v>55917799</v>
      </c>
      <c r="AB216" s="3">
        <f t="shared" si="179"/>
        <v>21.22</v>
      </c>
      <c r="AC216" s="3">
        <f t="shared" si="199"/>
        <v>21.22</v>
      </c>
      <c r="AD216" s="3">
        <f t="shared" si="200"/>
        <v>0</v>
      </c>
      <c r="AE216" s="3">
        <f t="shared" si="201"/>
        <v>0</v>
      </c>
      <c r="AF216" s="3">
        <f t="shared" si="201"/>
        <v>0</v>
      </c>
      <c r="AG216" s="3">
        <f t="shared" si="180"/>
        <v>0</v>
      </c>
      <c r="AH216" s="3">
        <f t="shared" si="202"/>
        <v>0</v>
      </c>
      <c r="AI216" s="3">
        <f t="shared" si="202"/>
        <v>0</v>
      </c>
      <c r="AJ216" s="3">
        <f t="shared" si="181"/>
        <v>0</v>
      </c>
      <c r="AK216" s="3">
        <v>21.22</v>
      </c>
      <c r="AL216" s="3">
        <v>21.22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1</v>
      </c>
      <c r="AW216" s="3">
        <v>1</v>
      </c>
      <c r="AZ216" s="3">
        <v>1</v>
      </c>
      <c r="BA216" s="3">
        <v>1</v>
      </c>
      <c r="BB216" s="3">
        <v>1</v>
      </c>
      <c r="BC216" s="3">
        <v>3.25</v>
      </c>
      <c r="BD216" s="3" t="s">
        <v>3</v>
      </c>
      <c r="BE216" s="3" t="s">
        <v>3</v>
      </c>
      <c r="BF216" s="3" t="s">
        <v>3</v>
      </c>
      <c r="BG216" s="3" t="s">
        <v>3</v>
      </c>
      <c r="BH216" s="3">
        <v>3</v>
      </c>
      <c r="BI216" s="3">
        <v>2</v>
      </c>
      <c r="BJ216" s="3" t="s">
        <v>250</v>
      </c>
      <c r="BM216" s="3">
        <v>1618</v>
      </c>
      <c r="BN216" s="3">
        <v>0</v>
      </c>
      <c r="BO216" s="3" t="s">
        <v>248</v>
      </c>
      <c r="BP216" s="3">
        <v>1</v>
      </c>
      <c r="BQ216" s="3">
        <v>201</v>
      </c>
      <c r="BR216" s="3">
        <v>0</v>
      </c>
      <c r="BS216" s="3">
        <v>1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 t="s">
        <v>3</v>
      </c>
      <c r="BZ216" s="3">
        <v>0</v>
      </c>
      <c r="CA216" s="3">
        <v>0</v>
      </c>
      <c r="CB216" s="3" t="s">
        <v>3</v>
      </c>
      <c r="CE216" s="3">
        <v>1566</v>
      </c>
      <c r="CF216" s="3">
        <v>0</v>
      </c>
      <c r="CG216" s="3">
        <v>0</v>
      </c>
      <c r="CM216" s="3">
        <v>0</v>
      </c>
      <c r="CN216" s="3" t="s">
        <v>3</v>
      </c>
      <c r="CO216" s="3">
        <v>0</v>
      </c>
      <c r="CP216" s="3">
        <f t="shared" si="182"/>
        <v>68.97</v>
      </c>
      <c r="CQ216" s="3">
        <f>ROUND((ROUND((AC216*AW216*1),2)*BC216),2)</f>
        <v>68.97</v>
      </c>
      <c r="CR216" s="3">
        <f t="shared" si="203"/>
        <v>0</v>
      </c>
      <c r="CS216" s="3">
        <f t="shared" si="204"/>
        <v>0</v>
      </c>
      <c r="CT216" s="3">
        <f t="shared" si="183"/>
        <v>0</v>
      </c>
      <c r="CU216" s="3">
        <f t="shared" si="184"/>
        <v>0</v>
      </c>
      <c r="CV216" s="3">
        <f t="shared" si="185"/>
        <v>0</v>
      </c>
      <c r="CW216" s="3">
        <f t="shared" si="186"/>
        <v>0</v>
      </c>
      <c r="CX216" s="3">
        <f t="shared" si="186"/>
        <v>0</v>
      </c>
      <c r="CY216" s="3">
        <f t="shared" si="205"/>
        <v>0</v>
      </c>
      <c r="CZ216" s="3">
        <f t="shared" si="206"/>
        <v>0</v>
      </c>
      <c r="DC216" s="3" t="s">
        <v>3</v>
      </c>
      <c r="DD216" s="3" t="s">
        <v>3</v>
      </c>
      <c r="DE216" s="3" t="s">
        <v>3</v>
      </c>
      <c r="DF216" s="3" t="s">
        <v>3</v>
      </c>
      <c r="DG216" s="3" t="s">
        <v>3</v>
      </c>
      <c r="DH216" s="3" t="s">
        <v>3</v>
      </c>
      <c r="DI216" s="3" t="s">
        <v>3</v>
      </c>
      <c r="DJ216" s="3" t="s">
        <v>3</v>
      </c>
      <c r="DK216" s="3" t="s">
        <v>3</v>
      </c>
      <c r="DL216" s="3" t="s">
        <v>3</v>
      </c>
      <c r="DM216" s="3" t="s">
        <v>3</v>
      </c>
      <c r="DN216" s="3">
        <v>0</v>
      </c>
      <c r="DO216" s="3">
        <v>0</v>
      </c>
      <c r="DP216" s="3">
        <v>1</v>
      </c>
      <c r="DQ216" s="3">
        <v>1</v>
      </c>
      <c r="DU216" s="3">
        <v>1010</v>
      </c>
      <c r="DV216" s="3" t="s">
        <v>164</v>
      </c>
      <c r="DW216" s="3" t="s">
        <v>164</v>
      </c>
      <c r="DX216" s="3">
        <v>1</v>
      </c>
      <c r="DZ216" s="3" t="s">
        <v>3</v>
      </c>
      <c r="EA216" s="3" t="s">
        <v>3</v>
      </c>
      <c r="EB216" s="3" t="s">
        <v>3</v>
      </c>
      <c r="EC216" s="3" t="s">
        <v>3</v>
      </c>
      <c r="EE216" s="3">
        <v>55393729</v>
      </c>
      <c r="EF216" s="3">
        <v>201</v>
      </c>
      <c r="EG216" s="3" t="s">
        <v>179</v>
      </c>
      <c r="EH216" s="3">
        <v>0</v>
      </c>
      <c r="EI216" s="3" t="s">
        <v>3</v>
      </c>
      <c r="EJ216" s="3">
        <v>2</v>
      </c>
      <c r="EK216" s="3">
        <v>1618</v>
      </c>
      <c r="EL216" s="3" t="s">
        <v>180</v>
      </c>
      <c r="EM216" s="3" t="s">
        <v>181</v>
      </c>
      <c r="EO216" s="3" t="s">
        <v>3</v>
      </c>
      <c r="EQ216" s="3">
        <v>0</v>
      </c>
      <c r="ER216" s="3">
        <v>21.22</v>
      </c>
      <c r="ES216" s="3">
        <v>21.22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FQ216" s="3">
        <v>0</v>
      </c>
      <c r="FR216" s="3">
        <v>0</v>
      </c>
      <c r="FS216" s="3">
        <v>0</v>
      </c>
      <c r="FX216" s="3">
        <v>0</v>
      </c>
      <c r="FY216" s="3">
        <v>0</v>
      </c>
      <c r="GA216" s="3" t="s">
        <v>3</v>
      </c>
      <c r="GD216" s="3">
        <v>1</v>
      </c>
      <c r="GF216" s="3">
        <v>-311511070</v>
      </c>
      <c r="GG216" s="3">
        <v>2</v>
      </c>
      <c r="GH216" s="3">
        <v>1</v>
      </c>
      <c r="GI216" s="3">
        <v>2</v>
      </c>
      <c r="GJ216" s="3">
        <v>0</v>
      </c>
      <c r="GK216" s="3">
        <v>0</v>
      </c>
      <c r="GL216" s="3">
        <f t="shared" si="187"/>
        <v>0</v>
      </c>
      <c r="GM216" s="3">
        <f t="shared" si="188"/>
        <v>68.97</v>
      </c>
      <c r="GN216" s="3">
        <f t="shared" si="189"/>
        <v>0</v>
      </c>
      <c r="GO216" s="3">
        <f t="shared" si="190"/>
        <v>68.97</v>
      </c>
      <c r="GP216" s="3">
        <f t="shared" si="191"/>
        <v>0</v>
      </c>
      <c r="GR216" s="3">
        <v>0</v>
      </c>
      <c r="GS216" s="3">
        <v>3</v>
      </c>
      <c r="GT216" s="3">
        <v>0</v>
      </c>
      <c r="GU216" s="3" t="s">
        <v>3</v>
      </c>
      <c r="GV216" s="3">
        <f t="shared" si="192"/>
        <v>0</v>
      </c>
      <c r="GW216" s="3">
        <v>1</v>
      </c>
      <c r="GX216" s="3">
        <f t="shared" si="193"/>
        <v>0</v>
      </c>
      <c r="HA216" s="3">
        <v>0</v>
      </c>
      <c r="HB216" s="3">
        <v>0</v>
      </c>
      <c r="HC216" s="3">
        <f t="shared" si="194"/>
        <v>0</v>
      </c>
      <c r="HE216" s="3" t="s">
        <v>3</v>
      </c>
      <c r="HF216" s="3" t="s">
        <v>3</v>
      </c>
      <c r="HM216" s="3" t="s">
        <v>3</v>
      </c>
      <c r="HN216" s="3" t="s">
        <v>3</v>
      </c>
      <c r="HO216" s="3" t="s">
        <v>3</v>
      </c>
      <c r="HP216" s="3" t="s">
        <v>3</v>
      </c>
      <c r="HQ216" s="3" t="s">
        <v>3</v>
      </c>
      <c r="HS216" s="3">
        <v>0</v>
      </c>
      <c r="IK216" s="3">
        <v>0</v>
      </c>
    </row>
    <row r="218" spans="1:255" ht="13" x14ac:dyDescent="0.3">
      <c r="A218" s="11">
        <v>51</v>
      </c>
      <c r="B218" s="11">
        <f>B205</f>
        <v>1</v>
      </c>
      <c r="C218" s="11">
        <f>A205</f>
        <v>4</v>
      </c>
      <c r="D218" s="11">
        <f>ROW(A205)</f>
        <v>205</v>
      </c>
      <c r="E218" s="11"/>
      <c r="F218" s="11" t="str">
        <f>IF(F205&lt;&gt;"",F205,"")</f>
        <v>3</v>
      </c>
      <c r="G218" s="11" t="str">
        <f>IF(G205&lt;&gt;"",G205,"")</f>
        <v>Мачта для установки антенн</v>
      </c>
      <c r="H218" s="11">
        <v>0</v>
      </c>
      <c r="I218" s="11"/>
      <c r="J218" s="11"/>
      <c r="K218" s="11"/>
      <c r="L218" s="11"/>
      <c r="M218" s="11"/>
      <c r="N218" s="11"/>
      <c r="O218" s="11">
        <f t="shared" ref="O218:T218" si="207">ROUND(AB218,2)</f>
        <v>665.43</v>
      </c>
      <c r="P218" s="11">
        <f t="shared" si="207"/>
        <v>660.77</v>
      </c>
      <c r="Q218" s="11">
        <f t="shared" si="207"/>
        <v>0.02</v>
      </c>
      <c r="R218" s="11">
        <f t="shared" si="207"/>
        <v>0</v>
      </c>
      <c r="S218" s="11">
        <f t="shared" si="207"/>
        <v>4.6399999999999997</v>
      </c>
      <c r="T218" s="11">
        <f t="shared" si="207"/>
        <v>0</v>
      </c>
      <c r="U218" s="11">
        <f>AH218</f>
        <v>0.34227456000000001</v>
      </c>
      <c r="V218" s="11">
        <f>AI218</f>
        <v>0</v>
      </c>
      <c r="W218" s="11">
        <f>ROUND(AJ218,2)</f>
        <v>0</v>
      </c>
      <c r="X218" s="11">
        <f>ROUND(AK218,2)</f>
        <v>4.41</v>
      </c>
      <c r="Y218" s="11">
        <f>ROUND(AL218,2)</f>
        <v>2.46</v>
      </c>
      <c r="Z218" s="11"/>
      <c r="AA218" s="11"/>
      <c r="AB218" s="11">
        <f>ROUND(SUMIF(AA209:AA216,"=55917797",O209:O216),2)</f>
        <v>665.43</v>
      </c>
      <c r="AC218" s="11">
        <f>ROUND(SUMIF(AA209:AA216,"=55917797",P209:P216),2)</f>
        <v>660.77</v>
      </c>
      <c r="AD218" s="11">
        <f>ROUND(SUMIF(AA209:AA216,"=55917797",Q209:Q216),2)</f>
        <v>0.02</v>
      </c>
      <c r="AE218" s="11">
        <f>ROUND(SUMIF(AA209:AA216,"=55917797",R209:R216),2)</f>
        <v>0</v>
      </c>
      <c r="AF218" s="11">
        <f>ROUND(SUMIF(AA209:AA216,"=55917797",S209:S216),2)</f>
        <v>4.6399999999999997</v>
      </c>
      <c r="AG218" s="11">
        <f>ROUND(SUMIF(AA209:AA216,"=55917797",T209:T216),2)</f>
        <v>0</v>
      </c>
      <c r="AH218" s="11">
        <f>SUMIF(AA209:AA216,"=55917797",U209:U216)</f>
        <v>0.34227456000000001</v>
      </c>
      <c r="AI218" s="11">
        <f>SUMIF(AA209:AA216,"=55917797",V209:V216)</f>
        <v>0</v>
      </c>
      <c r="AJ218" s="11">
        <f>ROUND(SUMIF(AA209:AA216,"=55917797",W209:W216),2)</f>
        <v>0</v>
      </c>
      <c r="AK218" s="11">
        <f>ROUND(SUMIF(AA209:AA216,"=55917797",X209:X216),2)</f>
        <v>4.41</v>
      </c>
      <c r="AL218" s="11">
        <f>ROUND(SUMIF(AA209:AA216,"=55917797",Y209:Y216),2)</f>
        <v>2.46</v>
      </c>
      <c r="AM218" s="11"/>
      <c r="AN218" s="11"/>
      <c r="AO218" s="11">
        <f t="shared" ref="AO218:BD218" si="208">ROUND(BX218,2)</f>
        <v>0</v>
      </c>
      <c r="AP218" s="11">
        <f t="shared" si="208"/>
        <v>342.13</v>
      </c>
      <c r="AQ218" s="11">
        <f t="shared" si="208"/>
        <v>0</v>
      </c>
      <c r="AR218" s="11">
        <f t="shared" si="208"/>
        <v>672.3</v>
      </c>
      <c r="AS218" s="11">
        <f t="shared" si="208"/>
        <v>0</v>
      </c>
      <c r="AT218" s="11">
        <f t="shared" si="208"/>
        <v>330.17</v>
      </c>
      <c r="AU218" s="11">
        <f t="shared" si="208"/>
        <v>0</v>
      </c>
      <c r="AV218" s="11">
        <f t="shared" si="208"/>
        <v>660.77</v>
      </c>
      <c r="AW218" s="11">
        <f t="shared" si="208"/>
        <v>318.64</v>
      </c>
      <c r="AX218" s="11">
        <f t="shared" si="208"/>
        <v>0</v>
      </c>
      <c r="AY218" s="11">
        <f t="shared" si="208"/>
        <v>318.64</v>
      </c>
      <c r="AZ218" s="11">
        <f t="shared" si="208"/>
        <v>342.13</v>
      </c>
      <c r="BA218" s="11">
        <f t="shared" si="208"/>
        <v>0</v>
      </c>
      <c r="BB218" s="11">
        <f t="shared" si="208"/>
        <v>0</v>
      </c>
      <c r="BC218" s="11">
        <f t="shared" si="208"/>
        <v>0</v>
      </c>
      <c r="BD218" s="11">
        <f t="shared" si="208"/>
        <v>0</v>
      </c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>
        <f>ROUND(SUMIF(AA209:AA216,"=55917797",FQ209:FQ216),2)</f>
        <v>0</v>
      </c>
      <c r="BY218" s="11">
        <f>ROUND(SUMIF(AA209:AA216,"=55917797",FR209:FR216),2)</f>
        <v>342.13</v>
      </c>
      <c r="BZ218" s="11">
        <f>ROUND(SUMIF(AA209:AA216,"=55917797",GL209:GL216),2)</f>
        <v>0</v>
      </c>
      <c r="CA218" s="11">
        <f>ROUND(SUMIF(AA209:AA216,"=55917797",GM209:GM216),2)</f>
        <v>672.3</v>
      </c>
      <c r="CB218" s="11">
        <f>ROUND(SUMIF(AA209:AA216,"=55917797",GN209:GN216),2)</f>
        <v>0</v>
      </c>
      <c r="CC218" s="11">
        <f>ROUND(SUMIF(AA209:AA216,"=55917797",GO209:GO216),2)</f>
        <v>330.17</v>
      </c>
      <c r="CD218" s="11">
        <f>ROUND(SUMIF(AA209:AA216,"=55917797",GP209:GP216),2)</f>
        <v>0</v>
      </c>
      <c r="CE218" s="11">
        <f>AC218-BX218</f>
        <v>660.77</v>
      </c>
      <c r="CF218" s="11">
        <f>AC218-BY218</f>
        <v>318.64</v>
      </c>
      <c r="CG218" s="11">
        <f>BX218-BZ218</f>
        <v>0</v>
      </c>
      <c r="CH218" s="11">
        <f>AC218-BX218-BY218+BZ218</f>
        <v>318.64</v>
      </c>
      <c r="CI218" s="11">
        <f>BY218-BZ218</f>
        <v>342.13</v>
      </c>
      <c r="CJ218" s="11">
        <f>ROUND(SUMIF(AA209:AA216,"=55917797",GX209:GX216),2)</f>
        <v>0</v>
      </c>
      <c r="CK218" s="11">
        <f>ROUND(SUMIF(AA209:AA216,"=55917797",GY209:GY216),2)</f>
        <v>0</v>
      </c>
      <c r="CL218" s="11">
        <f>ROUND(SUMIF(AA209:AA216,"=55917797",GZ209:GZ216),2)</f>
        <v>0</v>
      </c>
      <c r="CM218" s="11">
        <f>ROUND(SUMIF(AA209:AA216,"=55917797",HD209:HD216),2)</f>
        <v>0</v>
      </c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2">
        <f t="shared" ref="DG218:DL218" si="209">ROUND(DT218,2)</f>
        <v>8062.81</v>
      </c>
      <c r="DH218" s="12">
        <f t="shared" si="209"/>
        <v>7801.15</v>
      </c>
      <c r="DI218" s="12">
        <f t="shared" si="209"/>
        <v>0.2</v>
      </c>
      <c r="DJ218" s="12">
        <f t="shared" si="209"/>
        <v>0</v>
      </c>
      <c r="DK218" s="12">
        <f t="shared" si="209"/>
        <v>261.45999999999998</v>
      </c>
      <c r="DL218" s="12">
        <f t="shared" si="209"/>
        <v>0</v>
      </c>
      <c r="DM218" s="12">
        <f>DZ218</f>
        <v>0.34227456000000001</v>
      </c>
      <c r="DN218" s="12">
        <f>EA218</f>
        <v>0</v>
      </c>
      <c r="DO218" s="12">
        <f>ROUND(EB218,2)</f>
        <v>0</v>
      </c>
      <c r="DP218" s="12">
        <f>ROUND(EC218,2)</f>
        <v>248.39</v>
      </c>
      <c r="DQ218" s="12">
        <f>ROUND(ED218,2)</f>
        <v>138.57</v>
      </c>
      <c r="DR218" s="12"/>
      <c r="DS218" s="12"/>
      <c r="DT218" s="12">
        <f>ROUND(SUMIF(AA209:AA216,"=55917799",O209:O216),2)</f>
        <v>8062.81</v>
      </c>
      <c r="DU218" s="12">
        <f>ROUND(SUMIF(AA209:AA216,"=55917799",P209:P216),2)</f>
        <v>7801.15</v>
      </c>
      <c r="DV218" s="12">
        <f>ROUND(SUMIF(AA209:AA216,"=55917799",Q209:Q216),2)</f>
        <v>0.2</v>
      </c>
      <c r="DW218" s="12">
        <f>ROUND(SUMIF(AA209:AA216,"=55917799",R209:R216),2)</f>
        <v>0</v>
      </c>
      <c r="DX218" s="12">
        <f>ROUND(SUMIF(AA209:AA216,"=55917799",S209:S216),2)</f>
        <v>261.45999999999998</v>
      </c>
      <c r="DY218" s="12">
        <f>ROUND(SUMIF(AA209:AA216,"=55917799",T209:T216),2)</f>
        <v>0</v>
      </c>
      <c r="DZ218" s="12">
        <f>SUMIF(AA209:AA216,"=55917799",U209:U216)</f>
        <v>0.34227456000000001</v>
      </c>
      <c r="EA218" s="12">
        <f>SUMIF(AA209:AA216,"=55917799",V209:V216)</f>
        <v>0</v>
      </c>
      <c r="EB218" s="12">
        <f>ROUND(SUMIF(AA209:AA216,"=55917799",W209:W216),2)</f>
        <v>0</v>
      </c>
      <c r="EC218" s="12">
        <f>ROUND(SUMIF(AA209:AA216,"=55917799",X209:X216),2)</f>
        <v>248.39</v>
      </c>
      <c r="ED218" s="12">
        <f>ROUND(SUMIF(AA209:AA216,"=55917799",Y209:Y216),2)</f>
        <v>138.57</v>
      </c>
      <c r="EE218" s="12"/>
      <c r="EF218" s="12"/>
      <c r="EG218" s="12">
        <f t="shared" ref="EG218:EV218" si="210">ROUND(FP218,2)</f>
        <v>0</v>
      </c>
      <c r="EH218" s="12">
        <f t="shared" si="210"/>
        <v>4810.3500000000004</v>
      </c>
      <c r="EI218" s="12">
        <f t="shared" si="210"/>
        <v>0</v>
      </c>
      <c r="EJ218" s="12">
        <f t="shared" si="210"/>
        <v>8449.77</v>
      </c>
      <c r="EK218" s="12">
        <f t="shared" si="210"/>
        <v>0</v>
      </c>
      <c r="EL218" s="12">
        <f t="shared" si="210"/>
        <v>3639.42</v>
      </c>
      <c r="EM218" s="12">
        <f t="shared" si="210"/>
        <v>0</v>
      </c>
      <c r="EN218" s="12">
        <f t="shared" si="210"/>
        <v>7801.15</v>
      </c>
      <c r="EO218" s="12">
        <f t="shared" si="210"/>
        <v>2990.8</v>
      </c>
      <c r="EP218" s="12">
        <f t="shared" si="210"/>
        <v>0</v>
      </c>
      <c r="EQ218" s="12">
        <f t="shared" si="210"/>
        <v>2990.8</v>
      </c>
      <c r="ER218" s="12">
        <f t="shared" si="210"/>
        <v>4810.3500000000004</v>
      </c>
      <c r="ES218" s="12">
        <f t="shared" si="210"/>
        <v>0</v>
      </c>
      <c r="ET218" s="12">
        <f t="shared" si="210"/>
        <v>0</v>
      </c>
      <c r="EU218" s="12">
        <f t="shared" si="210"/>
        <v>0</v>
      </c>
      <c r="EV218" s="12">
        <f t="shared" si="210"/>
        <v>0</v>
      </c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>
        <f>ROUND(SUMIF(AA209:AA216,"=55917799",FQ209:FQ216),2)</f>
        <v>0</v>
      </c>
      <c r="FQ218" s="12">
        <f>ROUND(SUMIF(AA209:AA216,"=55917799",FR209:FR216),2)</f>
        <v>4810.3500000000004</v>
      </c>
      <c r="FR218" s="12">
        <f>ROUND(SUMIF(AA209:AA216,"=55917799",GL209:GL216),2)</f>
        <v>0</v>
      </c>
      <c r="FS218" s="12">
        <f>ROUND(SUMIF(AA209:AA216,"=55917799",GM209:GM216),2)</f>
        <v>8449.77</v>
      </c>
      <c r="FT218" s="12">
        <f>ROUND(SUMIF(AA209:AA216,"=55917799",GN209:GN216),2)</f>
        <v>0</v>
      </c>
      <c r="FU218" s="12">
        <f>ROUND(SUMIF(AA209:AA216,"=55917799",GO209:GO216),2)</f>
        <v>3639.42</v>
      </c>
      <c r="FV218" s="12">
        <f>ROUND(SUMIF(AA209:AA216,"=55917799",GP209:GP216),2)</f>
        <v>0</v>
      </c>
      <c r="FW218" s="12">
        <f>DU218-FP218</f>
        <v>7801.15</v>
      </c>
      <c r="FX218" s="12">
        <f>DU218-FQ218</f>
        <v>2990.7999999999993</v>
      </c>
      <c r="FY218" s="12">
        <f>FP218-FR218</f>
        <v>0</v>
      </c>
      <c r="FZ218" s="12">
        <f>DU218-FP218-FQ218+FR218</f>
        <v>2990.7999999999993</v>
      </c>
      <c r="GA218" s="12">
        <f>FQ218-FR218</f>
        <v>4810.3500000000004</v>
      </c>
      <c r="GB218" s="12">
        <f>ROUND(SUMIF(AA209:AA216,"=55917799",GX209:GX216),2)</f>
        <v>0</v>
      </c>
      <c r="GC218" s="12">
        <f>ROUND(SUMIF(AA209:AA216,"=55917799",GY209:GY216),2)</f>
        <v>0</v>
      </c>
      <c r="GD218" s="12">
        <f>ROUND(SUMIF(AA209:AA216,"=55917799",GZ209:GZ216),2)</f>
        <v>0</v>
      </c>
      <c r="GE218" s="12">
        <f>ROUND(SUMIF(AA209:AA216,"=55917799",HD209:HD216),2)</f>
        <v>0</v>
      </c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>
        <v>0</v>
      </c>
    </row>
    <row r="220" spans="1:255" ht="13" x14ac:dyDescent="0.3">
      <c r="A220" s="13">
        <v>50</v>
      </c>
      <c r="B220" s="13">
        <v>0</v>
      </c>
      <c r="C220" s="13">
        <v>0</v>
      </c>
      <c r="D220" s="13">
        <v>1</v>
      </c>
      <c r="E220" s="13">
        <v>201</v>
      </c>
      <c r="F220" s="13">
        <f>ROUND(Source!O218,O220)</f>
        <v>665.43</v>
      </c>
      <c r="G220" s="13" t="s">
        <v>88</v>
      </c>
      <c r="H220" s="13" t="s">
        <v>89</v>
      </c>
      <c r="I220" s="13"/>
      <c r="J220" s="13"/>
      <c r="K220" s="13">
        <v>201</v>
      </c>
      <c r="L220" s="13">
        <v>1</v>
      </c>
      <c r="M220" s="13">
        <v>3</v>
      </c>
      <c r="N220" s="13" t="s">
        <v>3</v>
      </c>
      <c r="O220" s="13">
        <v>2</v>
      </c>
      <c r="P220" s="13">
        <f>ROUND(Source!DG218,O220)</f>
        <v>8062.81</v>
      </c>
      <c r="Q220" s="13"/>
      <c r="R220" s="13"/>
      <c r="S220" s="13"/>
      <c r="T220" s="13"/>
      <c r="U220" s="13"/>
      <c r="V220" s="13"/>
      <c r="W220" s="13">
        <v>665.43</v>
      </c>
      <c r="X220" s="13">
        <v>1</v>
      </c>
      <c r="Y220" s="13">
        <v>665.43</v>
      </c>
      <c r="Z220" s="13">
        <v>8062.81</v>
      </c>
      <c r="AA220" s="13">
        <v>1</v>
      </c>
      <c r="AB220" s="13">
        <v>8062.81</v>
      </c>
    </row>
    <row r="221" spans="1:255" ht="13" x14ac:dyDescent="0.3">
      <c r="A221" s="13">
        <v>50</v>
      </c>
      <c r="B221" s="13">
        <v>0</v>
      </c>
      <c r="C221" s="13">
        <v>0</v>
      </c>
      <c r="D221" s="13">
        <v>1</v>
      </c>
      <c r="E221" s="13">
        <v>202</v>
      </c>
      <c r="F221" s="13">
        <f>ROUND(Source!P218,O221)</f>
        <v>660.77</v>
      </c>
      <c r="G221" s="13" t="s">
        <v>90</v>
      </c>
      <c r="H221" s="13" t="s">
        <v>91</v>
      </c>
      <c r="I221" s="13"/>
      <c r="J221" s="13"/>
      <c r="K221" s="13">
        <v>202</v>
      </c>
      <c r="L221" s="13">
        <v>2</v>
      </c>
      <c r="M221" s="13">
        <v>3</v>
      </c>
      <c r="N221" s="13" t="s">
        <v>3</v>
      </c>
      <c r="O221" s="13">
        <v>2</v>
      </c>
      <c r="P221" s="13">
        <f>ROUND(Source!DH218,O221)</f>
        <v>7801.15</v>
      </c>
      <c r="Q221" s="13"/>
      <c r="R221" s="13"/>
      <c r="S221" s="13"/>
      <c r="T221" s="13"/>
      <c r="U221" s="13"/>
      <c r="V221" s="13"/>
      <c r="W221" s="13">
        <v>660.77</v>
      </c>
      <c r="X221" s="13">
        <v>1</v>
      </c>
      <c r="Y221" s="13">
        <v>660.77</v>
      </c>
      <c r="Z221" s="13">
        <v>7801.15</v>
      </c>
      <c r="AA221" s="13">
        <v>1</v>
      </c>
      <c r="AB221" s="13">
        <v>7801.15</v>
      </c>
    </row>
    <row r="222" spans="1:255" ht="13" x14ac:dyDescent="0.3">
      <c r="A222" s="13">
        <v>50</v>
      </c>
      <c r="B222" s="13">
        <v>0</v>
      </c>
      <c r="C222" s="13">
        <v>0</v>
      </c>
      <c r="D222" s="13">
        <v>1</v>
      </c>
      <c r="E222" s="13">
        <v>222</v>
      </c>
      <c r="F222" s="13">
        <f>ROUND(Source!AO218,O222)</f>
        <v>0</v>
      </c>
      <c r="G222" s="13" t="s">
        <v>92</v>
      </c>
      <c r="H222" s="13" t="s">
        <v>93</v>
      </c>
      <c r="I222" s="13"/>
      <c r="J222" s="13"/>
      <c r="K222" s="13">
        <v>222</v>
      </c>
      <c r="L222" s="13">
        <v>3</v>
      </c>
      <c r="M222" s="13">
        <v>3</v>
      </c>
      <c r="N222" s="13" t="s">
        <v>3</v>
      </c>
      <c r="O222" s="13">
        <v>2</v>
      </c>
      <c r="P222" s="13">
        <f>ROUND(Source!EG218,O222)</f>
        <v>0</v>
      </c>
      <c r="Q222" s="13"/>
      <c r="R222" s="13"/>
      <c r="S222" s="13"/>
      <c r="T222" s="13"/>
      <c r="U222" s="13"/>
      <c r="V222" s="13"/>
      <c r="W222" s="13">
        <v>0</v>
      </c>
      <c r="X222" s="13">
        <v>1</v>
      </c>
      <c r="Y222" s="13">
        <v>0</v>
      </c>
      <c r="Z222" s="13">
        <v>0</v>
      </c>
      <c r="AA222" s="13">
        <v>1</v>
      </c>
      <c r="AB222" s="13">
        <v>0</v>
      </c>
    </row>
    <row r="223" spans="1:255" ht="13" x14ac:dyDescent="0.3">
      <c r="A223" s="13">
        <v>50</v>
      </c>
      <c r="B223" s="13">
        <v>0</v>
      </c>
      <c r="C223" s="13">
        <v>0</v>
      </c>
      <c r="D223" s="13">
        <v>1</v>
      </c>
      <c r="E223" s="13">
        <v>225</v>
      </c>
      <c r="F223" s="13">
        <f>ROUND(Source!AV218,O223)</f>
        <v>660.77</v>
      </c>
      <c r="G223" s="13" t="s">
        <v>94</v>
      </c>
      <c r="H223" s="13" t="s">
        <v>95</v>
      </c>
      <c r="I223" s="13"/>
      <c r="J223" s="13"/>
      <c r="K223" s="13">
        <v>225</v>
      </c>
      <c r="L223" s="13">
        <v>4</v>
      </c>
      <c r="M223" s="13">
        <v>3</v>
      </c>
      <c r="N223" s="13" t="s">
        <v>3</v>
      </c>
      <c r="O223" s="13">
        <v>2</v>
      </c>
      <c r="P223" s="13">
        <f>ROUND(Source!EN218,O223)</f>
        <v>7801.15</v>
      </c>
      <c r="Q223" s="13"/>
      <c r="R223" s="13"/>
      <c r="S223" s="13"/>
      <c r="T223" s="13"/>
      <c r="U223" s="13"/>
      <c r="V223" s="13"/>
      <c r="W223" s="13">
        <v>660.77</v>
      </c>
      <c r="X223" s="13">
        <v>1</v>
      </c>
      <c r="Y223" s="13">
        <v>660.77</v>
      </c>
      <c r="Z223" s="13">
        <v>7801.15</v>
      </c>
      <c r="AA223" s="13">
        <v>1</v>
      </c>
      <c r="AB223" s="13">
        <v>7801.15</v>
      </c>
    </row>
    <row r="224" spans="1:255" ht="13" x14ac:dyDescent="0.3">
      <c r="A224" s="13">
        <v>50</v>
      </c>
      <c r="B224" s="13">
        <v>0</v>
      </c>
      <c r="C224" s="13">
        <v>0</v>
      </c>
      <c r="D224" s="13">
        <v>1</v>
      </c>
      <c r="E224" s="13">
        <v>226</v>
      </c>
      <c r="F224" s="13">
        <f>ROUND(Source!AW218,O224)</f>
        <v>318.64</v>
      </c>
      <c r="G224" s="13" t="s">
        <v>96</v>
      </c>
      <c r="H224" s="13" t="s">
        <v>97</v>
      </c>
      <c r="I224" s="13"/>
      <c r="J224" s="13"/>
      <c r="K224" s="13">
        <v>226</v>
      </c>
      <c r="L224" s="13">
        <v>5</v>
      </c>
      <c r="M224" s="13">
        <v>3</v>
      </c>
      <c r="N224" s="13" t="s">
        <v>3</v>
      </c>
      <c r="O224" s="13">
        <v>2</v>
      </c>
      <c r="P224" s="13">
        <f>ROUND(Source!EO218,O224)</f>
        <v>2990.8</v>
      </c>
      <c r="Q224" s="13"/>
      <c r="R224" s="13"/>
      <c r="S224" s="13"/>
      <c r="T224" s="13"/>
      <c r="U224" s="13"/>
      <c r="V224" s="13"/>
      <c r="W224" s="13">
        <v>318.64</v>
      </c>
      <c r="X224" s="13">
        <v>1</v>
      </c>
      <c r="Y224" s="13">
        <v>318.64</v>
      </c>
      <c r="Z224" s="13">
        <v>2990.8</v>
      </c>
      <c r="AA224" s="13">
        <v>1</v>
      </c>
      <c r="AB224" s="13">
        <v>2990.8</v>
      </c>
    </row>
    <row r="225" spans="1:28" ht="13" x14ac:dyDescent="0.3">
      <c r="A225" s="13">
        <v>50</v>
      </c>
      <c r="B225" s="13">
        <v>0</v>
      </c>
      <c r="C225" s="13">
        <v>0</v>
      </c>
      <c r="D225" s="13">
        <v>1</v>
      </c>
      <c r="E225" s="13">
        <v>227</v>
      </c>
      <c r="F225" s="13">
        <f>ROUND(Source!AX218,O225)</f>
        <v>0</v>
      </c>
      <c r="G225" s="13" t="s">
        <v>98</v>
      </c>
      <c r="H225" s="13" t="s">
        <v>99</v>
      </c>
      <c r="I225" s="13"/>
      <c r="J225" s="13"/>
      <c r="K225" s="13">
        <v>227</v>
      </c>
      <c r="L225" s="13">
        <v>6</v>
      </c>
      <c r="M225" s="13">
        <v>3</v>
      </c>
      <c r="N225" s="13" t="s">
        <v>3</v>
      </c>
      <c r="O225" s="13">
        <v>2</v>
      </c>
      <c r="P225" s="13">
        <f>ROUND(Source!EP218,O225)</f>
        <v>0</v>
      </c>
      <c r="Q225" s="13"/>
      <c r="R225" s="13"/>
      <c r="S225" s="13"/>
      <c r="T225" s="13"/>
      <c r="U225" s="13"/>
      <c r="V225" s="13"/>
      <c r="W225" s="13">
        <v>0</v>
      </c>
      <c r="X225" s="13">
        <v>1</v>
      </c>
      <c r="Y225" s="13">
        <v>0</v>
      </c>
      <c r="Z225" s="13">
        <v>0</v>
      </c>
      <c r="AA225" s="13">
        <v>1</v>
      </c>
      <c r="AB225" s="13">
        <v>0</v>
      </c>
    </row>
    <row r="226" spans="1:28" ht="13" x14ac:dyDescent="0.3">
      <c r="A226" s="13">
        <v>50</v>
      </c>
      <c r="B226" s="13">
        <v>0</v>
      </c>
      <c r="C226" s="13">
        <v>0</v>
      </c>
      <c r="D226" s="13">
        <v>1</v>
      </c>
      <c r="E226" s="13">
        <v>228</v>
      </c>
      <c r="F226" s="13">
        <f>ROUND(Source!AY218,O226)</f>
        <v>318.64</v>
      </c>
      <c r="G226" s="13" t="s">
        <v>100</v>
      </c>
      <c r="H226" s="13" t="s">
        <v>101</v>
      </c>
      <c r="I226" s="13"/>
      <c r="J226" s="13"/>
      <c r="K226" s="13">
        <v>228</v>
      </c>
      <c r="L226" s="13">
        <v>7</v>
      </c>
      <c r="M226" s="13">
        <v>3</v>
      </c>
      <c r="N226" s="13" t="s">
        <v>3</v>
      </c>
      <c r="O226" s="13">
        <v>2</v>
      </c>
      <c r="P226" s="13">
        <f>ROUND(Source!EQ218,O226)</f>
        <v>2990.8</v>
      </c>
      <c r="Q226" s="13"/>
      <c r="R226" s="13"/>
      <c r="S226" s="13"/>
      <c r="T226" s="13"/>
      <c r="U226" s="13"/>
      <c r="V226" s="13"/>
      <c r="W226" s="13">
        <v>318.64</v>
      </c>
      <c r="X226" s="13">
        <v>1</v>
      </c>
      <c r="Y226" s="13">
        <v>318.64</v>
      </c>
      <c r="Z226" s="13">
        <v>2990.8</v>
      </c>
      <c r="AA226" s="13">
        <v>1</v>
      </c>
      <c r="AB226" s="13">
        <v>2990.8</v>
      </c>
    </row>
    <row r="227" spans="1:28" ht="13" x14ac:dyDescent="0.3">
      <c r="A227" s="13">
        <v>50</v>
      </c>
      <c r="B227" s="13">
        <v>0</v>
      </c>
      <c r="C227" s="13">
        <v>0</v>
      </c>
      <c r="D227" s="13">
        <v>1</v>
      </c>
      <c r="E227" s="13">
        <v>216</v>
      </c>
      <c r="F227" s="13">
        <f>ROUND(Source!AP218,O227)</f>
        <v>342.13</v>
      </c>
      <c r="G227" s="13" t="s">
        <v>102</v>
      </c>
      <c r="H227" s="13" t="s">
        <v>103</v>
      </c>
      <c r="I227" s="13"/>
      <c r="J227" s="13"/>
      <c r="K227" s="13">
        <v>216</v>
      </c>
      <c r="L227" s="13">
        <v>8</v>
      </c>
      <c r="M227" s="13">
        <v>3</v>
      </c>
      <c r="N227" s="13" t="s">
        <v>3</v>
      </c>
      <c r="O227" s="13">
        <v>2</v>
      </c>
      <c r="P227" s="13">
        <f>ROUND(Source!EH218,O227)</f>
        <v>4810.3500000000004</v>
      </c>
      <c r="Q227" s="13"/>
      <c r="R227" s="13"/>
      <c r="S227" s="13"/>
      <c r="T227" s="13"/>
      <c r="U227" s="13"/>
      <c r="V227" s="13"/>
      <c r="W227" s="13">
        <v>342.13</v>
      </c>
      <c r="X227" s="13">
        <v>1</v>
      </c>
      <c r="Y227" s="13">
        <v>342.13</v>
      </c>
      <c r="Z227" s="13">
        <v>4810.3500000000004</v>
      </c>
      <c r="AA227" s="13">
        <v>1</v>
      </c>
      <c r="AB227" s="13">
        <v>4810.3500000000004</v>
      </c>
    </row>
    <row r="228" spans="1:28" ht="13" x14ac:dyDescent="0.3">
      <c r="A228" s="13">
        <v>50</v>
      </c>
      <c r="B228" s="13">
        <v>0</v>
      </c>
      <c r="C228" s="13">
        <v>0</v>
      </c>
      <c r="D228" s="13">
        <v>1</v>
      </c>
      <c r="E228" s="13">
        <v>223</v>
      </c>
      <c r="F228" s="13">
        <f>ROUND(Source!AQ218,O228)</f>
        <v>0</v>
      </c>
      <c r="G228" s="13" t="s">
        <v>104</v>
      </c>
      <c r="H228" s="13" t="s">
        <v>105</v>
      </c>
      <c r="I228" s="13"/>
      <c r="J228" s="13"/>
      <c r="K228" s="13">
        <v>223</v>
      </c>
      <c r="L228" s="13">
        <v>9</v>
      </c>
      <c r="M228" s="13">
        <v>3</v>
      </c>
      <c r="N228" s="13" t="s">
        <v>3</v>
      </c>
      <c r="O228" s="13">
        <v>2</v>
      </c>
      <c r="P228" s="13">
        <f>ROUND(Source!EI218,O228)</f>
        <v>0</v>
      </c>
      <c r="Q228" s="13"/>
      <c r="R228" s="13"/>
      <c r="S228" s="13"/>
      <c r="T228" s="13"/>
      <c r="U228" s="13"/>
      <c r="V228" s="13"/>
      <c r="W228" s="13">
        <v>0</v>
      </c>
      <c r="X228" s="13">
        <v>1</v>
      </c>
      <c r="Y228" s="13">
        <v>0</v>
      </c>
      <c r="Z228" s="13">
        <v>0</v>
      </c>
      <c r="AA228" s="13">
        <v>1</v>
      </c>
      <c r="AB228" s="13">
        <v>0</v>
      </c>
    </row>
    <row r="229" spans="1:28" ht="13" x14ac:dyDescent="0.3">
      <c r="A229" s="13">
        <v>50</v>
      </c>
      <c r="B229" s="13">
        <v>0</v>
      </c>
      <c r="C229" s="13">
        <v>0</v>
      </c>
      <c r="D229" s="13">
        <v>1</v>
      </c>
      <c r="E229" s="13">
        <v>229</v>
      </c>
      <c r="F229" s="13">
        <f>ROUND(Source!AZ218,O229)</f>
        <v>342.13</v>
      </c>
      <c r="G229" s="13" t="s">
        <v>106</v>
      </c>
      <c r="H229" s="13" t="s">
        <v>107</v>
      </c>
      <c r="I229" s="13"/>
      <c r="J229" s="13"/>
      <c r="K229" s="13">
        <v>229</v>
      </c>
      <c r="L229" s="13">
        <v>10</v>
      </c>
      <c r="M229" s="13">
        <v>3</v>
      </c>
      <c r="N229" s="13" t="s">
        <v>3</v>
      </c>
      <c r="O229" s="13">
        <v>2</v>
      </c>
      <c r="P229" s="13">
        <f>ROUND(Source!ER218,O229)</f>
        <v>4810.3500000000004</v>
      </c>
      <c r="Q229" s="13"/>
      <c r="R229" s="13"/>
      <c r="S229" s="13"/>
      <c r="T229" s="13"/>
      <c r="U229" s="13"/>
      <c r="V229" s="13"/>
      <c r="W229" s="13">
        <v>342.13</v>
      </c>
      <c r="X229" s="13">
        <v>1</v>
      </c>
      <c r="Y229" s="13">
        <v>342.13</v>
      </c>
      <c r="Z229" s="13">
        <v>4810.3500000000004</v>
      </c>
      <c r="AA229" s="13">
        <v>1</v>
      </c>
      <c r="AB229" s="13">
        <v>4810.3500000000004</v>
      </c>
    </row>
    <row r="230" spans="1:28" ht="13" x14ac:dyDescent="0.3">
      <c r="A230" s="13">
        <v>50</v>
      </c>
      <c r="B230" s="13">
        <v>0</v>
      </c>
      <c r="C230" s="13">
        <v>0</v>
      </c>
      <c r="D230" s="13">
        <v>1</v>
      </c>
      <c r="E230" s="13">
        <v>203</v>
      </c>
      <c r="F230" s="13">
        <f>ROUND(Source!Q218,O230)</f>
        <v>0.02</v>
      </c>
      <c r="G230" s="13" t="s">
        <v>108</v>
      </c>
      <c r="H230" s="13" t="s">
        <v>109</v>
      </c>
      <c r="I230" s="13"/>
      <c r="J230" s="13"/>
      <c r="K230" s="13">
        <v>203</v>
      </c>
      <c r="L230" s="13">
        <v>11</v>
      </c>
      <c r="M230" s="13">
        <v>3</v>
      </c>
      <c r="N230" s="13" t="s">
        <v>3</v>
      </c>
      <c r="O230" s="13">
        <v>2</v>
      </c>
      <c r="P230" s="13">
        <f>ROUND(Source!DI218,O230)</f>
        <v>0.2</v>
      </c>
      <c r="Q230" s="13"/>
      <c r="R230" s="13"/>
      <c r="S230" s="13"/>
      <c r="T230" s="13"/>
      <c r="U230" s="13"/>
      <c r="V230" s="13"/>
      <c r="W230" s="13">
        <v>0.02</v>
      </c>
      <c r="X230" s="13">
        <v>1</v>
      </c>
      <c r="Y230" s="13">
        <v>0.02</v>
      </c>
      <c r="Z230" s="13">
        <v>0.2</v>
      </c>
      <c r="AA230" s="13">
        <v>1</v>
      </c>
      <c r="AB230" s="13">
        <v>0.2</v>
      </c>
    </row>
    <row r="231" spans="1:28" ht="13" x14ac:dyDescent="0.3">
      <c r="A231" s="13">
        <v>50</v>
      </c>
      <c r="B231" s="13">
        <v>0</v>
      </c>
      <c r="C231" s="13">
        <v>0</v>
      </c>
      <c r="D231" s="13">
        <v>1</v>
      </c>
      <c r="E231" s="13">
        <v>231</v>
      </c>
      <c r="F231" s="13">
        <f>ROUND(Source!BB218,O231)</f>
        <v>0</v>
      </c>
      <c r="G231" s="13" t="s">
        <v>110</v>
      </c>
      <c r="H231" s="13" t="s">
        <v>111</v>
      </c>
      <c r="I231" s="13"/>
      <c r="J231" s="13"/>
      <c r="K231" s="13">
        <v>231</v>
      </c>
      <c r="L231" s="13">
        <v>12</v>
      </c>
      <c r="M231" s="13">
        <v>3</v>
      </c>
      <c r="N231" s="13" t="s">
        <v>3</v>
      </c>
      <c r="O231" s="13">
        <v>2</v>
      </c>
      <c r="P231" s="13">
        <f>ROUND(Source!ET218,O231)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8" ht="13" x14ac:dyDescent="0.3">
      <c r="A232" s="13">
        <v>50</v>
      </c>
      <c r="B232" s="13">
        <v>0</v>
      </c>
      <c r="C232" s="13">
        <v>0</v>
      </c>
      <c r="D232" s="13">
        <v>1</v>
      </c>
      <c r="E232" s="13">
        <v>204</v>
      </c>
      <c r="F232" s="13">
        <f>ROUND(Source!R218,O232)</f>
        <v>0</v>
      </c>
      <c r="G232" s="13" t="s">
        <v>112</v>
      </c>
      <c r="H232" s="13" t="s">
        <v>113</v>
      </c>
      <c r="I232" s="13"/>
      <c r="J232" s="13"/>
      <c r="K232" s="13">
        <v>204</v>
      </c>
      <c r="L232" s="13">
        <v>13</v>
      </c>
      <c r="M232" s="13">
        <v>3</v>
      </c>
      <c r="N232" s="13" t="s">
        <v>3</v>
      </c>
      <c r="O232" s="13">
        <v>2</v>
      </c>
      <c r="P232" s="13">
        <f>ROUND(Source!DJ218,O232)</f>
        <v>0</v>
      </c>
      <c r="Q232" s="13"/>
      <c r="R232" s="13"/>
      <c r="S232" s="13"/>
      <c r="T232" s="13"/>
      <c r="U232" s="13"/>
      <c r="V232" s="13"/>
      <c r="W232" s="13">
        <v>0</v>
      </c>
      <c r="X232" s="13">
        <v>1</v>
      </c>
      <c r="Y232" s="13">
        <v>0</v>
      </c>
      <c r="Z232" s="13">
        <v>0</v>
      </c>
      <c r="AA232" s="13">
        <v>1</v>
      </c>
      <c r="AB232" s="13">
        <v>0</v>
      </c>
    </row>
    <row r="233" spans="1:28" ht="13" x14ac:dyDescent="0.3">
      <c r="A233" s="13">
        <v>50</v>
      </c>
      <c r="B233" s="13">
        <v>0</v>
      </c>
      <c r="C233" s="13">
        <v>0</v>
      </c>
      <c r="D233" s="13">
        <v>1</v>
      </c>
      <c r="E233" s="13">
        <v>205</v>
      </c>
      <c r="F233" s="13">
        <f>ROUND(Source!S218,O233)</f>
        <v>4.6399999999999997</v>
      </c>
      <c r="G233" s="13" t="s">
        <v>114</v>
      </c>
      <c r="H233" s="13" t="s">
        <v>115</v>
      </c>
      <c r="I233" s="13"/>
      <c r="J233" s="13"/>
      <c r="K233" s="13">
        <v>205</v>
      </c>
      <c r="L233" s="13">
        <v>14</v>
      </c>
      <c r="M233" s="13">
        <v>3</v>
      </c>
      <c r="N233" s="13" t="s">
        <v>3</v>
      </c>
      <c r="O233" s="13">
        <v>2</v>
      </c>
      <c r="P233" s="13">
        <f>ROUND(Source!DK218,O233)</f>
        <v>261.45999999999998</v>
      </c>
      <c r="Q233" s="13"/>
      <c r="R233" s="13"/>
      <c r="S233" s="13"/>
      <c r="T233" s="13"/>
      <c r="U233" s="13"/>
      <c r="V233" s="13"/>
      <c r="W233" s="13">
        <v>4.6399999999999997</v>
      </c>
      <c r="X233" s="13">
        <v>1</v>
      </c>
      <c r="Y233" s="13">
        <v>4.6399999999999997</v>
      </c>
      <c r="Z233" s="13">
        <v>261.45999999999998</v>
      </c>
      <c r="AA233" s="13">
        <v>1</v>
      </c>
      <c r="AB233" s="13">
        <v>261.45999999999998</v>
      </c>
    </row>
    <row r="234" spans="1:28" ht="13" x14ac:dyDescent="0.3">
      <c r="A234" s="13">
        <v>50</v>
      </c>
      <c r="B234" s="13">
        <v>0</v>
      </c>
      <c r="C234" s="13">
        <v>0</v>
      </c>
      <c r="D234" s="13">
        <v>1</v>
      </c>
      <c r="E234" s="13">
        <v>232</v>
      </c>
      <c r="F234" s="13">
        <f>ROUND(Source!BC218,O234)</f>
        <v>0</v>
      </c>
      <c r="G234" s="13" t="s">
        <v>116</v>
      </c>
      <c r="H234" s="13" t="s">
        <v>117</v>
      </c>
      <c r="I234" s="13"/>
      <c r="J234" s="13"/>
      <c r="K234" s="13">
        <v>232</v>
      </c>
      <c r="L234" s="13">
        <v>15</v>
      </c>
      <c r="M234" s="13">
        <v>3</v>
      </c>
      <c r="N234" s="13" t="s">
        <v>3</v>
      </c>
      <c r="O234" s="13">
        <v>2</v>
      </c>
      <c r="P234" s="13">
        <f>ROUND(Source!EU218,O234)</f>
        <v>0</v>
      </c>
      <c r="Q234" s="13"/>
      <c r="R234" s="13"/>
      <c r="S234" s="13"/>
      <c r="T234" s="13"/>
      <c r="U234" s="13"/>
      <c r="V234" s="13"/>
      <c r="W234" s="13">
        <v>0</v>
      </c>
      <c r="X234" s="13">
        <v>1</v>
      </c>
      <c r="Y234" s="13">
        <v>0</v>
      </c>
      <c r="Z234" s="13">
        <v>0</v>
      </c>
      <c r="AA234" s="13">
        <v>1</v>
      </c>
      <c r="AB234" s="13">
        <v>0</v>
      </c>
    </row>
    <row r="235" spans="1:28" ht="13" x14ac:dyDescent="0.3">
      <c r="A235" s="13">
        <v>50</v>
      </c>
      <c r="B235" s="13">
        <v>0</v>
      </c>
      <c r="C235" s="13">
        <v>0</v>
      </c>
      <c r="D235" s="13">
        <v>1</v>
      </c>
      <c r="E235" s="13">
        <v>214</v>
      </c>
      <c r="F235" s="13">
        <f>ROUND(Source!AS218,O235)</f>
        <v>0</v>
      </c>
      <c r="G235" s="13" t="s">
        <v>118</v>
      </c>
      <c r="H235" s="13" t="s">
        <v>119</v>
      </c>
      <c r="I235" s="13"/>
      <c r="J235" s="13"/>
      <c r="K235" s="13">
        <v>214</v>
      </c>
      <c r="L235" s="13">
        <v>16</v>
      </c>
      <c r="M235" s="13">
        <v>3</v>
      </c>
      <c r="N235" s="13" t="s">
        <v>3</v>
      </c>
      <c r="O235" s="13">
        <v>2</v>
      </c>
      <c r="P235" s="13">
        <f>ROUND(Source!EK218,O235)</f>
        <v>0</v>
      </c>
      <c r="Q235" s="13"/>
      <c r="R235" s="13"/>
      <c r="S235" s="13"/>
      <c r="T235" s="13"/>
      <c r="U235" s="13"/>
      <c r="V235" s="13"/>
      <c r="W235" s="13">
        <v>0</v>
      </c>
      <c r="X235" s="13">
        <v>1</v>
      </c>
      <c r="Y235" s="13">
        <v>0</v>
      </c>
      <c r="Z235" s="13">
        <v>0</v>
      </c>
      <c r="AA235" s="13">
        <v>1</v>
      </c>
      <c r="AB235" s="13">
        <v>0</v>
      </c>
    </row>
    <row r="236" spans="1:28" ht="13" x14ac:dyDescent="0.3">
      <c r="A236" s="13">
        <v>50</v>
      </c>
      <c r="B236" s="13">
        <v>0</v>
      </c>
      <c r="C236" s="13">
        <v>0</v>
      </c>
      <c r="D236" s="13">
        <v>1</v>
      </c>
      <c r="E236" s="13">
        <v>215</v>
      </c>
      <c r="F236" s="13">
        <f>ROUND(Source!AT218,O236)</f>
        <v>330.17</v>
      </c>
      <c r="G236" s="13" t="s">
        <v>120</v>
      </c>
      <c r="H236" s="13" t="s">
        <v>121</v>
      </c>
      <c r="I236" s="13"/>
      <c r="J236" s="13"/>
      <c r="K236" s="13">
        <v>215</v>
      </c>
      <c r="L236" s="13">
        <v>17</v>
      </c>
      <c r="M236" s="13">
        <v>3</v>
      </c>
      <c r="N236" s="13" t="s">
        <v>3</v>
      </c>
      <c r="O236" s="13">
        <v>2</v>
      </c>
      <c r="P236" s="13">
        <f>ROUND(Source!EL218,O236)</f>
        <v>3639.42</v>
      </c>
      <c r="Q236" s="13"/>
      <c r="R236" s="13"/>
      <c r="S236" s="13"/>
      <c r="T236" s="13"/>
      <c r="U236" s="13"/>
      <c r="V236" s="13"/>
      <c r="W236" s="13">
        <v>330.17</v>
      </c>
      <c r="X236" s="13">
        <v>1</v>
      </c>
      <c r="Y236" s="13">
        <v>330.17</v>
      </c>
      <c r="Z236" s="13">
        <v>3639.42</v>
      </c>
      <c r="AA236" s="13">
        <v>1</v>
      </c>
      <c r="AB236" s="13">
        <v>3639.42</v>
      </c>
    </row>
    <row r="237" spans="1:28" ht="13" x14ac:dyDescent="0.3">
      <c r="A237" s="13">
        <v>50</v>
      </c>
      <c r="B237" s="13">
        <v>0</v>
      </c>
      <c r="C237" s="13">
        <v>0</v>
      </c>
      <c r="D237" s="13">
        <v>1</v>
      </c>
      <c r="E237" s="13">
        <v>217</v>
      </c>
      <c r="F237" s="13">
        <f>ROUND(Source!AU218,O237)</f>
        <v>0</v>
      </c>
      <c r="G237" s="13" t="s">
        <v>122</v>
      </c>
      <c r="H237" s="13" t="s">
        <v>123</v>
      </c>
      <c r="I237" s="13"/>
      <c r="J237" s="13"/>
      <c r="K237" s="13">
        <v>217</v>
      </c>
      <c r="L237" s="13">
        <v>18</v>
      </c>
      <c r="M237" s="13">
        <v>3</v>
      </c>
      <c r="N237" s="13" t="s">
        <v>3</v>
      </c>
      <c r="O237" s="13">
        <v>2</v>
      </c>
      <c r="P237" s="13">
        <f>ROUND(Source!EM218,O237)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8" ht="13" x14ac:dyDescent="0.3">
      <c r="A238" s="13">
        <v>50</v>
      </c>
      <c r="B238" s="13">
        <v>0</v>
      </c>
      <c r="C238" s="13">
        <v>0</v>
      </c>
      <c r="D238" s="13">
        <v>1</v>
      </c>
      <c r="E238" s="13">
        <v>230</v>
      </c>
      <c r="F238" s="13">
        <f>ROUND(Source!BA218,O238)</f>
        <v>0</v>
      </c>
      <c r="G238" s="13" t="s">
        <v>124</v>
      </c>
      <c r="H238" s="13" t="s">
        <v>125</v>
      </c>
      <c r="I238" s="13"/>
      <c r="J238" s="13"/>
      <c r="K238" s="13">
        <v>230</v>
      </c>
      <c r="L238" s="13">
        <v>19</v>
      </c>
      <c r="M238" s="13">
        <v>3</v>
      </c>
      <c r="N238" s="13" t="s">
        <v>3</v>
      </c>
      <c r="O238" s="13">
        <v>2</v>
      </c>
      <c r="P238" s="13">
        <f>ROUND(Source!ES218,O238)</f>
        <v>0</v>
      </c>
      <c r="Q238" s="13"/>
      <c r="R238" s="13"/>
      <c r="S238" s="13"/>
      <c r="T238" s="13"/>
      <c r="U238" s="13"/>
      <c r="V238" s="13"/>
      <c r="W238" s="13">
        <v>0</v>
      </c>
      <c r="X238" s="13">
        <v>1</v>
      </c>
      <c r="Y238" s="13">
        <v>0</v>
      </c>
      <c r="Z238" s="13">
        <v>0</v>
      </c>
      <c r="AA238" s="13">
        <v>1</v>
      </c>
      <c r="AB238" s="13">
        <v>0</v>
      </c>
    </row>
    <row r="239" spans="1:28" ht="13" x14ac:dyDescent="0.3">
      <c r="A239" s="13">
        <v>50</v>
      </c>
      <c r="B239" s="13">
        <v>0</v>
      </c>
      <c r="C239" s="13">
        <v>0</v>
      </c>
      <c r="D239" s="13">
        <v>1</v>
      </c>
      <c r="E239" s="13">
        <v>206</v>
      </c>
      <c r="F239" s="13">
        <f>ROUND(Source!T218,O239)</f>
        <v>0</v>
      </c>
      <c r="G239" s="13" t="s">
        <v>126</v>
      </c>
      <c r="H239" s="13" t="s">
        <v>127</v>
      </c>
      <c r="I239" s="13"/>
      <c r="J239" s="13"/>
      <c r="K239" s="13">
        <v>206</v>
      </c>
      <c r="L239" s="13">
        <v>20</v>
      </c>
      <c r="M239" s="13">
        <v>3</v>
      </c>
      <c r="N239" s="13" t="s">
        <v>3</v>
      </c>
      <c r="O239" s="13">
        <v>2</v>
      </c>
      <c r="P239" s="13">
        <f>ROUND(Source!DL218,O239)</f>
        <v>0</v>
      </c>
      <c r="Q239" s="13"/>
      <c r="R239" s="13"/>
      <c r="S239" s="13"/>
      <c r="T239" s="13"/>
      <c r="U239" s="13"/>
      <c r="V239" s="13"/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</row>
    <row r="240" spans="1:28" ht="13" x14ac:dyDescent="0.3">
      <c r="A240" s="13">
        <v>50</v>
      </c>
      <c r="B240" s="13">
        <v>0</v>
      </c>
      <c r="C240" s="13">
        <v>0</v>
      </c>
      <c r="D240" s="13">
        <v>1</v>
      </c>
      <c r="E240" s="13">
        <v>207</v>
      </c>
      <c r="F240" s="13">
        <f>Source!U218</f>
        <v>0.34227456000000001</v>
      </c>
      <c r="G240" s="13" t="s">
        <v>128</v>
      </c>
      <c r="H240" s="13" t="s">
        <v>129</v>
      </c>
      <c r="I240" s="13"/>
      <c r="J240" s="13"/>
      <c r="K240" s="13">
        <v>207</v>
      </c>
      <c r="L240" s="13">
        <v>21</v>
      </c>
      <c r="M240" s="13">
        <v>3</v>
      </c>
      <c r="N240" s="13" t="s">
        <v>3</v>
      </c>
      <c r="O240" s="13">
        <v>-1</v>
      </c>
      <c r="P240" s="13">
        <f>Source!DM218</f>
        <v>0.34227456000000001</v>
      </c>
      <c r="Q240" s="13"/>
      <c r="R240" s="13"/>
      <c r="S240" s="13"/>
      <c r="T240" s="13"/>
      <c r="U240" s="13"/>
      <c r="V240" s="13"/>
      <c r="W240" s="13">
        <v>0.34227456000000001</v>
      </c>
      <c r="X240" s="13">
        <v>1</v>
      </c>
      <c r="Y240" s="13">
        <v>0.34227456000000001</v>
      </c>
      <c r="Z240" s="13">
        <v>0.34227456000000001</v>
      </c>
      <c r="AA240" s="13">
        <v>1</v>
      </c>
      <c r="AB240" s="13">
        <v>0.34227456000000001</v>
      </c>
    </row>
    <row r="241" spans="1:255" ht="13" x14ac:dyDescent="0.3">
      <c r="A241" s="13">
        <v>50</v>
      </c>
      <c r="B241" s="13">
        <v>0</v>
      </c>
      <c r="C241" s="13">
        <v>0</v>
      </c>
      <c r="D241" s="13">
        <v>1</v>
      </c>
      <c r="E241" s="13">
        <v>208</v>
      </c>
      <c r="F241" s="13">
        <f>Source!V218</f>
        <v>0</v>
      </c>
      <c r="G241" s="13" t="s">
        <v>130</v>
      </c>
      <c r="H241" s="13" t="s">
        <v>131</v>
      </c>
      <c r="I241" s="13"/>
      <c r="J241" s="13"/>
      <c r="K241" s="13">
        <v>208</v>
      </c>
      <c r="L241" s="13">
        <v>22</v>
      </c>
      <c r="M241" s="13">
        <v>3</v>
      </c>
      <c r="N241" s="13" t="s">
        <v>3</v>
      </c>
      <c r="O241" s="13">
        <v>-1</v>
      </c>
      <c r="P241" s="13">
        <f>Source!DN218</f>
        <v>0</v>
      </c>
      <c r="Q241" s="13"/>
      <c r="R241" s="13"/>
      <c r="S241" s="13"/>
      <c r="T241" s="13"/>
      <c r="U241" s="13"/>
      <c r="V241" s="13"/>
      <c r="W241" s="13">
        <v>0</v>
      </c>
      <c r="X241" s="13">
        <v>1</v>
      </c>
      <c r="Y241" s="13">
        <v>0</v>
      </c>
      <c r="Z241" s="13">
        <v>0</v>
      </c>
      <c r="AA241" s="13">
        <v>1</v>
      </c>
      <c r="AB241" s="13">
        <v>0</v>
      </c>
    </row>
    <row r="242" spans="1:255" ht="13" x14ac:dyDescent="0.3">
      <c r="A242" s="13">
        <v>50</v>
      </c>
      <c r="B242" s="13">
        <v>0</v>
      </c>
      <c r="C242" s="13">
        <v>0</v>
      </c>
      <c r="D242" s="13">
        <v>1</v>
      </c>
      <c r="E242" s="13">
        <v>209</v>
      </c>
      <c r="F242" s="13">
        <f>ROUND(Source!W218,O242)</f>
        <v>0</v>
      </c>
      <c r="G242" s="13" t="s">
        <v>132</v>
      </c>
      <c r="H242" s="13" t="s">
        <v>133</v>
      </c>
      <c r="I242" s="13"/>
      <c r="J242" s="13"/>
      <c r="K242" s="13">
        <v>209</v>
      </c>
      <c r="L242" s="13">
        <v>23</v>
      </c>
      <c r="M242" s="13">
        <v>3</v>
      </c>
      <c r="N242" s="13" t="s">
        <v>3</v>
      </c>
      <c r="O242" s="13">
        <v>2</v>
      </c>
      <c r="P242" s="13">
        <f>ROUND(Source!DO218,O242)</f>
        <v>0</v>
      </c>
      <c r="Q242" s="13"/>
      <c r="R242" s="13"/>
      <c r="S242" s="13"/>
      <c r="T242" s="13"/>
      <c r="U242" s="13"/>
      <c r="V242" s="13"/>
      <c r="W242" s="13">
        <v>0</v>
      </c>
      <c r="X242" s="13">
        <v>1</v>
      </c>
      <c r="Y242" s="13">
        <v>0</v>
      </c>
      <c r="Z242" s="13">
        <v>0</v>
      </c>
      <c r="AA242" s="13">
        <v>1</v>
      </c>
      <c r="AB242" s="13">
        <v>0</v>
      </c>
    </row>
    <row r="243" spans="1:255" ht="13" x14ac:dyDescent="0.3">
      <c r="A243" s="13">
        <v>50</v>
      </c>
      <c r="B243" s="13">
        <v>0</v>
      </c>
      <c r="C243" s="13">
        <v>0</v>
      </c>
      <c r="D243" s="13">
        <v>1</v>
      </c>
      <c r="E243" s="13">
        <v>233</v>
      </c>
      <c r="F243" s="13">
        <f>ROUND(Source!BD218,O243)</f>
        <v>0</v>
      </c>
      <c r="G243" s="13" t="s">
        <v>134</v>
      </c>
      <c r="H243" s="13" t="s">
        <v>135</v>
      </c>
      <c r="I243" s="13"/>
      <c r="J243" s="13"/>
      <c r="K243" s="13">
        <v>233</v>
      </c>
      <c r="L243" s="13">
        <v>24</v>
      </c>
      <c r="M243" s="13">
        <v>3</v>
      </c>
      <c r="N243" s="13" t="s">
        <v>3</v>
      </c>
      <c r="O243" s="13">
        <v>2</v>
      </c>
      <c r="P243" s="13">
        <f>ROUND(Source!EV218,O243)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55" ht="13" x14ac:dyDescent="0.3">
      <c r="A244" s="13">
        <v>50</v>
      </c>
      <c r="B244" s="13">
        <v>0</v>
      </c>
      <c r="C244" s="13">
        <v>0</v>
      </c>
      <c r="D244" s="13">
        <v>1</v>
      </c>
      <c r="E244" s="13">
        <v>210</v>
      </c>
      <c r="F244" s="13">
        <f>ROUND(Source!X218,O244)</f>
        <v>4.41</v>
      </c>
      <c r="G244" s="13" t="s">
        <v>136</v>
      </c>
      <c r="H244" s="13" t="s">
        <v>137</v>
      </c>
      <c r="I244" s="13"/>
      <c r="J244" s="13"/>
      <c r="K244" s="13">
        <v>210</v>
      </c>
      <c r="L244" s="13">
        <v>25</v>
      </c>
      <c r="M244" s="13">
        <v>3</v>
      </c>
      <c r="N244" s="13" t="s">
        <v>3</v>
      </c>
      <c r="O244" s="13">
        <v>2</v>
      </c>
      <c r="P244" s="13">
        <f>ROUND(Source!DP218,O244)</f>
        <v>248.39</v>
      </c>
      <c r="Q244" s="13"/>
      <c r="R244" s="13"/>
      <c r="S244" s="13"/>
      <c r="T244" s="13"/>
      <c r="U244" s="13"/>
      <c r="V244" s="13"/>
      <c r="W244" s="13">
        <v>4.41</v>
      </c>
      <c r="X244" s="13">
        <v>1</v>
      </c>
      <c r="Y244" s="13">
        <v>4.41</v>
      </c>
      <c r="Z244" s="13">
        <v>248.39</v>
      </c>
      <c r="AA244" s="13">
        <v>1</v>
      </c>
      <c r="AB244" s="13">
        <v>248.39</v>
      </c>
    </row>
    <row r="245" spans="1:255" ht="13" x14ac:dyDescent="0.3">
      <c r="A245" s="13">
        <v>50</v>
      </c>
      <c r="B245" s="13">
        <v>0</v>
      </c>
      <c r="C245" s="13">
        <v>0</v>
      </c>
      <c r="D245" s="13">
        <v>1</v>
      </c>
      <c r="E245" s="13">
        <v>211</v>
      </c>
      <c r="F245" s="13">
        <f>ROUND(Source!Y218,O245)</f>
        <v>2.46</v>
      </c>
      <c r="G245" s="13" t="s">
        <v>138</v>
      </c>
      <c r="H245" s="13" t="s">
        <v>139</v>
      </c>
      <c r="I245" s="13"/>
      <c r="J245" s="13"/>
      <c r="K245" s="13">
        <v>211</v>
      </c>
      <c r="L245" s="13">
        <v>26</v>
      </c>
      <c r="M245" s="13">
        <v>3</v>
      </c>
      <c r="N245" s="13" t="s">
        <v>3</v>
      </c>
      <c r="O245" s="13">
        <v>2</v>
      </c>
      <c r="P245" s="13">
        <f>ROUND(Source!DQ218,O245)</f>
        <v>138.57</v>
      </c>
      <c r="Q245" s="13"/>
      <c r="R245" s="13"/>
      <c r="S245" s="13"/>
      <c r="T245" s="13"/>
      <c r="U245" s="13"/>
      <c r="V245" s="13"/>
      <c r="W245" s="13">
        <v>2.46</v>
      </c>
      <c r="X245" s="13">
        <v>1</v>
      </c>
      <c r="Y245" s="13">
        <v>2.46</v>
      </c>
      <c r="Z245" s="13">
        <v>138.57</v>
      </c>
      <c r="AA245" s="13">
        <v>1</v>
      </c>
      <c r="AB245" s="13">
        <v>138.57</v>
      </c>
    </row>
    <row r="246" spans="1:255" ht="13" x14ac:dyDescent="0.3">
      <c r="A246" s="13">
        <v>50</v>
      </c>
      <c r="B246" s="13">
        <v>0</v>
      </c>
      <c r="C246" s="13">
        <v>0</v>
      </c>
      <c r="D246" s="13">
        <v>1</v>
      </c>
      <c r="E246" s="13">
        <v>224</v>
      </c>
      <c r="F246" s="13">
        <f>ROUND(Source!AR218,O246)</f>
        <v>672.3</v>
      </c>
      <c r="G246" s="13" t="s">
        <v>140</v>
      </c>
      <c r="H246" s="13" t="s">
        <v>141</v>
      </c>
      <c r="I246" s="13"/>
      <c r="J246" s="13"/>
      <c r="K246" s="13">
        <v>224</v>
      </c>
      <c r="L246" s="13">
        <v>27</v>
      </c>
      <c r="M246" s="13">
        <v>3</v>
      </c>
      <c r="N246" s="13" t="s">
        <v>3</v>
      </c>
      <c r="O246" s="13">
        <v>2</v>
      </c>
      <c r="P246" s="13">
        <f>ROUND(Source!EJ218,O246)</f>
        <v>8449.77</v>
      </c>
      <c r="Q246" s="13"/>
      <c r="R246" s="13"/>
      <c r="S246" s="13"/>
      <c r="T246" s="13"/>
      <c r="U246" s="13"/>
      <c r="V246" s="13"/>
      <c r="W246" s="13">
        <v>672.3</v>
      </c>
      <c r="X246" s="13">
        <v>1</v>
      </c>
      <c r="Y246" s="13">
        <v>672.3</v>
      </c>
      <c r="Z246" s="13">
        <v>8449.77</v>
      </c>
      <c r="AA246" s="13">
        <v>1</v>
      </c>
      <c r="AB246" s="13">
        <v>8449.77</v>
      </c>
    </row>
    <row r="248" spans="1:255" ht="13" x14ac:dyDescent="0.3">
      <c r="A248" s="10">
        <v>4</v>
      </c>
      <c r="B248" s="10">
        <v>1</v>
      </c>
      <c r="C248" s="10"/>
      <c r="D248" s="10">
        <f>ROW(A283)</f>
        <v>283</v>
      </c>
      <c r="E248" s="10"/>
      <c r="F248" s="10" t="s">
        <v>42</v>
      </c>
      <c r="G248" s="10" t="s">
        <v>251</v>
      </c>
      <c r="H248" s="10" t="s">
        <v>3</v>
      </c>
      <c r="I248" s="10">
        <v>0</v>
      </c>
      <c r="J248" s="10"/>
      <c r="K248" s="10">
        <v>-1</v>
      </c>
      <c r="L248" s="10"/>
      <c r="M248" s="10" t="s">
        <v>3</v>
      </c>
      <c r="N248" s="10"/>
      <c r="O248" s="10"/>
      <c r="P248" s="10"/>
      <c r="Q248" s="10"/>
      <c r="R248" s="10"/>
      <c r="S248" s="10">
        <v>0</v>
      </c>
      <c r="T248" s="10">
        <v>0</v>
      </c>
      <c r="U248" s="10" t="s">
        <v>3</v>
      </c>
      <c r="V248" s="10">
        <v>0</v>
      </c>
      <c r="W248" s="10"/>
      <c r="X248" s="10"/>
      <c r="Y248" s="10"/>
      <c r="Z248" s="10"/>
      <c r="AA248" s="10"/>
      <c r="AB248" s="10" t="s">
        <v>3</v>
      </c>
      <c r="AC248" s="10" t="s">
        <v>3</v>
      </c>
      <c r="AD248" s="10" t="s">
        <v>3</v>
      </c>
      <c r="AE248" s="10" t="s">
        <v>3</v>
      </c>
      <c r="AF248" s="10" t="s">
        <v>3</v>
      </c>
      <c r="AG248" s="10" t="s">
        <v>3</v>
      </c>
      <c r="AH248" s="10"/>
      <c r="AI248" s="10"/>
      <c r="AJ248" s="10"/>
      <c r="AK248" s="10"/>
      <c r="AL248" s="10"/>
      <c r="AM248" s="10"/>
      <c r="AN248" s="10"/>
      <c r="AO248" s="10"/>
      <c r="AP248" s="10" t="s">
        <v>3</v>
      </c>
      <c r="AQ248" s="10" t="s">
        <v>3</v>
      </c>
      <c r="AR248" s="10" t="s">
        <v>3</v>
      </c>
      <c r="AS248" s="10"/>
      <c r="AT248" s="10"/>
      <c r="AU248" s="10"/>
      <c r="AV248" s="10"/>
      <c r="AW248" s="10"/>
      <c r="AX248" s="10"/>
      <c r="AY248" s="10"/>
      <c r="AZ248" s="10" t="s">
        <v>3</v>
      </c>
      <c r="BA248" s="10"/>
      <c r="BB248" s="10" t="s">
        <v>3</v>
      </c>
      <c r="BC248" s="10" t="s">
        <v>3</v>
      </c>
      <c r="BD248" s="10" t="s">
        <v>3</v>
      </c>
      <c r="BE248" s="10" t="s">
        <v>3</v>
      </c>
      <c r="BF248" s="10" t="s">
        <v>3</v>
      </c>
      <c r="BG248" s="10" t="s">
        <v>3</v>
      </c>
      <c r="BH248" s="10" t="s">
        <v>3</v>
      </c>
      <c r="BI248" s="10" t="s">
        <v>3</v>
      </c>
      <c r="BJ248" s="10" t="s">
        <v>3</v>
      </c>
      <c r="BK248" s="10" t="s">
        <v>3</v>
      </c>
      <c r="BL248" s="10" t="s">
        <v>3</v>
      </c>
      <c r="BM248" s="10" t="s">
        <v>3</v>
      </c>
      <c r="BN248" s="10" t="s">
        <v>3</v>
      </c>
      <c r="BO248" s="10" t="s">
        <v>3</v>
      </c>
      <c r="BP248" s="10" t="s">
        <v>3</v>
      </c>
      <c r="BQ248" s="10"/>
      <c r="BR248" s="10"/>
      <c r="BS248" s="10"/>
      <c r="BT248" s="10"/>
      <c r="BU248" s="10"/>
      <c r="BV248" s="10"/>
      <c r="BW248" s="10"/>
      <c r="BX248" s="10">
        <v>0</v>
      </c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>
        <v>0</v>
      </c>
    </row>
    <row r="250" spans="1:255" ht="13" x14ac:dyDescent="0.3">
      <c r="A250" s="11">
        <v>52</v>
      </c>
      <c r="B250" s="11">
        <f t="shared" ref="B250:G250" si="211">B283</f>
        <v>1</v>
      </c>
      <c r="C250" s="11">
        <f t="shared" si="211"/>
        <v>4</v>
      </c>
      <c r="D250" s="11">
        <f t="shared" si="211"/>
        <v>248</v>
      </c>
      <c r="E250" s="11">
        <f t="shared" si="211"/>
        <v>0</v>
      </c>
      <c r="F250" s="11" t="str">
        <f t="shared" si="211"/>
        <v>4</v>
      </c>
      <c r="G250" s="11" t="str">
        <f t="shared" si="211"/>
        <v>Кабели и провода</v>
      </c>
      <c r="H250" s="11"/>
      <c r="I250" s="11"/>
      <c r="J250" s="11"/>
      <c r="K250" s="11"/>
      <c r="L250" s="11"/>
      <c r="M250" s="11"/>
      <c r="N250" s="11"/>
      <c r="O250" s="11">
        <f t="shared" ref="O250:AT250" si="212">O283</f>
        <v>56365.74</v>
      </c>
      <c r="P250" s="11">
        <f t="shared" si="212"/>
        <v>53914.559999999998</v>
      </c>
      <c r="Q250" s="11">
        <f t="shared" si="212"/>
        <v>260.97000000000003</v>
      </c>
      <c r="R250" s="11">
        <f t="shared" si="212"/>
        <v>12.21</v>
      </c>
      <c r="S250" s="11">
        <f t="shared" si="212"/>
        <v>2190.21</v>
      </c>
      <c r="T250" s="11">
        <f t="shared" si="212"/>
        <v>0</v>
      </c>
      <c r="U250" s="11">
        <f t="shared" si="212"/>
        <v>178.96287239999998</v>
      </c>
      <c r="V250" s="11">
        <f t="shared" si="212"/>
        <v>0</v>
      </c>
      <c r="W250" s="11">
        <f t="shared" si="212"/>
        <v>0</v>
      </c>
      <c r="X250" s="11">
        <f t="shared" si="212"/>
        <v>2109.4299999999998</v>
      </c>
      <c r="Y250" s="11">
        <f t="shared" si="212"/>
        <v>1104</v>
      </c>
      <c r="Z250" s="11">
        <f t="shared" si="212"/>
        <v>0</v>
      </c>
      <c r="AA250" s="11">
        <f t="shared" si="212"/>
        <v>0</v>
      </c>
      <c r="AB250" s="11">
        <f t="shared" si="212"/>
        <v>56365.74</v>
      </c>
      <c r="AC250" s="11">
        <f t="shared" si="212"/>
        <v>53914.559999999998</v>
      </c>
      <c r="AD250" s="11">
        <f t="shared" si="212"/>
        <v>260.97000000000003</v>
      </c>
      <c r="AE250" s="11">
        <f t="shared" si="212"/>
        <v>12.21</v>
      </c>
      <c r="AF250" s="11">
        <f t="shared" si="212"/>
        <v>2190.21</v>
      </c>
      <c r="AG250" s="11">
        <f t="shared" si="212"/>
        <v>0</v>
      </c>
      <c r="AH250" s="11">
        <f t="shared" si="212"/>
        <v>178.96287239999998</v>
      </c>
      <c r="AI250" s="11">
        <f t="shared" si="212"/>
        <v>0</v>
      </c>
      <c r="AJ250" s="11">
        <f t="shared" si="212"/>
        <v>0</v>
      </c>
      <c r="AK250" s="11">
        <f t="shared" si="212"/>
        <v>2109.4299999999998</v>
      </c>
      <c r="AL250" s="11">
        <f t="shared" si="212"/>
        <v>1104</v>
      </c>
      <c r="AM250" s="11">
        <f t="shared" si="212"/>
        <v>0</v>
      </c>
      <c r="AN250" s="11">
        <f t="shared" si="212"/>
        <v>0</v>
      </c>
      <c r="AO250" s="11">
        <f t="shared" si="212"/>
        <v>0</v>
      </c>
      <c r="AP250" s="11">
        <f t="shared" si="212"/>
        <v>0</v>
      </c>
      <c r="AQ250" s="11">
        <f t="shared" si="212"/>
        <v>0</v>
      </c>
      <c r="AR250" s="11">
        <f t="shared" si="212"/>
        <v>59579.17</v>
      </c>
      <c r="AS250" s="11">
        <f t="shared" si="212"/>
        <v>0</v>
      </c>
      <c r="AT250" s="11">
        <f t="shared" si="212"/>
        <v>59579.17</v>
      </c>
      <c r="AU250" s="11">
        <f t="shared" ref="AU250:BZ250" si="213">AU283</f>
        <v>0</v>
      </c>
      <c r="AV250" s="11">
        <f t="shared" si="213"/>
        <v>53914.559999999998</v>
      </c>
      <c r="AW250" s="11">
        <f t="shared" si="213"/>
        <v>53914.559999999998</v>
      </c>
      <c r="AX250" s="11">
        <f t="shared" si="213"/>
        <v>0</v>
      </c>
      <c r="AY250" s="11">
        <f t="shared" si="213"/>
        <v>53914.559999999998</v>
      </c>
      <c r="AZ250" s="11">
        <f t="shared" si="213"/>
        <v>0</v>
      </c>
      <c r="BA250" s="11">
        <f t="shared" si="213"/>
        <v>0</v>
      </c>
      <c r="BB250" s="11">
        <f t="shared" si="213"/>
        <v>0</v>
      </c>
      <c r="BC250" s="11">
        <f t="shared" si="213"/>
        <v>0</v>
      </c>
      <c r="BD250" s="11">
        <f t="shared" si="213"/>
        <v>0</v>
      </c>
      <c r="BE250" s="11">
        <f t="shared" si="213"/>
        <v>0</v>
      </c>
      <c r="BF250" s="11">
        <f t="shared" si="213"/>
        <v>0</v>
      </c>
      <c r="BG250" s="11">
        <f t="shared" si="213"/>
        <v>0</v>
      </c>
      <c r="BH250" s="11">
        <f t="shared" si="213"/>
        <v>0</v>
      </c>
      <c r="BI250" s="11">
        <f t="shared" si="213"/>
        <v>0</v>
      </c>
      <c r="BJ250" s="11">
        <f t="shared" si="213"/>
        <v>0</v>
      </c>
      <c r="BK250" s="11">
        <f t="shared" si="213"/>
        <v>0</v>
      </c>
      <c r="BL250" s="11">
        <f t="shared" si="213"/>
        <v>0</v>
      </c>
      <c r="BM250" s="11">
        <f t="shared" si="213"/>
        <v>0</v>
      </c>
      <c r="BN250" s="11">
        <f t="shared" si="213"/>
        <v>0</v>
      </c>
      <c r="BO250" s="11">
        <f t="shared" si="213"/>
        <v>0</v>
      </c>
      <c r="BP250" s="11">
        <f t="shared" si="213"/>
        <v>0</v>
      </c>
      <c r="BQ250" s="11">
        <f t="shared" si="213"/>
        <v>0</v>
      </c>
      <c r="BR250" s="11">
        <f t="shared" si="213"/>
        <v>0</v>
      </c>
      <c r="BS250" s="11">
        <f t="shared" si="213"/>
        <v>0</v>
      </c>
      <c r="BT250" s="11">
        <f t="shared" si="213"/>
        <v>0</v>
      </c>
      <c r="BU250" s="11">
        <f t="shared" si="213"/>
        <v>0</v>
      </c>
      <c r="BV250" s="11">
        <f t="shared" si="213"/>
        <v>0</v>
      </c>
      <c r="BW250" s="11">
        <f t="shared" si="213"/>
        <v>0</v>
      </c>
      <c r="BX250" s="11">
        <f t="shared" si="213"/>
        <v>0</v>
      </c>
      <c r="BY250" s="11">
        <f t="shared" si="213"/>
        <v>0</v>
      </c>
      <c r="BZ250" s="11">
        <f t="shared" si="213"/>
        <v>0</v>
      </c>
      <c r="CA250" s="11">
        <f t="shared" ref="CA250:DF250" si="214">CA283</f>
        <v>59579.17</v>
      </c>
      <c r="CB250" s="11">
        <f t="shared" si="214"/>
        <v>0</v>
      </c>
      <c r="CC250" s="11">
        <f t="shared" si="214"/>
        <v>59579.17</v>
      </c>
      <c r="CD250" s="11">
        <f t="shared" si="214"/>
        <v>0</v>
      </c>
      <c r="CE250" s="11">
        <f t="shared" si="214"/>
        <v>53914.559999999998</v>
      </c>
      <c r="CF250" s="11">
        <f t="shared" si="214"/>
        <v>53914.559999999998</v>
      </c>
      <c r="CG250" s="11">
        <f t="shared" si="214"/>
        <v>0</v>
      </c>
      <c r="CH250" s="11">
        <f t="shared" si="214"/>
        <v>53914.559999999998</v>
      </c>
      <c r="CI250" s="11">
        <f t="shared" si="214"/>
        <v>0</v>
      </c>
      <c r="CJ250" s="11">
        <f t="shared" si="214"/>
        <v>0</v>
      </c>
      <c r="CK250" s="11">
        <f t="shared" si="214"/>
        <v>0</v>
      </c>
      <c r="CL250" s="11">
        <f t="shared" si="214"/>
        <v>0</v>
      </c>
      <c r="CM250" s="11">
        <f t="shared" si="214"/>
        <v>0</v>
      </c>
      <c r="CN250" s="11">
        <f t="shared" si="214"/>
        <v>0</v>
      </c>
      <c r="CO250" s="11">
        <f t="shared" si="214"/>
        <v>0</v>
      </c>
      <c r="CP250" s="11">
        <f t="shared" si="214"/>
        <v>0</v>
      </c>
      <c r="CQ250" s="11">
        <f t="shared" si="214"/>
        <v>0</v>
      </c>
      <c r="CR250" s="11">
        <f t="shared" si="214"/>
        <v>0</v>
      </c>
      <c r="CS250" s="11">
        <f t="shared" si="214"/>
        <v>0</v>
      </c>
      <c r="CT250" s="11">
        <f t="shared" si="214"/>
        <v>0</v>
      </c>
      <c r="CU250" s="11">
        <f t="shared" si="214"/>
        <v>0</v>
      </c>
      <c r="CV250" s="11">
        <f t="shared" si="214"/>
        <v>0</v>
      </c>
      <c r="CW250" s="11">
        <f t="shared" si="214"/>
        <v>0</v>
      </c>
      <c r="CX250" s="11">
        <f t="shared" si="214"/>
        <v>0</v>
      </c>
      <c r="CY250" s="11">
        <f t="shared" si="214"/>
        <v>0</v>
      </c>
      <c r="CZ250" s="11">
        <f t="shared" si="214"/>
        <v>0</v>
      </c>
      <c r="DA250" s="11">
        <f t="shared" si="214"/>
        <v>0</v>
      </c>
      <c r="DB250" s="11">
        <f t="shared" si="214"/>
        <v>0</v>
      </c>
      <c r="DC250" s="11">
        <f t="shared" si="214"/>
        <v>0</v>
      </c>
      <c r="DD250" s="11">
        <f t="shared" si="214"/>
        <v>0</v>
      </c>
      <c r="DE250" s="11">
        <f t="shared" si="214"/>
        <v>0</v>
      </c>
      <c r="DF250" s="11">
        <f t="shared" si="214"/>
        <v>0</v>
      </c>
      <c r="DG250" s="12">
        <f t="shared" ref="DG250:EL250" si="215">DG283</f>
        <v>289689.53000000003</v>
      </c>
      <c r="DH250" s="12">
        <f t="shared" si="215"/>
        <v>162552</v>
      </c>
      <c r="DI250" s="12">
        <f t="shared" si="215"/>
        <v>3719.19</v>
      </c>
      <c r="DJ250" s="12">
        <f t="shared" si="215"/>
        <v>688.03</v>
      </c>
      <c r="DK250" s="12">
        <f t="shared" si="215"/>
        <v>123418.34</v>
      </c>
      <c r="DL250" s="12">
        <f t="shared" si="215"/>
        <v>0</v>
      </c>
      <c r="DM250" s="12">
        <f t="shared" si="215"/>
        <v>178.96287239999998</v>
      </c>
      <c r="DN250" s="12">
        <f t="shared" si="215"/>
        <v>0</v>
      </c>
      <c r="DO250" s="12">
        <f t="shared" si="215"/>
        <v>0</v>
      </c>
      <c r="DP250" s="12">
        <f t="shared" si="215"/>
        <v>118866.71</v>
      </c>
      <c r="DQ250" s="12">
        <f t="shared" si="215"/>
        <v>62211.06</v>
      </c>
      <c r="DR250" s="12">
        <f t="shared" si="215"/>
        <v>0</v>
      </c>
      <c r="DS250" s="12">
        <f t="shared" si="215"/>
        <v>0</v>
      </c>
      <c r="DT250" s="12">
        <f t="shared" si="215"/>
        <v>289689.53000000003</v>
      </c>
      <c r="DU250" s="12">
        <f t="shared" si="215"/>
        <v>162552</v>
      </c>
      <c r="DV250" s="12">
        <f t="shared" si="215"/>
        <v>3719.19</v>
      </c>
      <c r="DW250" s="12">
        <f t="shared" si="215"/>
        <v>688.03</v>
      </c>
      <c r="DX250" s="12">
        <f t="shared" si="215"/>
        <v>123418.34</v>
      </c>
      <c r="DY250" s="12">
        <f t="shared" si="215"/>
        <v>0</v>
      </c>
      <c r="DZ250" s="12">
        <f t="shared" si="215"/>
        <v>178.96287239999998</v>
      </c>
      <c r="EA250" s="12">
        <f t="shared" si="215"/>
        <v>0</v>
      </c>
      <c r="EB250" s="12">
        <f t="shared" si="215"/>
        <v>0</v>
      </c>
      <c r="EC250" s="12">
        <f t="shared" si="215"/>
        <v>118866.71</v>
      </c>
      <c r="ED250" s="12">
        <f t="shared" si="215"/>
        <v>62211.06</v>
      </c>
      <c r="EE250" s="12">
        <f t="shared" si="215"/>
        <v>0</v>
      </c>
      <c r="EF250" s="12">
        <f t="shared" si="215"/>
        <v>0</v>
      </c>
      <c r="EG250" s="12">
        <f t="shared" si="215"/>
        <v>0</v>
      </c>
      <c r="EH250" s="12">
        <f t="shared" si="215"/>
        <v>0</v>
      </c>
      <c r="EI250" s="12">
        <f t="shared" si="215"/>
        <v>0</v>
      </c>
      <c r="EJ250" s="12">
        <f t="shared" si="215"/>
        <v>470767.3</v>
      </c>
      <c r="EK250" s="12">
        <f t="shared" si="215"/>
        <v>0</v>
      </c>
      <c r="EL250" s="12">
        <f t="shared" si="215"/>
        <v>470767.3</v>
      </c>
      <c r="EM250" s="12">
        <f t="shared" ref="EM250:FR250" si="216">EM283</f>
        <v>0</v>
      </c>
      <c r="EN250" s="12">
        <f t="shared" si="216"/>
        <v>162552</v>
      </c>
      <c r="EO250" s="12">
        <f t="shared" si="216"/>
        <v>162552</v>
      </c>
      <c r="EP250" s="12">
        <f t="shared" si="216"/>
        <v>0</v>
      </c>
      <c r="EQ250" s="12">
        <f t="shared" si="216"/>
        <v>162552</v>
      </c>
      <c r="ER250" s="12">
        <f t="shared" si="216"/>
        <v>0</v>
      </c>
      <c r="ES250" s="12">
        <f t="shared" si="216"/>
        <v>0</v>
      </c>
      <c r="ET250" s="12">
        <f t="shared" si="216"/>
        <v>0</v>
      </c>
      <c r="EU250" s="12">
        <f t="shared" si="216"/>
        <v>0</v>
      </c>
      <c r="EV250" s="12">
        <f t="shared" si="216"/>
        <v>0</v>
      </c>
      <c r="EW250" s="12">
        <f t="shared" si="216"/>
        <v>0</v>
      </c>
      <c r="EX250" s="12">
        <f t="shared" si="216"/>
        <v>0</v>
      </c>
      <c r="EY250" s="12">
        <f t="shared" si="216"/>
        <v>0</v>
      </c>
      <c r="EZ250" s="12">
        <f t="shared" si="216"/>
        <v>0</v>
      </c>
      <c r="FA250" s="12">
        <f t="shared" si="216"/>
        <v>0</v>
      </c>
      <c r="FB250" s="12">
        <f t="shared" si="216"/>
        <v>0</v>
      </c>
      <c r="FC250" s="12">
        <f t="shared" si="216"/>
        <v>0</v>
      </c>
      <c r="FD250" s="12">
        <f t="shared" si="216"/>
        <v>0</v>
      </c>
      <c r="FE250" s="12">
        <f t="shared" si="216"/>
        <v>0</v>
      </c>
      <c r="FF250" s="12">
        <f t="shared" si="216"/>
        <v>0</v>
      </c>
      <c r="FG250" s="12">
        <f t="shared" si="216"/>
        <v>0</v>
      </c>
      <c r="FH250" s="12">
        <f t="shared" si="216"/>
        <v>0</v>
      </c>
      <c r="FI250" s="12">
        <f t="shared" si="216"/>
        <v>0</v>
      </c>
      <c r="FJ250" s="12">
        <f t="shared" si="216"/>
        <v>0</v>
      </c>
      <c r="FK250" s="12">
        <f t="shared" si="216"/>
        <v>0</v>
      </c>
      <c r="FL250" s="12">
        <f t="shared" si="216"/>
        <v>0</v>
      </c>
      <c r="FM250" s="12">
        <f t="shared" si="216"/>
        <v>0</v>
      </c>
      <c r="FN250" s="12">
        <f t="shared" si="216"/>
        <v>0</v>
      </c>
      <c r="FO250" s="12">
        <f t="shared" si="216"/>
        <v>0</v>
      </c>
      <c r="FP250" s="12">
        <f t="shared" si="216"/>
        <v>0</v>
      </c>
      <c r="FQ250" s="12">
        <f t="shared" si="216"/>
        <v>0</v>
      </c>
      <c r="FR250" s="12">
        <f t="shared" si="216"/>
        <v>0</v>
      </c>
      <c r="FS250" s="12">
        <f t="shared" ref="FS250:GX250" si="217">FS283</f>
        <v>470767.3</v>
      </c>
      <c r="FT250" s="12">
        <f t="shared" si="217"/>
        <v>0</v>
      </c>
      <c r="FU250" s="12">
        <f t="shared" si="217"/>
        <v>470767.3</v>
      </c>
      <c r="FV250" s="12">
        <f t="shared" si="217"/>
        <v>0</v>
      </c>
      <c r="FW250" s="12">
        <f t="shared" si="217"/>
        <v>162552</v>
      </c>
      <c r="FX250" s="12">
        <f t="shared" si="217"/>
        <v>162552</v>
      </c>
      <c r="FY250" s="12">
        <f t="shared" si="217"/>
        <v>0</v>
      </c>
      <c r="FZ250" s="12">
        <f t="shared" si="217"/>
        <v>162552</v>
      </c>
      <c r="GA250" s="12">
        <f t="shared" si="217"/>
        <v>0</v>
      </c>
      <c r="GB250" s="12">
        <f t="shared" si="217"/>
        <v>0</v>
      </c>
      <c r="GC250" s="12">
        <f t="shared" si="217"/>
        <v>0</v>
      </c>
      <c r="GD250" s="12">
        <f t="shared" si="217"/>
        <v>0</v>
      </c>
      <c r="GE250" s="12">
        <f t="shared" si="217"/>
        <v>0</v>
      </c>
      <c r="GF250" s="12">
        <f t="shared" si="217"/>
        <v>0</v>
      </c>
      <c r="GG250" s="12">
        <f t="shared" si="217"/>
        <v>0</v>
      </c>
      <c r="GH250" s="12">
        <f t="shared" si="217"/>
        <v>0</v>
      </c>
      <c r="GI250" s="12">
        <f t="shared" si="217"/>
        <v>0</v>
      </c>
      <c r="GJ250" s="12">
        <f t="shared" si="217"/>
        <v>0</v>
      </c>
      <c r="GK250" s="12">
        <f t="shared" si="217"/>
        <v>0</v>
      </c>
      <c r="GL250" s="12">
        <f t="shared" si="217"/>
        <v>0</v>
      </c>
      <c r="GM250" s="12">
        <f t="shared" si="217"/>
        <v>0</v>
      </c>
      <c r="GN250" s="12">
        <f t="shared" si="217"/>
        <v>0</v>
      </c>
      <c r="GO250" s="12">
        <f t="shared" si="217"/>
        <v>0</v>
      </c>
      <c r="GP250" s="12">
        <f t="shared" si="217"/>
        <v>0</v>
      </c>
      <c r="GQ250" s="12">
        <f t="shared" si="217"/>
        <v>0</v>
      </c>
      <c r="GR250" s="12">
        <f t="shared" si="217"/>
        <v>0</v>
      </c>
      <c r="GS250" s="12">
        <f t="shared" si="217"/>
        <v>0</v>
      </c>
      <c r="GT250" s="12">
        <f t="shared" si="217"/>
        <v>0</v>
      </c>
      <c r="GU250" s="12">
        <f t="shared" si="217"/>
        <v>0</v>
      </c>
      <c r="GV250" s="12">
        <f t="shared" si="217"/>
        <v>0</v>
      </c>
      <c r="GW250" s="12">
        <f t="shared" si="217"/>
        <v>0</v>
      </c>
      <c r="GX250" s="12">
        <f t="shared" si="217"/>
        <v>0</v>
      </c>
    </row>
    <row r="252" spans="1:255" x14ac:dyDescent="0.25">
      <c r="A252" s="2">
        <v>17</v>
      </c>
      <c r="B252" s="2">
        <v>1</v>
      </c>
      <c r="C252" s="2">
        <f>ROW(SmtRes!A325)</f>
        <v>325</v>
      </c>
      <c r="D252" s="2">
        <f>ROW(EtalonRes!A365)</f>
        <v>365</v>
      </c>
      <c r="E252" s="2" t="s">
        <v>252</v>
      </c>
      <c r="F252" s="2" t="s">
        <v>253</v>
      </c>
      <c r="G252" s="2" t="s">
        <v>254</v>
      </c>
      <c r="H252" s="2" t="s">
        <v>86</v>
      </c>
      <c r="I252" s="2">
        <f>ROUND(150/100,9)</f>
        <v>1.5</v>
      </c>
      <c r="J252" s="2">
        <v>0</v>
      </c>
      <c r="K252" s="2">
        <f>ROUND(150/100,9)</f>
        <v>1.5</v>
      </c>
      <c r="L252" s="2"/>
      <c r="M252" s="2"/>
      <c r="N252" s="2"/>
      <c r="O252" s="2">
        <f t="shared" ref="O252:O281" si="218">ROUND(CP252,2)</f>
        <v>512.91999999999996</v>
      </c>
      <c r="P252" s="2">
        <f t="shared" ref="P252:P281" si="219">ROUND((ROUND((AC252*AW252*I252),2)*BC252),2)</f>
        <v>137.87</v>
      </c>
      <c r="Q252" s="2">
        <f>(ROUND((ROUND((((ET252*1.2))*AV252*I252),2)*BB252),2)+ROUND((ROUND(((AE252-((EU252*1.2)))*AV252*I252),2)*BS252),2))</f>
        <v>3.26</v>
      </c>
      <c r="R252" s="2">
        <f>(ROUND((ROUND((((EU252*1.2))*AV252*I252),2)*BS252),2)+ROUND((ROUND(((AE252-((EU252*1.2)))*AV252*I252),2)*BS252),2))</f>
        <v>0</v>
      </c>
      <c r="S252" s="2">
        <f t="shared" ref="S252:S281" si="220">ROUND((ROUND((AF252*AV252*I252),2)*BA252),2)</f>
        <v>371.79</v>
      </c>
      <c r="T252" s="2">
        <f t="shared" ref="T252:T281" si="221">ROUND(CU252*I252,2)</f>
        <v>0</v>
      </c>
      <c r="U252" s="2">
        <f t="shared" ref="U252:U281" si="222">CV252*I252</f>
        <v>31.28436</v>
      </c>
      <c r="V252" s="2">
        <f t="shared" ref="V252:V281" si="223">CW252*I252</f>
        <v>0</v>
      </c>
      <c r="W252" s="2">
        <f t="shared" ref="W252:W281" si="224">ROUND(CX252*I252,2)</f>
        <v>0</v>
      </c>
      <c r="X252" s="2">
        <f>(ROUND((((S252+ROUND((ROUND((((EU252*1.2))*AV252*I252),2)*BS252),2))*AT252)/100),2)+ROUND(((ROUND((ROUND(((AE252-((EU252*1.2)))*AV252*I252),2)*BS252),2)*AT252)/100),2))</f>
        <v>334.61</v>
      </c>
      <c r="Y252" s="2">
        <f>(ROUND((((S252+ROUND((ROUND((((EU252*1.2))*AV252*I252),2)*BS252),2))*AU252)/100),2)+ROUND(((ROUND((ROUND(((AE252-((EU252*1.2)))*AV252*I252),2)*BS252),2)*AU252)/100),2))</f>
        <v>171.02</v>
      </c>
      <c r="Z252" s="2"/>
      <c r="AA252" s="2">
        <v>55917797</v>
      </c>
      <c r="AB252" s="2">
        <f t="shared" ref="AB252:AB281" si="225">ROUND((AC252+AD252+AF252),6)</f>
        <v>330.72199999999998</v>
      </c>
      <c r="AC252" s="2">
        <f>ROUND(((ES252*1)),6)</f>
        <v>91.91</v>
      </c>
      <c r="AD252" s="2">
        <f>ROUND(((((ET252*1.2))-((EU252*1.2)))+AE252),6)</f>
        <v>2.0760000000000001</v>
      </c>
      <c r="AE252" s="2">
        <f>ROUND(((EU252*1.2)),6)</f>
        <v>0</v>
      </c>
      <c r="AF252" s="2">
        <f>ROUND(((EV252*1.2)),6)</f>
        <v>236.73599999999999</v>
      </c>
      <c r="AG252" s="2">
        <f t="shared" ref="AG252:AG281" si="226">ROUND((AP252),6)</f>
        <v>0</v>
      </c>
      <c r="AH252" s="2">
        <f>((EW252*1.2))</f>
        <v>19.920000000000002</v>
      </c>
      <c r="AI252" s="2">
        <f>((EX252*1.2))</f>
        <v>0</v>
      </c>
      <c r="AJ252" s="2">
        <f t="shared" ref="AJ252:AJ281" si="227">(AS252)</f>
        <v>0</v>
      </c>
      <c r="AK252" s="2">
        <v>290.92</v>
      </c>
      <c r="AL252" s="2">
        <v>91.91</v>
      </c>
      <c r="AM252" s="2">
        <v>1.73</v>
      </c>
      <c r="AN252" s="2">
        <v>0</v>
      </c>
      <c r="AO252" s="2">
        <v>197.28</v>
      </c>
      <c r="AP252" s="2">
        <v>0</v>
      </c>
      <c r="AQ252" s="2">
        <v>16.600000000000001</v>
      </c>
      <c r="AR252" s="2">
        <v>0</v>
      </c>
      <c r="AS252" s="2">
        <v>0</v>
      </c>
      <c r="AT252" s="2">
        <v>90</v>
      </c>
      <c r="AU252" s="2">
        <v>46</v>
      </c>
      <c r="AV252" s="2">
        <v>1.0469999999999999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2</v>
      </c>
      <c r="BJ252" s="2" t="s">
        <v>255</v>
      </c>
      <c r="BK252" s="2"/>
      <c r="BL252" s="2"/>
      <c r="BM252" s="2">
        <v>68</v>
      </c>
      <c r="BN252" s="2">
        <v>0</v>
      </c>
      <c r="BO252" s="2" t="s">
        <v>253</v>
      </c>
      <c r="BP252" s="2">
        <v>1</v>
      </c>
      <c r="BQ252" s="2">
        <v>40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90</v>
      </c>
      <c r="CA252" s="2">
        <v>46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618</v>
      </c>
      <c r="CO252" s="2">
        <v>0</v>
      </c>
      <c r="CP252" s="2">
        <f t="shared" ref="CP252:CP281" si="228">(P252+Q252+S252)</f>
        <v>512.92000000000007</v>
      </c>
      <c r="CQ252" s="2">
        <f t="shared" ref="CQ252:CQ281" si="229">ROUND((ROUND((AC252*AW252*1),2)*BC252),2)</f>
        <v>91.91</v>
      </c>
      <c r="CR252" s="2">
        <f>(ROUND((ROUND((((ET252*1.2))*AV252*1),2)*BB252),2)+ROUND((ROUND(((AE252-((EU252*1.2)))*AV252*1),2)*BS252),2))</f>
        <v>2.17</v>
      </c>
      <c r="CS252" s="2">
        <f>(ROUND((ROUND((((EU252*1.2))*AV252*1),2)*BS252),2)+ROUND((ROUND(((AE252-((EU252*1.2)))*AV252*1),2)*BS252),2))</f>
        <v>0</v>
      </c>
      <c r="CT252" s="2">
        <f t="shared" ref="CT252:CT281" si="230">ROUND((ROUND((AF252*AV252*1),2)*BA252),2)</f>
        <v>247.86</v>
      </c>
      <c r="CU252" s="2">
        <f t="shared" ref="CU252:CU281" si="231">AG252</f>
        <v>0</v>
      </c>
      <c r="CV252" s="2">
        <f t="shared" ref="CV252:CV281" si="232">(AH252*AV252)</f>
        <v>20.85624</v>
      </c>
      <c r="CW252" s="2">
        <f t="shared" ref="CW252:CW281" si="233">AI252</f>
        <v>0</v>
      </c>
      <c r="CX252" s="2">
        <f t="shared" ref="CX252:CX281" si="234">AJ252</f>
        <v>0</v>
      </c>
      <c r="CY252" s="2">
        <f>(ROUND((((S252+ROUND((ROUND((((EU252*1.2))*AV252*1),2)*BS252),2))*AT252)/100),2)+ROUND(((ROUND((ROUND(((AE252-((EU252*1.2)))*AV252*1),2)*BS252),2)*AT252)/100),2))</f>
        <v>334.61</v>
      </c>
      <c r="CZ252" s="2">
        <f>(ROUND((((S252+ROUND((ROUND((((EU252*1.2))*AV252*1),2)*BS252),2))*AU252)/100),2)+ROUND(((ROUND((ROUND(((AE252-((EU252*1.2)))*AV252*1),2)*BS252),2)*AU252)/100),2))</f>
        <v>171.02</v>
      </c>
      <c r="DA252" s="2"/>
      <c r="DB252" s="2">
        <v>73</v>
      </c>
      <c r="DC252" s="2" t="s">
        <v>3</v>
      </c>
      <c r="DD252" s="2" t="s">
        <v>55</v>
      </c>
      <c r="DE252" s="2" t="s">
        <v>56</v>
      </c>
      <c r="DF252" s="2" t="s">
        <v>56</v>
      </c>
      <c r="DG252" s="2" t="s">
        <v>56</v>
      </c>
      <c r="DH252" s="2" t="s">
        <v>3</v>
      </c>
      <c r="DI252" s="2" t="s">
        <v>56</v>
      </c>
      <c r="DJ252" s="2" t="s">
        <v>56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1003</v>
      </c>
      <c r="DV252" s="2" t="s">
        <v>86</v>
      </c>
      <c r="DW252" s="2" t="s">
        <v>86</v>
      </c>
      <c r="DX252" s="2">
        <v>100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55393700</v>
      </c>
      <c r="EF252" s="2">
        <v>40</v>
      </c>
      <c r="EG252" s="2" t="s">
        <v>26</v>
      </c>
      <c r="EH252" s="2">
        <v>0</v>
      </c>
      <c r="EI252" s="2" t="s">
        <v>3</v>
      </c>
      <c r="EJ252" s="2">
        <v>2</v>
      </c>
      <c r="EK252" s="2">
        <v>68</v>
      </c>
      <c r="EL252" s="2" t="s">
        <v>35</v>
      </c>
      <c r="EM252" s="2" t="s">
        <v>36</v>
      </c>
      <c r="EN252" s="2"/>
      <c r="EO252" s="2" t="s">
        <v>60</v>
      </c>
      <c r="EP252" s="2"/>
      <c r="EQ252" s="2">
        <v>0</v>
      </c>
      <c r="ER252" s="2">
        <v>290.92</v>
      </c>
      <c r="ES252" s="2">
        <v>91.91</v>
      </c>
      <c r="ET252" s="2">
        <v>1.73</v>
      </c>
      <c r="EU252" s="2">
        <v>0</v>
      </c>
      <c r="EV252" s="2">
        <v>197.28</v>
      </c>
      <c r="EW252" s="2">
        <v>16.600000000000001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90</v>
      </c>
      <c r="FY252" s="2">
        <v>46</v>
      </c>
      <c r="FZ252" s="2"/>
      <c r="GA252" s="2" t="s">
        <v>3</v>
      </c>
      <c r="GB252" s="2"/>
      <c r="GC252" s="2"/>
      <c r="GD252" s="2">
        <v>1</v>
      </c>
      <c r="GE252" s="2"/>
      <c r="GF252" s="2">
        <v>-17066464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ref="GL252:GL281" si="235">ROUND(IF(AND(BH252=3,BI252=3,FS252&lt;&gt;0),P252,0),2)</f>
        <v>0</v>
      </c>
      <c r="GM252" s="2">
        <f t="shared" ref="GM252:GM281" si="236">ROUND(O252+X252+Y252,2)+GX252</f>
        <v>1018.55</v>
      </c>
      <c r="GN252" s="2">
        <f t="shared" ref="GN252:GN281" si="237">IF(OR(BI252=0,BI252=1),GM252-GX252,0)</f>
        <v>0</v>
      </c>
      <c r="GO252" s="2">
        <f t="shared" ref="GO252:GO281" si="238">IF(BI252=2,GM252-GX252,0)</f>
        <v>1018.55</v>
      </c>
      <c r="GP252" s="2">
        <f t="shared" ref="GP252:GP281" si="239">IF(BI252=4,GM252-GX252,0)</f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ref="GV252:GV281" si="240">ROUND((GT252),6)</f>
        <v>0</v>
      </c>
      <c r="GW252" s="2">
        <v>1</v>
      </c>
      <c r="GX252" s="2">
        <f t="shared" ref="GX252:GX281" si="241">ROUND(HC252*I252,2)</f>
        <v>0</v>
      </c>
      <c r="GY252" s="2"/>
      <c r="GZ252" s="2"/>
      <c r="HA252" s="2">
        <v>0</v>
      </c>
      <c r="HB252" s="2">
        <v>0</v>
      </c>
      <c r="HC252" s="2">
        <f t="shared" ref="HC252:HC281" si="242">GV252*GW252</f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5">
      <c r="A253" s="3">
        <v>17</v>
      </c>
      <c r="B253" s="3">
        <v>1</v>
      </c>
      <c r="C253" s="3">
        <f>ROW(SmtRes!A334)</f>
        <v>334</v>
      </c>
      <c r="D253" s="3">
        <f>ROW(EtalonRes!A376)</f>
        <v>376</v>
      </c>
      <c r="E253" s="3" t="s">
        <v>252</v>
      </c>
      <c r="F253" s="3" t="s">
        <v>253</v>
      </c>
      <c r="G253" s="3" t="s">
        <v>254</v>
      </c>
      <c r="H253" s="3" t="s">
        <v>86</v>
      </c>
      <c r="I253" s="3">
        <f>ROUND(150/100,9)</f>
        <v>1.5</v>
      </c>
      <c r="J253" s="3">
        <v>0</v>
      </c>
      <c r="K253" s="3">
        <f>ROUND(150/100,9)</f>
        <v>1.5</v>
      </c>
      <c r="O253" s="3">
        <f t="shared" si="218"/>
        <v>21322.27</v>
      </c>
      <c r="P253" s="3">
        <f t="shared" si="219"/>
        <v>340.54</v>
      </c>
      <c r="Q253" s="3">
        <f>(ROUND((ROUND((((ET253*1.2))*AV253*I253),2)*BB253),2)+ROUND((ROUND(((AE253-((EU253*1.2)))*AV253*I253),2)*BS253),2))</f>
        <v>31.36</v>
      </c>
      <c r="R253" s="3">
        <f>(ROUND((ROUND((((EU253*1.2))*AV253*I253),2)*BS253),2)+ROUND((ROUND(((AE253-((EU253*1.2)))*AV253*I253),2)*BS253),2))</f>
        <v>0</v>
      </c>
      <c r="S253" s="3">
        <f t="shared" si="220"/>
        <v>20950.37</v>
      </c>
      <c r="T253" s="3">
        <f t="shared" si="221"/>
        <v>0</v>
      </c>
      <c r="U253" s="3">
        <f t="shared" si="222"/>
        <v>31.28436</v>
      </c>
      <c r="V253" s="3">
        <f t="shared" si="223"/>
        <v>0</v>
      </c>
      <c r="W253" s="3">
        <f t="shared" si="224"/>
        <v>0</v>
      </c>
      <c r="X253" s="3">
        <f>(ROUND((((S253+ROUND((ROUND((((EU253*1.2))*AV253*I253),2)*BS253),2))*AT253)/100),2)+ROUND(((ROUND((ROUND(((AE253-((EU253*1.2)))*AV253*I253),2)*BS253),2)*AT253)/100),2))</f>
        <v>18855.330000000002</v>
      </c>
      <c r="Y253" s="3">
        <f>(ROUND((((S253+ROUND((ROUND((((EU253*1.2))*AV253*I253),2)*BS253),2))*AU253)/100),2)+ROUND(((ROUND((ROUND(((AE253-((EU253*1.2)))*AV253*I253),2)*BS253),2)*AU253)/100),2))</f>
        <v>9637.17</v>
      </c>
      <c r="AA253" s="3">
        <v>55917799</v>
      </c>
      <c r="AB253" s="3">
        <f t="shared" si="225"/>
        <v>330.72199999999998</v>
      </c>
      <c r="AC253" s="3">
        <f>ROUND(((ES253*1)),6)</f>
        <v>91.91</v>
      </c>
      <c r="AD253" s="3">
        <f>ROUND(((((ET253*1.2))-((EU253*1.2)))+AE253),6)</f>
        <v>2.0760000000000001</v>
      </c>
      <c r="AE253" s="3">
        <f>ROUND(((EU253*1.2)),6)</f>
        <v>0</v>
      </c>
      <c r="AF253" s="3">
        <f>ROUND(((EV253*1.2)),6)</f>
        <v>236.73599999999999</v>
      </c>
      <c r="AG253" s="3">
        <f t="shared" si="226"/>
        <v>0</v>
      </c>
      <c r="AH253" s="3">
        <f>((EW253*1.2))</f>
        <v>19.920000000000002</v>
      </c>
      <c r="AI253" s="3">
        <f>((EX253*1.2))</f>
        <v>0</v>
      </c>
      <c r="AJ253" s="3">
        <f t="shared" si="227"/>
        <v>0</v>
      </c>
      <c r="AK253" s="3">
        <v>290.92</v>
      </c>
      <c r="AL253" s="3">
        <v>91.91</v>
      </c>
      <c r="AM253" s="3">
        <v>1.73</v>
      </c>
      <c r="AN253" s="3">
        <v>0</v>
      </c>
      <c r="AO253" s="3">
        <v>197.28</v>
      </c>
      <c r="AP253" s="3">
        <v>0</v>
      </c>
      <c r="AQ253" s="3">
        <v>16.600000000000001</v>
      </c>
      <c r="AR253" s="3">
        <v>0</v>
      </c>
      <c r="AS253" s="3">
        <v>0</v>
      </c>
      <c r="AT253" s="3">
        <v>90</v>
      </c>
      <c r="AU253" s="3">
        <v>46</v>
      </c>
      <c r="AV253" s="3">
        <v>1.0469999999999999</v>
      </c>
      <c r="AW253" s="3">
        <v>1</v>
      </c>
      <c r="AZ253" s="3">
        <v>1</v>
      </c>
      <c r="BA253" s="3">
        <v>56.35</v>
      </c>
      <c r="BB253" s="3">
        <v>9.6199999999999992</v>
      </c>
      <c r="BC253" s="3">
        <v>2.4700000000000002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0</v>
      </c>
      <c r="BI253" s="3">
        <v>2</v>
      </c>
      <c r="BJ253" s="3" t="s">
        <v>255</v>
      </c>
      <c r="BM253" s="3">
        <v>68</v>
      </c>
      <c r="BN253" s="3">
        <v>0</v>
      </c>
      <c r="BO253" s="3" t="s">
        <v>253</v>
      </c>
      <c r="BP253" s="3">
        <v>1</v>
      </c>
      <c r="BQ253" s="3">
        <v>40</v>
      </c>
      <c r="BR253" s="3">
        <v>0</v>
      </c>
      <c r="BS253" s="3">
        <v>56.35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90</v>
      </c>
      <c r="CA253" s="3">
        <v>46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618</v>
      </c>
      <c r="CO253" s="3">
        <v>0</v>
      </c>
      <c r="CP253" s="3">
        <f t="shared" si="228"/>
        <v>21322.27</v>
      </c>
      <c r="CQ253" s="3">
        <f t="shared" si="229"/>
        <v>227.02</v>
      </c>
      <c r="CR253" s="3">
        <f>(ROUND((ROUND((((ET253*1.2))*AV253*1),2)*BB253),2)+ROUND((ROUND(((AE253-((EU253*1.2)))*AV253*1),2)*BS253),2))</f>
        <v>20.88</v>
      </c>
      <c r="CS253" s="3">
        <f>(ROUND((ROUND((((EU253*1.2))*AV253*1),2)*BS253),2)+ROUND((ROUND(((AE253-((EU253*1.2)))*AV253*1),2)*BS253),2))</f>
        <v>0</v>
      </c>
      <c r="CT253" s="3">
        <f t="shared" si="230"/>
        <v>13966.91</v>
      </c>
      <c r="CU253" s="3">
        <f t="shared" si="231"/>
        <v>0</v>
      </c>
      <c r="CV253" s="3">
        <f t="shared" si="232"/>
        <v>20.85624</v>
      </c>
      <c r="CW253" s="3">
        <f t="shared" si="233"/>
        <v>0</v>
      </c>
      <c r="CX253" s="3">
        <f t="shared" si="234"/>
        <v>0</v>
      </c>
      <c r="CY253" s="3">
        <f>(ROUND((((S253+ROUND((ROUND((((EU253*1.2))*AV253*1),2)*BS253),2))*AT253)/100),2)+ROUND(((ROUND((ROUND(((AE253-((EU253*1.2)))*AV253*1),2)*BS253),2)*AT253)/100),2))</f>
        <v>18855.330000000002</v>
      </c>
      <c r="CZ253" s="3">
        <f>(ROUND((((S253+ROUND((ROUND((((EU253*1.2))*AV253*1),2)*BS253),2))*AU253)/100),2)+ROUND(((ROUND((ROUND(((AE253-((EU253*1.2)))*AV253*1),2)*BS253),2)*AU253)/100),2))</f>
        <v>9637.17</v>
      </c>
      <c r="DB253" s="3">
        <v>74</v>
      </c>
      <c r="DC253" s="3" t="s">
        <v>3</v>
      </c>
      <c r="DD253" s="3" t="s">
        <v>55</v>
      </c>
      <c r="DE253" s="3" t="s">
        <v>56</v>
      </c>
      <c r="DF253" s="3" t="s">
        <v>56</v>
      </c>
      <c r="DG253" s="3" t="s">
        <v>56</v>
      </c>
      <c r="DH253" s="3" t="s">
        <v>3</v>
      </c>
      <c r="DI253" s="3" t="s">
        <v>56</v>
      </c>
      <c r="DJ253" s="3" t="s">
        <v>56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1003</v>
      </c>
      <c r="DV253" s="3" t="s">
        <v>86</v>
      </c>
      <c r="DW253" s="3" t="s">
        <v>86</v>
      </c>
      <c r="DX253" s="3">
        <v>100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55393700</v>
      </c>
      <c r="EF253" s="3">
        <v>40</v>
      </c>
      <c r="EG253" s="3" t="s">
        <v>26</v>
      </c>
      <c r="EH253" s="3">
        <v>0</v>
      </c>
      <c r="EI253" s="3" t="s">
        <v>3</v>
      </c>
      <c r="EJ253" s="3">
        <v>2</v>
      </c>
      <c r="EK253" s="3">
        <v>68</v>
      </c>
      <c r="EL253" s="3" t="s">
        <v>35</v>
      </c>
      <c r="EM253" s="3" t="s">
        <v>36</v>
      </c>
      <c r="EO253" s="3" t="s">
        <v>60</v>
      </c>
      <c r="EQ253" s="3">
        <v>0</v>
      </c>
      <c r="ER253" s="3">
        <v>290.92</v>
      </c>
      <c r="ES253" s="3">
        <v>91.91</v>
      </c>
      <c r="ET253" s="3">
        <v>1.73</v>
      </c>
      <c r="EU253" s="3">
        <v>0</v>
      </c>
      <c r="EV253" s="3">
        <v>197.28</v>
      </c>
      <c r="EW253" s="3">
        <v>16.600000000000001</v>
      </c>
      <c r="EX253" s="3">
        <v>0</v>
      </c>
      <c r="EY253" s="3">
        <v>0</v>
      </c>
      <c r="FQ253" s="3">
        <v>0</v>
      </c>
      <c r="FR253" s="3">
        <v>0</v>
      </c>
      <c r="FS253" s="3">
        <v>0</v>
      </c>
      <c r="FX253" s="3">
        <v>90</v>
      </c>
      <c r="FY253" s="3">
        <v>46</v>
      </c>
      <c r="GA253" s="3" t="s">
        <v>3</v>
      </c>
      <c r="GD253" s="3">
        <v>1</v>
      </c>
      <c r="GF253" s="3">
        <v>-17066464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235"/>
        <v>0</v>
      </c>
      <c r="GM253" s="3">
        <f t="shared" si="236"/>
        <v>49814.77</v>
      </c>
      <c r="GN253" s="3">
        <f t="shared" si="237"/>
        <v>0</v>
      </c>
      <c r="GO253" s="3">
        <f t="shared" si="238"/>
        <v>49814.77</v>
      </c>
      <c r="GP253" s="3">
        <f t="shared" si="239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240"/>
        <v>0</v>
      </c>
      <c r="GW253" s="3">
        <v>1</v>
      </c>
      <c r="GX253" s="3">
        <f t="shared" si="241"/>
        <v>0</v>
      </c>
      <c r="HA253" s="3">
        <v>0</v>
      </c>
      <c r="HB253" s="3">
        <v>0</v>
      </c>
      <c r="HC253" s="3">
        <f t="shared" si="242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5">
      <c r="A254" s="2">
        <v>18</v>
      </c>
      <c r="B254" s="2">
        <v>1</v>
      </c>
      <c r="C254" s="2">
        <v>322</v>
      </c>
      <c r="D254" s="2"/>
      <c r="E254" s="2" t="s">
        <v>256</v>
      </c>
      <c r="F254" s="2" t="s">
        <v>257</v>
      </c>
      <c r="G254" s="2" t="s">
        <v>258</v>
      </c>
      <c r="H254" s="2" t="s">
        <v>49</v>
      </c>
      <c r="I254" s="2">
        <f>I252*J254</f>
        <v>300</v>
      </c>
      <c r="J254" s="2">
        <v>200</v>
      </c>
      <c r="K254" s="2">
        <v>200</v>
      </c>
      <c r="L254" s="2"/>
      <c r="M254" s="2"/>
      <c r="N254" s="2"/>
      <c r="O254" s="2">
        <f t="shared" si="218"/>
        <v>44067</v>
      </c>
      <c r="P254" s="2">
        <f t="shared" si="219"/>
        <v>44067</v>
      </c>
      <c r="Q254" s="2">
        <f t="shared" ref="Q254:Q263" si="243">(ROUND((ROUND(((ET254)*AV254*I254),2)*BB254),2)+ROUND((ROUND(((AE254-(EU254))*AV254*I254),2)*BS254),2))</f>
        <v>0</v>
      </c>
      <c r="R254" s="2">
        <f t="shared" ref="R254:R263" si="244">(ROUND((ROUND(((EU254)*AV254*I254),2)*BS254),2)+ROUND((ROUND(((AE254-(EU254))*AV254*I254),2)*BS254),2))</f>
        <v>0</v>
      </c>
      <c r="S254" s="2">
        <f t="shared" si="220"/>
        <v>0</v>
      </c>
      <c r="T254" s="2">
        <f t="shared" si="221"/>
        <v>0</v>
      </c>
      <c r="U254" s="2">
        <f t="shared" si="222"/>
        <v>0</v>
      </c>
      <c r="V254" s="2">
        <f t="shared" si="223"/>
        <v>0</v>
      </c>
      <c r="W254" s="2">
        <f t="shared" si="224"/>
        <v>0</v>
      </c>
      <c r="X254" s="2">
        <f t="shared" ref="X254:X263" si="245">(ROUND((((S254+ROUND((ROUND(((EU254)*AV254*I254),2)*BS254),2))*AT254)/100),2)+ROUND(((ROUND((ROUND(((AE254-(EU254))*AV254*I254),2)*BS254),2)*AT254)/100),2))</f>
        <v>0</v>
      </c>
      <c r="Y254" s="2">
        <f t="shared" ref="Y254:Y263" si="246">(ROUND((((S254+ROUND((ROUND(((EU254)*AV254*I254),2)*BS254),2))*AU254)/100),2)+ROUND(((ROUND((ROUND(((AE254-(EU254))*AV254*I254),2)*BS254),2)*AU254)/100),2))</f>
        <v>0</v>
      </c>
      <c r="Z254" s="2"/>
      <c r="AA254" s="2">
        <v>55917797</v>
      </c>
      <c r="AB254" s="2">
        <f t="shared" si="225"/>
        <v>146.88999999999999</v>
      </c>
      <c r="AC254" s="2">
        <f t="shared" ref="AC254:AC263" si="247">ROUND((ES254),6)</f>
        <v>146.88999999999999</v>
      </c>
      <c r="AD254" s="2">
        <f t="shared" ref="AD254:AD263" si="248">ROUND((((ET254)-(EU254))+AE254),6)</f>
        <v>0</v>
      </c>
      <c r="AE254" s="2">
        <f t="shared" ref="AE254:AE263" si="249">ROUND((EU254),6)</f>
        <v>0</v>
      </c>
      <c r="AF254" s="2">
        <f t="shared" ref="AF254:AF263" si="250">ROUND((EV254),6)</f>
        <v>0</v>
      </c>
      <c r="AG254" s="2">
        <f t="shared" si="226"/>
        <v>0</v>
      </c>
      <c r="AH254" s="2">
        <f t="shared" ref="AH254:AH263" si="251">(EW254)</f>
        <v>0</v>
      </c>
      <c r="AI254" s="2">
        <f t="shared" ref="AI254:AI263" si="252">(EX254)</f>
        <v>0</v>
      </c>
      <c r="AJ254" s="2">
        <f t="shared" si="227"/>
        <v>0</v>
      </c>
      <c r="AK254" s="2">
        <v>146.88999999999999</v>
      </c>
      <c r="AL254" s="2">
        <v>146.88999999999999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90</v>
      </c>
      <c r="AU254" s="2">
        <v>46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2</v>
      </c>
      <c r="BJ254" s="2" t="s">
        <v>259</v>
      </c>
      <c r="BK254" s="2"/>
      <c r="BL254" s="2"/>
      <c r="BM254" s="2">
        <v>68</v>
      </c>
      <c r="BN254" s="2">
        <v>0</v>
      </c>
      <c r="BO254" s="2" t="s">
        <v>3</v>
      </c>
      <c r="BP254" s="2">
        <v>0</v>
      </c>
      <c r="BQ254" s="2">
        <v>40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90</v>
      </c>
      <c r="CA254" s="2">
        <v>46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619</v>
      </c>
      <c r="CO254" s="2">
        <v>0</v>
      </c>
      <c r="CP254" s="2">
        <f t="shared" si="228"/>
        <v>44067</v>
      </c>
      <c r="CQ254" s="2">
        <f t="shared" si="229"/>
        <v>146.88999999999999</v>
      </c>
      <c r="CR254" s="2">
        <f t="shared" ref="CR254:CR263" si="253">(ROUND((ROUND(((ET254)*AV254*1),2)*BB254),2)+ROUND((ROUND(((AE254-(EU254))*AV254*1),2)*BS254),2))</f>
        <v>0</v>
      </c>
      <c r="CS254" s="2">
        <f t="shared" ref="CS254:CS263" si="254">(ROUND((ROUND(((EU254)*AV254*1),2)*BS254),2)+ROUND((ROUND(((AE254-(EU254))*AV254*1),2)*BS254),2))</f>
        <v>0</v>
      </c>
      <c r="CT254" s="2">
        <f t="shared" si="230"/>
        <v>0</v>
      </c>
      <c r="CU254" s="2">
        <f t="shared" si="231"/>
        <v>0</v>
      </c>
      <c r="CV254" s="2">
        <f t="shared" si="232"/>
        <v>0</v>
      </c>
      <c r="CW254" s="2">
        <f t="shared" si="233"/>
        <v>0</v>
      </c>
      <c r="CX254" s="2">
        <f t="shared" si="234"/>
        <v>0</v>
      </c>
      <c r="CY254" s="2">
        <f t="shared" ref="CY254:CY263" si="255">(ROUND((((S254+ROUND((ROUND(((EU254)*AV254*1),2)*BS254),2))*AT254)/100),2)+ROUND(((ROUND((ROUND(((AE254-(EU254))*AV254*1),2)*BS254),2)*AT254)/100),2))</f>
        <v>0</v>
      </c>
      <c r="CZ254" s="2">
        <f t="shared" ref="CZ254:CZ263" si="256"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1010</v>
      </c>
      <c r="DV254" s="2" t="s">
        <v>49</v>
      </c>
      <c r="DW254" s="2" t="s">
        <v>49</v>
      </c>
      <c r="DX254" s="2">
        <v>100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55393700</v>
      </c>
      <c r="EF254" s="2">
        <v>40</v>
      </c>
      <c r="EG254" s="2" t="s">
        <v>26</v>
      </c>
      <c r="EH254" s="2">
        <v>0</v>
      </c>
      <c r="EI254" s="2" t="s">
        <v>3</v>
      </c>
      <c r="EJ254" s="2">
        <v>2</v>
      </c>
      <c r="EK254" s="2">
        <v>68</v>
      </c>
      <c r="EL254" s="2" t="s">
        <v>35</v>
      </c>
      <c r="EM254" s="2" t="s">
        <v>36</v>
      </c>
      <c r="EN254" s="2"/>
      <c r="EO254" s="2" t="s">
        <v>60</v>
      </c>
      <c r="EP254" s="2"/>
      <c r="EQ254" s="2">
        <v>0</v>
      </c>
      <c r="ER254" s="2">
        <v>146.88999999999999</v>
      </c>
      <c r="ES254" s="2">
        <v>146.88999999999999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90</v>
      </c>
      <c r="FY254" s="2">
        <v>46</v>
      </c>
      <c r="FZ254" s="2"/>
      <c r="GA254" s="2" t="s">
        <v>3</v>
      </c>
      <c r="GB254" s="2"/>
      <c r="GC254" s="2"/>
      <c r="GD254" s="2">
        <v>1</v>
      </c>
      <c r="GE254" s="2"/>
      <c r="GF254" s="2">
        <v>289520784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235"/>
        <v>0</v>
      </c>
      <c r="GM254" s="2">
        <f t="shared" si="236"/>
        <v>44067</v>
      </c>
      <c r="GN254" s="2">
        <f t="shared" si="237"/>
        <v>0</v>
      </c>
      <c r="GO254" s="2">
        <f t="shared" si="238"/>
        <v>44067</v>
      </c>
      <c r="GP254" s="2">
        <f t="shared" si="239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240"/>
        <v>0</v>
      </c>
      <c r="GW254" s="2">
        <v>1</v>
      </c>
      <c r="GX254" s="2">
        <f t="shared" si="241"/>
        <v>0</v>
      </c>
      <c r="GY254" s="2"/>
      <c r="GZ254" s="2"/>
      <c r="HA254" s="2">
        <v>0</v>
      </c>
      <c r="HB254" s="2">
        <v>0</v>
      </c>
      <c r="HC254" s="2">
        <f t="shared" si="242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3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5">
      <c r="A255" s="3">
        <v>18</v>
      </c>
      <c r="B255" s="3">
        <v>1</v>
      </c>
      <c r="C255" s="3">
        <v>331</v>
      </c>
      <c r="E255" s="3" t="s">
        <v>256</v>
      </c>
      <c r="F255" s="3" t="s">
        <v>257</v>
      </c>
      <c r="G255" s="3" t="s">
        <v>258</v>
      </c>
      <c r="H255" s="3" t="s">
        <v>49</v>
      </c>
      <c r="I255" s="3">
        <f>I253*J255</f>
        <v>300</v>
      </c>
      <c r="J255" s="3">
        <v>200</v>
      </c>
      <c r="K255" s="3">
        <v>200</v>
      </c>
      <c r="O255" s="3">
        <f t="shared" si="218"/>
        <v>76676.58</v>
      </c>
      <c r="P255" s="3">
        <f t="shared" si="219"/>
        <v>76676.58</v>
      </c>
      <c r="Q255" s="3">
        <f t="shared" si="243"/>
        <v>0</v>
      </c>
      <c r="R255" s="3">
        <f t="shared" si="244"/>
        <v>0</v>
      </c>
      <c r="S255" s="3">
        <f t="shared" si="220"/>
        <v>0</v>
      </c>
      <c r="T255" s="3">
        <f t="shared" si="221"/>
        <v>0</v>
      </c>
      <c r="U255" s="3">
        <f t="shared" si="222"/>
        <v>0</v>
      </c>
      <c r="V255" s="3">
        <f t="shared" si="223"/>
        <v>0</v>
      </c>
      <c r="W255" s="3">
        <f t="shared" si="224"/>
        <v>0</v>
      </c>
      <c r="X255" s="3">
        <f t="shared" si="245"/>
        <v>0</v>
      </c>
      <c r="Y255" s="3">
        <f t="shared" si="246"/>
        <v>0</v>
      </c>
      <c r="AA255" s="3">
        <v>55917799</v>
      </c>
      <c r="AB255" s="3">
        <f t="shared" si="225"/>
        <v>146.88999999999999</v>
      </c>
      <c r="AC255" s="3">
        <f t="shared" si="247"/>
        <v>146.88999999999999</v>
      </c>
      <c r="AD255" s="3">
        <f t="shared" si="248"/>
        <v>0</v>
      </c>
      <c r="AE255" s="3">
        <f t="shared" si="249"/>
        <v>0</v>
      </c>
      <c r="AF255" s="3">
        <f t="shared" si="250"/>
        <v>0</v>
      </c>
      <c r="AG255" s="3">
        <f t="shared" si="226"/>
        <v>0</v>
      </c>
      <c r="AH255" s="3">
        <f t="shared" si="251"/>
        <v>0</v>
      </c>
      <c r="AI255" s="3">
        <f t="shared" si="252"/>
        <v>0</v>
      </c>
      <c r="AJ255" s="3">
        <f t="shared" si="227"/>
        <v>0</v>
      </c>
      <c r="AK255" s="3">
        <v>146.88999999999999</v>
      </c>
      <c r="AL255" s="3">
        <v>146.88999999999999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90</v>
      </c>
      <c r="AU255" s="3">
        <v>46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1.74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2</v>
      </c>
      <c r="BJ255" s="3" t="s">
        <v>259</v>
      </c>
      <c r="BM255" s="3">
        <v>68</v>
      </c>
      <c r="BN255" s="3">
        <v>0</v>
      </c>
      <c r="BO255" s="3" t="s">
        <v>257</v>
      </c>
      <c r="BP255" s="3">
        <v>1</v>
      </c>
      <c r="BQ255" s="3">
        <v>40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90</v>
      </c>
      <c r="CA255" s="3">
        <v>46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619</v>
      </c>
      <c r="CO255" s="3">
        <v>0</v>
      </c>
      <c r="CP255" s="3">
        <f t="shared" si="228"/>
        <v>76676.58</v>
      </c>
      <c r="CQ255" s="3">
        <f t="shared" si="229"/>
        <v>255.59</v>
      </c>
      <c r="CR255" s="3">
        <f t="shared" si="253"/>
        <v>0</v>
      </c>
      <c r="CS255" s="3">
        <f t="shared" si="254"/>
        <v>0</v>
      </c>
      <c r="CT255" s="3">
        <f t="shared" si="230"/>
        <v>0</v>
      </c>
      <c r="CU255" s="3">
        <f t="shared" si="231"/>
        <v>0</v>
      </c>
      <c r="CV255" s="3">
        <f t="shared" si="232"/>
        <v>0</v>
      </c>
      <c r="CW255" s="3">
        <f t="shared" si="233"/>
        <v>0</v>
      </c>
      <c r="CX255" s="3">
        <f t="shared" si="234"/>
        <v>0</v>
      </c>
      <c r="CY255" s="3">
        <f t="shared" si="255"/>
        <v>0</v>
      </c>
      <c r="CZ255" s="3">
        <f t="shared" si="256"/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1010</v>
      </c>
      <c r="DV255" s="3" t="s">
        <v>49</v>
      </c>
      <c r="DW255" s="3" t="s">
        <v>49</v>
      </c>
      <c r="DX255" s="3">
        <v>100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55393700</v>
      </c>
      <c r="EF255" s="3">
        <v>40</v>
      </c>
      <c r="EG255" s="3" t="s">
        <v>26</v>
      </c>
      <c r="EH255" s="3">
        <v>0</v>
      </c>
      <c r="EI255" s="3" t="s">
        <v>3</v>
      </c>
      <c r="EJ255" s="3">
        <v>2</v>
      </c>
      <c r="EK255" s="3">
        <v>68</v>
      </c>
      <c r="EL255" s="3" t="s">
        <v>35</v>
      </c>
      <c r="EM255" s="3" t="s">
        <v>36</v>
      </c>
      <c r="EO255" s="3" t="s">
        <v>60</v>
      </c>
      <c r="EQ255" s="3">
        <v>0</v>
      </c>
      <c r="ER255" s="3">
        <v>146.88999999999999</v>
      </c>
      <c r="ES255" s="3">
        <v>146.88999999999999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FQ255" s="3">
        <v>0</v>
      </c>
      <c r="FR255" s="3">
        <v>0</v>
      </c>
      <c r="FS255" s="3">
        <v>0</v>
      </c>
      <c r="FX255" s="3">
        <v>90</v>
      </c>
      <c r="FY255" s="3">
        <v>46</v>
      </c>
      <c r="GA255" s="3" t="s">
        <v>3</v>
      </c>
      <c r="GD255" s="3">
        <v>1</v>
      </c>
      <c r="GF255" s="3">
        <v>289520784</v>
      </c>
      <c r="GG255" s="3">
        <v>2</v>
      </c>
      <c r="GH255" s="3">
        <v>1</v>
      </c>
      <c r="GI255" s="3">
        <v>2</v>
      </c>
      <c r="GJ255" s="3">
        <v>0</v>
      </c>
      <c r="GK255" s="3">
        <v>0</v>
      </c>
      <c r="GL255" s="3">
        <f t="shared" si="235"/>
        <v>0</v>
      </c>
      <c r="GM255" s="3">
        <f t="shared" si="236"/>
        <v>76676.58</v>
      </c>
      <c r="GN255" s="3">
        <f t="shared" si="237"/>
        <v>0</v>
      </c>
      <c r="GO255" s="3">
        <f t="shared" si="238"/>
        <v>76676.58</v>
      </c>
      <c r="GP255" s="3">
        <f t="shared" si="239"/>
        <v>0</v>
      </c>
      <c r="GR255" s="3">
        <v>0</v>
      </c>
      <c r="GS255" s="3">
        <v>3</v>
      </c>
      <c r="GT255" s="3">
        <v>0</v>
      </c>
      <c r="GU255" s="3" t="s">
        <v>3</v>
      </c>
      <c r="GV255" s="3">
        <f t="shared" si="240"/>
        <v>0</v>
      </c>
      <c r="GW255" s="3">
        <v>1</v>
      </c>
      <c r="GX255" s="3">
        <f t="shared" si="241"/>
        <v>0</v>
      </c>
      <c r="HA255" s="3">
        <v>0</v>
      </c>
      <c r="HB255" s="3">
        <v>0</v>
      </c>
      <c r="HC255" s="3">
        <f t="shared" si="242"/>
        <v>0</v>
      </c>
      <c r="HE255" s="3" t="s">
        <v>3</v>
      </c>
      <c r="HF255" s="3" t="s">
        <v>3</v>
      </c>
      <c r="HM255" s="3" t="s">
        <v>3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6" spans="1:255" x14ac:dyDescent="0.25">
      <c r="A256" s="2">
        <v>17</v>
      </c>
      <c r="B256" s="2">
        <v>1</v>
      </c>
      <c r="C256" s="2"/>
      <c r="D256" s="2"/>
      <c r="E256" s="2" t="s">
        <v>260</v>
      </c>
      <c r="F256" s="2" t="s">
        <v>261</v>
      </c>
      <c r="G256" s="2" t="s">
        <v>262</v>
      </c>
      <c r="H256" s="2" t="s">
        <v>263</v>
      </c>
      <c r="I256" s="2">
        <f>ROUND(150*1.02,9)</f>
        <v>153</v>
      </c>
      <c r="J256" s="2">
        <v>0</v>
      </c>
      <c r="K256" s="2">
        <f>ROUND(150*1.02,9)</f>
        <v>153</v>
      </c>
      <c r="L256" s="2"/>
      <c r="M256" s="2"/>
      <c r="N256" s="2"/>
      <c r="O256" s="2">
        <f t="shared" si="218"/>
        <v>1733.49</v>
      </c>
      <c r="P256" s="2">
        <f t="shared" si="219"/>
        <v>1733.49</v>
      </c>
      <c r="Q256" s="2">
        <f t="shared" si="243"/>
        <v>0</v>
      </c>
      <c r="R256" s="2">
        <f t="shared" si="244"/>
        <v>0</v>
      </c>
      <c r="S256" s="2">
        <f t="shared" si="220"/>
        <v>0</v>
      </c>
      <c r="T256" s="2">
        <f t="shared" si="221"/>
        <v>0</v>
      </c>
      <c r="U256" s="2">
        <f t="shared" si="222"/>
        <v>0</v>
      </c>
      <c r="V256" s="2">
        <f t="shared" si="223"/>
        <v>0</v>
      </c>
      <c r="W256" s="2">
        <f t="shared" si="224"/>
        <v>0</v>
      </c>
      <c r="X256" s="2">
        <f t="shared" si="245"/>
        <v>0</v>
      </c>
      <c r="Y256" s="2">
        <f t="shared" si="246"/>
        <v>0</v>
      </c>
      <c r="Z256" s="2"/>
      <c r="AA256" s="2">
        <v>55917797</v>
      </c>
      <c r="AB256" s="2">
        <f t="shared" si="225"/>
        <v>11.33</v>
      </c>
      <c r="AC256" s="2">
        <f t="shared" si="247"/>
        <v>11.33</v>
      </c>
      <c r="AD256" s="2">
        <f t="shared" si="248"/>
        <v>0</v>
      </c>
      <c r="AE256" s="2">
        <f t="shared" si="249"/>
        <v>0</v>
      </c>
      <c r="AF256" s="2">
        <f t="shared" si="250"/>
        <v>0</v>
      </c>
      <c r="AG256" s="2">
        <f t="shared" si="226"/>
        <v>0</v>
      </c>
      <c r="AH256" s="2">
        <f t="shared" si="251"/>
        <v>0</v>
      </c>
      <c r="AI256" s="2">
        <f t="shared" si="252"/>
        <v>0</v>
      </c>
      <c r="AJ256" s="2">
        <f t="shared" si="227"/>
        <v>0</v>
      </c>
      <c r="AK256" s="2">
        <v>11.33</v>
      </c>
      <c r="AL256" s="2">
        <v>11.33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1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3</v>
      </c>
      <c r="BI256" s="2">
        <v>2</v>
      </c>
      <c r="BJ256" s="2" t="s">
        <v>261</v>
      </c>
      <c r="BK256" s="2"/>
      <c r="BL256" s="2"/>
      <c r="BM256" s="2">
        <v>400006</v>
      </c>
      <c r="BN256" s="2">
        <v>0</v>
      </c>
      <c r="BO256" s="2" t="s">
        <v>3</v>
      </c>
      <c r="BP256" s="2">
        <v>0</v>
      </c>
      <c r="BQ256" s="2">
        <v>215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0</v>
      </c>
      <c r="CA256" s="2">
        <v>0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3</v>
      </c>
      <c r="CO256" s="2">
        <v>0</v>
      </c>
      <c r="CP256" s="2">
        <f t="shared" si="228"/>
        <v>1733.49</v>
      </c>
      <c r="CQ256" s="2">
        <f t="shared" si="229"/>
        <v>11.33</v>
      </c>
      <c r="CR256" s="2">
        <f t="shared" si="253"/>
        <v>0</v>
      </c>
      <c r="CS256" s="2">
        <f t="shared" si="254"/>
        <v>0</v>
      </c>
      <c r="CT256" s="2">
        <f t="shared" si="230"/>
        <v>0</v>
      </c>
      <c r="CU256" s="2">
        <f t="shared" si="231"/>
        <v>0</v>
      </c>
      <c r="CV256" s="2">
        <f t="shared" si="232"/>
        <v>0</v>
      </c>
      <c r="CW256" s="2">
        <f t="shared" si="233"/>
        <v>0</v>
      </c>
      <c r="CX256" s="2">
        <f t="shared" si="234"/>
        <v>0</v>
      </c>
      <c r="CY256" s="2">
        <f t="shared" si="255"/>
        <v>0</v>
      </c>
      <c r="CZ256" s="2">
        <f t="shared" si="256"/>
        <v>0</v>
      </c>
      <c r="DA256" s="2"/>
      <c r="DB256" s="2"/>
      <c r="DC256" s="2" t="s">
        <v>3</v>
      </c>
      <c r="DD256" s="2" t="s">
        <v>3</v>
      </c>
      <c r="DE256" s="2" t="s">
        <v>3</v>
      </c>
      <c r="DF256" s="2" t="s">
        <v>3</v>
      </c>
      <c r="DG256" s="2" t="s">
        <v>3</v>
      </c>
      <c r="DH256" s="2" t="s">
        <v>3</v>
      </c>
      <c r="DI256" s="2" t="s">
        <v>3</v>
      </c>
      <c r="DJ256" s="2" t="s">
        <v>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1003</v>
      </c>
      <c r="DV256" s="2" t="s">
        <v>263</v>
      </c>
      <c r="DW256" s="2" t="s">
        <v>263</v>
      </c>
      <c r="DX256" s="2">
        <v>1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55393629</v>
      </c>
      <c r="EF256" s="2">
        <v>215</v>
      </c>
      <c r="EG256" s="2" t="s">
        <v>264</v>
      </c>
      <c r="EH256" s="2">
        <v>0</v>
      </c>
      <c r="EI256" s="2" t="s">
        <v>3</v>
      </c>
      <c r="EJ256" s="2">
        <v>2</v>
      </c>
      <c r="EK256" s="2">
        <v>400006</v>
      </c>
      <c r="EL256" s="2" t="s">
        <v>264</v>
      </c>
      <c r="EM256" s="2" t="s">
        <v>265</v>
      </c>
      <c r="EN256" s="2"/>
      <c r="EO256" s="2" t="s">
        <v>3</v>
      </c>
      <c r="EP256" s="2"/>
      <c r="EQ256" s="2">
        <v>16</v>
      </c>
      <c r="ER256" s="2">
        <v>0</v>
      </c>
      <c r="ES256" s="2">
        <v>11.33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0</v>
      </c>
      <c r="FT256" s="2"/>
      <c r="FU256" s="2"/>
      <c r="FV256" s="2"/>
      <c r="FW256" s="2"/>
      <c r="FX256" s="2">
        <v>0</v>
      </c>
      <c r="FY256" s="2">
        <v>0</v>
      </c>
      <c r="FZ256" s="2"/>
      <c r="GA256" s="2" t="s">
        <v>266</v>
      </c>
      <c r="GB256" s="2"/>
      <c r="GC256" s="2"/>
      <c r="GD256" s="2">
        <v>1</v>
      </c>
      <c r="GE256" s="2"/>
      <c r="GF256" s="2">
        <v>-687269090</v>
      </c>
      <c r="GG256" s="2">
        <v>2</v>
      </c>
      <c r="GH256" s="2">
        <v>4</v>
      </c>
      <c r="GI256" s="2">
        <v>-2</v>
      </c>
      <c r="GJ256" s="2">
        <v>0</v>
      </c>
      <c r="GK256" s="2">
        <v>0</v>
      </c>
      <c r="GL256" s="2">
        <f t="shared" si="235"/>
        <v>0</v>
      </c>
      <c r="GM256" s="2">
        <f t="shared" si="236"/>
        <v>1733.49</v>
      </c>
      <c r="GN256" s="2">
        <f t="shared" si="237"/>
        <v>0</v>
      </c>
      <c r="GO256" s="2">
        <f t="shared" si="238"/>
        <v>1733.49</v>
      </c>
      <c r="GP256" s="2">
        <f t="shared" si="239"/>
        <v>0</v>
      </c>
      <c r="GQ256" s="2"/>
      <c r="GR256" s="2">
        <v>1</v>
      </c>
      <c r="GS256" s="2">
        <v>2</v>
      </c>
      <c r="GT256" s="2">
        <v>0</v>
      </c>
      <c r="GU256" s="2" t="s">
        <v>3</v>
      </c>
      <c r="GV256" s="2">
        <f t="shared" si="240"/>
        <v>0</v>
      </c>
      <c r="GW256" s="2">
        <v>1</v>
      </c>
      <c r="GX256" s="2">
        <f t="shared" si="241"/>
        <v>0</v>
      </c>
      <c r="GY256" s="2"/>
      <c r="GZ256" s="2"/>
      <c r="HA256" s="2">
        <v>0</v>
      </c>
      <c r="HB256" s="2">
        <v>0</v>
      </c>
      <c r="HC256" s="2">
        <f t="shared" si="242"/>
        <v>0</v>
      </c>
      <c r="HD256" s="2"/>
      <c r="HE256" s="2" t="s">
        <v>246</v>
      </c>
      <c r="HF256" s="2" t="s">
        <v>30</v>
      </c>
      <c r="HG256" s="2"/>
      <c r="HH256" s="2"/>
      <c r="HI256" s="2"/>
      <c r="HJ256" s="2"/>
      <c r="HK256" s="2"/>
      <c r="HL256" s="2"/>
      <c r="HM256" s="2" t="s">
        <v>3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5">
      <c r="A257" s="3">
        <v>17</v>
      </c>
      <c r="B257" s="3">
        <v>1</v>
      </c>
      <c r="E257" s="3" t="s">
        <v>260</v>
      </c>
      <c r="F257" s="3" t="s">
        <v>261</v>
      </c>
      <c r="G257" s="3" t="s">
        <v>262</v>
      </c>
      <c r="H257" s="3" t="s">
        <v>263</v>
      </c>
      <c r="I257" s="3">
        <f>ROUND(150*1.02,9)</f>
        <v>153</v>
      </c>
      <c r="J257" s="3">
        <v>0</v>
      </c>
      <c r="K257" s="3">
        <f>ROUND(150*1.02,9)</f>
        <v>153</v>
      </c>
      <c r="O257" s="3">
        <f t="shared" si="218"/>
        <v>17057.54</v>
      </c>
      <c r="P257" s="3">
        <f t="shared" si="219"/>
        <v>17057.54</v>
      </c>
      <c r="Q257" s="3">
        <f t="shared" si="243"/>
        <v>0</v>
      </c>
      <c r="R257" s="3">
        <f t="shared" si="244"/>
        <v>0</v>
      </c>
      <c r="S257" s="3">
        <f t="shared" si="220"/>
        <v>0</v>
      </c>
      <c r="T257" s="3">
        <f t="shared" si="221"/>
        <v>0</v>
      </c>
      <c r="U257" s="3">
        <f t="shared" si="222"/>
        <v>0</v>
      </c>
      <c r="V257" s="3">
        <f t="shared" si="223"/>
        <v>0</v>
      </c>
      <c r="W257" s="3">
        <f t="shared" si="224"/>
        <v>0</v>
      </c>
      <c r="X257" s="3">
        <f t="shared" si="245"/>
        <v>0</v>
      </c>
      <c r="Y257" s="3">
        <f t="shared" si="246"/>
        <v>0</v>
      </c>
      <c r="AA257" s="3">
        <v>55917799</v>
      </c>
      <c r="AB257" s="3">
        <f t="shared" si="225"/>
        <v>11.33</v>
      </c>
      <c r="AC257" s="3">
        <f t="shared" si="247"/>
        <v>11.33</v>
      </c>
      <c r="AD257" s="3">
        <f t="shared" si="248"/>
        <v>0</v>
      </c>
      <c r="AE257" s="3">
        <f t="shared" si="249"/>
        <v>0</v>
      </c>
      <c r="AF257" s="3">
        <f t="shared" si="250"/>
        <v>0</v>
      </c>
      <c r="AG257" s="3">
        <f t="shared" si="226"/>
        <v>0</v>
      </c>
      <c r="AH257" s="3">
        <f t="shared" si="251"/>
        <v>0</v>
      </c>
      <c r="AI257" s="3">
        <f t="shared" si="252"/>
        <v>0</v>
      </c>
      <c r="AJ257" s="3">
        <f t="shared" si="227"/>
        <v>0</v>
      </c>
      <c r="AK257" s="3">
        <v>11.33</v>
      </c>
      <c r="AL257" s="3">
        <v>11.33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1</v>
      </c>
      <c r="AW257" s="3">
        <v>1</v>
      </c>
      <c r="AZ257" s="3">
        <v>1</v>
      </c>
      <c r="BA257" s="3">
        <v>1</v>
      </c>
      <c r="BB257" s="3">
        <v>1</v>
      </c>
      <c r="BC257" s="3">
        <v>9.84</v>
      </c>
      <c r="BD257" s="3" t="s">
        <v>3</v>
      </c>
      <c r="BE257" s="3" t="s">
        <v>3</v>
      </c>
      <c r="BF257" s="3" t="s">
        <v>3</v>
      </c>
      <c r="BG257" s="3" t="s">
        <v>3</v>
      </c>
      <c r="BH257" s="3">
        <v>3</v>
      </c>
      <c r="BI257" s="3">
        <v>2</v>
      </c>
      <c r="BJ257" s="3" t="s">
        <v>261</v>
      </c>
      <c r="BM257" s="3">
        <v>400006</v>
      </c>
      <c r="BN257" s="3">
        <v>0</v>
      </c>
      <c r="BO257" s="3" t="s">
        <v>3</v>
      </c>
      <c r="BP257" s="3">
        <v>0</v>
      </c>
      <c r="BQ257" s="3">
        <v>215</v>
      </c>
      <c r="BR257" s="3">
        <v>0</v>
      </c>
      <c r="BS257" s="3">
        <v>1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 t="s">
        <v>3</v>
      </c>
      <c r="BZ257" s="3">
        <v>0</v>
      </c>
      <c r="CA257" s="3">
        <v>0</v>
      </c>
      <c r="CB257" s="3" t="s">
        <v>3</v>
      </c>
      <c r="CE257" s="3">
        <v>1566</v>
      </c>
      <c r="CF257" s="3">
        <v>0</v>
      </c>
      <c r="CG257" s="3">
        <v>0</v>
      </c>
      <c r="CM257" s="3">
        <v>0</v>
      </c>
      <c r="CN257" s="3" t="s">
        <v>3</v>
      </c>
      <c r="CO257" s="3">
        <v>0</v>
      </c>
      <c r="CP257" s="3">
        <f t="shared" si="228"/>
        <v>17057.54</v>
      </c>
      <c r="CQ257" s="3">
        <f t="shared" si="229"/>
        <v>111.49</v>
      </c>
      <c r="CR257" s="3">
        <f t="shared" si="253"/>
        <v>0</v>
      </c>
      <c r="CS257" s="3">
        <f t="shared" si="254"/>
        <v>0</v>
      </c>
      <c r="CT257" s="3">
        <f t="shared" si="230"/>
        <v>0</v>
      </c>
      <c r="CU257" s="3">
        <f t="shared" si="231"/>
        <v>0</v>
      </c>
      <c r="CV257" s="3">
        <f t="shared" si="232"/>
        <v>0</v>
      </c>
      <c r="CW257" s="3">
        <f t="shared" si="233"/>
        <v>0</v>
      </c>
      <c r="CX257" s="3">
        <f t="shared" si="234"/>
        <v>0</v>
      </c>
      <c r="CY257" s="3">
        <f t="shared" si="255"/>
        <v>0</v>
      </c>
      <c r="CZ257" s="3">
        <f t="shared" si="256"/>
        <v>0</v>
      </c>
      <c r="DC257" s="3" t="s">
        <v>3</v>
      </c>
      <c r="DD257" s="3" t="s">
        <v>3</v>
      </c>
      <c r="DE257" s="3" t="s">
        <v>3</v>
      </c>
      <c r="DF257" s="3" t="s">
        <v>3</v>
      </c>
      <c r="DG257" s="3" t="s">
        <v>3</v>
      </c>
      <c r="DH257" s="3" t="s">
        <v>3</v>
      </c>
      <c r="DI257" s="3" t="s">
        <v>3</v>
      </c>
      <c r="DJ257" s="3" t="s">
        <v>3</v>
      </c>
      <c r="DK257" s="3" t="s">
        <v>3</v>
      </c>
      <c r="DL257" s="3" t="s">
        <v>3</v>
      </c>
      <c r="DM257" s="3" t="s">
        <v>3</v>
      </c>
      <c r="DN257" s="3">
        <v>0</v>
      </c>
      <c r="DO257" s="3">
        <v>0</v>
      </c>
      <c r="DP257" s="3">
        <v>1</v>
      </c>
      <c r="DQ257" s="3">
        <v>1</v>
      </c>
      <c r="DU257" s="3">
        <v>1003</v>
      </c>
      <c r="DV257" s="3" t="s">
        <v>263</v>
      </c>
      <c r="DW257" s="3" t="s">
        <v>263</v>
      </c>
      <c r="DX257" s="3">
        <v>1</v>
      </c>
      <c r="DZ257" s="3" t="s">
        <v>3</v>
      </c>
      <c r="EA257" s="3" t="s">
        <v>3</v>
      </c>
      <c r="EB257" s="3" t="s">
        <v>3</v>
      </c>
      <c r="EC257" s="3" t="s">
        <v>3</v>
      </c>
      <c r="EE257" s="3">
        <v>55393629</v>
      </c>
      <c r="EF257" s="3">
        <v>215</v>
      </c>
      <c r="EG257" s="3" t="s">
        <v>264</v>
      </c>
      <c r="EH257" s="3">
        <v>0</v>
      </c>
      <c r="EI257" s="3" t="s">
        <v>3</v>
      </c>
      <c r="EJ257" s="3">
        <v>2</v>
      </c>
      <c r="EK257" s="3">
        <v>400006</v>
      </c>
      <c r="EL257" s="3" t="s">
        <v>264</v>
      </c>
      <c r="EM257" s="3" t="s">
        <v>265</v>
      </c>
      <c r="EO257" s="3" t="s">
        <v>3</v>
      </c>
      <c r="EQ257" s="3">
        <v>16</v>
      </c>
      <c r="ER257" s="3">
        <v>0</v>
      </c>
      <c r="ES257" s="3">
        <v>11.33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5</v>
      </c>
      <c r="FC257" s="3">
        <v>1</v>
      </c>
      <c r="FD257" s="3">
        <v>18</v>
      </c>
      <c r="FF257" s="3">
        <v>133.33000000000001</v>
      </c>
      <c r="FQ257" s="3">
        <v>0</v>
      </c>
      <c r="FR257" s="3">
        <v>0</v>
      </c>
      <c r="FS257" s="3">
        <v>0</v>
      </c>
      <c r="FX257" s="3">
        <v>0</v>
      </c>
      <c r="FY257" s="3">
        <v>0</v>
      </c>
      <c r="GA257" s="3" t="s">
        <v>266</v>
      </c>
      <c r="GD257" s="3">
        <v>1</v>
      </c>
      <c r="GF257" s="3">
        <v>-687269090</v>
      </c>
      <c r="GG257" s="3">
        <v>2</v>
      </c>
      <c r="GH257" s="3">
        <v>3</v>
      </c>
      <c r="GI257" s="3">
        <v>5</v>
      </c>
      <c r="GJ257" s="3">
        <v>0</v>
      </c>
      <c r="GK257" s="3">
        <v>0</v>
      </c>
      <c r="GL257" s="3">
        <f t="shared" si="235"/>
        <v>0</v>
      </c>
      <c r="GM257" s="3">
        <f t="shared" si="236"/>
        <v>17057.54</v>
      </c>
      <c r="GN257" s="3">
        <f t="shared" si="237"/>
        <v>0</v>
      </c>
      <c r="GO257" s="3">
        <f t="shared" si="238"/>
        <v>17057.54</v>
      </c>
      <c r="GP257" s="3">
        <f t="shared" si="239"/>
        <v>0</v>
      </c>
      <c r="GR257" s="3">
        <v>1</v>
      </c>
      <c r="GS257" s="3">
        <v>1</v>
      </c>
      <c r="GT257" s="3">
        <v>0</v>
      </c>
      <c r="GU257" s="3" t="s">
        <v>3</v>
      </c>
      <c r="GV257" s="3">
        <f t="shared" si="240"/>
        <v>0</v>
      </c>
      <c r="GW257" s="3">
        <v>1</v>
      </c>
      <c r="GX257" s="3">
        <f t="shared" si="241"/>
        <v>0</v>
      </c>
      <c r="HA257" s="3">
        <v>0</v>
      </c>
      <c r="HB257" s="3">
        <v>0</v>
      </c>
      <c r="HC257" s="3">
        <f t="shared" si="242"/>
        <v>0</v>
      </c>
      <c r="HE257" s="3" t="s">
        <v>246</v>
      </c>
      <c r="HF257" s="3" t="s">
        <v>30</v>
      </c>
      <c r="HM257" s="3" t="s">
        <v>3</v>
      </c>
      <c r="HN257" s="3" t="s">
        <v>3</v>
      </c>
      <c r="HO257" s="3" t="s">
        <v>3</v>
      </c>
      <c r="HP257" s="3" t="s">
        <v>3</v>
      </c>
      <c r="HQ257" s="3" t="s">
        <v>3</v>
      </c>
      <c r="HS257" s="3">
        <v>0</v>
      </c>
      <c r="IK257" s="3">
        <v>0</v>
      </c>
    </row>
    <row r="258" spans="1:255" x14ac:dyDescent="0.25">
      <c r="A258" s="2">
        <v>17</v>
      </c>
      <c r="B258" s="2">
        <v>1</v>
      </c>
      <c r="C258" s="2"/>
      <c r="D258" s="2"/>
      <c r="E258" s="2" t="s">
        <v>267</v>
      </c>
      <c r="F258" s="2" t="s">
        <v>268</v>
      </c>
      <c r="G258" s="2" t="s">
        <v>269</v>
      </c>
      <c r="H258" s="2" t="s">
        <v>263</v>
      </c>
      <c r="I258" s="2">
        <f t="shared" ref="I258:I263" si="257">ROUND(50*1.02,9)</f>
        <v>51</v>
      </c>
      <c r="J258" s="2">
        <v>0</v>
      </c>
      <c r="K258" s="2">
        <f t="shared" ref="K258:K263" si="258">ROUND(50*1.02,9)</f>
        <v>51</v>
      </c>
      <c r="L258" s="2"/>
      <c r="M258" s="2"/>
      <c r="N258" s="2"/>
      <c r="O258" s="2">
        <f t="shared" si="218"/>
        <v>1745.22</v>
      </c>
      <c r="P258" s="2">
        <f t="shared" si="219"/>
        <v>1745.22</v>
      </c>
      <c r="Q258" s="2">
        <f t="shared" si="243"/>
        <v>0</v>
      </c>
      <c r="R258" s="2">
        <f t="shared" si="244"/>
        <v>0</v>
      </c>
      <c r="S258" s="2">
        <f t="shared" si="220"/>
        <v>0</v>
      </c>
      <c r="T258" s="2">
        <f t="shared" si="221"/>
        <v>0</v>
      </c>
      <c r="U258" s="2">
        <f t="shared" si="222"/>
        <v>0</v>
      </c>
      <c r="V258" s="2">
        <f t="shared" si="223"/>
        <v>0</v>
      </c>
      <c r="W258" s="2">
        <f t="shared" si="224"/>
        <v>0</v>
      </c>
      <c r="X258" s="2">
        <f t="shared" si="245"/>
        <v>0</v>
      </c>
      <c r="Y258" s="2">
        <f t="shared" si="246"/>
        <v>0</v>
      </c>
      <c r="Z258" s="2"/>
      <c r="AA258" s="2">
        <v>55917797</v>
      </c>
      <c r="AB258" s="2">
        <f t="shared" si="225"/>
        <v>34.22</v>
      </c>
      <c r="AC258" s="2">
        <f t="shared" si="247"/>
        <v>34.22</v>
      </c>
      <c r="AD258" s="2">
        <f t="shared" si="248"/>
        <v>0</v>
      </c>
      <c r="AE258" s="2">
        <f t="shared" si="249"/>
        <v>0</v>
      </c>
      <c r="AF258" s="2">
        <f t="shared" si="250"/>
        <v>0</v>
      </c>
      <c r="AG258" s="2">
        <f t="shared" si="226"/>
        <v>0</v>
      </c>
      <c r="AH258" s="2">
        <f t="shared" si="251"/>
        <v>0</v>
      </c>
      <c r="AI258" s="2">
        <f t="shared" si="252"/>
        <v>0</v>
      </c>
      <c r="AJ258" s="2">
        <f t="shared" si="227"/>
        <v>0</v>
      </c>
      <c r="AK258" s="2">
        <v>34.22</v>
      </c>
      <c r="AL258" s="2">
        <v>34.22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1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3</v>
      </c>
      <c r="BI258" s="2">
        <v>2</v>
      </c>
      <c r="BJ258" s="2" t="s">
        <v>268</v>
      </c>
      <c r="BK258" s="2"/>
      <c r="BL258" s="2"/>
      <c r="BM258" s="2">
        <v>400005</v>
      </c>
      <c r="BN258" s="2">
        <v>0</v>
      </c>
      <c r="BO258" s="2" t="s">
        <v>3</v>
      </c>
      <c r="BP258" s="2">
        <v>0</v>
      </c>
      <c r="BQ258" s="2">
        <v>213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0</v>
      </c>
      <c r="CA258" s="2">
        <v>0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3</v>
      </c>
      <c r="CO258" s="2">
        <v>0</v>
      </c>
      <c r="CP258" s="2">
        <f t="shared" si="228"/>
        <v>1745.22</v>
      </c>
      <c r="CQ258" s="2">
        <f t="shared" si="229"/>
        <v>34.22</v>
      </c>
      <c r="CR258" s="2">
        <f t="shared" si="253"/>
        <v>0</v>
      </c>
      <c r="CS258" s="2">
        <f t="shared" si="254"/>
        <v>0</v>
      </c>
      <c r="CT258" s="2">
        <f t="shared" si="230"/>
        <v>0</v>
      </c>
      <c r="CU258" s="2">
        <f t="shared" si="231"/>
        <v>0</v>
      </c>
      <c r="CV258" s="2">
        <f t="shared" si="232"/>
        <v>0</v>
      </c>
      <c r="CW258" s="2">
        <f t="shared" si="233"/>
        <v>0</v>
      </c>
      <c r="CX258" s="2">
        <f t="shared" si="234"/>
        <v>0</v>
      </c>
      <c r="CY258" s="2">
        <f t="shared" si="255"/>
        <v>0</v>
      </c>
      <c r="CZ258" s="2">
        <f t="shared" si="256"/>
        <v>0</v>
      </c>
      <c r="DA258" s="2"/>
      <c r="DB258" s="2"/>
      <c r="DC258" s="2" t="s">
        <v>3</v>
      </c>
      <c r="DD258" s="2" t="s">
        <v>3</v>
      </c>
      <c r="DE258" s="2" t="s">
        <v>3</v>
      </c>
      <c r="DF258" s="2" t="s">
        <v>3</v>
      </c>
      <c r="DG258" s="2" t="s">
        <v>3</v>
      </c>
      <c r="DH258" s="2" t="s">
        <v>3</v>
      </c>
      <c r="DI258" s="2" t="s">
        <v>3</v>
      </c>
      <c r="DJ258" s="2" t="s">
        <v>3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1003</v>
      </c>
      <c r="DV258" s="2" t="s">
        <v>263</v>
      </c>
      <c r="DW258" s="2" t="s">
        <v>263</v>
      </c>
      <c r="DX258" s="2">
        <v>1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55393628</v>
      </c>
      <c r="EF258" s="2">
        <v>213</v>
      </c>
      <c r="EG258" s="2" t="s">
        <v>243</v>
      </c>
      <c r="EH258" s="2">
        <v>0</v>
      </c>
      <c r="EI258" s="2" t="s">
        <v>3</v>
      </c>
      <c r="EJ258" s="2">
        <v>1</v>
      </c>
      <c r="EK258" s="2">
        <v>400005</v>
      </c>
      <c r="EL258" s="2" t="s">
        <v>243</v>
      </c>
      <c r="EM258" s="2" t="s">
        <v>244</v>
      </c>
      <c r="EN258" s="2"/>
      <c r="EO258" s="2" t="s">
        <v>3</v>
      </c>
      <c r="EP258" s="2"/>
      <c r="EQ258" s="2">
        <v>16</v>
      </c>
      <c r="ER258" s="2">
        <v>0</v>
      </c>
      <c r="ES258" s="2">
        <v>34.22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0</v>
      </c>
      <c r="FY258" s="2">
        <v>0</v>
      </c>
      <c r="FZ258" s="2"/>
      <c r="GA258" s="2" t="s">
        <v>270</v>
      </c>
      <c r="GB258" s="2"/>
      <c r="GC258" s="2"/>
      <c r="GD258" s="2">
        <v>1</v>
      </c>
      <c r="GE258" s="2"/>
      <c r="GF258" s="2">
        <v>1975307732</v>
      </c>
      <c r="GG258" s="2">
        <v>2</v>
      </c>
      <c r="GH258" s="2">
        <v>4</v>
      </c>
      <c r="GI258" s="2">
        <v>-2</v>
      </c>
      <c r="GJ258" s="2">
        <v>0</v>
      </c>
      <c r="GK258" s="2">
        <v>0</v>
      </c>
      <c r="GL258" s="2">
        <f t="shared" si="235"/>
        <v>0</v>
      </c>
      <c r="GM258" s="2">
        <f t="shared" si="236"/>
        <v>1745.22</v>
      </c>
      <c r="GN258" s="2">
        <f t="shared" si="237"/>
        <v>0</v>
      </c>
      <c r="GO258" s="2">
        <f t="shared" si="238"/>
        <v>1745.22</v>
      </c>
      <c r="GP258" s="2">
        <f t="shared" si="239"/>
        <v>0</v>
      </c>
      <c r="GQ258" s="2"/>
      <c r="GR258" s="2">
        <v>1</v>
      </c>
      <c r="GS258" s="2">
        <v>2</v>
      </c>
      <c r="GT258" s="2">
        <v>0</v>
      </c>
      <c r="GU258" s="2" t="s">
        <v>3</v>
      </c>
      <c r="GV258" s="2">
        <f t="shared" si="240"/>
        <v>0</v>
      </c>
      <c r="GW258" s="2">
        <v>1</v>
      </c>
      <c r="GX258" s="2">
        <f t="shared" si="241"/>
        <v>0</v>
      </c>
      <c r="GY258" s="2"/>
      <c r="GZ258" s="2"/>
      <c r="HA258" s="2">
        <v>0</v>
      </c>
      <c r="HB258" s="2">
        <v>0</v>
      </c>
      <c r="HC258" s="2">
        <f t="shared" si="242"/>
        <v>0</v>
      </c>
      <c r="HD258" s="2"/>
      <c r="HE258" s="2" t="s">
        <v>246</v>
      </c>
      <c r="HF258" s="2" t="s">
        <v>30</v>
      </c>
      <c r="HG258" s="2"/>
      <c r="HH258" s="2"/>
      <c r="HI258" s="2"/>
      <c r="HJ258" s="2"/>
      <c r="HK258" s="2"/>
      <c r="HL258" s="2"/>
      <c r="HM258" s="2" t="s">
        <v>3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5">
      <c r="A259" s="3">
        <v>17</v>
      </c>
      <c r="B259" s="3">
        <v>1</v>
      </c>
      <c r="E259" s="3" t="s">
        <v>267</v>
      </c>
      <c r="F259" s="3" t="s">
        <v>268</v>
      </c>
      <c r="G259" s="3" t="s">
        <v>269</v>
      </c>
      <c r="H259" s="3" t="s">
        <v>263</v>
      </c>
      <c r="I259" s="3">
        <f t="shared" si="257"/>
        <v>51</v>
      </c>
      <c r="J259" s="3">
        <v>0</v>
      </c>
      <c r="K259" s="3">
        <f t="shared" si="258"/>
        <v>51</v>
      </c>
      <c r="O259" s="3">
        <f t="shared" si="218"/>
        <v>17172.96</v>
      </c>
      <c r="P259" s="3">
        <f t="shared" si="219"/>
        <v>17172.96</v>
      </c>
      <c r="Q259" s="3">
        <f t="shared" si="243"/>
        <v>0</v>
      </c>
      <c r="R259" s="3">
        <f t="shared" si="244"/>
        <v>0</v>
      </c>
      <c r="S259" s="3">
        <f t="shared" si="220"/>
        <v>0</v>
      </c>
      <c r="T259" s="3">
        <f t="shared" si="221"/>
        <v>0</v>
      </c>
      <c r="U259" s="3">
        <f t="shared" si="222"/>
        <v>0</v>
      </c>
      <c r="V259" s="3">
        <f t="shared" si="223"/>
        <v>0</v>
      </c>
      <c r="W259" s="3">
        <f t="shared" si="224"/>
        <v>0</v>
      </c>
      <c r="X259" s="3">
        <f t="shared" si="245"/>
        <v>0</v>
      </c>
      <c r="Y259" s="3">
        <f t="shared" si="246"/>
        <v>0</v>
      </c>
      <c r="AA259" s="3">
        <v>55917799</v>
      </c>
      <c r="AB259" s="3">
        <f t="shared" si="225"/>
        <v>34.22</v>
      </c>
      <c r="AC259" s="3">
        <f t="shared" si="247"/>
        <v>34.22</v>
      </c>
      <c r="AD259" s="3">
        <f t="shared" si="248"/>
        <v>0</v>
      </c>
      <c r="AE259" s="3">
        <f t="shared" si="249"/>
        <v>0</v>
      </c>
      <c r="AF259" s="3">
        <f t="shared" si="250"/>
        <v>0</v>
      </c>
      <c r="AG259" s="3">
        <f t="shared" si="226"/>
        <v>0</v>
      </c>
      <c r="AH259" s="3">
        <f t="shared" si="251"/>
        <v>0</v>
      </c>
      <c r="AI259" s="3">
        <f t="shared" si="252"/>
        <v>0</v>
      </c>
      <c r="AJ259" s="3">
        <f t="shared" si="227"/>
        <v>0</v>
      </c>
      <c r="AK259" s="3">
        <v>34.22</v>
      </c>
      <c r="AL259" s="3">
        <v>34.22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1</v>
      </c>
      <c r="AW259" s="3">
        <v>1</v>
      </c>
      <c r="AZ259" s="3">
        <v>1</v>
      </c>
      <c r="BA259" s="3">
        <v>1</v>
      </c>
      <c r="BB259" s="3">
        <v>1</v>
      </c>
      <c r="BC259" s="3">
        <v>9.84</v>
      </c>
      <c r="BD259" s="3" t="s">
        <v>3</v>
      </c>
      <c r="BE259" s="3" t="s">
        <v>3</v>
      </c>
      <c r="BF259" s="3" t="s">
        <v>3</v>
      </c>
      <c r="BG259" s="3" t="s">
        <v>3</v>
      </c>
      <c r="BH259" s="3">
        <v>3</v>
      </c>
      <c r="BI259" s="3">
        <v>2</v>
      </c>
      <c r="BJ259" s="3" t="s">
        <v>268</v>
      </c>
      <c r="BM259" s="3">
        <v>400005</v>
      </c>
      <c r="BN259" s="3">
        <v>0</v>
      </c>
      <c r="BO259" s="3" t="s">
        <v>3</v>
      </c>
      <c r="BP259" s="3">
        <v>0</v>
      </c>
      <c r="BQ259" s="3">
        <v>213</v>
      </c>
      <c r="BR259" s="3">
        <v>0</v>
      </c>
      <c r="BS259" s="3">
        <v>1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 t="s">
        <v>3</v>
      </c>
      <c r="BZ259" s="3">
        <v>0</v>
      </c>
      <c r="CA259" s="3">
        <v>0</v>
      </c>
      <c r="CB259" s="3" t="s">
        <v>3</v>
      </c>
      <c r="CE259" s="3">
        <v>1566</v>
      </c>
      <c r="CF259" s="3">
        <v>0</v>
      </c>
      <c r="CG259" s="3">
        <v>0</v>
      </c>
      <c r="CM259" s="3">
        <v>0</v>
      </c>
      <c r="CN259" s="3" t="s">
        <v>3</v>
      </c>
      <c r="CO259" s="3">
        <v>0</v>
      </c>
      <c r="CP259" s="3">
        <f t="shared" si="228"/>
        <v>17172.96</v>
      </c>
      <c r="CQ259" s="3">
        <f t="shared" si="229"/>
        <v>336.72</v>
      </c>
      <c r="CR259" s="3">
        <f t="shared" si="253"/>
        <v>0</v>
      </c>
      <c r="CS259" s="3">
        <f t="shared" si="254"/>
        <v>0</v>
      </c>
      <c r="CT259" s="3">
        <f t="shared" si="230"/>
        <v>0</v>
      </c>
      <c r="CU259" s="3">
        <f t="shared" si="231"/>
        <v>0</v>
      </c>
      <c r="CV259" s="3">
        <f t="shared" si="232"/>
        <v>0</v>
      </c>
      <c r="CW259" s="3">
        <f t="shared" si="233"/>
        <v>0</v>
      </c>
      <c r="CX259" s="3">
        <f t="shared" si="234"/>
        <v>0</v>
      </c>
      <c r="CY259" s="3">
        <f t="shared" si="255"/>
        <v>0</v>
      </c>
      <c r="CZ259" s="3">
        <f t="shared" si="256"/>
        <v>0</v>
      </c>
      <c r="DC259" s="3" t="s">
        <v>3</v>
      </c>
      <c r="DD259" s="3" t="s">
        <v>3</v>
      </c>
      <c r="DE259" s="3" t="s">
        <v>3</v>
      </c>
      <c r="DF259" s="3" t="s">
        <v>3</v>
      </c>
      <c r="DG259" s="3" t="s">
        <v>3</v>
      </c>
      <c r="DH259" s="3" t="s">
        <v>3</v>
      </c>
      <c r="DI259" s="3" t="s">
        <v>3</v>
      </c>
      <c r="DJ259" s="3" t="s">
        <v>3</v>
      </c>
      <c r="DK259" s="3" t="s">
        <v>3</v>
      </c>
      <c r="DL259" s="3" t="s">
        <v>3</v>
      </c>
      <c r="DM259" s="3" t="s">
        <v>3</v>
      </c>
      <c r="DN259" s="3">
        <v>0</v>
      </c>
      <c r="DO259" s="3">
        <v>0</v>
      </c>
      <c r="DP259" s="3">
        <v>1</v>
      </c>
      <c r="DQ259" s="3">
        <v>1</v>
      </c>
      <c r="DU259" s="3">
        <v>1003</v>
      </c>
      <c r="DV259" s="3" t="s">
        <v>263</v>
      </c>
      <c r="DW259" s="3" t="s">
        <v>263</v>
      </c>
      <c r="DX259" s="3">
        <v>1</v>
      </c>
      <c r="DZ259" s="3" t="s">
        <v>3</v>
      </c>
      <c r="EA259" s="3" t="s">
        <v>3</v>
      </c>
      <c r="EB259" s="3" t="s">
        <v>3</v>
      </c>
      <c r="EC259" s="3" t="s">
        <v>3</v>
      </c>
      <c r="EE259" s="3">
        <v>55393628</v>
      </c>
      <c r="EF259" s="3">
        <v>213</v>
      </c>
      <c r="EG259" s="3" t="s">
        <v>243</v>
      </c>
      <c r="EH259" s="3">
        <v>0</v>
      </c>
      <c r="EI259" s="3" t="s">
        <v>3</v>
      </c>
      <c r="EJ259" s="3">
        <v>1</v>
      </c>
      <c r="EK259" s="3">
        <v>400005</v>
      </c>
      <c r="EL259" s="3" t="s">
        <v>243</v>
      </c>
      <c r="EM259" s="3" t="s">
        <v>244</v>
      </c>
      <c r="EO259" s="3" t="s">
        <v>3</v>
      </c>
      <c r="EQ259" s="3">
        <v>16</v>
      </c>
      <c r="ER259" s="3">
        <v>0</v>
      </c>
      <c r="ES259" s="3">
        <v>34.22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5</v>
      </c>
      <c r="FC259" s="3">
        <v>1</v>
      </c>
      <c r="FD259" s="3">
        <v>18</v>
      </c>
      <c r="FF259" s="3">
        <v>402.8</v>
      </c>
      <c r="FQ259" s="3">
        <v>0</v>
      </c>
      <c r="FR259" s="3">
        <v>0</v>
      </c>
      <c r="FS259" s="3">
        <v>0</v>
      </c>
      <c r="FX259" s="3">
        <v>0</v>
      </c>
      <c r="FY259" s="3">
        <v>0</v>
      </c>
      <c r="GA259" s="3" t="s">
        <v>270</v>
      </c>
      <c r="GD259" s="3">
        <v>1</v>
      </c>
      <c r="GF259" s="3">
        <v>1975307732</v>
      </c>
      <c r="GG259" s="3">
        <v>2</v>
      </c>
      <c r="GH259" s="3">
        <v>3</v>
      </c>
      <c r="GI259" s="3">
        <v>5</v>
      </c>
      <c r="GJ259" s="3">
        <v>0</v>
      </c>
      <c r="GK259" s="3">
        <v>0</v>
      </c>
      <c r="GL259" s="3">
        <f t="shared" si="235"/>
        <v>0</v>
      </c>
      <c r="GM259" s="3">
        <f t="shared" si="236"/>
        <v>17172.96</v>
      </c>
      <c r="GN259" s="3">
        <f t="shared" si="237"/>
        <v>0</v>
      </c>
      <c r="GO259" s="3">
        <f t="shared" si="238"/>
        <v>17172.96</v>
      </c>
      <c r="GP259" s="3">
        <f t="shared" si="239"/>
        <v>0</v>
      </c>
      <c r="GR259" s="3">
        <v>1</v>
      </c>
      <c r="GS259" s="3">
        <v>1</v>
      </c>
      <c r="GT259" s="3">
        <v>0</v>
      </c>
      <c r="GU259" s="3" t="s">
        <v>3</v>
      </c>
      <c r="GV259" s="3">
        <f t="shared" si="240"/>
        <v>0</v>
      </c>
      <c r="GW259" s="3">
        <v>1</v>
      </c>
      <c r="GX259" s="3">
        <f t="shared" si="241"/>
        <v>0</v>
      </c>
      <c r="HA259" s="3">
        <v>0</v>
      </c>
      <c r="HB259" s="3">
        <v>0</v>
      </c>
      <c r="HC259" s="3">
        <f t="shared" si="242"/>
        <v>0</v>
      </c>
      <c r="HE259" s="3" t="s">
        <v>246</v>
      </c>
      <c r="HF259" s="3" t="s">
        <v>30</v>
      </c>
      <c r="HM259" s="3" t="s">
        <v>3</v>
      </c>
      <c r="HN259" s="3" t="s">
        <v>3</v>
      </c>
      <c r="HO259" s="3" t="s">
        <v>3</v>
      </c>
      <c r="HP259" s="3" t="s">
        <v>3</v>
      </c>
      <c r="HQ259" s="3" t="s">
        <v>3</v>
      </c>
      <c r="HS259" s="3">
        <v>0</v>
      </c>
      <c r="IK259" s="3">
        <v>0</v>
      </c>
    </row>
    <row r="260" spans="1:255" x14ac:dyDescent="0.25">
      <c r="A260" s="2">
        <v>17</v>
      </c>
      <c r="B260" s="2">
        <v>1</v>
      </c>
      <c r="C260" s="2"/>
      <c r="D260" s="2"/>
      <c r="E260" s="2" t="s">
        <v>271</v>
      </c>
      <c r="F260" s="2" t="s">
        <v>272</v>
      </c>
      <c r="G260" s="2" t="s">
        <v>273</v>
      </c>
      <c r="H260" s="2" t="s">
        <v>263</v>
      </c>
      <c r="I260" s="2">
        <f t="shared" si="257"/>
        <v>51</v>
      </c>
      <c r="J260" s="2">
        <v>0</v>
      </c>
      <c r="K260" s="2">
        <f t="shared" si="258"/>
        <v>51</v>
      </c>
      <c r="L260" s="2"/>
      <c r="M260" s="2"/>
      <c r="N260" s="2"/>
      <c r="O260" s="2">
        <f t="shared" si="218"/>
        <v>749.7</v>
      </c>
      <c r="P260" s="2">
        <f t="shared" si="219"/>
        <v>749.7</v>
      </c>
      <c r="Q260" s="2">
        <f t="shared" si="243"/>
        <v>0</v>
      </c>
      <c r="R260" s="2">
        <f t="shared" si="244"/>
        <v>0</v>
      </c>
      <c r="S260" s="2">
        <f t="shared" si="220"/>
        <v>0</v>
      </c>
      <c r="T260" s="2">
        <f t="shared" si="221"/>
        <v>0</v>
      </c>
      <c r="U260" s="2">
        <f t="shared" si="222"/>
        <v>0</v>
      </c>
      <c r="V260" s="2">
        <f t="shared" si="223"/>
        <v>0</v>
      </c>
      <c r="W260" s="2">
        <f t="shared" si="224"/>
        <v>0</v>
      </c>
      <c r="X260" s="2">
        <f t="shared" si="245"/>
        <v>0</v>
      </c>
      <c r="Y260" s="2">
        <f t="shared" si="246"/>
        <v>0</v>
      </c>
      <c r="Z260" s="2"/>
      <c r="AA260" s="2">
        <v>55917797</v>
      </c>
      <c r="AB260" s="2">
        <f t="shared" si="225"/>
        <v>14.7</v>
      </c>
      <c r="AC260" s="2">
        <f t="shared" si="247"/>
        <v>14.7</v>
      </c>
      <c r="AD260" s="2">
        <f t="shared" si="248"/>
        <v>0</v>
      </c>
      <c r="AE260" s="2">
        <f t="shared" si="249"/>
        <v>0</v>
      </c>
      <c r="AF260" s="2">
        <f t="shared" si="250"/>
        <v>0</v>
      </c>
      <c r="AG260" s="2">
        <f t="shared" si="226"/>
        <v>0</v>
      </c>
      <c r="AH260" s="2">
        <f t="shared" si="251"/>
        <v>0</v>
      </c>
      <c r="AI260" s="2">
        <f t="shared" si="252"/>
        <v>0</v>
      </c>
      <c r="AJ260" s="2">
        <f t="shared" si="227"/>
        <v>0</v>
      </c>
      <c r="AK260" s="2">
        <v>14.7</v>
      </c>
      <c r="AL260" s="2">
        <v>14.7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1</v>
      </c>
      <c r="AW260" s="2">
        <v>1</v>
      </c>
      <c r="AX260" s="2"/>
      <c r="AY260" s="2"/>
      <c r="AZ260" s="2">
        <v>1</v>
      </c>
      <c r="BA260" s="2">
        <v>1</v>
      </c>
      <c r="BB260" s="2">
        <v>1</v>
      </c>
      <c r="BC260" s="2">
        <v>1</v>
      </c>
      <c r="BD260" s="2" t="s">
        <v>3</v>
      </c>
      <c r="BE260" s="2" t="s">
        <v>3</v>
      </c>
      <c r="BF260" s="2" t="s">
        <v>3</v>
      </c>
      <c r="BG260" s="2" t="s">
        <v>3</v>
      </c>
      <c r="BH260" s="2">
        <v>3</v>
      </c>
      <c r="BI260" s="2">
        <v>2</v>
      </c>
      <c r="BJ260" s="2" t="s">
        <v>272</v>
      </c>
      <c r="BK260" s="2"/>
      <c r="BL260" s="2"/>
      <c r="BM260" s="2">
        <v>400005</v>
      </c>
      <c r="BN260" s="2">
        <v>0</v>
      </c>
      <c r="BO260" s="2" t="s">
        <v>3</v>
      </c>
      <c r="BP260" s="2">
        <v>0</v>
      </c>
      <c r="BQ260" s="2">
        <v>213</v>
      </c>
      <c r="BR260" s="2">
        <v>0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 t="s">
        <v>3</v>
      </c>
      <c r="BZ260" s="2">
        <v>0</v>
      </c>
      <c r="CA260" s="2">
        <v>0</v>
      </c>
      <c r="CB260" s="2" t="s">
        <v>3</v>
      </c>
      <c r="CC260" s="2"/>
      <c r="CD260" s="2"/>
      <c r="CE260" s="2">
        <v>1566</v>
      </c>
      <c r="CF260" s="2">
        <v>0</v>
      </c>
      <c r="CG260" s="2">
        <v>0</v>
      </c>
      <c r="CH260" s="2"/>
      <c r="CI260" s="2"/>
      <c r="CJ260" s="2"/>
      <c r="CK260" s="2"/>
      <c r="CL260" s="2"/>
      <c r="CM260" s="2">
        <v>0</v>
      </c>
      <c r="CN260" s="2" t="s">
        <v>3</v>
      </c>
      <c r="CO260" s="2">
        <v>0</v>
      </c>
      <c r="CP260" s="2">
        <f t="shared" si="228"/>
        <v>749.7</v>
      </c>
      <c r="CQ260" s="2">
        <f t="shared" si="229"/>
        <v>14.7</v>
      </c>
      <c r="CR260" s="2">
        <f t="shared" si="253"/>
        <v>0</v>
      </c>
      <c r="CS260" s="2">
        <f t="shared" si="254"/>
        <v>0</v>
      </c>
      <c r="CT260" s="2">
        <f t="shared" si="230"/>
        <v>0</v>
      </c>
      <c r="CU260" s="2">
        <f t="shared" si="231"/>
        <v>0</v>
      </c>
      <c r="CV260" s="2">
        <f t="shared" si="232"/>
        <v>0</v>
      </c>
      <c r="CW260" s="2">
        <f t="shared" si="233"/>
        <v>0</v>
      </c>
      <c r="CX260" s="2">
        <f t="shared" si="234"/>
        <v>0</v>
      </c>
      <c r="CY260" s="2">
        <f t="shared" si="255"/>
        <v>0</v>
      </c>
      <c r="CZ260" s="2">
        <f t="shared" si="256"/>
        <v>0</v>
      </c>
      <c r="DA260" s="2"/>
      <c r="DB260" s="2"/>
      <c r="DC260" s="2" t="s">
        <v>3</v>
      </c>
      <c r="DD260" s="2" t="s">
        <v>3</v>
      </c>
      <c r="DE260" s="2" t="s">
        <v>3</v>
      </c>
      <c r="DF260" s="2" t="s">
        <v>3</v>
      </c>
      <c r="DG260" s="2" t="s">
        <v>3</v>
      </c>
      <c r="DH260" s="2" t="s">
        <v>3</v>
      </c>
      <c r="DI260" s="2" t="s">
        <v>3</v>
      </c>
      <c r="DJ260" s="2" t="s">
        <v>3</v>
      </c>
      <c r="DK260" s="2" t="s">
        <v>3</v>
      </c>
      <c r="DL260" s="2" t="s">
        <v>3</v>
      </c>
      <c r="DM260" s="2" t="s">
        <v>3</v>
      </c>
      <c r="DN260" s="2">
        <v>0</v>
      </c>
      <c r="DO260" s="2">
        <v>0</v>
      </c>
      <c r="DP260" s="2">
        <v>1</v>
      </c>
      <c r="DQ260" s="2">
        <v>1</v>
      </c>
      <c r="DR260" s="2"/>
      <c r="DS260" s="2"/>
      <c r="DT260" s="2"/>
      <c r="DU260" s="2">
        <v>1003</v>
      </c>
      <c r="DV260" s="2" t="s">
        <v>263</v>
      </c>
      <c r="DW260" s="2" t="s">
        <v>263</v>
      </c>
      <c r="DX260" s="2">
        <v>1</v>
      </c>
      <c r="DY260" s="2"/>
      <c r="DZ260" s="2" t="s">
        <v>3</v>
      </c>
      <c r="EA260" s="2" t="s">
        <v>3</v>
      </c>
      <c r="EB260" s="2" t="s">
        <v>3</v>
      </c>
      <c r="EC260" s="2" t="s">
        <v>3</v>
      </c>
      <c r="ED260" s="2"/>
      <c r="EE260" s="2">
        <v>55393628</v>
      </c>
      <c r="EF260" s="2">
        <v>213</v>
      </c>
      <c r="EG260" s="2" t="s">
        <v>243</v>
      </c>
      <c r="EH260" s="2">
        <v>0</v>
      </c>
      <c r="EI260" s="2" t="s">
        <v>3</v>
      </c>
      <c r="EJ260" s="2">
        <v>1</v>
      </c>
      <c r="EK260" s="2">
        <v>400005</v>
      </c>
      <c r="EL260" s="2" t="s">
        <v>243</v>
      </c>
      <c r="EM260" s="2" t="s">
        <v>244</v>
      </c>
      <c r="EN260" s="2"/>
      <c r="EO260" s="2" t="s">
        <v>3</v>
      </c>
      <c r="EP260" s="2"/>
      <c r="EQ260" s="2">
        <v>16</v>
      </c>
      <c r="ER260" s="2">
        <v>0</v>
      </c>
      <c r="ES260" s="2">
        <v>14.7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>
        <v>0</v>
      </c>
      <c r="FR260" s="2">
        <v>0</v>
      </c>
      <c r="FS260" s="2">
        <v>0</v>
      </c>
      <c r="FT260" s="2"/>
      <c r="FU260" s="2"/>
      <c r="FV260" s="2"/>
      <c r="FW260" s="2"/>
      <c r="FX260" s="2">
        <v>0</v>
      </c>
      <c r="FY260" s="2">
        <v>0</v>
      </c>
      <c r="FZ260" s="2"/>
      <c r="GA260" s="2" t="s">
        <v>274</v>
      </c>
      <c r="GB260" s="2"/>
      <c r="GC260" s="2"/>
      <c r="GD260" s="2">
        <v>1</v>
      </c>
      <c r="GE260" s="2"/>
      <c r="GF260" s="2">
        <v>1640002</v>
      </c>
      <c r="GG260" s="2">
        <v>2</v>
      </c>
      <c r="GH260" s="2">
        <v>4</v>
      </c>
      <c r="GI260" s="2">
        <v>-2</v>
      </c>
      <c r="GJ260" s="2">
        <v>0</v>
      </c>
      <c r="GK260" s="2">
        <v>0</v>
      </c>
      <c r="GL260" s="2">
        <f t="shared" si="235"/>
        <v>0</v>
      </c>
      <c r="GM260" s="2">
        <f t="shared" si="236"/>
        <v>749.7</v>
      </c>
      <c r="GN260" s="2">
        <f t="shared" si="237"/>
        <v>0</v>
      </c>
      <c r="GO260" s="2">
        <f t="shared" si="238"/>
        <v>749.7</v>
      </c>
      <c r="GP260" s="2">
        <f t="shared" si="239"/>
        <v>0</v>
      </c>
      <c r="GQ260" s="2"/>
      <c r="GR260" s="2">
        <v>1</v>
      </c>
      <c r="GS260" s="2">
        <v>2</v>
      </c>
      <c r="GT260" s="2">
        <v>0</v>
      </c>
      <c r="GU260" s="2" t="s">
        <v>3</v>
      </c>
      <c r="GV260" s="2">
        <f t="shared" si="240"/>
        <v>0</v>
      </c>
      <c r="GW260" s="2">
        <v>1</v>
      </c>
      <c r="GX260" s="2">
        <f t="shared" si="241"/>
        <v>0</v>
      </c>
      <c r="GY260" s="2"/>
      <c r="GZ260" s="2"/>
      <c r="HA260" s="2">
        <v>0</v>
      </c>
      <c r="HB260" s="2">
        <v>0</v>
      </c>
      <c r="HC260" s="2">
        <f t="shared" si="242"/>
        <v>0</v>
      </c>
      <c r="HD260" s="2"/>
      <c r="HE260" s="2" t="s">
        <v>246</v>
      </c>
      <c r="HF260" s="2" t="s">
        <v>30</v>
      </c>
      <c r="HG260" s="2"/>
      <c r="HH260" s="2"/>
      <c r="HI260" s="2"/>
      <c r="HJ260" s="2"/>
      <c r="HK260" s="2"/>
      <c r="HL260" s="2"/>
      <c r="HM260" s="2" t="s">
        <v>3</v>
      </c>
      <c r="HN260" s="2" t="s">
        <v>3</v>
      </c>
      <c r="HO260" s="2" t="s">
        <v>3</v>
      </c>
      <c r="HP260" s="2" t="s">
        <v>3</v>
      </c>
      <c r="HQ260" s="2" t="s">
        <v>3</v>
      </c>
      <c r="HR260" s="2"/>
      <c r="HS260" s="2">
        <v>0</v>
      </c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>
        <v>0</v>
      </c>
      <c r="IL260" s="2"/>
      <c r="IM260" s="2"/>
      <c r="IN260" s="2"/>
      <c r="IO260" s="2"/>
      <c r="IP260" s="2"/>
      <c r="IQ260" s="2"/>
      <c r="IR260" s="2"/>
      <c r="IS260" s="2"/>
      <c r="IT260" s="2"/>
      <c r="IU260" s="2"/>
    </row>
    <row r="261" spans="1:255" x14ac:dyDescent="0.25">
      <c r="A261" s="3">
        <v>17</v>
      </c>
      <c r="B261" s="3">
        <v>1</v>
      </c>
      <c r="E261" s="3" t="s">
        <v>271</v>
      </c>
      <c r="F261" s="3" t="s">
        <v>272</v>
      </c>
      <c r="G261" s="3" t="s">
        <v>273</v>
      </c>
      <c r="H261" s="3" t="s">
        <v>263</v>
      </c>
      <c r="I261" s="3">
        <f t="shared" si="257"/>
        <v>51</v>
      </c>
      <c r="J261" s="3">
        <v>0</v>
      </c>
      <c r="K261" s="3">
        <f t="shared" si="258"/>
        <v>51</v>
      </c>
      <c r="O261" s="3">
        <f t="shared" si="218"/>
        <v>7377.05</v>
      </c>
      <c r="P261" s="3">
        <f t="shared" si="219"/>
        <v>7377.05</v>
      </c>
      <c r="Q261" s="3">
        <f t="shared" si="243"/>
        <v>0</v>
      </c>
      <c r="R261" s="3">
        <f t="shared" si="244"/>
        <v>0</v>
      </c>
      <c r="S261" s="3">
        <f t="shared" si="220"/>
        <v>0</v>
      </c>
      <c r="T261" s="3">
        <f t="shared" si="221"/>
        <v>0</v>
      </c>
      <c r="U261" s="3">
        <f t="shared" si="222"/>
        <v>0</v>
      </c>
      <c r="V261" s="3">
        <f t="shared" si="223"/>
        <v>0</v>
      </c>
      <c r="W261" s="3">
        <f t="shared" si="224"/>
        <v>0</v>
      </c>
      <c r="X261" s="3">
        <f t="shared" si="245"/>
        <v>0</v>
      </c>
      <c r="Y261" s="3">
        <f t="shared" si="246"/>
        <v>0</v>
      </c>
      <c r="AA261" s="3">
        <v>55917799</v>
      </c>
      <c r="AB261" s="3">
        <f t="shared" si="225"/>
        <v>14.7</v>
      </c>
      <c r="AC261" s="3">
        <f t="shared" si="247"/>
        <v>14.7</v>
      </c>
      <c r="AD261" s="3">
        <f t="shared" si="248"/>
        <v>0</v>
      </c>
      <c r="AE261" s="3">
        <f t="shared" si="249"/>
        <v>0</v>
      </c>
      <c r="AF261" s="3">
        <f t="shared" si="250"/>
        <v>0</v>
      </c>
      <c r="AG261" s="3">
        <f t="shared" si="226"/>
        <v>0</v>
      </c>
      <c r="AH261" s="3">
        <f t="shared" si="251"/>
        <v>0</v>
      </c>
      <c r="AI261" s="3">
        <f t="shared" si="252"/>
        <v>0</v>
      </c>
      <c r="AJ261" s="3">
        <f t="shared" si="227"/>
        <v>0</v>
      </c>
      <c r="AK261" s="3">
        <v>14.7</v>
      </c>
      <c r="AL261" s="3">
        <v>14.7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1</v>
      </c>
      <c r="AW261" s="3">
        <v>1</v>
      </c>
      <c r="AZ261" s="3">
        <v>1</v>
      </c>
      <c r="BA261" s="3">
        <v>1</v>
      </c>
      <c r="BB261" s="3">
        <v>1</v>
      </c>
      <c r="BC261" s="3">
        <v>9.84</v>
      </c>
      <c r="BD261" s="3" t="s">
        <v>3</v>
      </c>
      <c r="BE261" s="3" t="s">
        <v>3</v>
      </c>
      <c r="BF261" s="3" t="s">
        <v>3</v>
      </c>
      <c r="BG261" s="3" t="s">
        <v>3</v>
      </c>
      <c r="BH261" s="3">
        <v>3</v>
      </c>
      <c r="BI261" s="3">
        <v>2</v>
      </c>
      <c r="BJ261" s="3" t="s">
        <v>272</v>
      </c>
      <c r="BM261" s="3">
        <v>400005</v>
      </c>
      <c r="BN261" s="3">
        <v>0</v>
      </c>
      <c r="BO261" s="3" t="s">
        <v>3</v>
      </c>
      <c r="BP261" s="3">
        <v>0</v>
      </c>
      <c r="BQ261" s="3">
        <v>213</v>
      </c>
      <c r="BR261" s="3">
        <v>0</v>
      </c>
      <c r="BS261" s="3">
        <v>1</v>
      </c>
      <c r="BT261" s="3">
        <v>1</v>
      </c>
      <c r="BU261" s="3">
        <v>1</v>
      </c>
      <c r="BV261" s="3">
        <v>1</v>
      </c>
      <c r="BW261" s="3">
        <v>1</v>
      </c>
      <c r="BX261" s="3">
        <v>1</v>
      </c>
      <c r="BY261" s="3" t="s">
        <v>3</v>
      </c>
      <c r="BZ261" s="3">
        <v>0</v>
      </c>
      <c r="CA261" s="3">
        <v>0</v>
      </c>
      <c r="CB261" s="3" t="s">
        <v>3</v>
      </c>
      <c r="CE261" s="3">
        <v>1566</v>
      </c>
      <c r="CF261" s="3">
        <v>0</v>
      </c>
      <c r="CG261" s="3">
        <v>0</v>
      </c>
      <c r="CM261" s="3">
        <v>0</v>
      </c>
      <c r="CN261" s="3" t="s">
        <v>3</v>
      </c>
      <c r="CO261" s="3">
        <v>0</v>
      </c>
      <c r="CP261" s="3">
        <f t="shared" si="228"/>
        <v>7377.05</v>
      </c>
      <c r="CQ261" s="3">
        <f t="shared" si="229"/>
        <v>144.65</v>
      </c>
      <c r="CR261" s="3">
        <f t="shared" si="253"/>
        <v>0</v>
      </c>
      <c r="CS261" s="3">
        <f t="shared" si="254"/>
        <v>0</v>
      </c>
      <c r="CT261" s="3">
        <f t="shared" si="230"/>
        <v>0</v>
      </c>
      <c r="CU261" s="3">
        <f t="shared" si="231"/>
        <v>0</v>
      </c>
      <c r="CV261" s="3">
        <f t="shared" si="232"/>
        <v>0</v>
      </c>
      <c r="CW261" s="3">
        <f t="shared" si="233"/>
        <v>0</v>
      </c>
      <c r="CX261" s="3">
        <f t="shared" si="234"/>
        <v>0</v>
      </c>
      <c r="CY261" s="3">
        <f t="shared" si="255"/>
        <v>0</v>
      </c>
      <c r="CZ261" s="3">
        <f t="shared" si="256"/>
        <v>0</v>
      </c>
      <c r="DC261" s="3" t="s">
        <v>3</v>
      </c>
      <c r="DD261" s="3" t="s">
        <v>3</v>
      </c>
      <c r="DE261" s="3" t="s">
        <v>3</v>
      </c>
      <c r="DF261" s="3" t="s">
        <v>3</v>
      </c>
      <c r="DG261" s="3" t="s">
        <v>3</v>
      </c>
      <c r="DH261" s="3" t="s">
        <v>3</v>
      </c>
      <c r="DI261" s="3" t="s">
        <v>3</v>
      </c>
      <c r="DJ261" s="3" t="s">
        <v>3</v>
      </c>
      <c r="DK261" s="3" t="s">
        <v>3</v>
      </c>
      <c r="DL261" s="3" t="s">
        <v>3</v>
      </c>
      <c r="DM261" s="3" t="s">
        <v>3</v>
      </c>
      <c r="DN261" s="3">
        <v>0</v>
      </c>
      <c r="DO261" s="3">
        <v>0</v>
      </c>
      <c r="DP261" s="3">
        <v>1</v>
      </c>
      <c r="DQ261" s="3">
        <v>1</v>
      </c>
      <c r="DU261" s="3">
        <v>1003</v>
      </c>
      <c r="DV261" s="3" t="s">
        <v>263</v>
      </c>
      <c r="DW261" s="3" t="s">
        <v>263</v>
      </c>
      <c r="DX261" s="3">
        <v>1</v>
      </c>
      <c r="DZ261" s="3" t="s">
        <v>3</v>
      </c>
      <c r="EA261" s="3" t="s">
        <v>3</v>
      </c>
      <c r="EB261" s="3" t="s">
        <v>3</v>
      </c>
      <c r="EC261" s="3" t="s">
        <v>3</v>
      </c>
      <c r="EE261" s="3">
        <v>55393628</v>
      </c>
      <c r="EF261" s="3">
        <v>213</v>
      </c>
      <c r="EG261" s="3" t="s">
        <v>243</v>
      </c>
      <c r="EH261" s="3">
        <v>0</v>
      </c>
      <c r="EI261" s="3" t="s">
        <v>3</v>
      </c>
      <c r="EJ261" s="3">
        <v>1</v>
      </c>
      <c r="EK261" s="3">
        <v>400005</v>
      </c>
      <c r="EL261" s="3" t="s">
        <v>243</v>
      </c>
      <c r="EM261" s="3" t="s">
        <v>244</v>
      </c>
      <c r="EO261" s="3" t="s">
        <v>3</v>
      </c>
      <c r="EQ261" s="3">
        <v>16</v>
      </c>
      <c r="ER261" s="3">
        <v>0</v>
      </c>
      <c r="ES261" s="3">
        <v>14.7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5</v>
      </c>
      <c r="FC261" s="3">
        <v>1</v>
      </c>
      <c r="FD261" s="3">
        <v>18</v>
      </c>
      <c r="FF261" s="3">
        <v>172.99</v>
      </c>
      <c r="FQ261" s="3">
        <v>0</v>
      </c>
      <c r="FR261" s="3">
        <v>0</v>
      </c>
      <c r="FS261" s="3">
        <v>0</v>
      </c>
      <c r="FX261" s="3">
        <v>0</v>
      </c>
      <c r="FY261" s="3">
        <v>0</v>
      </c>
      <c r="GA261" s="3" t="s">
        <v>274</v>
      </c>
      <c r="GD261" s="3">
        <v>1</v>
      </c>
      <c r="GF261" s="3">
        <v>1640002</v>
      </c>
      <c r="GG261" s="3">
        <v>2</v>
      </c>
      <c r="GH261" s="3">
        <v>3</v>
      </c>
      <c r="GI261" s="3">
        <v>5</v>
      </c>
      <c r="GJ261" s="3">
        <v>0</v>
      </c>
      <c r="GK261" s="3">
        <v>0</v>
      </c>
      <c r="GL261" s="3">
        <f t="shared" si="235"/>
        <v>0</v>
      </c>
      <c r="GM261" s="3">
        <f t="shared" si="236"/>
        <v>7377.05</v>
      </c>
      <c r="GN261" s="3">
        <f t="shared" si="237"/>
        <v>0</v>
      </c>
      <c r="GO261" s="3">
        <f t="shared" si="238"/>
        <v>7377.05</v>
      </c>
      <c r="GP261" s="3">
        <f t="shared" si="239"/>
        <v>0</v>
      </c>
      <c r="GR261" s="3">
        <v>1</v>
      </c>
      <c r="GS261" s="3">
        <v>1</v>
      </c>
      <c r="GT261" s="3">
        <v>0</v>
      </c>
      <c r="GU261" s="3" t="s">
        <v>3</v>
      </c>
      <c r="GV261" s="3">
        <f t="shared" si="240"/>
        <v>0</v>
      </c>
      <c r="GW261" s="3">
        <v>1</v>
      </c>
      <c r="GX261" s="3">
        <f t="shared" si="241"/>
        <v>0</v>
      </c>
      <c r="HA261" s="3">
        <v>0</v>
      </c>
      <c r="HB261" s="3">
        <v>0</v>
      </c>
      <c r="HC261" s="3">
        <f t="shared" si="242"/>
        <v>0</v>
      </c>
      <c r="HE261" s="3" t="s">
        <v>246</v>
      </c>
      <c r="HF261" s="3" t="s">
        <v>30</v>
      </c>
      <c r="HM261" s="3" t="s">
        <v>3</v>
      </c>
      <c r="HN261" s="3" t="s">
        <v>3</v>
      </c>
      <c r="HO261" s="3" t="s">
        <v>3</v>
      </c>
      <c r="HP261" s="3" t="s">
        <v>3</v>
      </c>
      <c r="HQ261" s="3" t="s">
        <v>3</v>
      </c>
      <c r="HS261" s="3">
        <v>0</v>
      </c>
      <c r="IK261" s="3">
        <v>0</v>
      </c>
    </row>
    <row r="262" spans="1:255" x14ac:dyDescent="0.25">
      <c r="A262" s="2">
        <v>17</v>
      </c>
      <c r="B262" s="2">
        <v>1</v>
      </c>
      <c r="C262" s="2"/>
      <c r="D262" s="2"/>
      <c r="E262" s="2" t="s">
        <v>275</v>
      </c>
      <c r="F262" s="2" t="s">
        <v>276</v>
      </c>
      <c r="G262" s="2" t="s">
        <v>277</v>
      </c>
      <c r="H262" s="2" t="s">
        <v>263</v>
      </c>
      <c r="I262" s="2">
        <f t="shared" si="257"/>
        <v>51</v>
      </c>
      <c r="J262" s="2">
        <v>0</v>
      </c>
      <c r="K262" s="2">
        <f t="shared" si="258"/>
        <v>51</v>
      </c>
      <c r="L262" s="2"/>
      <c r="M262" s="2"/>
      <c r="N262" s="2"/>
      <c r="O262" s="2">
        <f t="shared" si="218"/>
        <v>567.63</v>
      </c>
      <c r="P262" s="2">
        <f t="shared" si="219"/>
        <v>567.63</v>
      </c>
      <c r="Q262" s="2">
        <f t="shared" si="243"/>
        <v>0</v>
      </c>
      <c r="R262" s="2">
        <f t="shared" si="244"/>
        <v>0</v>
      </c>
      <c r="S262" s="2">
        <f t="shared" si="220"/>
        <v>0</v>
      </c>
      <c r="T262" s="2">
        <f t="shared" si="221"/>
        <v>0</v>
      </c>
      <c r="U262" s="2">
        <f t="shared" si="222"/>
        <v>0</v>
      </c>
      <c r="V262" s="2">
        <f t="shared" si="223"/>
        <v>0</v>
      </c>
      <c r="W262" s="2">
        <f t="shared" si="224"/>
        <v>0</v>
      </c>
      <c r="X262" s="2">
        <f t="shared" si="245"/>
        <v>0</v>
      </c>
      <c r="Y262" s="2">
        <f t="shared" si="246"/>
        <v>0</v>
      </c>
      <c r="Z262" s="2"/>
      <c r="AA262" s="2">
        <v>55917797</v>
      </c>
      <c r="AB262" s="2">
        <f t="shared" si="225"/>
        <v>11.13</v>
      </c>
      <c r="AC262" s="2">
        <f t="shared" si="247"/>
        <v>11.13</v>
      </c>
      <c r="AD262" s="2">
        <f t="shared" si="248"/>
        <v>0</v>
      </c>
      <c r="AE262" s="2">
        <f t="shared" si="249"/>
        <v>0</v>
      </c>
      <c r="AF262" s="2">
        <f t="shared" si="250"/>
        <v>0</v>
      </c>
      <c r="AG262" s="2">
        <f t="shared" si="226"/>
        <v>0</v>
      </c>
      <c r="AH262" s="2">
        <f t="shared" si="251"/>
        <v>0</v>
      </c>
      <c r="AI262" s="2">
        <f t="shared" si="252"/>
        <v>0</v>
      </c>
      <c r="AJ262" s="2">
        <f t="shared" si="227"/>
        <v>0</v>
      </c>
      <c r="AK262" s="2">
        <v>11.13</v>
      </c>
      <c r="AL262" s="2">
        <v>11.13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1</v>
      </c>
      <c r="AW262" s="2">
        <v>1</v>
      </c>
      <c r="AX262" s="2"/>
      <c r="AY262" s="2"/>
      <c r="AZ262" s="2">
        <v>1</v>
      </c>
      <c r="BA262" s="2">
        <v>1</v>
      </c>
      <c r="BB262" s="2">
        <v>1</v>
      </c>
      <c r="BC262" s="2">
        <v>1</v>
      </c>
      <c r="BD262" s="2" t="s">
        <v>3</v>
      </c>
      <c r="BE262" s="2" t="s">
        <v>3</v>
      </c>
      <c r="BF262" s="2" t="s">
        <v>3</v>
      </c>
      <c r="BG262" s="2" t="s">
        <v>3</v>
      </c>
      <c r="BH262" s="2">
        <v>3</v>
      </c>
      <c r="BI262" s="2">
        <v>2</v>
      </c>
      <c r="BJ262" s="2" t="s">
        <v>276</v>
      </c>
      <c r="BK262" s="2"/>
      <c r="BL262" s="2"/>
      <c r="BM262" s="2">
        <v>400005</v>
      </c>
      <c r="BN262" s="2">
        <v>0</v>
      </c>
      <c r="BO262" s="2" t="s">
        <v>3</v>
      </c>
      <c r="BP262" s="2">
        <v>0</v>
      </c>
      <c r="BQ262" s="2">
        <v>213</v>
      </c>
      <c r="BR262" s="2">
        <v>0</v>
      </c>
      <c r="BS262" s="2">
        <v>1</v>
      </c>
      <c r="BT262" s="2">
        <v>1</v>
      </c>
      <c r="BU262" s="2">
        <v>1</v>
      </c>
      <c r="BV262" s="2">
        <v>1</v>
      </c>
      <c r="BW262" s="2">
        <v>1</v>
      </c>
      <c r="BX262" s="2">
        <v>1</v>
      </c>
      <c r="BY262" s="2" t="s">
        <v>3</v>
      </c>
      <c r="BZ262" s="2">
        <v>0</v>
      </c>
      <c r="CA262" s="2">
        <v>0</v>
      </c>
      <c r="CB262" s="2" t="s">
        <v>3</v>
      </c>
      <c r="CC262" s="2"/>
      <c r="CD262" s="2"/>
      <c r="CE262" s="2">
        <v>1566</v>
      </c>
      <c r="CF262" s="2">
        <v>0</v>
      </c>
      <c r="CG262" s="2">
        <v>0</v>
      </c>
      <c r="CH262" s="2"/>
      <c r="CI262" s="2"/>
      <c r="CJ262" s="2"/>
      <c r="CK262" s="2"/>
      <c r="CL262" s="2"/>
      <c r="CM262" s="2">
        <v>0</v>
      </c>
      <c r="CN262" s="2" t="s">
        <v>3</v>
      </c>
      <c r="CO262" s="2">
        <v>0</v>
      </c>
      <c r="CP262" s="2">
        <f t="shared" si="228"/>
        <v>567.63</v>
      </c>
      <c r="CQ262" s="2">
        <f t="shared" si="229"/>
        <v>11.13</v>
      </c>
      <c r="CR262" s="2">
        <f t="shared" si="253"/>
        <v>0</v>
      </c>
      <c r="CS262" s="2">
        <f t="shared" si="254"/>
        <v>0</v>
      </c>
      <c r="CT262" s="2">
        <f t="shared" si="230"/>
        <v>0</v>
      </c>
      <c r="CU262" s="2">
        <f t="shared" si="231"/>
        <v>0</v>
      </c>
      <c r="CV262" s="2">
        <f t="shared" si="232"/>
        <v>0</v>
      </c>
      <c r="CW262" s="2">
        <f t="shared" si="233"/>
        <v>0</v>
      </c>
      <c r="CX262" s="2">
        <f t="shared" si="234"/>
        <v>0</v>
      </c>
      <c r="CY262" s="2">
        <f t="shared" si="255"/>
        <v>0</v>
      </c>
      <c r="CZ262" s="2">
        <f t="shared" si="256"/>
        <v>0</v>
      </c>
      <c r="DA262" s="2"/>
      <c r="DB262" s="2"/>
      <c r="DC262" s="2" t="s">
        <v>3</v>
      </c>
      <c r="DD262" s="2" t="s">
        <v>3</v>
      </c>
      <c r="DE262" s="2" t="s">
        <v>3</v>
      </c>
      <c r="DF262" s="2" t="s">
        <v>3</v>
      </c>
      <c r="DG262" s="2" t="s">
        <v>3</v>
      </c>
      <c r="DH262" s="2" t="s">
        <v>3</v>
      </c>
      <c r="DI262" s="2" t="s">
        <v>3</v>
      </c>
      <c r="DJ262" s="2" t="s">
        <v>3</v>
      </c>
      <c r="DK262" s="2" t="s">
        <v>3</v>
      </c>
      <c r="DL262" s="2" t="s">
        <v>3</v>
      </c>
      <c r="DM262" s="2" t="s">
        <v>3</v>
      </c>
      <c r="DN262" s="2">
        <v>0</v>
      </c>
      <c r="DO262" s="2">
        <v>0</v>
      </c>
      <c r="DP262" s="2">
        <v>1</v>
      </c>
      <c r="DQ262" s="2">
        <v>1</v>
      </c>
      <c r="DR262" s="2"/>
      <c r="DS262" s="2"/>
      <c r="DT262" s="2"/>
      <c r="DU262" s="2">
        <v>1003</v>
      </c>
      <c r="DV262" s="2" t="s">
        <v>263</v>
      </c>
      <c r="DW262" s="2" t="s">
        <v>263</v>
      </c>
      <c r="DX262" s="2">
        <v>1</v>
      </c>
      <c r="DY262" s="2"/>
      <c r="DZ262" s="2" t="s">
        <v>3</v>
      </c>
      <c r="EA262" s="2" t="s">
        <v>3</v>
      </c>
      <c r="EB262" s="2" t="s">
        <v>3</v>
      </c>
      <c r="EC262" s="2" t="s">
        <v>3</v>
      </c>
      <c r="ED262" s="2"/>
      <c r="EE262" s="2">
        <v>55393628</v>
      </c>
      <c r="EF262" s="2">
        <v>213</v>
      </c>
      <c r="EG262" s="2" t="s">
        <v>243</v>
      </c>
      <c r="EH262" s="2">
        <v>0</v>
      </c>
      <c r="EI262" s="2" t="s">
        <v>3</v>
      </c>
      <c r="EJ262" s="2">
        <v>1</v>
      </c>
      <c r="EK262" s="2">
        <v>400005</v>
      </c>
      <c r="EL262" s="2" t="s">
        <v>243</v>
      </c>
      <c r="EM262" s="2" t="s">
        <v>244</v>
      </c>
      <c r="EN262" s="2"/>
      <c r="EO262" s="2" t="s">
        <v>3</v>
      </c>
      <c r="EP262" s="2"/>
      <c r="EQ262" s="2">
        <v>16</v>
      </c>
      <c r="ER262" s="2">
        <v>0</v>
      </c>
      <c r="ES262" s="2">
        <v>11.13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>
        <v>0</v>
      </c>
      <c r="FR262" s="2">
        <v>0</v>
      </c>
      <c r="FS262" s="2">
        <v>0</v>
      </c>
      <c r="FT262" s="2"/>
      <c r="FU262" s="2"/>
      <c r="FV262" s="2"/>
      <c r="FW262" s="2"/>
      <c r="FX262" s="2">
        <v>0</v>
      </c>
      <c r="FY262" s="2">
        <v>0</v>
      </c>
      <c r="FZ262" s="2"/>
      <c r="GA262" s="2" t="s">
        <v>278</v>
      </c>
      <c r="GB262" s="2"/>
      <c r="GC262" s="2"/>
      <c r="GD262" s="2">
        <v>1</v>
      </c>
      <c r="GE262" s="2"/>
      <c r="GF262" s="2">
        <v>948834715</v>
      </c>
      <c r="GG262" s="2">
        <v>2</v>
      </c>
      <c r="GH262" s="2">
        <v>4</v>
      </c>
      <c r="GI262" s="2">
        <v>-2</v>
      </c>
      <c r="GJ262" s="2">
        <v>0</v>
      </c>
      <c r="GK262" s="2">
        <v>0</v>
      </c>
      <c r="GL262" s="2">
        <f t="shared" si="235"/>
        <v>0</v>
      </c>
      <c r="GM262" s="2">
        <f t="shared" si="236"/>
        <v>567.63</v>
      </c>
      <c r="GN262" s="2">
        <f t="shared" si="237"/>
        <v>0</v>
      </c>
      <c r="GO262" s="2">
        <f t="shared" si="238"/>
        <v>567.63</v>
      </c>
      <c r="GP262" s="2">
        <f t="shared" si="239"/>
        <v>0</v>
      </c>
      <c r="GQ262" s="2"/>
      <c r="GR262" s="2">
        <v>1</v>
      </c>
      <c r="GS262" s="2">
        <v>2</v>
      </c>
      <c r="GT262" s="2">
        <v>0</v>
      </c>
      <c r="GU262" s="2" t="s">
        <v>3</v>
      </c>
      <c r="GV262" s="2">
        <f t="shared" si="240"/>
        <v>0</v>
      </c>
      <c r="GW262" s="2">
        <v>1</v>
      </c>
      <c r="GX262" s="2">
        <f t="shared" si="241"/>
        <v>0</v>
      </c>
      <c r="GY262" s="2"/>
      <c r="GZ262" s="2"/>
      <c r="HA262" s="2">
        <v>0</v>
      </c>
      <c r="HB262" s="2">
        <v>0</v>
      </c>
      <c r="HC262" s="2">
        <f t="shared" si="242"/>
        <v>0</v>
      </c>
      <c r="HD262" s="2"/>
      <c r="HE262" s="2" t="s">
        <v>246</v>
      </c>
      <c r="HF262" s="2" t="s">
        <v>30</v>
      </c>
      <c r="HG262" s="2"/>
      <c r="HH262" s="2"/>
      <c r="HI262" s="2"/>
      <c r="HJ262" s="2"/>
      <c r="HK262" s="2"/>
      <c r="HL262" s="2"/>
      <c r="HM262" s="2" t="s">
        <v>3</v>
      </c>
      <c r="HN262" s="2" t="s">
        <v>3</v>
      </c>
      <c r="HO262" s="2" t="s">
        <v>3</v>
      </c>
      <c r="HP262" s="2" t="s">
        <v>3</v>
      </c>
      <c r="HQ262" s="2" t="s">
        <v>3</v>
      </c>
      <c r="HR262" s="2"/>
      <c r="HS262" s="2">
        <v>0</v>
      </c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>
        <v>0</v>
      </c>
      <c r="IL262" s="2"/>
      <c r="IM262" s="2"/>
      <c r="IN262" s="2"/>
      <c r="IO262" s="2"/>
      <c r="IP262" s="2"/>
      <c r="IQ262" s="2"/>
      <c r="IR262" s="2"/>
      <c r="IS262" s="2"/>
      <c r="IT262" s="2"/>
      <c r="IU262" s="2"/>
    </row>
    <row r="263" spans="1:255" x14ac:dyDescent="0.25">
      <c r="A263" s="3">
        <v>17</v>
      </c>
      <c r="B263" s="3">
        <v>1</v>
      </c>
      <c r="E263" s="3" t="s">
        <v>275</v>
      </c>
      <c r="F263" s="3" t="s">
        <v>276</v>
      </c>
      <c r="G263" s="3" t="s">
        <v>277</v>
      </c>
      <c r="H263" s="3" t="s">
        <v>263</v>
      </c>
      <c r="I263" s="3">
        <f t="shared" si="257"/>
        <v>51</v>
      </c>
      <c r="J263" s="3">
        <v>0</v>
      </c>
      <c r="K263" s="3">
        <f t="shared" si="258"/>
        <v>51</v>
      </c>
      <c r="O263" s="3">
        <f t="shared" si="218"/>
        <v>5585.48</v>
      </c>
      <c r="P263" s="3">
        <f t="shared" si="219"/>
        <v>5585.48</v>
      </c>
      <c r="Q263" s="3">
        <f t="shared" si="243"/>
        <v>0</v>
      </c>
      <c r="R263" s="3">
        <f t="shared" si="244"/>
        <v>0</v>
      </c>
      <c r="S263" s="3">
        <f t="shared" si="220"/>
        <v>0</v>
      </c>
      <c r="T263" s="3">
        <f t="shared" si="221"/>
        <v>0</v>
      </c>
      <c r="U263" s="3">
        <f t="shared" si="222"/>
        <v>0</v>
      </c>
      <c r="V263" s="3">
        <f t="shared" si="223"/>
        <v>0</v>
      </c>
      <c r="W263" s="3">
        <f t="shared" si="224"/>
        <v>0</v>
      </c>
      <c r="X263" s="3">
        <f t="shared" si="245"/>
        <v>0</v>
      </c>
      <c r="Y263" s="3">
        <f t="shared" si="246"/>
        <v>0</v>
      </c>
      <c r="AA263" s="3">
        <v>55917799</v>
      </c>
      <c r="AB263" s="3">
        <f t="shared" si="225"/>
        <v>11.13</v>
      </c>
      <c r="AC263" s="3">
        <f t="shared" si="247"/>
        <v>11.13</v>
      </c>
      <c r="AD263" s="3">
        <f t="shared" si="248"/>
        <v>0</v>
      </c>
      <c r="AE263" s="3">
        <f t="shared" si="249"/>
        <v>0</v>
      </c>
      <c r="AF263" s="3">
        <f t="shared" si="250"/>
        <v>0</v>
      </c>
      <c r="AG263" s="3">
        <f t="shared" si="226"/>
        <v>0</v>
      </c>
      <c r="AH263" s="3">
        <f t="shared" si="251"/>
        <v>0</v>
      </c>
      <c r="AI263" s="3">
        <f t="shared" si="252"/>
        <v>0</v>
      </c>
      <c r="AJ263" s="3">
        <f t="shared" si="227"/>
        <v>0</v>
      </c>
      <c r="AK263" s="3">
        <v>11.13</v>
      </c>
      <c r="AL263" s="3">
        <v>11.13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1</v>
      </c>
      <c r="AW263" s="3">
        <v>1</v>
      </c>
      <c r="AZ263" s="3">
        <v>1</v>
      </c>
      <c r="BA263" s="3">
        <v>1</v>
      </c>
      <c r="BB263" s="3">
        <v>1</v>
      </c>
      <c r="BC263" s="3">
        <v>9.84</v>
      </c>
      <c r="BD263" s="3" t="s">
        <v>3</v>
      </c>
      <c r="BE263" s="3" t="s">
        <v>3</v>
      </c>
      <c r="BF263" s="3" t="s">
        <v>3</v>
      </c>
      <c r="BG263" s="3" t="s">
        <v>3</v>
      </c>
      <c r="BH263" s="3">
        <v>3</v>
      </c>
      <c r="BI263" s="3">
        <v>2</v>
      </c>
      <c r="BJ263" s="3" t="s">
        <v>276</v>
      </c>
      <c r="BM263" s="3">
        <v>400005</v>
      </c>
      <c r="BN263" s="3">
        <v>0</v>
      </c>
      <c r="BO263" s="3" t="s">
        <v>3</v>
      </c>
      <c r="BP263" s="3">
        <v>0</v>
      </c>
      <c r="BQ263" s="3">
        <v>213</v>
      </c>
      <c r="BR263" s="3">
        <v>0</v>
      </c>
      <c r="BS263" s="3">
        <v>1</v>
      </c>
      <c r="BT263" s="3">
        <v>1</v>
      </c>
      <c r="BU263" s="3">
        <v>1</v>
      </c>
      <c r="BV263" s="3">
        <v>1</v>
      </c>
      <c r="BW263" s="3">
        <v>1</v>
      </c>
      <c r="BX263" s="3">
        <v>1</v>
      </c>
      <c r="BY263" s="3" t="s">
        <v>3</v>
      </c>
      <c r="BZ263" s="3">
        <v>0</v>
      </c>
      <c r="CA263" s="3">
        <v>0</v>
      </c>
      <c r="CB263" s="3" t="s">
        <v>3</v>
      </c>
      <c r="CE263" s="3">
        <v>1566</v>
      </c>
      <c r="CF263" s="3">
        <v>0</v>
      </c>
      <c r="CG263" s="3">
        <v>0</v>
      </c>
      <c r="CM263" s="3">
        <v>0</v>
      </c>
      <c r="CN263" s="3" t="s">
        <v>3</v>
      </c>
      <c r="CO263" s="3">
        <v>0</v>
      </c>
      <c r="CP263" s="3">
        <f t="shared" si="228"/>
        <v>5585.48</v>
      </c>
      <c r="CQ263" s="3">
        <f t="shared" si="229"/>
        <v>109.52</v>
      </c>
      <c r="CR263" s="3">
        <f t="shared" si="253"/>
        <v>0</v>
      </c>
      <c r="CS263" s="3">
        <f t="shared" si="254"/>
        <v>0</v>
      </c>
      <c r="CT263" s="3">
        <f t="shared" si="230"/>
        <v>0</v>
      </c>
      <c r="CU263" s="3">
        <f t="shared" si="231"/>
        <v>0</v>
      </c>
      <c r="CV263" s="3">
        <f t="shared" si="232"/>
        <v>0</v>
      </c>
      <c r="CW263" s="3">
        <f t="shared" si="233"/>
        <v>0</v>
      </c>
      <c r="CX263" s="3">
        <f t="shared" si="234"/>
        <v>0</v>
      </c>
      <c r="CY263" s="3">
        <f t="shared" si="255"/>
        <v>0</v>
      </c>
      <c r="CZ263" s="3">
        <f t="shared" si="256"/>
        <v>0</v>
      </c>
      <c r="DC263" s="3" t="s">
        <v>3</v>
      </c>
      <c r="DD263" s="3" t="s">
        <v>3</v>
      </c>
      <c r="DE263" s="3" t="s">
        <v>3</v>
      </c>
      <c r="DF263" s="3" t="s">
        <v>3</v>
      </c>
      <c r="DG263" s="3" t="s">
        <v>3</v>
      </c>
      <c r="DH263" s="3" t="s">
        <v>3</v>
      </c>
      <c r="DI263" s="3" t="s">
        <v>3</v>
      </c>
      <c r="DJ263" s="3" t="s">
        <v>3</v>
      </c>
      <c r="DK263" s="3" t="s">
        <v>3</v>
      </c>
      <c r="DL263" s="3" t="s">
        <v>3</v>
      </c>
      <c r="DM263" s="3" t="s">
        <v>3</v>
      </c>
      <c r="DN263" s="3">
        <v>0</v>
      </c>
      <c r="DO263" s="3">
        <v>0</v>
      </c>
      <c r="DP263" s="3">
        <v>1</v>
      </c>
      <c r="DQ263" s="3">
        <v>1</v>
      </c>
      <c r="DU263" s="3">
        <v>1003</v>
      </c>
      <c r="DV263" s="3" t="s">
        <v>263</v>
      </c>
      <c r="DW263" s="3" t="s">
        <v>263</v>
      </c>
      <c r="DX263" s="3">
        <v>1</v>
      </c>
      <c r="DZ263" s="3" t="s">
        <v>3</v>
      </c>
      <c r="EA263" s="3" t="s">
        <v>3</v>
      </c>
      <c r="EB263" s="3" t="s">
        <v>3</v>
      </c>
      <c r="EC263" s="3" t="s">
        <v>3</v>
      </c>
      <c r="EE263" s="3">
        <v>55393628</v>
      </c>
      <c r="EF263" s="3">
        <v>213</v>
      </c>
      <c r="EG263" s="3" t="s">
        <v>243</v>
      </c>
      <c r="EH263" s="3">
        <v>0</v>
      </c>
      <c r="EI263" s="3" t="s">
        <v>3</v>
      </c>
      <c r="EJ263" s="3">
        <v>1</v>
      </c>
      <c r="EK263" s="3">
        <v>400005</v>
      </c>
      <c r="EL263" s="3" t="s">
        <v>243</v>
      </c>
      <c r="EM263" s="3" t="s">
        <v>244</v>
      </c>
      <c r="EO263" s="3" t="s">
        <v>3</v>
      </c>
      <c r="EQ263" s="3">
        <v>16</v>
      </c>
      <c r="ER263" s="3">
        <v>0</v>
      </c>
      <c r="ES263" s="3">
        <v>11.13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5</v>
      </c>
      <c r="FC263" s="3">
        <v>1</v>
      </c>
      <c r="FD263" s="3">
        <v>18</v>
      </c>
      <c r="FF263" s="3">
        <v>131</v>
      </c>
      <c r="FQ263" s="3">
        <v>0</v>
      </c>
      <c r="FR263" s="3">
        <v>0</v>
      </c>
      <c r="FS263" s="3">
        <v>0</v>
      </c>
      <c r="FX263" s="3">
        <v>0</v>
      </c>
      <c r="FY263" s="3">
        <v>0</v>
      </c>
      <c r="GA263" s="3" t="s">
        <v>278</v>
      </c>
      <c r="GD263" s="3">
        <v>1</v>
      </c>
      <c r="GF263" s="3">
        <v>948834715</v>
      </c>
      <c r="GG263" s="3">
        <v>2</v>
      </c>
      <c r="GH263" s="3">
        <v>3</v>
      </c>
      <c r="GI263" s="3">
        <v>5</v>
      </c>
      <c r="GJ263" s="3">
        <v>0</v>
      </c>
      <c r="GK263" s="3">
        <v>0</v>
      </c>
      <c r="GL263" s="3">
        <f t="shared" si="235"/>
        <v>0</v>
      </c>
      <c r="GM263" s="3">
        <f t="shared" si="236"/>
        <v>5585.48</v>
      </c>
      <c r="GN263" s="3">
        <f t="shared" si="237"/>
        <v>0</v>
      </c>
      <c r="GO263" s="3">
        <f t="shared" si="238"/>
        <v>5585.48</v>
      </c>
      <c r="GP263" s="3">
        <f t="shared" si="239"/>
        <v>0</v>
      </c>
      <c r="GR263" s="3">
        <v>1</v>
      </c>
      <c r="GS263" s="3">
        <v>1</v>
      </c>
      <c r="GT263" s="3">
        <v>0</v>
      </c>
      <c r="GU263" s="3" t="s">
        <v>3</v>
      </c>
      <c r="GV263" s="3">
        <f t="shared" si="240"/>
        <v>0</v>
      </c>
      <c r="GW263" s="3">
        <v>1</v>
      </c>
      <c r="GX263" s="3">
        <f t="shared" si="241"/>
        <v>0</v>
      </c>
      <c r="HA263" s="3">
        <v>0</v>
      </c>
      <c r="HB263" s="3">
        <v>0</v>
      </c>
      <c r="HC263" s="3">
        <f t="shared" si="242"/>
        <v>0</v>
      </c>
      <c r="HE263" s="3" t="s">
        <v>246</v>
      </c>
      <c r="HF263" s="3" t="s">
        <v>30</v>
      </c>
      <c r="HM263" s="3" t="s">
        <v>3</v>
      </c>
      <c r="HN263" s="3" t="s">
        <v>3</v>
      </c>
      <c r="HO263" s="3" t="s">
        <v>3</v>
      </c>
      <c r="HP263" s="3" t="s">
        <v>3</v>
      </c>
      <c r="HQ263" s="3" t="s">
        <v>3</v>
      </c>
      <c r="HS263" s="3">
        <v>0</v>
      </c>
      <c r="IK263" s="3">
        <v>0</v>
      </c>
    </row>
    <row r="264" spans="1:255" x14ac:dyDescent="0.25">
      <c r="A264" s="2">
        <v>17</v>
      </c>
      <c r="B264" s="2">
        <v>1</v>
      </c>
      <c r="C264" s="2">
        <f>ROW(SmtRes!A343)</f>
        <v>343</v>
      </c>
      <c r="D264" s="2">
        <f>ROW(EtalonRes!A387)</f>
        <v>387</v>
      </c>
      <c r="E264" s="2" t="s">
        <v>279</v>
      </c>
      <c r="F264" s="2" t="s">
        <v>280</v>
      </c>
      <c r="G264" s="2" t="s">
        <v>281</v>
      </c>
      <c r="H264" s="2" t="s">
        <v>282</v>
      </c>
      <c r="I264" s="2">
        <f>ROUND((300+20+15)/100,9)</f>
        <v>3.35</v>
      </c>
      <c r="J264" s="2">
        <v>0</v>
      </c>
      <c r="K264" s="2">
        <f>ROUND((300+20+15)/100,9)</f>
        <v>3.35</v>
      </c>
      <c r="L264" s="2"/>
      <c r="M264" s="2"/>
      <c r="N264" s="2"/>
      <c r="O264" s="2">
        <f t="shared" si="218"/>
        <v>4604.68</v>
      </c>
      <c r="P264" s="2">
        <f t="shared" si="219"/>
        <v>2635.78</v>
      </c>
      <c r="Q264" s="2">
        <f>(ROUND((ROUND((((ET264*1.2))*AV264*I264),2)*BB264),2)+ROUND((ROUND(((AE264-((EU264*1.2)))*AV264*I264),2)*BS264),2))</f>
        <v>257.70999999999998</v>
      </c>
      <c r="R264" s="2">
        <f>(ROUND((ROUND((((EU264*1.2))*AV264*I264),2)*BS264),2)+ROUND((ROUND(((AE264-((EU264*1.2)))*AV264*I264),2)*BS264),2))</f>
        <v>12.21</v>
      </c>
      <c r="S264" s="2">
        <f t="shared" si="220"/>
        <v>1711.19</v>
      </c>
      <c r="T264" s="2">
        <f t="shared" si="221"/>
        <v>0</v>
      </c>
      <c r="U264" s="2">
        <f t="shared" si="222"/>
        <v>138.89501999999999</v>
      </c>
      <c r="V264" s="2">
        <f t="shared" si="223"/>
        <v>0</v>
      </c>
      <c r="W264" s="2">
        <f t="shared" si="224"/>
        <v>0</v>
      </c>
      <c r="X264" s="2">
        <f>(ROUND((((S264+ROUND((ROUND((((EU264*1.2))*AV264*I264),2)*BS264),2))*AT264)/100),2)+ROUND(((ROUND((ROUND(((AE264-((EU264*1.2)))*AV264*I264),2)*BS264),2)*AT264)/100),2))</f>
        <v>1671.7</v>
      </c>
      <c r="Y264" s="2">
        <f>(ROUND((((S264+ROUND((ROUND((((EU264*1.2))*AV264*I264),2)*BS264),2))*AU264)/100),2)+ROUND(((ROUND((ROUND(((AE264-((EU264*1.2)))*AV264*I264),2)*BS264),2)*AU264)/100),2))</f>
        <v>878.93</v>
      </c>
      <c r="Z264" s="2"/>
      <c r="AA264" s="2">
        <v>55917797</v>
      </c>
      <c r="AB264" s="2">
        <f t="shared" si="225"/>
        <v>1348.1479999999999</v>
      </c>
      <c r="AC264" s="2">
        <f>ROUND(((ES264*1)),6)</f>
        <v>786.8</v>
      </c>
      <c r="AD264" s="2">
        <f>ROUND(((((ET264*1.2))-((EU264*1.2)))+AE264),6)</f>
        <v>73.475999999999999</v>
      </c>
      <c r="AE264" s="2">
        <f>ROUND(((EU264*1.2)),6)</f>
        <v>3.48</v>
      </c>
      <c r="AF264" s="2">
        <f>ROUND(((EV264*1.2)),6)</f>
        <v>487.87200000000001</v>
      </c>
      <c r="AG264" s="2">
        <f t="shared" si="226"/>
        <v>0</v>
      </c>
      <c r="AH264" s="2">
        <f>((EW264*1.2))</f>
        <v>39.6</v>
      </c>
      <c r="AI264" s="2">
        <f>((EX264*1.2))</f>
        <v>0</v>
      </c>
      <c r="AJ264" s="2">
        <f t="shared" si="227"/>
        <v>0</v>
      </c>
      <c r="AK264" s="2">
        <v>1254.5899999999999</v>
      </c>
      <c r="AL264" s="2">
        <v>786.8</v>
      </c>
      <c r="AM264" s="2">
        <v>61.23</v>
      </c>
      <c r="AN264" s="2">
        <v>2.9</v>
      </c>
      <c r="AO264" s="2">
        <v>406.56</v>
      </c>
      <c r="AP264" s="2">
        <v>0</v>
      </c>
      <c r="AQ264" s="2">
        <v>33</v>
      </c>
      <c r="AR264" s="2">
        <v>0</v>
      </c>
      <c r="AS264" s="2">
        <v>0</v>
      </c>
      <c r="AT264" s="2">
        <v>97</v>
      </c>
      <c r="AU264" s="2">
        <v>51</v>
      </c>
      <c r="AV264" s="2">
        <v>1.0469999999999999</v>
      </c>
      <c r="AW264" s="2">
        <v>1</v>
      </c>
      <c r="AX264" s="2"/>
      <c r="AY264" s="2"/>
      <c r="AZ264" s="2">
        <v>1</v>
      </c>
      <c r="BA264" s="2">
        <v>1</v>
      </c>
      <c r="BB264" s="2">
        <v>1</v>
      </c>
      <c r="BC264" s="2">
        <v>1</v>
      </c>
      <c r="BD264" s="2" t="s">
        <v>3</v>
      </c>
      <c r="BE264" s="2" t="s">
        <v>3</v>
      </c>
      <c r="BF264" s="2" t="s">
        <v>3</v>
      </c>
      <c r="BG264" s="2" t="s">
        <v>3</v>
      </c>
      <c r="BH264" s="2">
        <v>0</v>
      </c>
      <c r="BI264" s="2">
        <v>2</v>
      </c>
      <c r="BJ264" s="2" t="s">
        <v>283</v>
      </c>
      <c r="BK264" s="2"/>
      <c r="BL264" s="2"/>
      <c r="BM264" s="2">
        <v>67</v>
      </c>
      <c r="BN264" s="2">
        <v>0</v>
      </c>
      <c r="BO264" s="2" t="s">
        <v>280</v>
      </c>
      <c r="BP264" s="2">
        <v>1</v>
      </c>
      <c r="BQ264" s="2">
        <v>40</v>
      </c>
      <c r="BR264" s="2">
        <v>0</v>
      </c>
      <c r="BS264" s="2">
        <v>1</v>
      </c>
      <c r="BT264" s="2">
        <v>1</v>
      </c>
      <c r="BU264" s="2">
        <v>1</v>
      </c>
      <c r="BV264" s="2">
        <v>1</v>
      </c>
      <c r="BW264" s="2">
        <v>1</v>
      </c>
      <c r="BX264" s="2">
        <v>1</v>
      </c>
      <c r="BY264" s="2" t="s">
        <v>3</v>
      </c>
      <c r="BZ264" s="2">
        <v>97</v>
      </c>
      <c r="CA264" s="2">
        <v>51</v>
      </c>
      <c r="CB264" s="2" t="s">
        <v>3</v>
      </c>
      <c r="CC264" s="2"/>
      <c r="CD264" s="2"/>
      <c r="CE264" s="2">
        <v>1566</v>
      </c>
      <c r="CF264" s="2">
        <v>0</v>
      </c>
      <c r="CG264" s="2">
        <v>0</v>
      </c>
      <c r="CH264" s="2"/>
      <c r="CI264" s="2"/>
      <c r="CJ264" s="2"/>
      <c r="CK264" s="2"/>
      <c r="CL264" s="2"/>
      <c r="CM264" s="2">
        <v>0</v>
      </c>
      <c r="CN264" s="2" t="s">
        <v>618</v>
      </c>
      <c r="CO264" s="2">
        <v>0</v>
      </c>
      <c r="CP264" s="2">
        <f t="shared" si="228"/>
        <v>4604.68</v>
      </c>
      <c r="CQ264" s="2">
        <f t="shared" si="229"/>
        <v>786.8</v>
      </c>
      <c r="CR264" s="2">
        <f>(ROUND((ROUND((((ET264*1.2))*AV264*1),2)*BB264),2)+ROUND((ROUND(((AE264-((EU264*1.2)))*AV264*1),2)*BS264),2))</f>
        <v>76.930000000000007</v>
      </c>
      <c r="CS264" s="2">
        <f>(ROUND((ROUND((((EU264*1.2))*AV264*1),2)*BS264),2)+ROUND((ROUND(((AE264-((EU264*1.2)))*AV264*1),2)*BS264),2))</f>
        <v>3.64</v>
      </c>
      <c r="CT264" s="2">
        <f t="shared" si="230"/>
        <v>510.8</v>
      </c>
      <c r="CU264" s="2">
        <f t="shared" si="231"/>
        <v>0</v>
      </c>
      <c r="CV264" s="2">
        <f t="shared" si="232"/>
        <v>41.461199999999998</v>
      </c>
      <c r="CW264" s="2">
        <f t="shared" si="233"/>
        <v>0</v>
      </c>
      <c r="CX264" s="2">
        <f t="shared" si="234"/>
        <v>0</v>
      </c>
      <c r="CY264" s="2">
        <f>(ROUND((((S264+ROUND((ROUND((((EU264*1.2))*AV264*1),2)*BS264),2))*AT264)/100),2)+ROUND(((ROUND((ROUND(((AE264-((EU264*1.2)))*AV264*1),2)*BS264),2)*AT264)/100),2))</f>
        <v>1663.39</v>
      </c>
      <c r="CZ264" s="2">
        <f>(ROUND((((S264+ROUND((ROUND((((EU264*1.2))*AV264*1),2)*BS264),2))*AU264)/100),2)+ROUND(((ROUND((ROUND(((AE264-((EU264*1.2)))*AV264*1),2)*BS264),2)*AU264)/100),2))</f>
        <v>874.56</v>
      </c>
      <c r="DA264" s="2"/>
      <c r="DB264" s="2">
        <v>75</v>
      </c>
      <c r="DC264" s="2" t="s">
        <v>3</v>
      </c>
      <c r="DD264" s="2" t="s">
        <v>55</v>
      </c>
      <c r="DE264" s="2" t="s">
        <v>56</v>
      </c>
      <c r="DF264" s="2" t="s">
        <v>56</v>
      </c>
      <c r="DG264" s="2" t="s">
        <v>56</v>
      </c>
      <c r="DH264" s="2" t="s">
        <v>3</v>
      </c>
      <c r="DI264" s="2" t="s">
        <v>56</v>
      </c>
      <c r="DJ264" s="2" t="s">
        <v>56</v>
      </c>
      <c r="DK264" s="2" t="s">
        <v>3</v>
      </c>
      <c r="DL264" s="2" t="s">
        <v>3</v>
      </c>
      <c r="DM264" s="2" t="s">
        <v>3</v>
      </c>
      <c r="DN264" s="2">
        <v>0</v>
      </c>
      <c r="DO264" s="2">
        <v>0</v>
      </c>
      <c r="DP264" s="2">
        <v>1</v>
      </c>
      <c r="DQ264" s="2">
        <v>1</v>
      </c>
      <c r="DR264" s="2"/>
      <c r="DS264" s="2"/>
      <c r="DT264" s="2"/>
      <c r="DU264" s="2">
        <v>1013</v>
      </c>
      <c r="DV264" s="2" t="s">
        <v>282</v>
      </c>
      <c r="DW264" s="2" t="s">
        <v>282</v>
      </c>
      <c r="DX264" s="2">
        <v>1</v>
      </c>
      <c r="DY264" s="2"/>
      <c r="DZ264" s="2" t="s">
        <v>3</v>
      </c>
      <c r="EA264" s="2" t="s">
        <v>3</v>
      </c>
      <c r="EB264" s="2" t="s">
        <v>3</v>
      </c>
      <c r="EC264" s="2" t="s">
        <v>3</v>
      </c>
      <c r="ED264" s="2"/>
      <c r="EE264" s="2">
        <v>55393699</v>
      </c>
      <c r="EF264" s="2">
        <v>40</v>
      </c>
      <c r="EG264" s="2" t="s">
        <v>26</v>
      </c>
      <c r="EH264" s="2">
        <v>0</v>
      </c>
      <c r="EI264" s="2" t="s">
        <v>3</v>
      </c>
      <c r="EJ264" s="2">
        <v>2</v>
      </c>
      <c r="EK264" s="2">
        <v>67</v>
      </c>
      <c r="EL264" s="2" t="s">
        <v>192</v>
      </c>
      <c r="EM264" s="2" t="s">
        <v>193</v>
      </c>
      <c r="EN264" s="2"/>
      <c r="EO264" s="2" t="s">
        <v>60</v>
      </c>
      <c r="EP264" s="2"/>
      <c r="EQ264" s="2">
        <v>0</v>
      </c>
      <c r="ER264" s="2">
        <v>1254.5899999999999</v>
      </c>
      <c r="ES264" s="2">
        <v>786.8</v>
      </c>
      <c r="ET264" s="2">
        <v>61.23</v>
      </c>
      <c r="EU264" s="2">
        <v>2.9</v>
      </c>
      <c r="EV264" s="2">
        <v>406.56</v>
      </c>
      <c r="EW264" s="2">
        <v>33</v>
      </c>
      <c r="EX264" s="2">
        <v>0</v>
      </c>
      <c r="EY264" s="2">
        <v>0</v>
      </c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>
        <v>0</v>
      </c>
      <c r="FR264" s="2">
        <v>0</v>
      </c>
      <c r="FS264" s="2">
        <v>0</v>
      </c>
      <c r="FT264" s="2"/>
      <c r="FU264" s="2"/>
      <c r="FV264" s="2"/>
      <c r="FW264" s="2"/>
      <c r="FX264" s="2">
        <v>97</v>
      </c>
      <c r="FY264" s="2">
        <v>51</v>
      </c>
      <c r="FZ264" s="2"/>
      <c r="GA264" s="2" t="s">
        <v>3</v>
      </c>
      <c r="GB264" s="2"/>
      <c r="GC264" s="2"/>
      <c r="GD264" s="2">
        <v>1</v>
      </c>
      <c r="GE264" s="2"/>
      <c r="GF264" s="2">
        <v>424158067</v>
      </c>
      <c r="GG264" s="2">
        <v>2</v>
      </c>
      <c r="GH264" s="2">
        <v>1</v>
      </c>
      <c r="GI264" s="2">
        <v>2</v>
      </c>
      <c r="GJ264" s="2">
        <v>0</v>
      </c>
      <c r="GK264" s="2">
        <v>0</v>
      </c>
      <c r="GL264" s="2">
        <f t="shared" si="235"/>
        <v>0</v>
      </c>
      <c r="GM264" s="2">
        <f t="shared" si="236"/>
        <v>7155.31</v>
      </c>
      <c r="GN264" s="2">
        <f t="shared" si="237"/>
        <v>0</v>
      </c>
      <c r="GO264" s="2">
        <f t="shared" si="238"/>
        <v>7155.31</v>
      </c>
      <c r="GP264" s="2">
        <f t="shared" si="239"/>
        <v>0</v>
      </c>
      <c r="GQ264" s="2"/>
      <c r="GR264" s="2">
        <v>0</v>
      </c>
      <c r="GS264" s="2">
        <v>3</v>
      </c>
      <c r="GT264" s="2">
        <v>0</v>
      </c>
      <c r="GU264" s="2" t="s">
        <v>3</v>
      </c>
      <c r="GV264" s="2">
        <f t="shared" si="240"/>
        <v>0</v>
      </c>
      <c r="GW264" s="2">
        <v>1</v>
      </c>
      <c r="GX264" s="2">
        <f t="shared" si="241"/>
        <v>0</v>
      </c>
      <c r="GY264" s="2"/>
      <c r="GZ264" s="2"/>
      <c r="HA264" s="2">
        <v>0</v>
      </c>
      <c r="HB264" s="2">
        <v>0</v>
      </c>
      <c r="HC264" s="2">
        <f t="shared" si="242"/>
        <v>0</v>
      </c>
      <c r="HD264" s="2"/>
      <c r="HE264" s="2" t="s">
        <v>3</v>
      </c>
      <c r="HF264" s="2" t="s">
        <v>3</v>
      </c>
      <c r="HG264" s="2"/>
      <c r="HH264" s="2"/>
      <c r="HI264" s="2"/>
      <c r="HJ264" s="2"/>
      <c r="HK264" s="2"/>
      <c r="HL264" s="2"/>
      <c r="HM264" s="2" t="s">
        <v>3</v>
      </c>
      <c r="HN264" s="2" t="s">
        <v>3</v>
      </c>
      <c r="HO264" s="2" t="s">
        <v>3</v>
      </c>
      <c r="HP264" s="2" t="s">
        <v>3</v>
      </c>
      <c r="HQ264" s="2" t="s">
        <v>3</v>
      </c>
      <c r="HR264" s="2"/>
      <c r="HS264" s="2">
        <v>0</v>
      </c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>
        <v>0</v>
      </c>
      <c r="IL264" s="2"/>
      <c r="IM264" s="2"/>
      <c r="IN264" s="2"/>
      <c r="IO264" s="2"/>
      <c r="IP264" s="2"/>
      <c r="IQ264" s="2"/>
      <c r="IR264" s="2"/>
      <c r="IS264" s="2"/>
      <c r="IT264" s="2"/>
      <c r="IU264" s="2"/>
    </row>
    <row r="265" spans="1:255" x14ac:dyDescent="0.25">
      <c r="A265" s="3">
        <v>17</v>
      </c>
      <c r="B265" s="3">
        <v>1</v>
      </c>
      <c r="C265" s="3">
        <f>ROW(SmtRes!A352)</f>
        <v>352</v>
      </c>
      <c r="D265" s="3">
        <f>ROW(EtalonRes!A398)</f>
        <v>398</v>
      </c>
      <c r="E265" s="3" t="s">
        <v>279</v>
      </c>
      <c r="F265" s="3" t="s">
        <v>280</v>
      </c>
      <c r="G265" s="3" t="s">
        <v>281</v>
      </c>
      <c r="H265" s="3" t="s">
        <v>282</v>
      </c>
      <c r="I265" s="3">
        <f>ROUND((300+20+15)/100,9)</f>
        <v>3.35</v>
      </c>
      <c r="J265" s="3">
        <v>0</v>
      </c>
      <c r="K265" s="3">
        <f>ROUND((300+20+15)/100,9)</f>
        <v>3.35</v>
      </c>
      <c r="O265" s="3">
        <f t="shared" si="218"/>
        <v>119301.87</v>
      </c>
      <c r="P265" s="3">
        <f t="shared" si="219"/>
        <v>19188.48</v>
      </c>
      <c r="Q265" s="3">
        <f>(ROUND((ROUND((((ET265*1.2))*AV265*I265),2)*BB265),2)+ROUND((ROUND(((AE265-((EU265*1.2)))*AV265*I265),2)*BS265),2))</f>
        <v>3687.83</v>
      </c>
      <c r="R265" s="3">
        <f>(ROUND((ROUND((((EU265*1.2))*AV265*I265),2)*BS265),2)+ROUND((ROUND(((AE265-((EU265*1.2)))*AV265*I265),2)*BS265),2))</f>
        <v>688.03</v>
      </c>
      <c r="S265" s="3">
        <f t="shared" si="220"/>
        <v>96425.56</v>
      </c>
      <c r="T265" s="3">
        <f t="shared" si="221"/>
        <v>0</v>
      </c>
      <c r="U265" s="3">
        <f t="shared" si="222"/>
        <v>138.89501999999999</v>
      </c>
      <c r="V265" s="3">
        <f t="shared" si="223"/>
        <v>0</v>
      </c>
      <c r="W265" s="3">
        <f t="shared" si="224"/>
        <v>0</v>
      </c>
      <c r="X265" s="3">
        <f>(ROUND((((S265+ROUND((ROUND((((EU265*1.2))*AV265*I265),2)*BS265),2))*AT265)/100),2)+ROUND(((ROUND((ROUND(((AE265-((EU265*1.2)))*AV265*I265),2)*BS265),2)*AT265)/100),2))</f>
        <v>94200.18</v>
      </c>
      <c r="Y265" s="3">
        <f>(ROUND((((S265+ROUND((ROUND((((EU265*1.2))*AV265*I265),2)*BS265),2))*AU265)/100),2)+ROUND(((ROUND((ROUND(((AE265-((EU265*1.2)))*AV265*I265),2)*BS265),2)*AU265)/100),2))</f>
        <v>49527.93</v>
      </c>
      <c r="AA265" s="3">
        <v>55917799</v>
      </c>
      <c r="AB265" s="3">
        <f t="shared" si="225"/>
        <v>1348.1479999999999</v>
      </c>
      <c r="AC265" s="3">
        <f>ROUND(((ES265*1)),6)</f>
        <v>786.8</v>
      </c>
      <c r="AD265" s="3">
        <f>ROUND(((((ET265*1.2))-((EU265*1.2)))+AE265),6)</f>
        <v>73.475999999999999</v>
      </c>
      <c r="AE265" s="3">
        <f>ROUND(((EU265*1.2)),6)</f>
        <v>3.48</v>
      </c>
      <c r="AF265" s="3">
        <f>ROUND(((EV265*1.2)),6)</f>
        <v>487.87200000000001</v>
      </c>
      <c r="AG265" s="3">
        <f t="shared" si="226"/>
        <v>0</v>
      </c>
      <c r="AH265" s="3">
        <f>((EW265*1.2))</f>
        <v>39.6</v>
      </c>
      <c r="AI265" s="3">
        <f>((EX265*1.2))</f>
        <v>0</v>
      </c>
      <c r="AJ265" s="3">
        <f t="shared" si="227"/>
        <v>0</v>
      </c>
      <c r="AK265" s="3">
        <v>1254.5899999999999</v>
      </c>
      <c r="AL265" s="3">
        <v>786.8</v>
      </c>
      <c r="AM265" s="3">
        <v>61.23</v>
      </c>
      <c r="AN265" s="3">
        <v>2.9</v>
      </c>
      <c r="AO265" s="3">
        <v>406.56</v>
      </c>
      <c r="AP265" s="3">
        <v>0</v>
      </c>
      <c r="AQ265" s="3">
        <v>33</v>
      </c>
      <c r="AR265" s="3">
        <v>0</v>
      </c>
      <c r="AS265" s="3">
        <v>0</v>
      </c>
      <c r="AT265" s="3">
        <v>97</v>
      </c>
      <c r="AU265" s="3">
        <v>51</v>
      </c>
      <c r="AV265" s="3">
        <v>1.0469999999999999</v>
      </c>
      <c r="AW265" s="3">
        <v>1</v>
      </c>
      <c r="AZ265" s="3">
        <v>1</v>
      </c>
      <c r="BA265" s="3">
        <v>56.35</v>
      </c>
      <c r="BB265" s="3">
        <v>14.31</v>
      </c>
      <c r="BC265" s="3">
        <v>7.28</v>
      </c>
      <c r="BD265" s="3" t="s">
        <v>3</v>
      </c>
      <c r="BE265" s="3" t="s">
        <v>3</v>
      </c>
      <c r="BF265" s="3" t="s">
        <v>3</v>
      </c>
      <c r="BG265" s="3" t="s">
        <v>3</v>
      </c>
      <c r="BH265" s="3">
        <v>0</v>
      </c>
      <c r="BI265" s="3">
        <v>2</v>
      </c>
      <c r="BJ265" s="3" t="s">
        <v>283</v>
      </c>
      <c r="BM265" s="3">
        <v>67</v>
      </c>
      <c r="BN265" s="3">
        <v>0</v>
      </c>
      <c r="BO265" s="3" t="s">
        <v>280</v>
      </c>
      <c r="BP265" s="3">
        <v>1</v>
      </c>
      <c r="BQ265" s="3">
        <v>40</v>
      </c>
      <c r="BR265" s="3">
        <v>0</v>
      </c>
      <c r="BS265" s="3">
        <v>56.35</v>
      </c>
      <c r="BT265" s="3">
        <v>1</v>
      </c>
      <c r="BU265" s="3">
        <v>1</v>
      </c>
      <c r="BV265" s="3">
        <v>1</v>
      </c>
      <c r="BW265" s="3">
        <v>1</v>
      </c>
      <c r="BX265" s="3">
        <v>1</v>
      </c>
      <c r="BY265" s="3" t="s">
        <v>3</v>
      </c>
      <c r="BZ265" s="3">
        <v>97</v>
      </c>
      <c r="CA265" s="3">
        <v>51</v>
      </c>
      <c r="CB265" s="3" t="s">
        <v>3</v>
      </c>
      <c r="CE265" s="3">
        <v>1566</v>
      </c>
      <c r="CF265" s="3">
        <v>0</v>
      </c>
      <c r="CG265" s="3">
        <v>0</v>
      </c>
      <c r="CM265" s="3">
        <v>0</v>
      </c>
      <c r="CN265" s="3" t="s">
        <v>618</v>
      </c>
      <c r="CO265" s="3">
        <v>0</v>
      </c>
      <c r="CP265" s="3">
        <f t="shared" si="228"/>
        <v>119301.87</v>
      </c>
      <c r="CQ265" s="3">
        <f t="shared" si="229"/>
        <v>5727.9</v>
      </c>
      <c r="CR265" s="3">
        <f>(ROUND((ROUND((((ET265*1.2))*AV265*1),2)*BB265),2)+ROUND((ROUND(((AE265-((EU265*1.2)))*AV265*1),2)*BS265),2))</f>
        <v>1100.8699999999999</v>
      </c>
      <c r="CS265" s="3">
        <f>(ROUND((ROUND((((EU265*1.2))*AV265*1),2)*BS265),2)+ROUND((ROUND(((AE265-((EU265*1.2)))*AV265*1),2)*BS265),2))</f>
        <v>205.11</v>
      </c>
      <c r="CT265" s="3">
        <f t="shared" si="230"/>
        <v>28783.58</v>
      </c>
      <c r="CU265" s="3">
        <f t="shared" si="231"/>
        <v>0</v>
      </c>
      <c r="CV265" s="3">
        <f t="shared" si="232"/>
        <v>41.461199999999998</v>
      </c>
      <c r="CW265" s="3">
        <f t="shared" si="233"/>
        <v>0</v>
      </c>
      <c r="CX265" s="3">
        <f t="shared" si="234"/>
        <v>0</v>
      </c>
      <c r="CY265" s="3">
        <f>(ROUND((((S265+ROUND((ROUND((((EU265*1.2))*AV265*1),2)*BS265),2))*AT265)/100),2)+ROUND(((ROUND((ROUND(((AE265-((EU265*1.2)))*AV265*1),2)*BS265),2)*AT265)/100),2))</f>
        <v>93731.75</v>
      </c>
      <c r="CZ265" s="3">
        <f>(ROUND((((S265+ROUND((ROUND((((EU265*1.2))*AV265*1),2)*BS265),2))*AU265)/100),2)+ROUND(((ROUND((ROUND(((AE265-((EU265*1.2)))*AV265*1),2)*BS265),2)*AU265)/100),2))</f>
        <v>49281.64</v>
      </c>
      <c r="DB265" s="3">
        <v>76</v>
      </c>
      <c r="DC265" s="3" t="s">
        <v>3</v>
      </c>
      <c r="DD265" s="3" t="s">
        <v>55</v>
      </c>
      <c r="DE265" s="3" t="s">
        <v>56</v>
      </c>
      <c r="DF265" s="3" t="s">
        <v>56</v>
      </c>
      <c r="DG265" s="3" t="s">
        <v>56</v>
      </c>
      <c r="DH265" s="3" t="s">
        <v>3</v>
      </c>
      <c r="DI265" s="3" t="s">
        <v>56</v>
      </c>
      <c r="DJ265" s="3" t="s">
        <v>56</v>
      </c>
      <c r="DK265" s="3" t="s">
        <v>3</v>
      </c>
      <c r="DL265" s="3" t="s">
        <v>3</v>
      </c>
      <c r="DM265" s="3" t="s">
        <v>3</v>
      </c>
      <c r="DN265" s="3">
        <v>0</v>
      </c>
      <c r="DO265" s="3">
        <v>0</v>
      </c>
      <c r="DP265" s="3">
        <v>1</v>
      </c>
      <c r="DQ265" s="3">
        <v>1</v>
      </c>
      <c r="DU265" s="3">
        <v>1013</v>
      </c>
      <c r="DV265" s="3" t="s">
        <v>282</v>
      </c>
      <c r="DW265" s="3" t="s">
        <v>282</v>
      </c>
      <c r="DX265" s="3">
        <v>1</v>
      </c>
      <c r="DZ265" s="3" t="s">
        <v>3</v>
      </c>
      <c r="EA265" s="3" t="s">
        <v>3</v>
      </c>
      <c r="EB265" s="3" t="s">
        <v>3</v>
      </c>
      <c r="EC265" s="3" t="s">
        <v>3</v>
      </c>
      <c r="EE265" s="3">
        <v>55393699</v>
      </c>
      <c r="EF265" s="3">
        <v>40</v>
      </c>
      <c r="EG265" s="3" t="s">
        <v>26</v>
      </c>
      <c r="EH265" s="3">
        <v>0</v>
      </c>
      <c r="EI265" s="3" t="s">
        <v>3</v>
      </c>
      <c r="EJ265" s="3">
        <v>2</v>
      </c>
      <c r="EK265" s="3">
        <v>67</v>
      </c>
      <c r="EL265" s="3" t="s">
        <v>192</v>
      </c>
      <c r="EM265" s="3" t="s">
        <v>193</v>
      </c>
      <c r="EO265" s="3" t="s">
        <v>60</v>
      </c>
      <c r="EQ265" s="3">
        <v>0</v>
      </c>
      <c r="ER265" s="3">
        <v>1254.5899999999999</v>
      </c>
      <c r="ES265" s="3">
        <v>786.8</v>
      </c>
      <c r="ET265" s="3">
        <v>61.23</v>
      </c>
      <c r="EU265" s="3">
        <v>2.9</v>
      </c>
      <c r="EV265" s="3">
        <v>406.56</v>
      </c>
      <c r="EW265" s="3">
        <v>33</v>
      </c>
      <c r="EX265" s="3">
        <v>0</v>
      </c>
      <c r="EY265" s="3">
        <v>0</v>
      </c>
      <c r="FQ265" s="3">
        <v>0</v>
      </c>
      <c r="FR265" s="3">
        <v>0</v>
      </c>
      <c r="FS265" s="3">
        <v>0</v>
      </c>
      <c r="FX265" s="3">
        <v>97</v>
      </c>
      <c r="FY265" s="3">
        <v>51</v>
      </c>
      <c r="GA265" s="3" t="s">
        <v>3</v>
      </c>
      <c r="GD265" s="3">
        <v>1</v>
      </c>
      <c r="GF265" s="3">
        <v>424158067</v>
      </c>
      <c r="GG265" s="3">
        <v>2</v>
      </c>
      <c r="GH265" s="3">
        <v>1</v>
      </c>
      <c r="GI265" s="3">
        <v>2</v>
      </c>
      <c r="GJ265" s="3">
        <v>0</v>
      </c>
      <c r="GK265" s="3">
        <v>0</v>
      </c>
      <c r="GL265" s="3">
        <f t="shared" si="235"/>
        <v>0</v>
      </c>
      <c r="GM265" s="3">
        <f t="shared" si="236"/>
        <v>263029.98</v>
      </c>
      <c r="GN265" s="3">
        <f t="shared" si="237"/>
        <v>0</v>
      </c>
      <c r="GO265" s="3">
        <f t="shared" si="238"/>
        <v>263029.98</v>
      </c>
      <c r="GP265" s="3">
        <f t="shared" si="239"/>
        <v>0</v>
      </c>
      <c r="GR265" s="3">
        <v>0</v>
      </c>
      <c r="GS265" s="3">
        <v>3</v>
      </c>
      <c r="GT265" s="3">
        <v>0</v>
      </c>
      <c r="GU265" s="3" t="s">
        <v>3</v>
      </c>
      <c r="GV265" s="3">
        <f t="shared" si="240"/>
        <v>0</v>
      </c>
      <c r="GW265" s="3">
        <v>1</v>
      </c>
      <c r="GX265" s="3">
        <f t="shared" si="241"/>
        <v>0</v>
      </c>
      <c r="HA265" s="3">
        <v>0</v>
      </c>
      <c r="HB265" s="3">
        <v>0</v>
      </c>
      <c r="HC265" s="3">
        <f t="shared" si="242"/>
        <v>0</v>
      </c>
      <c r="HE265" s="3" t="s">
        <v>3</v>
      </c>
      <c r="HF265" s="3" t="s">
        <v>3</v>
      </c>
      <c r="HM265" s="3" t="s">
        <v>3</v>
      </c>
      <c r="HN265" s="3" t="s">
        <v>3</v>
      </c>
      <c r="HO265" s="3" t="s">
        <v>3</v>
      </c>
      <c r="HP265" s="3" t="s">
        <v>3</v>
      </c>
      <c r="HQ265" s="3" t="s">
        <v>3</v>
      </c>
      <c r="HS265" s="3">
        <v>0</v>
      </c>
      <c r="IK265" s="3">
        <v>0</v>
      </c>
    </row>
    <row r="266" spans="1:255" x14ac:dyDescent="0.25">
      <c r="A266" s="2">
        <v>18</v>
      </c>
      <c r="B266" s="2">
        <v>1</v>
      </c>
      <c r="C266" s="2">
        <v>342</v>
      </c>
      <c r="D266" s="2"/>
      <c r="E266" s="2" t="s">
        <v>284</v>
      </c>
      <c r="F266" s="2" t="s">
        <v>285</v>
      </c>
      <c r="G266" s="2" t="s">
        <v>286</v>
      </c>
      <c r="H266" s="2" t="s">
        <v>49</v>
      </c>
      <c r="I266" s="2">
        <f>I264*J266</f>
        <v>7.370000000000001</v>
      </c>
      <c r="J266" s="2">
        <v>2.2000000000000002</v>
      </c>
      <c r="K266" s="2">
        <v>2.2000000000000002</v>
      </c>
      <c r="L266" s="2"/>
      <c r="M266" s="2"/>
      <c r="N266" s="2"/>
      <c r="O266" s="2">
        <f t="shared" si="218"/>
        <v>343.66</v>
      </c>
      <c r="P266" s="2">
        <f t="shared" si="219"/>
        <v>343.66</v>
      </c>
      <c r="Q266" s="2">
        <f t="shared" ref="Q266:Q273" si="259">(ROUND((ROUND(((ET266)*AV266*I266),2)*BB266),2)+ROUND((ROUND(((AE266-(EU266))*AV266*I266),2)*BS266),2))</f>
        <v>0</v>
      </c>
      <c r="R266" s="2">
        <f t="shared" ref="R266:R273" si="260">(ROUND((ROUND(((EU266)*AV266*I266),2)*BS266),2)+ROUND((ROUND(((AE266-(EU266))*AV266*I266),2)*BS266),2))</f>
        <v>0</v>
      </c>
      <c r="S266" s="2">
        <f t="shared" si="220"/>
        <v>0</v>
      </c>
      <c r="T266" s="2">
        <f t="shared" si="221"/>
        <v>0</v>
      </c>
      <c r="U266" s="2">
        <f t="shared" si="222"/>
        <v>0</v>
      </c>
      <c r="V266" s="2">
        <f t="shared" si="223"/>
        <v>0</v>
      </c>
      <c r="W266" s="2">
        <f t="shared" si="224"/>
        <v>0</v>
      </c>
      <c r="X266" s="2">
        <f t="shared" ref="X266:X273" si="261">(ROUND((((S266+ROUND((ROUND(((EU266)*AV266*I266),2)*BS266),2))*AT266)/100),2)+ROUND(((ROUND((ROUND(((AE266-(EU266))*AV266*I266),2)*BS266),2)*AT266)/100),2))</f>
        <v>0</v>
      </c>
      <c r="Y266" s="2">
        <f t="shared" ref="Y266:Y273" si="262">(ROUND((((S266+ROUND((ROUND(((EU266)*AV266*I266),2)*BS266),2))*AU266)/100),2)+ROUND(((ROUND((ROUND(((AE266-(EU266))*AV266*I266),2)*BS266),2)*AU266)/100),2))</f>
        <v>0</v>
      </c>
      <c r="Z266" s="2"/>
      <c r="AA266" s="2">
        <v>55917797</v>
      </c>
      <c r="AB266" s="2">
        <f t="shared" si="225"/>
        <v>46.63</v>
      </c>
      <c r="AC266" s="2">
        <f t="shared" ref="AC266:AC273" si="263">ROUND((ES266),6)</f>
        <v>46.63</v>
      </c>
      <c r="AD266" s="2">
        <f t="shared" ref="AD266:AD273" si="264">ROUND((((ET266)-(EU266))+AE266),6)</f>
        <v>0</v>
      </c>
      <c r="AE266" s="2">
        <f t="shared" ref="AE266:AF273" si="265">ROUND((EU266),6)</f>
        <v>0</v>
      </c>
      <c r="AF266" s="2">
        <f t="shared" si="265"/>
        <v>0</v>
      </c>
      <c r="AG266" s="2">
        <f t="shared" si="226"/>
        <v>0</v>
      </c>
      <c r="AH266" s="2">
        <f t="shared" ref="AH266:AI273" si="266">(EW266)</f>
        <v>0</v>
      </c>
      <c r="AI266" s="2">
        <f t="shared" si="266"/>
        <v>0</v>
      </c>
      <c r="AJ266" s="2">
        <f t="shared" si="227"/>
        <v>0</v>
      </c>
      <c r="AK266" s="2">
        <v>46.63</v>
      </c>
      <c r="AL266" s="2">
        <v>46.63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97</v>
      </c>
      <c r="AU266" s="2">
        <v>51</v>
      </c>
      <c r="AV266" s="2">
        <v>1</v>
      </c>
      <c r="AW266" s="2">
        <v>1</v>
      </c>
      <c r="AX266" s="2"/>
      <c r="AY266" s="2"/>
      <c r="AZ266" s="2">
        <v>1</v>
      </c>
      <c r="BA266" s="2">
        <v>1</v>
      </c>
      <c r="BB266" s="2">
        <v>1</v>
      </c>
      <c r="BC266" s="2">
        <v>1</v>
      </c>
      <c r="BD266" s="2" t="s">
        <v>3</v>
      </c>
      <c r="BE266" s="2" t="s">
        <v>3</v>
      </c>
      <c r="BF266" s="2" t="s">
        <v>3</v>
      </c>
      <c r="BG266" s="2" t="s">
        <v>3</v>
      </c>
      <c r="BH266" s="2">
        <v>3</v>
      </c>
      <c r="BI266" s="2">
        <v>2</v>
      </c>
      <c r="BJ266" s="2" t="s">
        <v>287</v>
      </c>
      <c r="BK266" s="2"/>
      <c r="BL266" s="2"/>
      <c r="BM266" s="2">
        <v>67</v>
      </c>
      <c r="BN266" s="2">
        <v>0</v>
      </c>
      <c r="BO266" s="2" t="s">
        <v>3</v>
      </c>
      <c r="BP266" s="2">
        <v>0</v>
      </c>
      <c r="BQ266" s="2">
        <v>40</v>
      </c>
      <c r="BR266" s="2">
        <v>0</v>
      </c>
      <c r="BS266" s="2">
        <v>1</v>
      </c>
      <c r="BT266" s="2">
        <v>1</v>
      </c>
      <c r="BU266" s="2">
        <v>1</v>
      </c>
      <c r="BV266" s="2">
        <v>1</v>
      </c>
      <c r="BW266" s="2">
        <v>1</v>
      </c>
      <c r="BX266" s="2">
        <v>1</v>
      </c>
      <c r="BY266" s="2" t="s">
        <v>3</v>
      </c>
      <c r="BZ266" s="2">
        <v>97</v>
      </c>
      <c r="CA266" s="2">
        <v>51</v>
      </c>
      <c r="CB266" s="2" t="s">
        <v>3</v>
      </c>
      <c r="CC266" s="2"/>
      <c r="CD266" s="2"/>
      <c r="CE266" s="2">
        <v>1566</v>
      </c>
      <c r="CF266" s="2">
        <v>0</v>
      </c>
      <c r="CG266" s="2">
        <v>0</v>
      </c>
      <c r="CH266" s="2"/>
      <c r="CI266" s="2"/>
      <c r="CJ266" s="2"/>
      <c r="CK266" s="2"/>
      <c r="CL266" s="2"/>
      <c r="CM266" s="2">
        <v>0</v>
      </c>
      <c r="CN266" s="2" t="s">
        <v>619</v>
      </c>
      <c r="CO266" s="2">
        <v>0</v>
      </c>
      <c r="CP266" s="2">
        <f t="shared" si="228"/>
        <v>343.66</v>
      </c>
      <c r="CQ266" s="2">
        <f t="shared" si="229"/>
        <v>46.63</v>
      </c>
      <c r="CR266" s="2">
        <f t="shared" ref="CR266:CR273" si="267">(ROUND((ROUND(((ET266)*AV266*1),2)*BB266),2)+ROUND((ROUND(((AE266-(EU266))*AV266*1),2)*BS266),2))</f>
        <v>0</v>
      </c>
      <c r="CS266" s="2">
        <f t="shared" ref="CS266:CS273" si="268">(ROUND((ROUND(((EU266)*AV266*1),2)*BS266),2)+ROUND((ROUND(((AE266-(EU266))*AV266*1),2)*BS266),2))</f>
        <v>0</v>
      </c>
      <c r="CT266" s="2">
        <f t="shared" si="230"/>
        <v>0</v>
      </c>
      <c r="CU266" s="2">
        <f t="shared" si="231"/>
        <v>0</v>
      </c>
      <c r="CV266" s="2">
        <f t="shared" si="232"/>
        <v>0</v>
      </c>
      <c r="CW266" s="2">
        <f t="shared" si="233"/>
        <v>0</v>
      </c>
      <c r="CX266" s="2">
        <f t="shared" si="234"/>
        <v>0</v>
      </c>
      <c r="CY266" s="2">
        <f t="shared" ref="CY266:CY273" si="269">(ROUND((((S266+ROUND((ROUND(((EU266)*AV266*1),2)*BS266),2))*AT266)/100),2)+ROUND(((ROUND((ROUND(((AE266-(EU266))*AV266*1),2)*BS266),2)*AT266)/100),2))</f>
        <v>0</v>
      </c>
      <c r="CZ266" s="2">
        <f t="shared" ref="CZ266:CZ273" si="270">(ROUND((((S266+ROUND((ROUND(((EU266)*AV266*1),2)*BS266),2))*AU266)/100),2)+ROUND(((ROUND((ROUND(((AE266-(EU266))*AV266*1),2)*BS266),2)*AU266)/100),2))</f>
        <v>0</v>
      </c>
      <c r="DA266" s="2"/>
      <c r="DB266" s="2"/>
      <c r="DC266" s="2" t="s">
        <v>3</v>
      </c>
      <c r="DD266" s="2" t="s">
        <v>3</v>
      </c>
      <c r="DE266" s="2" t="s">
        <v>3</v>
      </c>
      <c r="DF266" s="2" t="s">
        <v>3</v>
      </c>
      <c r="DG266" s="2" t="s">
        <v>3</v>
      </c>
      <c r="DH266" s="2" t="s">
        <v>3</v>
      </c>
      <c r="DI266" s="2" t="s">
        <v>3</v>
      </c>
      <c r="DJ266" s="2" t="s">
        <v>3</v>
      </c>
      <c r="DK266" s="2" t="s">
        <v>3</v>
      </c>
      <c r="DL266" s="2" t="s">
        <v>3</v>
      </c>
      <c r="DM266" s="2" t="s">
        <v>3</v>
      </c>
      <c r="DN266" s="2">
        <v>0</v>
      </c>
      <c r="DO266" s="2">
        <v>0</v>
      </c>
      <c r="DP266" s="2">
        <v>1</v>
      </c>
      <c r="DQ266" s="2">
        <v>1</v>
      </c>
      <c r="DR266" s="2"/>
      <c r="DS266" s="2"/>
      <c r="DT266" s="2"/>
      <c r="DU266" s="2">
        <v>1010</v>
      </c>
      <c r="DV266" s="2" t="s">
        <v>49</v>
      </c>
      <c r="DW266" s="2" t="s">
        <v>49</v>
      </c>
      <c r="DX266" s="2">
        <v>100</v>
      </c>
      <c r="DY266" s="2"/>
      <c r="DZ266" s="2" t="s">
        <v>3</v>
      </c>
      <c r="EA266" s="2" t="s">
        <v>3</v>
      </c>
      <c r="EB266" s="2" t="s">
        <v>3</v>
      </c>
      <c r="EC266" s="2" t="s">
        <v>3</v>
      </c>
      <c r="ED266" s="2"/>
      <c r="EE266" s="2">
        <v>55393699</v>
      </c>
      <c r="EF266" s="2">
        <v>40</v>
      </c>
      <c r="EG266" s="2" t="s">
        <v>26</v>
      </c>
      <c r="EH266" s="2">
        <v>0</v>
      </c>
      <c r="EI266" s="2" t="s">
        <v>3</v>
      </c>
      <c r="EJ266" s="2">
        <v>2</v>
      </c>
      <c r="EK266" s="2">
        <v>67</v>
      </c>
      <c r="EL266" s="2" t="s">
        <v>192</v>
      </c>
      <c r="EM266" s="2" t="s">
        <v>193</v>
      </c>
      <c r="EN266" s="2"/>
      <c r="EO266" s="2" t="s">
        <v>60</v>
      </c>
      <c r="EP266" s="2"/>
      <c r="EQ266" s="2">
        <v>0</v>
      </c>
      <c r="ER266" s="2">
        <v>46.63</v>
      </c>
      <c r="ES266" s="2">
        <v>46.63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>
        <v>0</v>
      </c>
      <c r="FR266" s="2">
        <v>0</v>
      </c>
      <c r="FS266" s="2">
        <v>0</v>
      </c>
      <c r="FT266" s="2"/>
      <c r="FU266" s="2"/>
      <c r="FV266" s="2"/>
      <c r="FW266" s="2"/>
      <c r="FX266" s="2">
        <v>97</v>
      </c>
      <c r="FY266" s="2">
        <v>51</v>
      </c>
      <c r="FZ266" s="2"/>
      <c r="GA266" s="2" t="s">
        <v>3</v>
      </c>
      <c r="GB266" s="2"/>
      <c r="GC266" s="2"/>
      <c r="GD266" s="2">
        <v>1</v>
      </c>
      <c r="GE266" s="2"/>
      <c r="GF266" s="2">
        <v>-1630187773</v>
      </c>
      <c r="GG266" s="2">
        <v>2</v>
      </c>
      <c r="GH266" s="2">
        <v>1</v>
      </c>
      <c r="GI266" s="2">
        <v>-2</v>
      </c>
      <c r="GJ266" s="2">
        <v>0</v>
      </c>
      <c r="GK266" s="2">
        <v>0</v>
      </c>
      <c r="GL266" s="2">
        <f t="shared" si="235"/>
        <v>0</v>
      </c>
      <c r="GM266" s="2">
        <f t="shared" si="236"/>
        <v>343.66</v>
      </c>
      <c r="GN266" s="2">
        <f t="shared" si="237"/>
        <v>0</v>
      </c>
      <c r="GO266" s="2">
        <f t="shared" si="238"/>
        <v>343.66</v>
      </c>
      <c r="GP266" s="2">
        <f t="shared" si="239"/>
        <v>0</v>
      </c>
      <c r="GQ266" s="2"/>
      <c r="GR266" s="2">
        <v>0</v>
      </c>
      <c r="GS266" s="2">
        <v>3</v>
      </c>
      <c r="GT266" s="2">
        <v>0</v>
      </c>
      <c r="GU266" s="2" t="s">
        <v>3</v>
      </c>
      <c r="GV266" s="2">
        <f t="shared" si="240"/>
        <v>0</v>
      </c>
      <c r="GW266" s="2">
        <v>1</v>
      </c>
      <c r="GX266" s="2">
        <f t="shared" si="241"/>
        <v>0</v>
      </c>
      <c r="GY266" s="2"/>
      <c r="GZ266" s="2"/>
      <c r="HA266" s="2">
        <v>0</v>
      </c>
      <c r="HB266" s="2">
        <v>0</v>
      </c>
      <c r="HC266" s="2">
        <f t="shared" si="242"/>
        <v>0</v>
      </c>
      <c r="HD266" s="2"/>
      <c r="HE266" s="2" t="s">
        <v>3</v>
      </c>
      <c r="HF266" s="2" t="s">
        <v>3</v>
      </c>
      <c r="HG266" s="2"/>
      <c r="HH266" s="2"/>
      <c r="HI266" s="2"/>
      <c r="HJ266" s="2"/>
      <c r="HK266" s="2"/>
      <c r="HL266" s="2"/>
      <c r="HM266" s="2" t="s">
        <v>55</v>
      </c>
      <c r="HN266" s="2" t="s">
        <v>3</v>
      </c>
      <c r="HO266" s="2" t="s">
        <v>3</v>
      </c>
      <c r="HP266" s="2" t="s">
        <v>3</v>
      </c>
      <c r="HQ266" s="2" t="s">
        <v>3</v>
      </c>
      <c r="HR266" s="2"/>
      <c r="HS266" s="2">
        <v>0</v>
      </c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>
        <v>0</v>
      </c>
      <c r="IL266" s="2"/>
      <c r="IM266" s="2"/>
      <c r="IN266" s="2"/>
      <c r="IO266" s="2"/>
      <c r="IP266" s="2"/>
      <c r="IQ266" s="2"/>
      <c r="IR266" s="2"/>
      <c r="IS266" s="2"/>
      <c r="IT266" s="2"/>
      <c r="IU266" s="2"/>
    </row>
    <row r="267" spans="1:255" x14ac:dyDescent="0.25">
      <c r="A267" s="3">
        <v>18</v>
      </c>
      <c r="B267" s="3">
        <v>1</v>
      </c>
      <c r="C267" s="3">
        <v>351</v>
      </c>
      <c r="E267" s="3" t="s">
        <v>284</v>
      </c>
      <c r="F267" s="3" t="s">
        <v>285</v>
      </c>
      <c r="G267" s="3" t="s">
        <v>286</v>
      </c>
      <c r="H267" s="3" t="s">
        <v>49</v>
      </c>
      <c r="I267" s="3">
        <f>I265*J267</f>
        <v>7.370000000000001</v>
      </c>
      <c r="J267" s="3">
        <v>2.2000000000000002</v>
      </c>
      <c r="K267" s="3">
        <v>2.2000000000000002</v>
      </c>
      <c r="O267" s="3">
        <f t="shared" si="218"/>
        <v>374.59</v>
      </c>
      <c r="P267" s="3">
        <f t="shared" si="219"/>
        <v>374.59</v>
      </c>
      <c r="Q267" s="3">
        <f t="shared" si="259"/>
        <v>0</v>
      </c>
      <c r="R267" s="3">
        <f t="shared" si="260"/>
        <v>0</v>
      </c>
      <c r="S267" s="3">
        <f t="shared" si="220"/>
        <v>0</v>
      </c>
      <c r="T267" s="3">
        <f t="shared" si="221"/>
        <v>0</v>
      </c>
      <c r="U267" s="3">
        <f t="shared" si="222"/>
        <v>0</v>
      </c>
      <c r="V267" s="3">
        <f t="shared" si="223"/>
        <v>0</v>
      </c>
      <c r="W267" s="3">
        <f t="shared" si="224"/>
        <v>0</v>
      </c>
      <c r="X267" s="3">
        <f t="shared" si="261"/>
        <v>0</v>
      </c>
      <c r="Y267" s="3">
        <f t="shared" si="262"/>
        <v>0</v>
      </c>
      <c r="AA267" s="3">
        <v>55917799</v>
      </c>
      <c r="AB267" s="3">
        <f t="shared" si="225"/>
        <v>46.63</v>
      </c>
      <c r="AC267" s="3">
        <f t="shared" si="263"/>
        <v>46.63</v>
      </c>
      <c r="AD267" s="3">
        <f t="shared" si="264"/>
        <v>0</v>
      </c>
      <c r="AE267" s="3">
        <f t="shared" si="265"/>
        <v>0</v>
      </c>
      <c r="AF267" s="3">
        <f t="shared" si="265"/>
        <v>0</v>
      </c>
      <c r="AG267" s="3">
        <f t="shared" si="226"/>
        <v>0</v>
      </c>
      <c r="AH267" s="3">
        <f t="shared" si="266"/>
        <v>0</v>
      </c>
      <c r="AI267" s="3">
        <f t="shared" si="266"/>
        <v>0</v>
      </c>
      <c r="AJ267" s="3">
        <f t="shared" si="227"/>
        <v>0</v>
      </c>
      <c r="AK267" s="3">
        <v>46.63</v>
      </c>
      <c r="AL267" s="3">
        <v>46.63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97</v>
      </c>
      <c r="AU267" s="3">
        <v>51</v>
      </c>
      <c r="AV267" s="3">
        <v>1</v>
      </c>
      <c r="AW267" s="3">
        <v>1</v>
      </c>
      <c r="AZ267" s="3">
        <v>1</v>
      </c>
      <c r="BA267" s="3">
        <v>1</v>
      </c>
      <c r="BB267" s="3">
        <v>1</v>
      </c>
      <c r="BC267" s="3">
        <v>1.0900000000000001</v>
      </c>
      <c r="BD267" s="3" t="s">
        <v>3</v>
      </c>
      <c r="BE267" s="3" t="s">
        <v>3</v>
      </c>
      <c r="BF267" s="3" t="s">
        <v>3</v>
      </c>
      <c r="BG267" s="3" t="s">
        <v>3</v>
      </c>
      <c r="BH267" s="3">
        <v>3</v>
      </c>
      <c r="BI267" s="3">
        <v>2</v>
      </c>
      <c r="BJ267" s="3" t="s">
        <v>287</v>
      </c>
      <c r="BM267" s="3">
        <v>67</v>
      </c>
      <c r="BN267" s="3">
        <v>0</v>
      </c>
      <c r="BO267" s="3" t="s">
        <v>285</v>
      </c>
      <c r="BP267" s="3">
        <v>1</v>
      </c>
      <c r="BQ267" s="3">
        <v>40</v>
      </c>
      <c r="BR267" s="3">
        <v>0</v>
      </c>
      <c r="BS267" s="3">
        <v>1</v>
      </c>
      <c r="BT267" s="3">
        <v>1</v>
      </c>
      <c r="BU267" s="3">
        <v>1</v>
      </c>
      <c r="BV267" s="3">
        <v>1</v>
      </c>
      <c r="BW267" s="3">
        <v>1</v>
      </c>
      <c r="BX267" s="3">
        <v>1</v>
      </c>
      <c r="BY267" s="3" t="s">
        <v>3</v>
      </c>
      <c r="BZ267" s="3">
        <v>97</v>
      </c>
      <c r="CA267" s="3">
        <v>51</v>
      </c>
      <c r="CB267" s="3" t="s">
        <v>3</v>
      </c>
      <c r="CE267" s="3">
        <v>1566</v>
      </c>
      <c r="CF267" s="3">
        <v>0</v>
      </c>
      <c r="CG267" s="3">
        <v>0</v>
      </c>
      <c r="CM267" s="3">
        <v>0</v>
      </c>
      <c r="CN267" s="3" t="s">
        <v>619</v>
      </c>
      <c r="CO267" s="3">
        <v>0</v>
      </c>
      <c r="CP267" s="3">
        <f t="shared" si="228"/>
        <v>374.59</v>
      </c>
      <c r="CQ267" s="3">
        <f t="shared" si="229"/>
        <v>50.83</v>
      </c>
      <c r="CR267" s="3">
        <f t="shared" si="267"/>
        <v>0</v>
      </c>
      <c r="CS267" s="3">
        <f t="shared" si="268"/>
        <v>0</v>
      </c>
      <c r="CT267" s="3">
        <f t="shared" si="230"/>
        <v>0</v>
      </c>
      <c r="CU267" s="3">
        <f t="shared" si="231"/>
        <v>0</v>
      </c>
      <c r="CV267" s="3">
        <f t="shared" si="232"/>
        <v>0</v>
      </c>
      <c r="CW267" s="3">
        <f t="shared" si="233"/>
        <v>0</v>
      </c>
      <c r="CX267" s="3">
        <f t="shared" si="234"/>
        <v>0</v>
      </c>
      <c r="CY267" s="3">
        <f t="shared" si="269"/>
        <v>0</v>
      </c>
      <c r="CZ267" s="3">
        <f t="shared" si="270"/>
        <v>0</v>
      </c>
      <c r="DC267" s="3" t="s">
        <v>3</v>
      </c>
      <c r="DD267" s="3" t="s">
        <v>3</v>
      </c>
      <c r="DE267" s="3" t="s">
        <v>3</v>
      </c>
      <c r="DF267" s="3" t="s">
        <v>3</v>
      </c>
      <c r="DG267" s="3" t="s">
        <v>3</v>
      </c>
      <c r="DH267" s="3" t="s">
        <v>3</v>
      </c>
      <c r="DI267" s="3" t="s">
        <v>3</v>
      </c>
      <c r="DJ267" s="3" t="s">
        <v>3</v>
      </c>
      <c r="DK267" s="3" t="s">
        <v>3</v>
      </c>
      <c r="DL267" s="3" t="s">
        <v>3</v>
      </c>
      <c r="DM267" s="3" t="s">
        <v>3</v>
      </c>
      <c r="DN267" s="3">
        <v>0</v>
      </c>
      <c r="DO267" s="3">
        <v>0</v>
      </c>
      <c r="DP267" s="3">
        <v>1</v>
      </c>
      <c r="DQ267" s="3">
        <v>1</v>
      </c>
      <c r="DU267" s="3">
        <v>1010</v>
      </c>
      <c r="DV267" s="3" t="s">
        <v>49</v>
      </c>
      <c r="DW267" s="3" t="s">
        <v>49</v>
      </c>
      <c r="DX267" s="3">
        <v>100</v>
      </c>
      <c r="DZ267" s="3" t="s">
        <v>3</v>
      </c>
      <c r="EA267" s="3" t="s">
        <v>3</v>
      </c>
      <c r="EB267" s="3" t="s">
        <v>3</v>
      </c>
      <c r="EC267" s="3" t="s">
        <v>3</v>
      </c>
      <c r="EE267" s="3">
        <v>55393699</v>
      </c>
      <c r="EF267" s="3">
        <v>40</v>
      </c>
      <c r="EG267" s="3" t="s">
        <v>26</v>
      </c>
      <c r="EH267" s="3">
        <v>0</v>
      </c>
      <c r="EI267" s="3" t="s">
        <v>3</v>
      </c>
      <c r="EJ267" s="3">
        <v>2</v>
      </c>
      <c r="EK267" s="3">
        <v>67</v>
      </c>
      <c r="EL267" s="3" t="s">
        <v>192</v>
      </c>
      <c r="EM267" s="3" t="s">
        <v>193</v>
      </c>
      <c r="EO267" s="3" t="s">
        <v>60</v>
      </c>
      <c r="EQ267" s="3">
        <v>0</v>
      </c>
      <c r="ER267" s="3">
        <v>46.63</v>
      </c>
      <c r="ES267" s="3">
        <v>46.63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FQ267" s="3">
        <v>0</v>
      </c>
      <c r="FR267" s="3">
        <v>0</v>
      </c>
      <c r="FS267" s="3">
        <v>0</v>
      </c>
      <c r="FX267" s="3">
        <v>97</v>
      </c>
      <c r="FY267" s="3">
        <v>51</v>
      </c>
      <c r="GA267" s="3" t="s">
        <v>3</v>
      </c>
      <c r="GD267" s="3">
        <v>1</v>
      </c>
      <c r="GF267" s="3">
        <v>-1630187773</v>
      </c>
      <c r="GG267" s="3">
        <v>2</v>
      </c>
      <c r="GH267" s="3">
        <v>1</v>
      </c>
      <c r="GI267" s="3">
        <v>2</v>
      </c>
      <c r="GJ267" s="3">
        <v>0</v>
      </c>
      <c r="GK267" s="3">
        <v>0</v>
      </c>
      <c r="GL267" s="3">
        <f t="shared" si="235"/>
        <v>0</v>
      </c>
      <c r="GM267" s="3">
        <f t="shared" si="236"/>
        <v>374.59</v>
      </c>
      <c r="GN267" s="3">
        <f t="shared" si="237"/>
        <v>0</v>
      </c>
      <c r="GO267" s="3">
        <f t="shared" si="238"/>
        <v>374.59</v>
      </c>
      <c r="GP267" s="3">
        <f t="shared" si="239"/>
        <v>0</v>
      </c>
      <c r="GR267" s="3">
        <v>0</v>
      </c>
      <c r="GS267" s="3">
        <v>3</v>
      </c>
      <c r="GT267" s="3">
        <v>0</v>
      </c>
      <c r="GU267" s="3" t="s">
        <v>3</v>
      </c>
      <c r="GV267" s="3">
        <f t="shared" si="240"/>
        <v>0</v>
      </c>
      <c r="GW267" s="3">
        <v>1</v>
      </c>
      <c r="GX267" s="3">
        <f t="shared" si="241"/>
        <v>0</v>
      </c>
      <c r="HA267" s="3">
        <v>0</v>
      </c>
      <c r="HB267" s="3">
        <v>0</v>
      </c>
      <c r="HC267" s="3">
        <f t="shared" si="242"/>
        <v>0</v>
      </c>
      <c r="HE267" s="3" t="s">
        <v>3</v>
      </c>
      <c r="HF267" s="3" t="s">
        <v>3</v>
      </c>
      <c r="HM267" s="3" t="s">
        <v>55</v>
      </c>
      <c r="HN267" s="3" t="s">
        <v>3</v>
      </c>
      <c r="HO267" s="3" t="s">
        <v>3</v>
      </c>
      <c r="HP267" s="3" t="s">
        <v>3</v>
      </c>
      <c r="HQ267" s="3" t="s">
        <v>3</v>
      </c>
      <c r="HS267" s="3">
        <v>0</v>
      </c>
      <c r="IK267" s="3">
        <v>0</v>
      </c>
    </row>
    <row r="268" spans="1:255" x14ac:dyDescent="0.25">
      <c r="A268" s="2">
        <v>17</v>
      </c>
      <c r="B268" s="2">
        <v>1</v>
      </c>
      <c r="C268" s="2"/>
      <c r="D268" s="2"/>
      <c r="E268" s="2" t="s">
        <v>288</v>
      </c>
      <c r="F268" s="2" t="s">
        <v>289</v>
      </c>
      <c r="G268" s="2" t="s">
        <v>290</v>
      </c>
      <c r="H268" s="2" t="s">
        <v>263</v>
      </c>
      <c r="I268" s="2">
        <f>ROUND(300*1.02,9)</f>
        <v>306</v>
      </c>
      <c r="J268" s="2">
        <v>0</v>
      </c>
      <c r="K268" s="2">
        <f>ROUND(300*1.02,9)</f>
        <v>306</v>
      </c>
      <c r="L268" s="2"/>
      <c r="M268" s="2"/>
      <c r="N268" s="2"/>
      <c r="O268" s="2">
        <f t="shared" si="218"/>
        <v>1343.34</v>
      </c>
      <c r="P268" s="2">
        <f t="shared" si="219"/>
        <v>1343.34</v>
      </c>
      <c r="Q268" s="2">
        <f t="shared" si="259"/>
        <v>0</v>
      </c>
      <c r="R268" s="2">
        <f t="shared" si="260"/>
        <v>0</v>
      </c>
      <c r="S268" s="2">
        <f t="shared" si="220"/>
        <v>0</v>
      </c>
      <c r="T268" s="2">
        <f t="shared" si="221"/>
        <v>0</v>
      </c>
      <c r="U268" s="2">
        <f t="shared" si="222"/>
        <v>0</v>
      </c>
      <c r="V268" s="2">
        <f t="shared" si="223"/>
        <v>0</v>
      </c>
      <c r="W268" s="2">
        <f t="shared" si="224"/>
        <v>0</v>
      </c>
      <c r="X268" s="2">
        <f t="shared" si="261"/>
        <v>0</v>
      </c>
      <c r="Y268" s="2">
        <f t="shared" si="262"/>
        <v>0</v>
      </c>
      <c r="Z268" s="2"/>
      <c r="AA268" s="2">
        <v>55917797</v>
      </c>
      <c r="AB268" s="2">
        <f t="shared" si="225"/>
        <v>4.3899999999999997</v>
      </c>
      <c r="AC268" s="2">
        <f t="shared" si="263"/>
        <v>4.3899999999999997</v>
      </c>
      <c r="AD268" s="2">
        <f t="shared" si="264"/>
        <v>0</v>
      </c>
      <c r="AE268" s="2">
        <f t="shared" si="265"/>
        <v>0</v>
      </c>
      <c r="AF268" s="2">
        <f t="shared" si="265"/>
        <v>0</v>
      </c>
      <c r="AG268" s="2">
        <f t="shared" si="226"/>
        <v>0</v>
      </c>
      <c r="AH268" s="2">
        <f t="shared" si="266"/>
        <v>0</v>
      </c>
      <c r="AI268" s="2">
        <f t="shared" si="266"/>
        <v>0</v>
      </c>
      <c r="AJ268" s="2">
        <f t="shared" si="227"/>
        <v>0</v>
      </c>
      <c r="AK268" s="2">
        <v>4.3899999999999997</v>
      </c>
      <c r="AL268" s="2">
        <v>4.3899999999999997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1</v>
      </c>
      <c r="AW268" s="2">
        <v>1</v>
      </c>
      <c r="AX268" s="2"/>
      <c r="AY268" s="2"/>
      <c r="AZ268" s="2">
        <v>1</v>
      </c>
      <c r="BA268" s="2">
        <v>1</v>
      </c>
      <c r="BB268" s="2">
        <v>1</v>
      </c>
      <c r="BC268" s="2">
        <v>1</v>
      </c>
      <c r="BD268" s="2" t="s">
        <v>3</v>
      </c>
      <c r="BE268" s="2" t="s">
        <v>3</v>
      </c>
      <c r="BF268" s="2" t="s">
        <v>3</v>
      </c>
      <c r="BG268" s="2" t="s">
        <v>3</v>
      </c>
      <c r="BH268" s="2">
        <v>3</v>
      </c>
      <c r="BI268" s="2">
        <v>2</v>
      </c>
      <c r="BJ268" s="2" t="s">
        <v>289</v>
      </c>
      <c r="BK268" s="2"/>
      <c r="BL268" s="2"/>
      <c r="BM268" s="2">
        <v>400005</v>
      </c>
      <c r="BN268" s="2">
        <v>0</v>
      </c>
      <c r="BO268" s="2" t="s">
        <v>3</v>
      </c>
      <c r="BP268" s="2">
        <v>0</v>
      </c>
      <c r="BQ268" s="2">
        <v>213</v>
      </c>
      <c r="BR268" s="2">
        <v>0</v>
      </c>
      <c r="BS268" s="2">
        <v>1</v>
      </c>
      <c r="BT268" s="2">
        <v>1</v>
      </c>
      <c r="BU268" s="2">
        <v>1</v>
      </c>
      <c r="BV268" s="2">
        <v>1</v>
      </c>
      <c r="BW268" s="2">
        <v>1</v>
      </c>
      <c r="BX268" s="2">
        <v>1</v>
      </c>
      <c r="BY268" s="2" t="s">
        <v>3</v>
      </c>
      <c r="BZ268" s="2">
        <v>0</v>
      </c>
      <c r="CA268" s="2">
        <v>0</v>
      </c>
      <c r="CB268" s="2" t="s">
        <v>3</v>
      </c>
      <c r="CC268" s="2"/>
      <c r="CD268" s="2"/>
      <c r="CE268" s="2">
        <v>1566</v>
      </c>
      <c r="CF268" s="2">
        <v>0</v>
      </c>
      <c r="CG268" s="2">
        <v>0</v>
      </c>
      <c r="CH268" s="2"/>
      <c r="CI268" s="2"/>
      <c r="CJ268" s="2"/>
      <c r="CK268" s="2"/>
      <c r="CL268" s="2"/>
      <c r="CM268" s="2">
        <v>0</v>
      </c>
      <c r="CN268" s="2" t="s">
        <v>3</v>
      </c>
      <c r="CO268" s="2">
        <v>0</v>
      </c>
      <c r="CP268" s="2">
        <f t="shared" si="228"/>
        <v>1343.34</v>
      </c>
      <c r="CQ268" s="2">
        <f t="shared" si="229"/>
        <v>4.3899999999999997</v>
      </c>
      <c r="CR268" s="2">
        <f t="shared" si="267"/>
        <v>0</v>
      </c>
      <c r="CS268" s="2">
        <f t="shared" si="268"/>
        <v>0</v>
      </c>
      <c r="CT268" s="2">
        <f t="shared" si="230"/>
        <v>0</v>
      </c>
      <c r="CU268" s="2">
        <f t="shared" si="231"/>
        <v>0</v>
      </c>
      <c r="CV268" s="2">
        <f t="shared" si="232"/>
        <v>0</v>
      </c>
      <c r="CW268" s="2">
        <f t="shared" si="233"/>
        <v>0</v>
      </c>
      <c r="CX268" s="2">
        <f t="shared" si="234"/>
        <v>0</v>
      </c>
      <c r="CY268" s="2">
        <f t="shared" si="269"/>
        <v>0</v>
      </c>
      <c r="CZ268" s="2">
        <f t="shared" si="270"/>
        <v>0</v>
      </c>
      <c r="DA268" s="2"/>
      <c r="DB268" s="2"/>
      <c r="DC268" s="2" t="s">
        <v>3</v>
      </c>
      <c r="DD268" s="2" t="s">
        <v>3</v>
      </c>
      <c r="DE268" s="2" t="s">
        <v>3</v>
      </c>
      <c r="DF268" s="2" t="s">
        <v>3</v>
      </c>
      <c r="DG268" s="2" t="s">
        <v>3</v>
      </c>
      <c r="DH268" s="2" t="s">
        <v>3</v>
      </c>
      <c r="DI268" s="2" t="s">
        <v>3</v>
      </c>
      <c r="DJ268" s="2" t="s">
        <v>3</v>
      </c>
      <c r="DK268" s="2" t="s">
        <v>3</v>
      </c>
      <c r="DL268" s="2" t="s">
        <v>3</v>
      </c>
      <c r="DM268" s="2" t="s">
        <v>3</v>
      </c>
      <c r="DN268" s="2">
        <v>0</v>
      </c>
      <c r="DO268" s="2">
        <v>0</v>
      </c>
      <c r="DP268" s="2">
        <v>1</v>
      </c>
      <c r="DQ268" s="2">
        <v>1</v>
      </c>
      <c r="DR268" s="2"/>
      <c r="DS268" s="2"/>
      <c r="DT268" s="2"/>
      <c r="DU268" s="2">
        <v>1003</v>
      </c>
      <c r="DV268" s="2" t="s">
        <v>263</v>
      </c>
      <c r="DW268" s="2" t="s">
        <v>263</v>
      </c>
      <c r="DX268" s="2">
        <v>1</v>
      </c>
      <c r="DY268" s="2"/>
      <c r="DZ268" s="2" t="s">
        <v>3</v>
      </c>
      <c r="EA268" s="2" t="s">
        <v>3</v>
      </c>
      <c r="EB268" s="2" t="s">
        <v>3</v>
      </c>
      <c r="EC268" s="2" t="s">
        <v>3</v>
      </c>
      <c r="ED268" s="2"/>
      <c r="EE268" s="2">
        <v>55393628</v>
      </c>
      <c r="EF268" s="2">
        <v>213</v>
      </c>
      <c r="EG268" s="2" t="s">
        <v>243</v>
      </c>
      <c r="EH268" s="2">
        <v>0</v>
      </c>
      <c r="EI268" s="2" t="s">
        <v>3</v>
      </c>
      <c r="EJ268" s="2">
        <v>1</v>
      </c>
      <c r="EK268" s="2">
        <v>400005</v>
      </c>
      <c r="EL268" s="2" t="s">
        <v>243</v>
      </c>
      <c r="EM268" s="2" t="s">
        <v>244</v>
      </c>
      <c r="EN268" s="2"/>
      <c r="EO268" s="2" t="s">
        <v>3</v>
      </c>
      <c r="EP268" s="2"/>
      <c r="EQ268" s="2">
        <v>16</v>
      </c>
      <c r="ER268" s="2">
        <v>0</v>
      </c>
      <c r="ES268" s="2">
        <v>4.3899999999999997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>
        <v>0</v>
      </c>
      <c r="FR268" s="2">
        <v>0</v>
      </c>
      <c r="FS268" s="2">
        <v>0</v>
      </c>
      <c r="FT268" s="2"/>
      <c r="FU268" s="2"/>
      <c r="FV268" s="2"/>
      <c r="FW268" s="2"/>
      <c r="FX268" s="2">
        <v>0</v>
      </c>
      <c r="FY268" s="2">
        <v>0</v>
      </c>
      <c r="FZ268" s="2"/>
      <c r="GA268" s="2" t="s">
        <v>291</v>
      </c>
      <c r="GB268" s="2"/>
      <c r="GC268" s="2"/>
      <c r="GD268" s="2">
        <v>1</v>
      </c>
      <c r="GE268" s="2"/>
      <c r="GF268" s="2">
        <v>-2051565159</v>
      </c>
      <c r="GG268" s="2">
        <v>2</v>
      </c>
      <c r="GH268" s="2">
        <v>4</v>
      </c>
      <c r="GI268" s="2">
        <v>-2</v>
      </c>
      <c r="GJ268" s="2">
        <v>0</v>
      </c>
      <c r="GK268" s="2">
        <v>0</v>
      </c>
      <c r="GL268" s="2">
        <f t="shared" si="235"/>
        <v>0</v>
      </c>
      <c r="GM268" s="2">
        <f t="shared" si="236"/>
        <v>1343.34</v>
      </c>
      <c r="GN268" s="2">
        <f t="shared" si="237"/>
        <v>0</v>
      </c>
      <c r="GO268" s="2">
        <f t="shared" si="238"/>
        <v>1343.34</v>
      </c>
      <c r="GP268" s="2">
        <f t="shared" si="239"/>
        <v>0</v>
      </c>
      <c r="GQ268" s="2"/>
      <c r="GR268" s="2">
        <v>1</v>
      </c>
      <c r="GS268" s="2">
        <v>2</v>
      </c>
      <c r="GT268" s="2">
        <v>0</v>
      </c>
      <c r="GU268" s="2" t="s">
        <v>3</v>
      </c>
      <c r="GV268" s="2">
        <f t="shared" si="240"/>
        <v>0</v>
      </c>
      <c r="GW268" s="2">
        <v>1</v>
      </c>
      <c r="GX268" s="2">
        <f t="shared" si="241"/>
        <v>0</v>
      </c>
      <c r="GY268" s="2"/>
      <c r="GZ268" s="2"/>
      <c r="HA268" s="2">
        <v>0</v>
      </c>
      <c r="HB268" s="2">
        <v>0</v>
      </c>
      <c r="HC268" s="2">
        <f t="shared" si="242"/>
        <v>0</v>
      </c>
      <c r="HD268" s="2"/>
      <c r="HE268" s="2" t="s">
        <v>246</v>
      </c>
      <c r="HF268" s="2" t="s">
        <v>30</v>
      </c>
      <c r="HG268" s="2"/>
      <c r="HH268" s="2"/>
      <c r="HI268" s="2"/>
      <c r="HJ268" s="2"/>
      <c r="HK268" s="2"/>
      <c r="HL268" s="2"/>
      <c r="HM268" s="2" t="s">
        <v>3</v>
      </c>
      <c r="HN268" s="2" t="s">
        <v>3</v>
      </c>
      <c r="HO268" s="2" t="s">
        <v>3</v>
      </c>
      <c r="HP268" s="2" t="s">
        <v>3</v>
      </c>
      <c r="HQ268" s="2" t="s">
        <v>3</v>
      </c>
      <c r="HR268" s="2"/>
      <c r="HS268" s="2">
        <v>0</v>
      </c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>
        <v>0</v>
      </c>
      <c r="IL268" s="2"/>
      <c r="IM268" s="2"/>
      <c r="IN268" s="2"/>
      <c r="IO268" s="2"/>
      <c r="IP268" s="2"/>
      <c r="IQ268" s="2"/>
      <c r="IR268" s="2"/>
      <c r="IS268" s="2"/>
      <c r="IT268" s="2"/>
      <c r="IU268" s="2"/>
    </row>
    <row r="269" spans="1:255" x14ac:dyDescent="0.25">
      <c r="A269" s="3">
        <v>17</v>
      </c>
      <c r="B269" s="3">
        <v>1</v>
      </c>
      <c r="E269" s="3" t="s">
        <v>288</v>
      </c>
      <c r="F269" s="3" t="s">
        <v>289</v>
      </c>
      <c r="G269" s="3" t="s">
        <v>290</v>
      </c>
      <c r="H269" s="3" t="s">
        <v>263</v>
      </c>
      <c r="I269" s="3">
        <f>ROUND(300*1.02,9)</f>
        <v>306</v>
      </c>
      <c r="J269" s="3">
        <v>0</v>
      </c>
      <c r="K269" s="3">
        <f>ROUND(300*1.02,9)</f>
        <v>306</v>
      </c>
      <c r="O269" s="3">
        <f t="shared" si="218"/>
        <v>13218.47</v>
      </c>
      <c r="P269" s="3">
        <f t="shared" si="219"/>
        <v>13218.47</v>
      </c>
      <c r="Q269" s="3">
        <f t="shared" si="259"/>
        <v>0</v>
      </c>
      <c r="R269" s="3">
        <f t="shared" si="260"/>
        <v>0</v>
      </c>
      <c r="S269" s="3">
        <f t="shared" si="220"/>
        <v>0</v>
      </c>
      <c r="T269" s="3">
        <f t="shared" si="221"/>
        <v>0</v>
      </c>
      <c r="U269" s="3">
        <f t="shared" si="222"/>
        <v>0</v>
      </c>
      <c r="V269" s="3">
        <f t="shared" si="223"/>
        <v>0</v>
      </c>
      <c r="W269" s="3">
        <f t="shared" si="224"/>
        <v>0</v>
      </c>
      <c r="X269" s="3">
        <f t="shared" si="261"/>
        <v>0</v>
      </c>
      <c r="Y269" s="3">
        <f t="shared" si="262"/>
        <v>0</v>
      </c>
      <c r="AA269" s="3">
        <v>55917799</v>
      </c>
      <c r="AB269" s="3">
        <f t="shared" si="225"/>
        <v>4.3899999999999997</v>
      </c>
      <c r="AC269" s="3">
        <f t="shared" si="263"/>
        <v>4.3899999999999997</v>
      </c>
      <c r="AD269" s="3">
        <f t="shared" si="264"/>
        <v>0</v>
      </c>
      <c r="AE269" s="3">
        <f t="shared" si="265"/>
        <v>0</v>
      </c>
      <c r="AF269" s="3">
        <f t="shared" si="265"/>
        <v>0</v>
      </c>
      <c r="AG269" s="3">
        <f t="shared" si="226"/>
        <v>0</v>
      </c>
      <c r="AH269" s="3">
        <f t="shared" si="266"/>
        <v>0</v>
      </c>
      <c r="AI269" s="3">
        <f t="shared" si="266"/>
        <v>0</v>
      </c>
      <c r="AJ269" s="3">
        <f t="shared" si="227"/>
        <v>0</v>
      </c>
      <c r="AK269" s="3">
        <v>4.3899999999999997</v>
      </c>
      <c r="AL269" s="3">
        <v>4.3899999999999997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1</v>
      </c>
      <c r="AW269" s="3">
        <v>1</v>
      </c>
      <c r="AZ269" s="3">
        <v>1</v>
      </c>
      <c r="BA269" s="3">
        <v>1</v>
      </c>
      <c r="BB269" s="3">
        <v>1</v>
      </c>
      <c r="BC269" s="3">
        <v>9.84</v>
      </c>
      <c r="BD269" s="3" t="s">
        <v>3</v>
      </c>
      <c r="BE269" s="3" t="s">
        <v>3</v>
      </c>
      <c r="BF269" s="3" t="s">
        <v>3</v>
      </c>
      <c r="BG269" s="3" t="s">
        <v>3</v>
      </c>
      <c r="BH269" s="3">
        <v>3</v>
      </c>
      <c r="BI269" s="3">
        <v>2</v>
      </c>
      <c r="BJ269" s="3" t="s">
        <v>289</v>
      </c>
      <c r="BM269" s="3">
        <v>400005</v>
      </c>
      <c r="BN269" s="3">
        <v>0</v>
      </c>
      <c r="BO269" s="3" t="s">
        <v>3</v>
      </c>
      <c r="BP269" s="3">
        <v>0</v>
      </c>
      <c r="BQ269" s="3">
        <v>213</v>
      </c>
      <c r="BR269" s="3">
        <v>0</v>
      </c>
      <c r="BS269" s="3">
        <v>1</v>
      </c>
      <c r="BT269" s="3">
        <v>1</v>
      </c>
      <c r="BU269" s="3">
        <v>1</v>
      </c>
      <c r="BV269" s="3">
        <v>1</v>
      </c>
      <c r="BW269" s="3">
        <v>1</v>
      </c>
      <c r="BX269" s="3">
        <v>1</v>
      </c>
      <c r="BY269" s="3" t="s">
        <v>3</v>
      </c>
      <c r="BZ269" s="3">
        <v>0</v>
      </c>
      <c r="CA269" s="3">
        <v>0</v>
      </c>
      <c r="CB269" s="3" t="s">
        <v>3</v>
      </c>
      <c r="CE269" s="3">
        <v>1566</v>
      </c>
      <c r="CF269" s="3">
        <v>0</v>
      </c>
      <c r="CG269" s="3">
        <v>0</v>
      </c>
      <c r="CM269" s="3">
        <v>0</v>
      </c>
      <c r="CN269" s="3" t="s">
        <v>3</v>
      </c>
      <c r="CO269" s="3">
        <v>0</v>
      </c>
      <c r="CP269" s="3">
        <f t="shared" si="228"/>
        <v>13218.47</v>
      </c>
      <c r="CQ269" s="3">
        <f t="shared" si="229"/>
        <v>43.2</v>
      </c>
      <c r="CR269" s="3">
        <f t="shared" si="267"/>
        <v>0</v>
      </c>
      <c r="CS269" s="3">
        <f t="shared" si="268"/>
        <v>0</v>
      </c>
      <c r="CT269" s="3">
        <f t="shared" si="230"/>
        <v>0</v>
      </c>
      <c r="CU269" s="3">
        <f t="shared" si="231"/>
        <v>0</v>
      </c>
      <c r="CV269" s="3">
        <f t="shared" si="232"/>
        <v>0</v>
      </c>
      <c r="CW269" s="3">
        <f t="shared" si="233"/>
        <v>0</v>
      </c>
      <c r="CX269" s="3">
        <f t="shared" si="234"/>
        <v>0</v>
      </c>
      <c r="CY269" s="3">
        <f t="shared" si="269"/>
        <v>0</v>
      </c>
      <c r="CZ269" s="3">
        <f t="shared" si="270"/>
        <v>0</v>
      </c>
      <c r="DC269" s="3" t="s">
        <v>3</v>
      </c>
      <c r="DD269" s="3" t="s">
        <v>3</v>
      </c>
      <c r="DE269" s="3" t="s">
        <v>3</v>
      </c>
      <c r="DF269" s="3" t="s">
        <v>3</v>
      </c>
      <c r="DG269" s="3" t="s">
        <v>3</v>
      </c>
      <c r="DH269" s="3" t="s">
        <v>3</v>
      </c>
      <c r="DI269" s="3" t="s">
        <v>3</v>
      </c>
      <c r="DJ269" s="3" t="s">
        <v>3</v>
      </c>
      <c r="DK269" s="3" t="s">
        <v>3</v>
      </c>
      <c r="DL269" s="3" t="s">
        <v>3</v>
      </c>
      <c r="DM269" s="3" t="s">
        <v>3</v>
      </c>
      <c r="DN269" s="3">
        <v>0</v>
      </c>
      <c r="DO269" s="3">
        <v>0</v>
      </c>
      <c r="DP269" s="3">
        <v>1</v>
      </c>
      <c r="DQ269" s="3">
        <v>1</v>
      </c>
      <c r="DU269" s="3">
        <v>1003</v>
      </c>
      <c r="DV269" s="3" t="s">
        <v>263</v>
      </c>
      <c r="DW269" s="3" t="s">
        <v>263</v>
      </c>
      <c r="DX269" s="3">
        <v>1</v>
      </c>
      <c r="DZ269" s="3" t="s">
        <v>3</v>
      </c>
      <c r="EA269" s="3" t="s">
        <v>3</v>
      </c>
      <c r="EB269" s="3" t="s">
        <v>3</v>
      </c>
      <c r="EC269" s="3" t="s">
        <v>3</v>
      </c>
      <c r="EE269" s="3">
        <v>55393628</v>
      </c>
      <c r="EF269" s="3">
        <v>213</v>
      </c>
      <c r="EG269" s="3" t="s">
        <v>243</v>
      </c>
      <c r="EH269" s="3">
        <v>0</v>
      </c>
      <c r="EI269" s="3" t="s">
        <v>3</v>
      </c>
      <c r="EJ269" s="3">
        <v>1</v>
      </c>
      <c r="EK269" s="3">
        <v>400005</v>
      </c>
      <c r="EL269" s="3" t="s">
        <v>243</v>
      </c>
      <c r="EM269" s="3" t="s">
        <v>244</v>
      </c>
      <c r="EO269" s="3" t="s">
        <v>3</v>
      </c>
      <c r="EQ269" s="3">
        <v>16</v>
      </c>
      <c r="ER269" s="3">
        <v>0</v>
      </c>
      <c r="ES269" s="3">
        <v>4.3899999999999997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5</v>
      </c>
      <c r="FC269" s="3">
        <v>1</v>
      </c>
      <c r="FD269" s="3">
        <v>18</v>
      </c>
      <c r="FF269" s="3">
        <v>51.6</v>
      </c>
      <c r="FQ269" s="3">
        <v>0</v>
      </c>
      <c r="FR269" s="3">
        <v>0</v>
      </c>
      <c r="FS269" s="3">
        <v>0</v>
      </c>
      <c r="FX269" s="3">
        <v>0</v>
      </c>
      <c r="FY269" s="3">
        <v>0</v>
      </c>
      <c r="GA269" s="3" t="s">
        <v>291</v>
      </c>
      <c r="GD269" s="3">
        <v>1</v>
      </c>
      <c r="GF269" s="3">
        <v>-2051565159</v>
      </c>
      <c r="GG269" s="3">
        <v>2</v>
      </c>
      <c r="GH269" s="3">
        <v>3</v>
      </c>
      <c r="GI269" s="3">
        <v>5</v>
      </c>
      <c r="GJ269" s="3">
        <v>0</v>
      </c>
      <c r="GK269" s="3">
        <v>0</v>
      </c>
      <c r="GL269" s="3">
        <f t="shared" si="235"/>
        <v>0</v>
      </c>
      <c r="GM269" s="3">
        <f t="shared" si="236"/>
        <v>13218.47</v>
      </c>
      <c r="GN269" s="3">
        <f t="shared" si="237"/>
        <v>0</v>
      </c>
      <c r="GO269" s="3">
        <f t="shared" si="238"/>
        <v>13218.47</v>
      </c>
      <c r="GP269" s="3">
        <f t="shared" si="239"/>
        <v>0</v>
      </c>
      <c r="GR269" s="3">
        <v>1</v>
      </c>
      <c r="GS269" s="3">
        <v>1</v>
      </c>
      <c r="GT269" s="3">
        <v>0</v>
      </c>
      <c r="GU269" s="3" t="s">
        <v>3</v>
      </c>
      <c r="GV269" s="3">
        <f t="shared" si="240"/>
        <v>0</v>
      </c>
      <c r="GW269" s="3">
        <v>1</v>
      </c>
      <c r="GX269" s="3">
        <f t="shared" si="241"/>
        <v>0</v>
      </c>
      <c r="HA269" s="3">
        <v>0</v>
      </c>
      <c r="HB269" s="3">
        <v>0</v>
      </c>
      <c r="HC269" s="3">
        <f t="shared" si="242"/>
        <v>0</v>
      </c>
      <c r="HE269" s="3" t="s">
        <v>246</v>
      </c>
      <c r="HF269" s="3" t="s">
        <v>30</v>
      </c>
      <c r="HM269" s="3" t="s">
        <v>3</v>
      </c>
      <c r="HN269" s="3" t="s">
        <v>3</v>
      </c>
      <c r="HO269" s="3" t="s">
        <v>3</v>
      </c>
      <c r="HP269" s="3" t="s">
        <v>3</v>
      </c>
      <c r="HQ269" s="3" t="s">
        <v>3</v>
      </c>
      <c r="HS269" s="3">
        <v>0</v>
      </c>
      <c r="IK269" s="3">
        <v>0</v>
      </c>
    </row>
    <row r="270" spans="1:255" x14ac:dyDescent="0.25">
      <c r="A270" s="2">
        <v>17</v>
      </c>
      <c r="B270" s="2">
        <v>1</v>
      </c>
      <c r="C270" s="2"/>
      <c r="D270" s="2"/>
      <c r="E270" s="2" t="s">
        <v>292</v>
      </c>
      <c r="F270" s="2" t="s">
        <v>293</v>
      </c>
      <c r="G270" s="2" t="s">
        <v>294</v>
      </c>
      <c r="H270" s="2" t="s">
        <v>263</v>
      </c>
      <c r="I270" s="2">
        <f>ROUND(20*1.02,9)</f>
        <v>20.399999999999999</v>
      </c>
      <c r="J270" s="2">
        <v>0</v>
      </c>
      <c r="K270" s="2">
        <f>ROUND(20*1.02,9)</f>
        <v>20.399999999999999</v>
      </c>
      <c r="L270" s="2"/>
      <c r="M270" s="2"/>
      <c r="N270" s="2"/>
      <c r="O270" s="2">
        <f t="shared" si="218"/>
        <v>285.8</v>
      </c>
      <c r="P270" s="2">
        <f t="shared" si="219"/>
        <v>285.8</v>
      </c>
      <c r="Q270" s="2">
        <f t="shared" si="259"/>
        <v>0</v>
      </c>
      <c r="R270" s="2">
        <f t="shared" si="260"/>
        <v>0</v>
      </c>
      <c r="S270" s="2">
        <f t="shared" si="220"/>
        <v>0</v>
      </c>
      <c r="T270" s="2">
        <f t="shared" si="221"/>
        <v>0</v>
      </c>
      <c r="U270" s="2">
        <f t="shared" si="222"/>
        <v>0</v>
      </c>
      <c r="V270" s="2">
        <f t="shared" si="223"/>
        <v>0</v>
      </c>
      <c r="W270" s="2">
        <f t="shared" si="224"/>
        <v>0</v>
      </c>
      <c r="X270" s="2">
        <f t="shared" si="261"/>
        <v>0</v>
      </c>
      <c r="Y270" s="2">
        <f t="shared" si="262"/>
        <v>0</v>
      </c>
      <c r="Z270" s="2"/>
      <c r="AA270" s="2">
        <v>55917797</v>
      </c>
      <c r="AB270" s="2">
        <f t="shared" si="225"/>
        <v>14.01</v>
      </c>
      <c r="AC270" s="2">
        <f t="shared" si="263"/>
        <v>14.01</v>
      </c>
      <c r="AD270" s="2">
        <f t="shared" si="264"/>
        <v>0</v>
      </c>
      <c r="AE270" s="2">
        <f t="shared" si="265"/>
        <v>0</v>
      </c>
      <c r="AF270" s="2">
        <f t="shared" si="265"/>
        <v>0</v>
      </c>
      <c r="AG270" s="2">
        <f t="shared" si="226"/>
        <v>0</v>
      </c>
      <c r="AH270" s="2">
        <f t="shared" si="266"/>
        <v>0</v>
      </c>
      <c r="AI270" s="2">
        <f t="shared" si="266"/>
        <v>0</v>
      </c>
      <c r="AJ270" s="2">
        <f t="shared" si="227"/>
        <v>0</v>
      </c>
      <c r="AK270" s="2">
        <v>14.01</v>
      </c>
      <c r="AL270" s="2">
        <v>14.01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1</v>
      </c>
      <c r="AW270" s="2">
        <v>1</v>
      </c>
      <c r="AX270" s="2"/>
      <c r="AY270" s="2"/>
      <c r="AZ270" s="2">
        <v>1</v>
      </c>
      <c r="BA270" s="2">
        <v>1</v>
      </c>
      <c r="BB270" s="2">
        <v>1</v>
      </c>
      <c r="BC270" s="2">
        <v>1</v>
      </c>
      <c r="BD270" s="2" t="s">
        <v>3</v>
      </c>
      <c r="BE270" s="2" t="s">
        <v>3</v>
      </c>
      <c r="BF270" s="2" t="s">
        <v>3</v>
      </c>
      <c r="BG270" s="2" t="s">
        <v>3</v>
      </c>
      <c r="BH270" s="2">
        <v>3</v>
      </c>
      <c r="BI270" s="2">
        <v>2</v>
      </c>
      <c r="BJ270" s="2" t="s">
        <v>293</v>
      </c>
      <c r="BK270" s="2"/>
      <c r="BL270" s="2"/>
      <c r="BM270" s="2">
        <v>400005</v>
      </c>
      <c r="BN270" s="2">
        <v>0</v>
      </c>
      <c r="BO270" s="2" t="s">
        <v>3</v>
      </c>
      <c r="BP270" s="2">
        <v>0</v>
      </c>
      <c r="BQ270" s="2">
        <v>213</v>
      </c>
      <c r="BR270" s="2">
        <v>0</v>
      </c>
      <c r="BS270" s="2">
        <v>1</v>
      </c>
      <c r="BT270" s="2">
        <v>1</v>
      </c>
      <c r="BU270" s="2">
        <v>1</v>
      </c>
      <c r="BV270" s="2">
        <v>1</v>
      </c>
      <c r="BW270" s="2">
        <v>1</v>
      </c>
      <c r="BX270" s="2">
        <v>1</v>
      </c>
      <c r="BY270" s="2" t="s">
        <v>3</v>
      </c>
      <c r="BZ270" s="2">
        <v>0</v>
      </c>
      <c r="CA270" s="2">
        <v>0</v>
      </c>
      <c r="CB270" s="2" t="s">
        <v>3</v>
      </c>
      <c r="CC270" s="2"/>
      <c r="CD270" s="2"/>
      <c r="CE270" s="2">
        <v>1566</v>
      </c>
      <c r="CF270" s="2">
        <v>0</v>
      </c>
      <c r="CG270" s="2">
        <v>0</v>
      </c>
      <c r="CH270" s="2"/>
      <c r="CI270" s="2"/>
      <c r="CJ270" s="2"/>
      <c r="CK270" s="2"/>
      <c r="CL270" s="2"/>
      <c r="CM270" s="2">
        <v>0</v>
      </c>
      <c r="CN270" s="2" t="s">
        <v>3</v>
      </c>
      <c r="CO270" s="2">
        <v>0</v>
      </c>
      <c r="CP270" s="2">
        <f t="shared" si="228"/>
        <v>285.8</v>
      </c>
      <c r="CQ270" s="2">
        <f t="shared" si="229"/>
        <v>14.01</v>
      </c>
      <c r="CR270" s="2">
        <f t="shared" si="267"/>
        <v>0</v>
      </c>
      <c r="CS270" s="2">
        <f t="shared" si="268"/>
        <v>0</v>
      </c>
      <c r="CT270" s="2">
        <f t="shared" si="230"/>
        <v>0</v>
      </c>
      <c r="CU270" s="2">
        <f t="shared" si="231"/>
        <v>0</v>
      </c>
      <c r="CV270" s="2">
        <f t="shared" si="232"/>
        <v>0</v>
      </c>
      <c r="CW270" s="2">
        <f t="shared" si="233"/>
        <v>0</v>
      </c>
      <c r="CX270" s="2">
        <f t="shared" si="234"/>
        <v>0</v>
      </c>
      <c r="CY270" s="2">
        <f t="shared" si="269"/>
        <v>0</v>
      </c>
      <c r="CZ270" s="2">
        <f t="shared" si="270"/>
        <v>0</v>
      </c>
      <c r="DA270" s="2"/>
      <c r="DB270" s="2"/>
      <c r="DC270" s="2" t="s">
        <v>3</v>
      </c>
      <c r="DD270" s="2" t="s">
        <v>3</v>
      </c>
      <c r="DE270" s="2" t="s">
        <v>3</v>
      </c>
      <c r="DF270" s="2" t="s">
        <v>3</v>
      </c>
      <c r="DG270" s="2" t="s">
        <v>3</v>
      </c>
      <c r="DH270" s="2" t="s">
        <v>3</v>
      </c>
      <c r="DI270" s="2" t="s">
        <v>3</v>
      </c>
      <c r="DJ270" s="2" t="s">
        <v>3</v>
      </c>
      <c r="DK270" s="2" t="s">
        <v>3</v>
      </c>
      <c r="DL270" s="2" t="s">
        <v>3</v>
      </c>
      <c r="DM270" s="2" t="s">
        <v>3</v>
      </c>
      <c r="DN270" s="2">
        <v>0</v>
      </c>
      <c r="DO270" s="2">
        <v>0</v>
      </c>
      <c r="DP270" s="2">
        <v>1</v>
      </c>
      <c r="DQ270" s="2">
        <v>1</v>
      </c>
      <c r="DR270" s="2"/>
      <c r="DS270" s="2"/>
      <c r="DT270" s="2"/>
      <c r="DU270" s="2">
        <v>1003</v>
      </c>
      <c r="DV270" s="2" t="s">
        <v>263</v>
      </c>
      <c r="DW270" s="2" t="s">
        <v>263</v>
      </c>
      <c r="DX270" s="2">
        <v>1</v>
      </c>
      <c r="DY270" s="2"/>
      <c r="DZ270" s="2" t="s">
        <v>3</v>
      </c>
      <c r="EA270" s="2" t="s">
        <v>3</v>
      </c>
      <c r="EB270" s="2" t="s">
        <v>3</v>
      </c>
      <c r="EC270" s="2" t="s">
        <v>3</v>
      </c>
      <c r="ED270" s="2"/>
      <c r="EE270" s="2">
        <v>55393628</v>
      </c>
      <c r="EF270" s="2">
        <v>213</v>
      </c>
      <c r="EG270" s="2" t="s">
        <v>243</v>
      </c>
      <c r="EH270" s="2">
        <v>0</v>
      </c>
      <c r="EI270" s="2" t="s">
        <v>3</v>
      </c>
      <c r="EJ270" s="2">
        <v>1</v>
      </c>
      <c r="EK270" s="2">
        <v>400005</v>
      </c>
      <c r="EL270" s="2" t="s">
        <v>243</v>
      </c>
      <c r="EM270" s="2" t="s">
        <v>244</v>
      </c>
      <c r="EN270" s="2"/>
      <c r="EO270" s="2" t="s">
        <v>3</v>
      </c>
      <c r="EP270" s="2"/>
      <c r="EQ270" s="2">
        <v>16</v>
      </c>
      <c r="ER270" s="2">
        <v>0</v>
      </c>
      <c r="ES270" s="2">
        <v>14.01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>
        <v>0</v>
      </c>
      <c r="FR270" s="2">
        <v>0</v>
      </c>
      <c r="FS270" s="2">
        <v>0</v>
      </c>
      <c r="FT270" s="2"/>
      <c r="FU270" s="2"/>
      <c r="FV270" s="2"/>
      <c r="FW270" s="2"/>
      <c r="FX270" s="2">
        <v>0</v>
      </c>
      <c r="FY270" s="2">
        <v>0</v>
      </c>
      <c r="FZ270" s="2"/>
      <c r="GA270" s="2" t="s">
        <v>295</v>
      </c>
      <c r="GB270" s="2"/>
      <c r="GC270" s="2"/>
      <c r="GD270" s="2">
        <v>1</v>
      </c>
      <c r="GE270" s="2"/>
      <c r="GF270" s="2">
        <v>-1965072889</v>
      </c>
      <c r="GG270" s="2">
        <v>2</v>
      </c>
      <c r="GH270" s="2">
        <v>4</v>
      </c>
      <c r="GI270" s="2">
        <v>-2</v>
      </c>
      <c r="GJ270" s="2">
        <v>0</v>
      </c>
      <c r="GK270" s="2">
        <v>0</v>
      </c>
      <c r="GL270" s="2">
        <f t="shared" si="235"/>
        <v>0</v>
      </c>
      <c r="GM270" s="2">
        <f t="shared" si="236"/>
        <v>285.8</v>
      </c>
      <c r="GN270" s="2">
        <f t="shared" si="237"/>
        <v>0</v>
      </c>
      <c r="GO270" s="2">
        <f t="shared" si="238"/>
        <v>285.8</v>
      </c>
      <c r="GP270" s="2">
        <f t="shared" si="239"/>
        <v>0</v>
      </c>
      <c r="GQ270" s="2"/>
      <c r="GR270" s="2">
        <v>1</v>
      </c>
      <c r="GS270" s="2">
        <v>2</v>
      </c>
      <c r="GT270" s="2">
        <v>0</v>
      </c>
      <c r="GU270" s="2" t="s">
        <v>3</v>
      </c>
      <c r="GV270" s="2">
        <f t="shared" si="240"/>
        <v>0</v>
      </c>
      <c r="GW270" s="2">
        <v>1</v>
      </c>
      <c r="GX270" s="2">
        <f t="shared" si="241"/>
        <v>0</v>
      </c>
      <c r="GY270" s="2"/>
      <c r="GZ270" s="2"/>
      <c r="HA270" s="2">
        <v>0</v>
      </c>
      <c r="HB270" s="2">
        <v>0</v>
      </c>
      <c r="HC270" s="2">
        <f t="shared" si="242"/>
        <v>0</v>
      </c>
      <c r="HD270" s="2"/>
      <c r="HE270" s="2" t="s">
        <v>246</v>
      </c>
      <c r="HF270" s="2" t="s">
        <v>30</v>
      </c>
      <c r="HG270" s="2"/>
      <c r="HH270" s="2"/>
      <c r="HI270" s="2"/>
      <c r="HJ270" s="2"/>
      <c r="HK270" s="2"/>
      <c r="HL270" s="2"/>
      <c r="HM270" s="2" t="s">
        <v>3</v>
      </c>
      <c r="HN270" s="2" t="s">
        <v>3</v>
      </c>
      <c r="HO270" s="2" t="s">
        <v>3</v>
      </c>
      <c r="HP270" s="2" t="s">
        <v>3</v>
      </c>
      <c r="HQ270" s="2" t="s">
        <v>3</v>
      </c>
      <c r="HR270" s="2"/>
      <c r="HS270" s="2">
        <v>0</v>
      </c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>
        <v>0</v>
      </c>
      <c r="IL270" s="2"/>
      <c r="IM270" s="2"/>
      <c r="IN270" s="2"/>
      <c r="IO270" s="2"/>
      <c r="IP270" s="2"/>
      <c r="IQ270" s="2"/>
      <c r="IR270" s="2"/>
      <c r="IS270" s="2"/>
      <c r="IT270" s="2"/>
      <c r="IU270" s="2"/>
    </row>
    <row r="271" spans="1:255" x14ac:dyDescent="0.25">
      <c r="A271" s="3">
        <v>17</v>
      </c>
      <c r="B271" s="3">
        <v>1</v>
      </c>
      <c r="E271" s="3" t="s">
        <v>292</v>
      </c>
      <c r="F271" s="3" t="s">
        <v>293</v>
      </c>
      <c r="G271" s="3" t="s">
        <v>294</v>
      </c>
      <c r="H271" s="3" t="s">
        <v>263</v>
      </c>
      <c r="I271" s="3">
        <f>ROUND(20*1.02,9)</f>
        <v>20.399999999999999</v>
      </c>
      <c r="J271" s="3">
        <v>0</v>
      </c>
      <c r="K271" s="3">
        <f>ROUND(20*1.02,9)</f>
        <v>20.399999999999999</v>
      </c>
      <c r="O271" s="3">
        <f t="shared" si="218"/>
        <v>2812.27</v>
      </c>
      <c r="P271" s="3">
        <f t="shared" si="219"/>
        <v>2812.27</v>
      </c>
      <c r="Q271" s="3">
        <f t="shared" si="259"/>
        <v>0</v>
      </c>
      <c r="R271" s="3">
        <f t="shared" si="260"/>
        <v>0</v>
      </c>
      <c r="S271" s="3">
        <f t="shared" si="220"/>
        <v>0</v>
      </c>
      <c r="T271" s="3">
        <f t="shared" si="221"/>
        <v>0</v>
      </c>
      <c r="U271" s="3">
        <f t="shared" si="222"/>
        <v>0</v>
      </c>
      <c r="V271" s="3">
        <f t="shared" si="223"/>
        <v>0</v>
      </c>
      <c r="W271" s="3">
        <f t="shared" si="224"/>
        <v>0</v>
      </c>
      <c r="X271" s="3">
        <f t="shared" si="261"/>
        <v>0</v>
      </c>
      <c r="Y271" s="3">
        <f t="shared" si="262"/>
        <v>0</v>
      </c>
      <c r="AA271" s="3">
        <v>55917799</v>
      </c>
      <c r="AB271" s="3">
        <f t="shared" si="225"/>
        <v>14.01</v>
      </c>
      <c r="AC271" s="3">
        <f t="shared" si="263"/>
        <v>14.01</v>
      </c>
      <c r="AD271" s="3">
        <f t="shared" si="264"/>
        <v>0</v>
      </c>
      <c r="AE271" s="3">
        <f t="shared" si="265"/>
        <v>0</v>
      </c>
      <c r="AF271" s="3">
        <f t="shared" si="265"/>
        <v>0</v>
      </c>
      <c r="AG271" s="3">
        <f t="shared" si="226"/>
        <v>0</v>
      </c>
      <c r="AH271" s="3">
        <f t="shared" si="266"/>
        <v>0</v>
      </c>
      <c r="AI271" s="3">
        <f t="shared" si="266"/>
        <v>0</v>
      </c>
      <c r="AJ271" s="3">
        <f t="shared" si="227"/>
        <v>0</v>
      </c>
      <c r="AK271" s="3">
        <v>14.01</v>
      </c>
      <c r="AL271" s="3">
        <v>14.01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1</v>
      </c>
      <c r="AW271" s="3">
        <v>1</v>
      </c>
      <c r="AZ271" s="3">
        <v>1</v>
      </c>
      <c r="BA271" s="3">
        <v>1</v>
      </c>
      <c r="BB271" s="3">
        <v>1</v>
      </c>
      <c r="BC271" s="3">
        <v>9.84</v>
      </c>
      <c r="BD271" s="3" t="s">
        <v>3</v>
      </c>
      <c r="BE271" s="3" t="s">
        <v>3</v>
      </c>
      <c r="BF271" s="3" t="s">
        <v>3</v>
      </c>
      <c r="BG271" s="3" t="s">
        <v>3</v>
      </c>
      <c r="BH271" s="3">
        <v>3</v>
      </c>
      <c r="BI271" s="3">
        <v>2</v>
      </c>
      <c r="BJ271" s="3" t="s">
        <v>293</v>
      </c>
      <c r="BM271" s="3">
        <v>400005</v>
      </c>
      <c r="BN271" s="3">
        <v>0</v>
      </c>
      <c r="BO271" s="3" t="s">
        <v>3</v>
      </c>
      <c r="BP271" s="3">
        <v>0</v>
      </c>
      <c r="BQ271" s="3">
        <v>213</v>
      </c>
      <c r="BR271" s="3">
        <v>0</v>
      </c>
      <c r="BS271" s="3">
        <v>1</v>
      </c>
      <c r="BT271" s="3">
        <v>1</v>
      </c>
      <c r="BU271" s="3">
        <v>1</v>
      </c>
      <c r="BV271" s="3">
        <v>1</v>
      </c>
      <c r="BW271" s="3">
        <v>1</v>
      </c>
      <c r="BX271" s="3">
        <v>1</v>
      </c>
      <c r="BY271" s="3" t="s">
        <v>3</v>
      </c>
      <c r="BZ271" s="3">
        <v>0</v>
      </c>
      <c r="CA271" s="3">
        <v>0</v>
      </c>
      <c r="CB271" s="3" t="s">
        <v>3</v>
      </c>
      <c r="CE271" s="3">
        <v>1566</v>
      </c>
      <c r="CF271" s="3">
        <v>0</v>
      </c>
      <c r="CG271" s="3">
        <v>0</v>
      </c>
      <c r="CM271" s="3">
        <v>0</v>
      </c>
      <c r="CN271" s="3" t="s">
        <v>3</v>
      </c>
      <c r="CO271" s="3">
        <v>0</v>
      </c>
      <c r="CP271" s="3">
        <f t="shared" si="228"/>
        <v>2812.27</v>
      </c>
      <c r="CQ271" s="3">
        <f t="shared" si="229"/>
        <v>137.86000000000001</v>
      </c>
      <c r="CR271" s="3">
        <f t="shared" si="267"/>
        <v>0</v>
      </c>
      <c r="CS271" s="3">
        <f t="shared" si="268"/>
        <v>0</v>
      </c>
      <c r="CT271" s="3">
        <f t="shared" si="230"/>
        <v>0</v>
      </c>
      <c r="CU271" s="3">
        <f t="shared" si="231"/>
        <v>0</v>
      </c>
      <c r="CV271" s="3">
        <f t="shared" si="232"/>
        <v>0</v>
      </c>
      <c r="CW271" s="3">
        <f t="shared" si="233"/>
        <v>0</v>
      </c>
      <c r="CX271" s="3">
        <f t="shared" si="234"/>
        <v>0</v>
      </c>
      <c r="CY271" s="3">
        <f t="shared" si="269"/>
        <v>0</v>
      </c>
      <c r="CZ271" s="3">
        <f t="shared" si="270"/>
        <v>0</v>
      </c>
      <c r="DC271" s="3" t="s">
        <v>3</v>
      </c>
      <c r="DD271" s="3" t="s">
        <v>3</v>
      </c>
      <c r="DE271" s="3" t="s">
        <v>3</v>
      </c>
      <c r="DF271" s="3" t="s">
        <v>3</v>
      </c>
      <c r="DG271" s="3" t="s">
        <v>3</v>
      </c>
      <c r="DH271" s="3" t="s">
        <v>3</v>
      </c>
      <c r="DI271" s="3" t="s">
        <v>3</v>
      </c>
      <c r="DJ271" s="3" t="s">
        <v>3</v>
      </c>
      <c r="DK271" s="3" t="s">
        <v>3</v>
      </c>
      <c r="DL271" s="3" t="s">
        <v>3</v>
      </c>
      <c r="DM271" s="3" t="s">
        <v>3</v>
      </c>
      <c r="DN271" s="3">
        <v>0</v>
      </c>
      <c r="DO271" s="3">
        <v>0</v>
      </c>
      <c r="DP271" s="3">
        <v>1</v>
      </c>
      <c r="DQ271" s="3">
        <v>1</v>
      </c>
      <c r="DU271" s="3">
        <v>1003</v>
      </c>
      <c r="DV271" s="3" t="s">
        <v>263</v>
      </c>
      <c r="DW271" s="3" t="s">
        <v>263</v>
      </c>
      <c r="DX271" s="3">
        <v>1</v>
      </c>
      <c r="DZ271" s="3" t="s">
        <v>3</v>
      </c>
      <c r="EA271" s="3" t="s">
        <v>3</v>
      </c>
      <c r="EB271" s="3" t="s">
        <v>3</v>
      </c>
      <c r="EC271" s="3" t="s">
        <v>3</v>
      </c>
      <c r="EE271" s="3">
        <v>55393628</v>
      </c>
      <c r="EF271" s="3">
        <v>213</v>
      </c>
      <c r="EG271" s="3" t="s">
        <v>243</v>
      </c>
      <c r="EH271" s="3">
        <v>0</v>
      </c>
      <c r="EI271" s="3" t="s">
        <v>3</v>
      </c>
      <c r="EJ271" s="3">
        <v>1</v>
      </c>
      <c r="EK271" s="3">
        <v>400005</v>
      </c>
      <c r="EL271" s="3" t="s">
        <v>243</v>
      </c>
      <c r="EM271" s="3" t="s">
        <v>244</v>
      </c>
      <c r="EO271" s="3" t="s">
        <v>3</v>
      </c>
      <c r="EQ271" s="3">
        <v>16</v>
      </c>
      <c r="ER271" s="3">
        <v>0</v>
      </c>
      <c r="ES271" s="3">
        <v>14.01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5</v>
      </c>
      <c r="FC271" s="3">
        <v>1</v>
      </c>
      <c r="FD271" s="3">
        <v>18</v>
      </c>
      <c r="FF271" s="3">
        <v>165</v>
      </c>
      <c r="FQ271" s="3">
        <v>0</v>
      </c>
      <c r="FR271" s="3">
        <v>0</v>
      </c>
      <c r="FS271" s="3">
        <v>0</v>
      </c>
      <c r="FX271" s="3">
        <v>0</v>
      </c>
      <c r="FY271" s="3">
        <v>0</v>
      </c>
      <c r="GA271" s="3" t="s">
        <v>295</v>
      </c>
      <c r="GD271" s="3">
        <v>1</v>
      </c>
      <c r="GF271" s="3">
        <v>-1965072889</v>
      </c>
      <c r="GG271" s="3">
        <v>2</v>
      </c>
      <c r="GH271" s="3">
        <v>3</v>
      </c>
      <c r="GI271" s="3">
        <v>5</v>
      </c>
      <c r="GJ271" s="3">
        <v>0</v>
      </c>
      <c r="GK271" s="3">
        <v>0</v>
      </c>
      <c r="GL271" s="3">
        <f t="shared" si="235"/>
        <v>0</v>
      </c>
      <c r="GM271" s="3">
        <f t="shared" si="236"/>
        <v>2812.27</v>
      </c>
      <c r="GN271" s="3">
        <f t="shared" si="237"/>
        <v>0</v>
      </c>
      <c r="GO271" s="3">
        <f t="shared" si="238"/>
        <v>2812.27</v>
      </c>
      <c r="GP271" s="3">
        <f t="shared" si="239"/>
        <v>0</v>
      </c>
      <c r="GR271" s="3">
        <v>1</v>
      </c>
      <c r="GS271" s="3">
        <v>1</v>
      </c>
      <c r="GT271" s="3">
        <v>0</v>
      </c>
      <c r="GU271" s="3" t="s">
        <v>3</v>
      </c>
      <c r="GV271" s="3">
        <f t="shared" si="240"/>
        <v>0</v>
      </c>
      <c r="GW271" s="3">
        <v>1</v>
      </c>
      <c r="GX271" s="3">
        <f t="shared" si="241"/>
        <v>0</v>
      </c>
      <c r="HA271" s="3">
        <v>0</v>
      </c>
      <c r="HB271" s="3">
        <v>0</v>
      </c>
      <c r="HC271" s="3">
        <f t="shared" si="242"/>
        <v>0</v>
      </c>
      <c r="HE271" s="3" t="s">
        <v>246</v>
      </c>
      <c r="HF271" s="3" t="s">
        <v>30</v>
      </c>
      <c r="HM271" s="3" t="s">
        <v>3</v>
      </c>
      <c r="HN271" s="3" t="s">
        <v>3</v>
      </c>
      <c r="HO271" s="3" t="s">
        <v>3</v>
      </c>
      <c r="HP271" s="3" t="s">
        <v>3</v>
      </c>
      <c r="HQ271" s="3" t="s">
        <v>3</v>
      </c>
      <c r="HS271" s="3">
        <v>0</v>
      </c>
      <c r="IK271" s="3">
        <v>0</v>
      </c>
    </row>
    <row r="272" spans="1:255" x14ac:dyDescent="0.25">
      <c r="A272" s="2">
        <v>17</v>
      </c>
      <c r="B272" s="2">
        <v>1</v>
      </c>
      <c r="C272" s="2"/>
      <c r="D272" s="2"/>
      <c r="E272" s="2" t="s">
        <v>296</v>
      </c>
      <c r="F272" s="2" t="s">
        <v>297</v>
      </c>
      <c r="G272" s="2" t="s">
        <v>298</v>
      </c>
      <c r="H272" s="2" t="s">
        <v>263</v>
      </c>
      <c r="I272" s="2">
        <f>ROUND(15*1.02,9)</f>
        <v>15.3</v>
      </c>
      <c r="J272" s="2">
        <v>0</v>
      </c>
      <c r="K272" s="2">
        <f>ROUND(15*1.02,9)</f>
        <v>15.3</v>
      </c>
      <c r="L272" s="2"/>
      <c r="M272" s="2"/>
      <c r="N272" s="2"/>
      <c r="O272" s="2">
        <f t="shared" si="218"/>
        <v>128.52000000000001</v>
      </c>
      <c r="P272" s="2">
        <f t="shared" si="219"/>
        <v>128.52000000000001</v>
      </c>
      <c r="Q272" s="2">
        <f t="shared" si="259"/>
        <v>0</v>
      </c>
      <c r="R272" s="2">
        <f t="shared" si="260"/>
        <v>0</v>
      </c>
      <c r="S272" s="2">
        <f t="shared" si="220"/>
        <v>0</v>
      </c>
      <c r="T272" s="2">
        <f t="shared" si="221"/>
        <v>0</v>
      </c>
      <c r="U272" s="2">
        <f t="shared" si="222"/>
        <v>0</v>
      </c>
      <c r="V272" s="2">
        <f t="shared" si="223"/>
        <v>0</v>
      </c>
      <c r="W272" s="2">
        <f t="shared" si="224"/>
        <v>0</v>
      </c>
      <c r="X272" s="2">
        <f t="shared" si="261"/>
        <v>0</v>
      </c>
      <c r="Y272" s="2">
        <f t="shared" si="262"/>
        <v>0</v>
      </c>
      <c r="Z272" s="2"/>
      <c r="AA272" s="2">
        <v>55917797</v>
      </c>
      <c r="AB272" s="2">
        <f t="shared" si="225"/>
        <v>8.4</v>
      </c>
      <c r="AC272" s="2">
        <f t="shared" si="263"/>
        <v>8.4</v>
      </c>
      <c r="AD272" s="2">
        <f t="shared" si="264"/>
        <v>0</v>
      </c>
      <c r="AE272" s="2">
        <f t="shared" si="265"/>
        <v>0</v>
      </c>
      <c r="AF272" s="2">
        <f t="shared" si="265"/>
        <v>0</v>
      </c>
      <c r="AG272" s="2">
        <f t="shared" si="226"/>
        <v>0</v>
      </c>
      <c r="AH272" s="2">
        <f t="shared" si="266"/>
        <v>0</v>
      </c>
      <c r="AI272" s="2">
        <f t="shared" si="266"/>
        <v>0</v>
      </c>
      <c r="AJ272" s="2">
        <f t="shared" si="227"/>
        <v>0</v>
      </c>
      <c r="AK272" s="2">
        <v>8.4</v>
      </c>
      <c r="AL272" s="2">
        <v>8.4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1</v>
      </c>
      <c r="AW272" s="2">
        <v>1</v>
      </c>
      <c r="AX272" s="2"/>
      <c r="AY272" s="2"/>
      <c r="AZ272" s="2">
        <v>1</v>
      </c>
      <c r="BA272" s="2">
        <v>1</v>
      </c>
      <c r="BB272" s="2">
        <v>1</v>
      </c>
      <c r="BC272" s="2">
        <v>1</v>
      </c>
      <c r="BD272" s="2" t="s">
        <v>3</v>
      </c>
      <c r="BE272" s="2" t="s">
        <v>3</v>
      </c>
      <c r="BF272" s="2" t="s">
        <v>3</v>
      </c>
      <c r="BG272" s="2" t="s">
        <v>3</v>
      </c>
      <c r="BH272" s="2">
        <v>3</v>
      </c>
      <c r="BI272" s="2">
        <v>2</v>
      </c>
      <c r="BJ272" s="2" t="s">
        <v>297</v>
      </c>
      <c r="BK272" s="2"/>
      <c r="BL272" s="2"/>
      <c r="BM272" s="2">
        <v>400005</v>
      </c>
      <c r="BN272" s="2">
        <v>0</v>
      </c>
      <c r="BO272" s="2" t="s">
        <v>3</v>
      </c>
      <c r="BP272" s="2">
        <v>0</v>
      </c>
      <c r="BQ272" s="2">
        <v>213</v>
      </c>
      <c r="BR272" s="2">
        <v>0</v>
      </c>
      <c r="BS272" s="2">
        <v>1</v>
      </c>
      <c r="BT272" s="2">
        <v>1</v>
      </c>
      <c r="BU272" s="2">
        <v>1</v>
      </c>
      <c r="BV272" s="2">
        <v>1</v>
      </c>
      <c r="BW272" s="2">
        <v>1</v>
      </c>
      <c r="BX272" s="2">
        <v>1</v>
      </c>
      <c r="BY272" s="2" t="s">
        <v>3</v>
      </c>
      <c r="BZ272" s="2">
        <v>0</v>
      </c>
      <c r="CA272" s="2">
        <v>0</v>
      </c>
      <c r="CB272" s="2" t="s">
        <v>3</v>
      </c>
      <c r="CC272" s="2"/>
      <c r="CD272" s="2"/>
      <c r="CE272" s="2">
        <v>1566</v>
      </c>
      <c r="CF272" s="2">
        <v>0</v>
      </c>
      <c r="CG272" s="2">
        <v>0</v>
      </c>
      <c r="CH272" s="2"/>
      <c r="CI272" s="2"/>
      <c r="CJ272" s="2"/>
      <c r="CK272" s="2"/>
      <c r="CL272" s="2"/>
      <c r="CM272" s="2">
        <v>0</v>
      </c>
      <c r="CN272" s="2" t="s">
        <v>3</v>
      </c>
      <c r="CO272" s="2">
        <v>0</v>
      </c>
      <c r="CP272" s="2">
        <f t="shared" si="228"/>
        <v>128.52000000000001</v>
      </c>
      <c r="CQ272" s="2">
        <f t="shared" si="229"/>
        <v>8.4</v>
      </c>
      <c r="CR272" s="2">
        <f t="shared" si="267"/>
        <v>0</v>
      </c>
      <c r="CS272" s="2">
        <f t="shared" si="268"/>
        <v>0</v>
      </c>
      <c r="CT272" s="2">
        <f t="shared" si="230"/>
        <v>0</v>
      </c>
      <c r="CU272" s="2">
        <f t="shared" si="231"/>
        <v>0</v>
      </c>
      <c r="CV272" s="2">
        <f t="shared" si="232"/>
        <v>0</v>
      </c>
      <c r="CW272" s="2">
        <f t="shared" si="233"/>
        <v>0</v>
      </c>
      <c r="CX272" s="2">
        <f t="shared" si="234"/>
        <v>0</v>
      </c>
      <c r="CY272" s="2">
        <f t="shared" si="269"/>
        <v>0</v>
      </c>
      <c r="CZ272" s="2">
        <f t="shared" si="270"/>
        <v>0</v>
      </c>
      <c r="DA272" s="2"/>
      <c r="DB272" s="2"/>
      <c r="DC272" s="2" t="s">
        <v>3</v>
      </c>
      <c r="DD272" s="2" t="s">
        <v>3</v>
      </c>
      <c r="DE272" s="2" t="s">
        <v>3</v>
      </c>
      <c r="DF272" s="2" t="s">
        <v>3</v>
      </c>
      <c r="DG272" s="2" t="s">
        <v>3</v>
      </c>
      <c r="DH272" s="2" t="s">
        <v>3</v>
      </c>
      <c r="DI272" s="2" t="s">
        <v>3</v>
      </c>
      <c r="DJ272" s="2" t="s">
        <v>3</v>
      </c>
      <c r="DK272" s="2" t="s">
        <v>3</v>
      </c>
      <c r="DL272" s="2" t="s">
        <v>3</v>
      </c>
      <c r="DM272" s="2" t="s">
        <v>3</v>
      </c>
      <c r="DN272" s="2">
        <v>0</v>
      </c>
      <c r="DO272" s="2">
        <v>0</v>
      </c>
      <c r="DP272" s="2">
        <v>1</v>
      </c>
      <c r="DQ272" s="2">
        <v>1</v>
      </c>
      <c r="DR272" s="2"/>
      <c r="DS272" s="2"/>
      <c r="DT272" s="2"/>
      <c r="DU272" s="2">
        <v>1003</v>
      </c>
      <c r="DV272" s="2" t="s">
        <v>263</v>
      </c>
      <c r="DW272" s="2" t="s">
        <v>263</v>
      </c>
      <c r="DX272" s="2">
        <v>1</v>
      </c>
      <c r="DY272" s="2"/>
      <c r="DZ272" s="2" t="s">
        <v>3</v>
      </c>
      <c r="EA272" s="2" t="s">
        <v>3</v>
      </c>
      <c r="EB272" s="2" t="s">
        <v>3</v>
      </c>
      <c r="EC272" s="2" t="s">
        <v>3</v>
      </c>
      <c r="ED272" s="2"/>
      <c r="EE272" s="2">
        <v>55393628</v>
      </c>
      <c r="EF272" s="2">
        <v>213</v>
      </c>
      <c r="EG272" s="2" t="s">
        <v>243</v>
      </c>
      <c r="EH272" s="2">
        <v>0</v>
      </c>
      <c r="EI272" s="2" t="s">
        <v>3</v>
      </c>
      <c r="EJ272" s="2">
        <v>1</v>
      </c>
      <c r="EK272" s="2">
        <v>400005</v>
      </c>
      <c r="EL272" s="2" t="s">
        <v>243</v>
      </c>
      <c r="EM272" s="2" t="s">
        <v>244</v>
      </c>
      <c r="EN272" s="2"/>
      <c r="EO272" s="2" t="s">
        <v>3</v>
      </c>
      <c r="EP272" s="2"/>
      <c r="EQ272" s="2">
        <v>16</v>
      </c>
      <c r="ER272" s="2">
        <v>0</v>
      </c>
      <c r="ES272" s="2">
        <v>8.4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>
        <v>0</v>
      </c>
      <c r="FR272" s="2">
        <v>0</v>
      </c>
      <c r="FS272" s="2">
        <v>0</v>
      </c>
      <c r="FT272" s="2"/>
      <c r="FU272" s="2"/>
      <c r="FV272" s="2"/>
      <c r="FW272" s="2"/>
      <c r="FX272" s="2">
        <v>0</v>
      </c>
      <c r="FY272" s="2">
        <v>0</v>
      </c>
      <c r="FZ272" s="2"/>
      <c r="GA272" s="2" t="s">
        <v>299</v>
      </c>
      <c r="GB272" s="2"/>
      <c r="GC272" s="2"/>
      <c r="GD272" s="2">
        <v>1</v>
      </c>
      <c r="GE272" s="2"/>
      <c r="GF272" s="2">
        <v>-433488564</v>
      </c>
      <c r="GG272" s="2">
        <v>2</v>
      </c>
      <c r="GH272" s="2">
        <v>4</v>
      </c>
      <c r="GI272" s="2">
        <v>-2</v>
      </c>
      <c r="GJ272" s="2">
        <v>0</v>
      </c>
      <c r="GK272" s="2">
        <v>0</v>
      </c>
      <c r="GL272" s="2">
        <f t="shared" si="235"/>
        <v>0</v>
      </c>
      <c r="GM272" s="2">
        <f t="shared" si="236"/>
        <v>128.52000000000001</v>
      </c>
      <c r="GN272" s="2">
        <f t="shared" si="237"/>
        <v>0</v>
      </c>
      <c r="GO272" s="2">
        <f t="shared" si="238"/>
        <v>128.52000000000001</v>
      </c>
      <c r="GP272" s="2">
        <f t="shared" si="239"/>
        <v>0</v>
      </c>
      <c r="GQ272" s="2"/>
      <c r="GR272" s="2">
        <v>1</v>
      </c>
      <c r="GS272" s="2">
        <v>2</v>
      </c>
      <c r="GT272" s="2">
        <v>0</v>
      </c>
      <c r="GU272" s="2" t="s">
        <v>3</v>
      </c>
      <c r="GV272" s="2">
        <f t="shared" si="240"/>
        <v>0</v>
      </c>
      <c r="GW272" s="2">
        <v>1</v>
      </c>
      <c r="GX272" s="2">
        <f t="shared" si="241"/>
        <v>0</v>
      </c>
      <c r="GY272" s="2"/>
      <c r="GZ272" s="2"/>
      <c r="HA272" s="2">
        <v>0</v>
      </c>
      <c r="HB272" s="2">
        <v>0</v>
      </c>
      <c r="HC272" s="2">
        <f t="shared" si="242"/>
        <v>0</v>
      </c>
      <c r="HD272" s="2"/>
      <c r="HE272" s="2" t="s">
        <v>246</v>
      </c>
      <c r="HF272" s="2" t="s">
        <v>30</v>
      </c>
      <c r="HG272" s="2"/>
      <c r="HH272" s="2"/>
      <c r="HI272" s="2"/>
      <c r="HJ272" s="2"/>
      <c r="HK272" s="2"/>
      <c r="HL272" s="2"/>
      <c r="HM272" s="2" t="s">
        <v>3</v>
      </c>
      <c r="HN272" s="2" t="s">
        <v>3</v>
      </c>
      <c r="HO272" s="2" t="s">
        <v>3</v>
      </c>
      <c r="HP272" s="2" t="s">
        <v>3</v>
      </c>
      <c r="HQ272" s="2" t="s">
        <v>3</v>
      </c>
      <c r="HR272" s="2"/>
      <c r="HS272" s="2">
        <v>0</v>
      </c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>
        <v>0</v>
      </c>
      <c r="IL272" s="2"/>
      <c r="IM272" s="2"/>
      <c r="IN272" s="2"/>
      <c r="IO272" s="2"/>
      <c r="IP272" s="2"/>
      <c r="IQ272" s="2"/>
      <c r="IR272" s="2"/>
      <c r="IS272" s="2"/>
      <c r="IT272" s="2"/>
      <c r="IU272" s="2"/>
    </row>
    <row r="273" spans="1:255" x14ac:dyDescent="0.25">
      <c r="A273" s="3">
        <v>17</v>
      </c>
      <c r="B273" s="3">
        <v>1</v>
      </c>
      <c r="E273" s="3" t="s">
        <v>296</v>
      </c>
      <c r="F273" s="3" t="s">
        <v>297</v>
      </c>
      <c r="G273" s="3" t="s">
        <v>298</v>
      </c>
      <c r="H273" s="3" t="s">
        <v>263</v>
      </c>
      <c r="I273" s="3">
        <f>ROUND(15*1.02,9)</f>
        <v>15.3</v>
      </c>
      <c r="J273" s="3">
        <v>0</v>
      </c>
      <c r="K273" s="3">
        <f>ROUND(15*1.02,9)</f>
        <v>15.3</v>
      </c>
      <c r="O273" s="3">
        <f t="shared" si="218"/>
        <v>1264.6400000000001</v>
      </c>
      <c r="P273" s="3">
        <f t="shared" si="219"/>
        <v>1264.6400000000001</v>
      </c>
      <c r="Q273" s="3">
        <f t="shared" si="259"/>
        <v>0</v>
      </c>
      <c r="R273" s="3">
        <f t="shared" si="260"/>
        <v>0</v>
      </c>
      <c r="S273" s="3">
        <f t="shared" si="220"/>
        <v>0</v>
      </c>
      <c r="T273" s="3">
        <f t="shared" si="221"/>
        <v>0</v>
      </c>
      <c r="U273" s="3">
        <f t="shared" si="222"/>
        <v>0</v>
      </c>
      <c r="V273" s="3">
        <f t="shared" si="223"/>
        <v>0</v>
      </c>
      <c r="W273" s="3">
        <f t="shared" si="224"/>
        <v>0</v>
      </c>
      <c r="X273" s="3">
        <f t="shared" si="261"/>
        <v>0</v>
      </c>
      <c r="Y273" s="3">
        <f t="shared" si="262"/>
        <v>0</v>
      </c>
      <c r="AA273" s="3">
        <v>55917799</v>
      </c>
      <c r="AB273" s="3">
        <f t="shared" si="225"/>
        <v>8.4</v>
      </c>
      <c r="AC273" s="3">
        <f t="shared" si="263"/>
        <v>8.4</v>
      </c>
      <c r="AD273" s="3">
        <f t="shared" si="264"/>
        <v>0</v>
      </c>
      <c r="AE273" s="3">
        <f t="shared" si="265"/>
        <v>0</v>
      </c>
      <c r="AF273" s="3">
        <f t="shared" si="265"/>
        <v>0</v>
      </c>
      <c r="AG273" s="3">
        <f t="shared" si="226"/>
        <v>0</v>
      </c>
      <c r="AH273" s="3">
        <f t="shared" si="266"/>
        <v>0</v>
      </c>
      <c r="AI273" s="3">
        <f t="shared" si="266"/>
        <v>0</v>
      </c>
      <c r="AJ273" s="3">
        <f t="shared" si="227"/>
        <v>0</v>
      </c>
      <c r="AK273" s="3">
        <v>8.4</v>
      </c>
      <c r="AL273" s="3">
        <v>8.4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1</v>
      </c>
      <c r="AW273" s="3">
        <v>1</v>
      </c>
      <c r="AZ273" s="3">
        <v>1</v>
      </c>
      <c r="BA273" s="3">
        <v>1</v>
      </c>
      <c r="BB273" s="3">
        <v>1</v>
      </c>
      <c r="BC273" s="3">
        <v>9.84</v>
      </c>
      <c r="BD273" s="3" t="s">
        <v>3</v>
      </c>
      <c r="BE273" s="3" t="s">
        <v>3</v>
      </c>
      <c r="BF273" s="3" t="s">
        <v>3</v>
      </c>
      <c r="BG273" s="3" t="s">
        <v>3</v>
      </c>
      <c r="BH273" s="3">
        <v>3</v>
      </c>
      <c r="BI273" s="3">
        <v>2</v>
      </c>
      <c r="BJ273" s="3" t="s">
        <v>297</v>
      </c>
      <c r="BM273" s="3">
        <v>400005</v>
      </c>
      <c r="BN273" s="3">
        <v>0</v>
      </c>
      <c r="BO273" s="3" t="s">
        <v>3</v>
      </c>
      <c r="BP273" s="3">
        <v>0</v>
      </c>
      <c r="BQ273" s="3">
        <v>213</v>
      </c>
      <c r="BR273" s="3">
        <v>0</v>
      </c>
      <c r="BS273" s="3">
        <v>1</v>
      </c>
      <c r="BT273" s="3">
        <v>1</v>
      </c>
      <c r="BU273" s="3">
        <v>1</v>
      </c>
      <c r="BV273" s="3">
        <v>1</v>
      </c>
      <c r="BW273" s="3">
        <v>1</v>
      </c>
      <c r="BX273" s="3">
        <v>1</v>
      </c>
      <c r="BY273" s="3" t="s">
        <v>3</v>
      </c>
      <c r="BZ273" s="3">
        <v>0</v>
      </c>
      <c r="CA273" s="3">
        <v>0</v>
      </c>
      <c r="CB273" s="3" t="s">
        <v>3</v>
      </c>
      <c r="CE273" s="3">
        <v>1566</v>
      </c>
      <c r="CF273" s="3">
        <v>0</v>
      </c>
      <c r="CG273" s="3">
        <v>0</v>
      </c>
      <c r="CM273" s="3">
        <v>0</v>
      </c>
      <c r="CN273" s="3" t="s">
        <v>3</v>
      </c>
      <c r="CO273" s="3">
        <v>0</v>
      </c>
      <c r="CP273" s="3">
        <f t="shared" si="228"/>
        <v>1264.6400000000001</v>
      </c>
      <c r="CQ273" s="3">
        <f t="shared" si="229"/>
        <v>82.66</v>
      </c>
      <c r="CR273" s="3">
        <f t="shared" si="267"/>
        <v>0</v>
      </c>
      <c r="CS273" s="3">
        <f t="shared" si="268"/>
        <v>0</v>
      </c>
      <c r="CT273" s="3">
        <f t="shared" si="230"/>
        <v>0</v>
      </c>
      <c r="CU273" s="3">
        <f t="shared" si="231"/>
        <v>0</v>
      </c>
      <c r="CV273" s="3">
        <f t="shared" si="232"/>
        <v>0</v>
      </c>
      <c r="CW273" s="3">
        <f t="shared" si="233"/>
        <v>0</v>
      </c>
      <c r="CX273" s="3">
        <f t="shared" si="234"/>
        <v>0</v>
      </c>
      <c r="CY273" s="3">
        <f t="shared" si="269"/>
        <v>0</v>
      </c>
      <c r="CZ273" s="3">
        <f t="shared" si="270"/>
        <v>0</v>
      </c>
      <c r="DC273" s="3" t="s">
        <v>3</v>
      </c>
      <c r="DD273" s="3" t="s">
        <v>3</v>
      </c>
      <c r="DE273" s="3" t="s">
        <v>3</v>
      </c>
      <c r="DF273" s="3" t="s">
        <v>3</v>
      </c>
      <c r="DG273" s="3" t="s">
        <v>3</v>
      </c>
      <c r="DH273" s="3" t="s">
        <v>3</v>
      </c>
      <c r="DI273" s="3" t="s">
        <v>3</v>
      </c>
      <c r="DJ273" s="3" t="s">
        <v>3</v>
      </c>
      <c r="DK273" s="3" t="s">
        <v>3</v>
      </c>
      <c r="DL273" s="3" t="s">
        <v>3</v>
      </c>
      <c r="DM273" s="3" t="s">
        <v>3</v>
      </c>
      <c r="DN273" s="3">
        <v>0</v>
      </c>
      <c r="DO273" s="3">
        <v>0</v>
      </c>
      <c r="DP273" s="3">
        <v>1</v>
      </c>
      <c r="DQ273" s="3">
        <v>1</v>
      </c>
      <c r="DU273" s="3">
        <v>1003</v>
      </c>
      <c r="DV273" s="3" t="s">
        <v>263</v>
      </c>
      <c r="DW273" s="3" t="s">
        <v>263</v>
      </c>
      <c r="DX273" s="3">
        <v>1</v>
      </c>
      <c r="DZ273" s="3" t="s">
        <v>3</v>
      </c>
      <c r="EA273" s="3" t="s">
        <v>3</v>
      </c>
      <c r="EB273" s="3" t="s">
        <v>3</v>
      </c>
      <c r="EC273" s="3" t="s">
        <v>3</v>
      </c>
      <c r="EE273" s="3">
        <v>55393628</v>
      </c>
      <c r="EF273" s="3">
        <v>213</v>
      </c>
      <c r="EG273" s="3" t="s">
        <v>243</v>
      </c>
      <c r="EH273" s="3">
        <v>0</v>
      </c>
      <c r="EI273" s="3" t="s">
        <v>3</v>
      </c>
      <c r="EJ273" s="3">
        <v>1</v>
      </c>
      <c r="EK273" s="3">
        <v>400005</v>
      </c>
      <c r="EL273" s="3" t="s">
        <v>243</v>
      </c>
      <c r="EM273" s="3" t="s">
        <v>244</v>
      </c>
      <c r="EO273" s="3" t="s">
        <v>3</v>
      </c>
      <c r="EQ273" s="3">
        <v>16</v>
      </c>
      <c r="ER273" s="3">
        <v>0</v>
      </c>
      <c r="ES273" s="3">
        <v>8.4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5</v>
      </c>
      <c r="FC273" s="3">
        <v>1</v>
      </c>
      <c r="FD273" s="3">
        <v>18</v>
      </c>
      <c r="FF273" s="3">
        <v>98.95</v>
      </c>
      <c r="FQ273" s="3">
        <v>0</v>
      </c>
      <c r="FR273" s="3">
        <v>0</v>
      </c>
      <c r="FS273" s="3">
        <v>0</v>
      </c>
      <c r="FX273" s="3">
        <v>0</v>
      </c>
      <c r="FY273" s="3">
        <v>0</v>
      </c>
      <c r="GA273" s="3" t="s">
        <v>299</v>
      </c>
      <c r="GD273" s="3">
        <v>1</v>
      </c>
      <c r="GF273" s="3">
        <v>-433488564</v>
      </c>
      <c r="GG273" s="3">
        <v>2</v>
      </c>
      <c r="GH273" s="3">
        <v>3</v>
      </c>
      <c r="GI273" s="3">
        <v>5</v>
      </c>
      <c r="GJ273" s="3">
        <v>0</v>
      </c>
      <c r="GK273" s="3">
        <v>0</v>
      </c>
      <c r="GL273" s="3">
        <f t="shared" si="235"/>
        <v>0</v>
      </c>
      <c r="GM273" s="3">
        <f t="shared" si="236"/>
        <v>1264.6400000000001</v>
      </c>
      <c r="GN273" s="3">
        <f t="shared" si="237"/>
        <v>0</v>
      </c>
      <c r="GO273" s="3">
        <f t="shared" si="238"/>
        <v>1264.6400000000001</v>
      </c>
      <c r="GP273" s="3">
        <f t="shared" si="239"/>
        <v>0</v>
      </c>
      <c r="GR273" s="3">
        <v>1</v>
      </c>
      <c r="GS273" s="3">
        <v>1</v>
      </c>
      <c r="GT273" s="3">
        <v>0</v>
      </c>
      <c r="GU273" s="3" t="s">
        <v>3</v>
      </c>
      <c r="GV273" s="3">
        <f t="shared" si="240"/>
        <v>0</v>
      </c>
      <c r="GW273" s="3">
        <v>1</v>
      </c>
      <c r="GX273" s="3">
        <f t="shared" si="241"/>
        <v>0</v>
      </c>
      <c r="HA273" s="3">
        <v>0</v>
      </c>
      <c r="HB273" s="3">
        <v>0</v>
      </c>
      <c r="HC273" s="3">
        <f t="shared" si="242"/>
        <v>0</v>
      </c>
      <c r="HE273" s="3" t="s">
        <v>246</v>
      </c>
      <c r="HF273" s="3" t="s">
        <v>30</v>
      </c>
      <c r="HM273" s="3" t="s">
        <v>3</v>
      </c>
      <c r="HN273" s="3" t="s">
        <v>3</v>
      </c>
      <c r="HO273" s="3" t="s">
        <v>3</v>
      </c>
      <c r="HP273" s="3" t="s">
        <v>3</v>
      </c>
      <c r="HQ273" s="3" t="s">
        <v>3</v>
      </c>
      <c r="HS273" s="3">
        <v>0</v>
      </c>
      <c r="IK273" s="3">
        <v>0</v>
      </c>
    </row>
    <row r="274" spans="1:255" x14ac:dyDescent="0.25">
      <c r="A274" s="2">
        <v>17</v>
      </c>
      <c r="B274" s="2">
        <v>1</v>
      </c>
      <c r="C274" s="2">
        <f>ROW(SmtRes!A353)</f>
        <v>353</v>
      </c>
      <c r="D274" s="2">
        <f>ROW(EtalonRes!A399)</f>
        <v>399</v>
      </c>
      <c r="E274" s="2" t="s">
        <v>300</v>
      </c>
      <c r="F274" s="2" t="s">
        <v>301</v>
      </c>
      <c r="G274" s="2" t="s">
        <v>302</v>
      </c>
      <c r="H274" s="2" t="s">
        <v>303</v>
      </c>
      <c r="I274" s="2">
        <f>ROUND(2*2,9)</f>
        <v>4</v>
      </c>
      <c r="J274" s="2">
        <v>0</v>
      </c>
      <c r="K274" s="2">
        <f>ROUND(2*2,9)</f>
        <v>4</v>
      </c>
      <c r="L274" s="2"/>
      <c r="M274" s="2"/>
      <c r="N274" s="2"/>
      <c r="O274" s="2">
        <f t="shared" si="218"/>
        <v>12.66</v>
      </c>
      <c r="P274" s="2">
        <f t="shared" si="219"/>
        <v>0</v>
      </c>
      <c r="Q274" s="2">
        <f>(ROUND((ROUND((((ET274*1.2))*AV274*I274),2)*BB274),2)+ROUND((ROUND(((AE274-((EU274*1.2)))*AV274*I274),2)*BS274),2))</f>
        <v>0</v>
      </c>
      <c r="R274" s="2">
        <f>(ROUND((ROUND((((EU274*1.2))*AV274*I274),2)*BS274),2)+ROUND((ROUND(((AE274-((EU274*1.2)))*AV274*I274),2)*BS274),2))</f>
        <v>0</v>
      </c>
      <c r="S274" s="2">
        <f t="shared" si="220"/>
        <v>12.66</v>
      </c>
      <c r="T274" s="2">
        <f t="shared" si="221"/>
        <v>0</v>
      </c>
      <c r="U274" s="2">
        <f t="shared" si="222"/>
        <v>1.1056319999999999</v>
      </c>
      <c r="V274" s="2">
        <f t="shared" si="223"/>
        <v>0</v>
      </c>
      <c r="W274" s="2">
        <f t="shared" si="224"/>
        <v>0</v>
      </c>
      <c r="X274" s="2">
        <f>(ROUND((((S274+ROUND((ROUND((((EU274*1.2))*AV274*I274),2)*BS274),2))*AT274)/100),2)+ROUND(((ROUND((ROUND(((AE274-((EU274*1.2)))*AV274*I274),2)*BS274),2)*AT274)/100),2))</f>
        <v>11.39</v>
      </c>
      <c r="Y274" s="2">
        <f>(ROUND((((S274+ROUND((ROUND((((EU274*1.2))*AV274*I274),2)*BS274),2))*AU274)/100),2)+ROUND(((ROUND((ROUND(((AE274-((EU274*1.2)))*AV274*I274),2)*BS274),2)*AU274)/100),2))</f>
        <v>5.82</v>
      </c>
      <c r="Z274" s="2"/>
      <c r="AA274" s="2">
        <v>55917797</v>
      </c>
      <c r="AB274" s="2">
        <f t="shared" si="225"/>
        <v>3.024</v>
      </c>
      <c r="AC274" s="2">
        <f>ROUND(((ES274*1)),6)</f>
        <v>0</v>
      </c>
      <c r="AD274" s="2">
        <f>ROUND(((((ET274*1.2))-((EU274*1.2)))+AE274),6)</f>
        <v>0</v>
      </c>
      <c r="AE274" s="2">
        <f>ROUND(((EU274*1.2)),6)</f>
        <v>0</v>
      </c>
      <c r="AF274" s="2">
        <f>ROUND(((EV274*1.2)),6)</f>
        <v>3.024</v>
      </c>
      <c r="AG274" s="2">
        <f t="shared" si="226"/>
        <v>0</v>
      </c>
      <c r="AH274" s="2">
        <f>((EW274*1.2))</f>
        <v>0.26400000000000001</v>
      </c>
      <c r="AI274" s="2">
        <f>((EX274*1.2))</f>
        <v>0</v>
      </c>
      <c r="AJ274" s="2">
        <f t="shared" si="227"/>
        <v>0</v>
      </c>
      <c r="AK274" s="2">
        <v>2.52</v>
      </c>
      <c r="AL274" s="2">
        <v>0</v>
      </c>
      <c r="AM274" s="2">
        <v>0</v>
      </c>
      <c r="AN274" s="2">
        <v>0</v>
      </c>
      <c r="AO274" s="2">
        <v>2.52</v>
      </c>
      <c r="AP274" s="2">
        <v>0</v>
      </c>
      <c r="AQ274" s="2">
        <v>0.22</v>
      </c>
      <c r="AR274" s="2">
        <v>0</v>
      </c>
      <c r="AS274" s="2">
        <v>0</v>
      </c>
      <c r="AT274" s="2">
        <v>90</v>
      </c>
      <c r="AU274" s="2">
        <v>46</v>
      </c>
      <c r="AV274" s="2">
        <v>1.0469999999999999</v>
      </c>
      <c r="AW274" s="2">
        <v>1</v>
      </c>
      <c r="AX274" s="2"/>
      <c r="AY274" s="2"/>
      <c r="AZ274" s="2">
        <v>1</v>
      </c>
      <c r="BA274" s="2">
        <v>1</v>
      </c>
      <c r="BB274" s="2">
        <v>1</v>
      </c>
      <c r="BC274" s="2">
        <v>1</v>
      </c>
      <c r="BD274" s="2" t="s">
        <v>3</v>
      </c>
      <c r="BE274" s="2" t="s">
        <v>3</v>
      </c>
      <c r="BF274" s="2" t="s">
        <v>3</v>
      </c>
      <c r="BG274" s="2" t="s">
        <v>3</v>
      </c>
      <c r="BH274" s="2">
        <v>0</v>
      </c>
      <c r="BI274" s="2">
        <v>2</v>
      </c>
      <c r="BJ274" s="2" t="s">
        <v>304</v>
      </c>
      <c r="BK274" s="2"/>
      <c r="BL274" s="2"/>
      <c r="BM274" s="2">
        <v>72</v>
      </c>
      <c r="BN274" s="2">
        <v>0</v>
      </c>
      <c r="BO274" s="2" t="s">
        <v>301</v>
      </c>
      <c r="BP274" s="2">
        <v>1</v>
      </c>
      <c r="BQ274" s="2">
        <v>40</v>
      </c>
      <c r="BR274" s="2">
        <v>0</v>
      </c>
      <c r="BS274" s="2">
        <v>1</v>
      </c>
      <c r="BT274" s="2">
        <v>1</v>
      </c>
      <c r="BU274" s="2">
        <v>1</v>
      </c>
      <c r="BV274" s="2">
        <v>1</v>
      </c>
      <c r="BW274" s="2">
        <v>1</v>
      </c>
      <c r="BX274" s="2">
        <v>1</v>
      </c>
      <c r="BY274" s="2" t="s">
        <v>3</v>
      </c>
      <c r="BZ274" s="2">
        <v>90</v>
      </c>
      <c r="CA274" s="2">
        <v>46</v>
      </c>
      <c r="CB274" s="2" t="s">
        <v>3</v>
      </c>
      <c r="CC274" s="2"/>
      <c r="CD274" s="2"/>
      <c r="CE274" s="2">
        <v>1566</v>
      </c>
      <c r="CF274" s="2">
        <v>0</v>
      </c>
      <c r="CG274" s="2">
        <v>0</v>
      </c>
      <c r="CH274" s="2"/>
      <c r="CI274" s="2"/>
      <c r="CJ274" s="2"/>
      <c r="CK274" s="2"/>
      <c r="CL274" s="2"/>
      <c r="CM274" s="2">
        <v>0</v>
      </c>
      <c r="CN274" s="2" t="s">
        <v>618</v>
      </c>
      <c r="CO274" s="2">
        <v>0</v>
      </c>
      <c r="CP274" s="2">
        <f t="shared" si="228"/>
        <v>12.66</v>
      </c>
      <c r="CQ274" s="2">
        <f t="shared" si="229"/>
        <v>0</v>
      </c>
      <c r="CR274" s="2">
        <f>(ROUND((ROUND((((ET274*1.2))*AV274*1),2)*BB274),2)+ROUND((ROUND(((AE274-((EU274*1.2)))*AV274*1),2)*BS274),2))</f>
        <v>0</v>
      </c>
      <c r="CS274" s="2">
        <f>(ROUND((ROUND((((EU274*1.2))*AV274*1),2)*BS274),2)+ROUND((ROUND(((AE274-((EU274*1.2)))*AV274*1),2)*BS274),2))</f>
        <v>0</v>
      </c>
      <c r="CT274" s="2">
        <f t="shared" si="230"/>
        <v>3.17</v>
      </c>
      <c r="CU274" s="2">
        <f t="shared" si="231"/>
        <v>0</v>
      </c>
      <c r="CV274" s="2">
        <f t="shared" si="232"/>
        <v>0.27640799999999999</v>
      </c>
      <c r="CW274" s="2">
        <f t="shared" si="233"/>
        <v>0</v>
      </c>
      <c r="CX274" s="2">
        <f t="shared" si="234"/>
        <v>0</v>
      </c>
      <c r="CY274" s="2">
        <f>(ROUND((((S274+ROUND((ROUND((((EU274*1.2))*AV274*1),2)*BS274),2))*AT274)/100),2)+ROUND(((ROUND((ROUND(((AE274-((EU274*1.2)))*AV274*1),2)*BS274),2)*AT274)/100),2))</f>
        <v>11.39</v>
      </c>
      <c r="CZ274" s="2">
        <f>(ROUND((((S274+ROUND((ROUND((((EU274*1.2))*AV274*1),2)*BS274),2))*AU274)/100),2)+ROUND(((ROUND((ROUND(((AE274-((EU274*1.2)))*AV274*1),2)*BS274),2)*AU274)/100),2))</f>
        <v>5.82</v>
      </c>
      <c r="DA274" s="2"/>
      <c r="DB274" s="2">
        <v>77</v>
      </c>
      <c r="DC274" s="2" t="s">
        <v>3</v>
      </c>
      <c r="DD274" s="2" t="s">
        <v>55</v>
      </c>
      <c r="DE274" s="2" t="s">
        <v>56</v>
      </c>
      <c r="DF274" s="2" t="s">
        <v>56</v>
      </c>
      <c r="DG274" s="2" t="s">
        <v>56</v>
      </c>
      <c r="DH274" s="2" t="s">
        <v>3</v>
      </c>
      <c r="DI274" s="2" t="s">
        <v>56</v>
      </c>
      <c r="DJ274" s="2" t="s">
        <v>56</v>
      </c>
      <c r="DK274" s="2" t="s">
        <v>3</v>
      </c>
      <c r="DL274" s="2" t="s">
        <v>3</v>
      </c>
      <c r="DM274" s="2" t="s">
        <v>3</v>
      </c>
      <c r="DN274" s="2">
        <v>0</v>
      </c>
      <c r="DO274" s="2">
        <v>0</v>
      </c>
      <c r="DP274" s="2">
        <v>1</v>
      </c>
      <c r="DQ274" s="2">
        <v>1</v>
      </c>
      <c r="DR274" s="2"/>
      <c r="DS274" s="2"/>
      <c r="DT274" s="2"/>
      <c r="DU274" s="2">
        <v>1013</v>
      </c>
      <c r="DV274" s="2" t="s">
        <v>303</v>
      </c>
      <c r="DW274" s="2" t="s">
        <v>303</v>
      </c>
      <c r="DX274" s="2">
        <v>1</v>
      </c>
      <c r="DY274" s="2"/>
      <c r="DZ274" s="2" t="s">
        <v>3</v>
      </c>
      <c r="EA274" s="2" t="s">
        <v>3</v>
      </c>
      <c r="EB274" s="2" t="s">
        <v>3</v>
      </c>
      <c r="EC274" s="2" t="s">
        <v>3</v>
      </c>
      <c r="ED274" s="2"/>
      <c r="EE274" s="2">
        <v>55393704</v>
      </c>
      <c r="EF274" s="2">
        <v>40</v>
      </c>
      <c r="EG274" s="2" t="s">
        <v>26</v>
      </c>
      <c r="EH274" s="2">
        <v>0</v>
      </c>
      <c r="EI274" s="2" t="s">
        <v>3</v>
      </c>
      <c r="EJ274" s="2">
        <v>2</v>
      </c>
      <c r="EK274" s="2">
        <v>72</v>
      </c>
      <c r="EL274" s="2" t="s">
        <v>65</v>
      </c>
      <c r="EM274" s="2" t="s">
        <v>66</v>
      </c>
      <c r="EN274" s="2"/>
      <c r="EO274" s="2" t="s">
        <v>60</v>
      </c>
      <c r="EP274" s="2"/>
      <c r="EQ274" s="2">
        <v>0</v>
      </c>
      <c r="ER274" s="2">
        <v>2.52</v>
      </c>
      <c r="ES274" s="2">
        <v>0</v>
      </c>
      <c r="ET274" s="2">
        <v>0</v>
      </c>
      <c r="EU274" s="2">
        <v>0</v>
      </c>
      <c r="EV274" s="2">
        <v>2.52</v>
      </c>
      <c r="EW274" s="2">
        <v>0.22</v>
      </c>
      <c r="EX274" s="2">
        <v>0</v>
      </c>
      <c r="EY274" s="2">
        <v>0</v>
      </c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>
        <v>0</v>
      </c>
      <c r="FR274" s="2">
        <v>0</v>
      </c>
      <c r="FS274" s="2">
        <v>0</v>
      </c>
      <c r="FT274" s="2"/>
      <c r="FU274" s="2"/>
      <c r="FV274" s="2"/>
      <c r="FW274" s="2"/>
      <c r="FX274" s="2">
        <v>90</v>
      </c>
      <c r="FY274" s="2">
        <v>46</v>
      </c>
      <c r="FZ274" s="2"/>
      <c r="GA274" s="2" t="s">
        <v>3</v>
      </c>
      <c r="GB274" s="2"/>
      <c r="GC274" s="2"/>
      <c r="GD274" s="2">
        <v>1</v>
      </c>
      <c r="GE274" s="2"/>
      <c r="GF274" s="2">
        <v>78914349</v>
      </c>
      <c r="GG274" s="2">
        <v>2</v>
      </c>
      <c r="GH274" s="2">
        <v>1</v>
      </c>
      <c r="GI274" s="2">
        <v>2</v>
      </c>
      <c r="GJ274" s="2">
        <v>0</v>
      </c>
      <c r="GK274" s="2">
        <v>0</v>
      </c>
      <c r="GL274" s="2">
        <f t="shared" si="235"/>
        <v>0</v>
      </c>
      <c r="GM274" s="2">
        <f t="shared" si="236"/>
        <v>29.87</v>
      </c>
      <c r="GN274" s="2">
        <f t="shared" si="237"/>
        <v>0</v>
      </c>
      <c r="GO274" s="2">
        <f t="shared" si="238"/>
        <v>29.87</v>
      </c>
      <c r="GP274" s="2">
        <f t="shared" si="239"/>
        <v>0</v>
      </c>
      <c r="GQ274" s="2"/>
      <c r="GR274" s="2">
        <v>0</v>
      </c>
      <c r="GS274" s="2">
        <v>3</v>
      </c>
      <c r="GT274" s="2">
        <v>0</v>
      </c>
      <c r="GU274" s="2" t="s">
        <v>3</v>
      </c>
      <c r="GV274" s="2">
        <f t="shared" si="240"/>
        <v>0</v>
      </c>
      <c r="GW274" s="2">
        <v>1</v>
      </c>
      <c r="GX274" s="2">
        <f t="shared" si="241"/>
        <v>0</v>
      </c>
      <c r="GY274" s="2"/>
      <c r="GZ274" s="2"/>
      <c r="HA274" s="2">
        <v>0</v>
      </c>
      <c r="HB274" s="2">
        <v>0</v>
      </c>
      <c r="HC274" s="2">
        <f t="shared" si="242"/>
        <v>0</v>
      </c>
      <c r="HD274" s="2"/>
      <c r="HE274" s="2" t="s">
        <v>3</v>
      </c>
      <c r="HF274" s="2" t="s">
        <v>3</v>
      </c>
      <c r="HG274" s="2"/>
      <c r="HH274" s="2"/>
      <c r="HI274" s="2"/>
      <c r="HJ274" s="2"/>
      <c r="HK274" s="2"/>
      <c r="HL274" s="2"/>
      <c r="HM274" s="2" t="s">
        <v>3</v>
      </c>
      <c r="HN274" s="2" t="s">
        <v>3</v>
      </c>
      <c r="HO274" s="2" t="s">
        <v>3</v>
      </c>
      <c r="HP274" s="2" t="s">
        <v>3</v>
      </c>
      <c r="HQ274" s="2" t="s">
        <v>3</v>
      </c>
      <c r="HR274" s="2"/>
      <c r="HS274" s="2">
        <v>0</v>
      </c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>
        <v>0</v>
      </c>
      <c r="IL274" s="2"/>
      <c r="IM274" s="2"/>
      <c r="IN274" s="2"/>
      <c r="IO274" s="2"/>
      <c r="IP274" s="2"/>
      <c r="IQ274" s="2"/>
      <c r="IR274" s="2"/>
      <c r="IS274" s="2"/>
      <c r="IT274" s="2"/>
      <c r="IU274" s="2"/>
    </row>
    <row r="275" spans="1:255" x14ac:dyDescent="0.25">
      <c r="A275" s="3">
        <v>17</v>
      </c>
      <c r="B275" s="3">
        <v>1</v>
      </c>
      <c r="C275" s="3">
        <f>ROW(SmtRes!A354)</f>
        <v>354</v>
      </c>
      <c r="D275" s="3">
        <f>ROW(EtalonRes!A400)</f>
        <v>400</v>
      </c>
      <c r="E275" s="3" t="s">
        <v>300</v>
      </c>
      <c r="F275" s="3" t="s">
        <v>301</v>
      </c>
      <c r="G275" s="3" t="s">
        <v>302</v>
      </c>
      <c r="H275" s="3" t="s">
        <v>303</v>
      </c>
      <c r="I275" s="3">
        <f>ROUND(2*2,9)</f>
        <v>4</v>
      </c>
      <c r="J275" s="3">
        <v>0</v>
      </c>
      <c r="K275" s="3">
        <f>ROUND(2*2,9)</f>
        <v>4</v>
      </c>
      <c r="O275" s="3">
        <f t="shared" si="218"/>
        <v>713.39</v>
      </c>
      <c r="P275" s="3">
        <f t="shared" si="219"/>
        <v>0</v>
      </c>
      <c r="Q275" s="3">
        <f>(ROUND((ROUND((((ET275*1.2))*AV275*I275),2)*BB275),2)+ROUND((ROUND(((AE275-((EU275*1.2)))*AV275*I275),2)*BS275),2))</f>
        <v>0</v>
      </c>
      <c r="R275" s="3">
        <f>(ROUND((ROUND((((EU275*1.2))*AV275*I275),2)*BS275),2)+ROUND((ROUND(((AE275-((EU275*1.2)))*AV275*I275),2)*BS275),2))</f>
        <v>0</v>
      </c>
      <c r="S275" s="3">
        <f t="shared" si="220"/>
        <v>713.39</v>
      </c>
      <c r="T275" s="3">
        <f t="shared" si="221"/>
        <v>0</v>
      </c>
      <c r="U275" s="3">
        <f t="shared" si="222"/>
        <v>1.1056319999999999</v>
      </c>
      <c r="V275" s="3">
        <f t="shared" si="223"/>
        <v>0</v>
      </c>
      <c r="W275" s="3">
        <f t="shared" si="224"/>
        <v>0</v>
      </c>
      <c r="X275" s="3">
        <f>(ROUND((((S275+ROUND((ROUND((((EU275*1.2))*AV275*I275),2)*BS275),2))*AT275)/100),2)+ROUND(((ROUND((ROUND(((AE275-((EU275*1.2)))*AV275*I275),2)*BS275),2)*AT275)/100),2))</f>
        <v>642.04999999999995</v>
      </c>
      <c r="Y275" s="3">
        <f>(ROUND((((S275+ROUND((ROUND((((EU275*1.2))*AV275*I275),2)*BS275),2))*AU275)/100),2)+ROUND(((ROUND((ROUND(((AE275-((EU275*1.2)))*AV275*I275),2)*BS275),2)*AU275)/100),2))</f>
        <v>328.16</v>
      </c>
      <c r="AA275" s="3">
        <v>55917799</v>
      </c>
      <c r="AB275" s="3">
        <f t="shared" si="225"/>
        <v>3.024</v>
      </c>
      <c r="AC275" s="3">
        <f>ROUND(((ES275*1)),6)</f>
        <v>0</v>
      </c>
      <c r="AD275" s="3">
        <f>ROUND(((((ET275*1.2))-((EU275*1.2)))+AE275),6)</f>
        <v>0</v>
      </c>
      <c r="AE275" s="3">
        <f>ROUND(((EU275*1.2)),6)</f>
        <v>0</v>
      </c>
      <c r="AF275" s="3">
        <f>ROUND(((EV275*1.2)),6)</f>
        <v>3.024</v>
      </c>
      <c r="AG275" s="3">
        <f t="shared" si="226"/>
        <v>0</v>
      </c>
      <c r="AH275" s="3">
        <f>((EW275*1.2))</f>
        <v>0.26400000000000001</v>
      </c>
      <c r="AI275" s="3">
        <f>((EX275*1.2))</f>
        <v>0</v>
      </c>
      <c r="AJ275" s="3">
        <f t="shared" si="227"/>
        <v>0</v>
      </c>
      <c r="AK275" s="3">
        <v>2.52</v>
      </c>
      <c r="AL275" s="3">
        <v>0</v>
      </c>
      <c r="AM275" s="3">
        <v>0</v>
      </c>
      <c r="AN275" s="3">
        <v>0</v>
      </c>
      <c r="AO275" s="3">
        <v>2.52</v>
      </c>
      <c r="AP275" s="3">
        <v>0</v>
      </c>
      <c r="AQ275" s="3">
        <v>0.22</v>
      </c>
      <c r="AR275" s="3">
        <v>0</v>
      </c>
      <c r="AS275" s="3">
        <v>0</v>
      </c>
      <c r="AT275" s="3">
        <v>90</v>
      </c>
      <c r="AU275" s="3">
        <v>46</v>
      </c>
      <c r="AV275" s="3">
        <v>1.0469999999999999</v>
      </c>
      <c r="AW275" s="3">
        <v>1</v>
      </c>
      <c r="AZ275" s="3">
        <v>1</v>
      </c>
      <c r="BA275" s="3">
        <v>56.35</v>
      </c>
      <c r="BB275" s="3">
        <v>1</v>
      </c>
      <c r="BC275" s="3">
        <v>1</v>
      </c>
      <c r="BD275" s="3" t="s">
        <v>3</v>
      </c>
      <c r="BE275" s="3" t="s">
        <v>3</v>
      </c>
      <c r="BF275" s="3" t="s">
        <v>3</v>
      </c>
      <c r="BG275" s="3" t="s">
        <v>3</v>
      </c>
      <c r="BH275" s="3">
        <v>0</v>
      </c>
      <c r="BI275" s="3">
        <v>2</v>
      </c>
      <c r="BJ275" s="3" t="s">
        <v>304</v>
      </c>
      <c r="BM275" s="3">
        <v>72</v>
      </c>
      <c r="BN275" s="3">
        <v>0</v>
      </c>
      <c r="BO275" s="3" t="s">
        <v>301</v>
      </c>
      <c r="BP275" s="3">
        <v>1</v>
      </c>
      <c r="BQ275" s="3">
        <v>40</v>
      </c>
      <c r="BR275" s="3">
        <v>0</v>
      </c>
      <c r="BS275" s="3">
        <v>56.35</v>
      </c>
      <c r="BT275" s="3">
        <v>1</v>
      </c>
      <c r="BU275" s="3">
        <v>1</v>
      </c>
      <c r="BV275" s="3">
        <v>1</v>
      </c>
      <c r="BW275" s="3">
        <v>1</v>
      </c>
      <c r="BX275" s="3">
        <v>1</v>
      </c>
      <c r="BY275" s="3" t="s">
        <v>3</v>
      </c>
      <c r="BZ275" s="3">
        <v>90</v>
      </c>
      <c r="CA275" s="3">
        <v>46</v>
      </c>
      <c r="CB275" s="3" t="s">
        <v>3</v>
      </c>
      <c r="CE275" s="3">
        <v>1566</v>
      </c>
      <c r="CF275" s="3">
        <v>0</v>
      </c>
      <c r="CG275" s="3">
        <v>0</v>
      </c>
      <c r="CM275" s="3">
        <v>0</v>
      </c>
      <c r="CN275" s="3" t="s">
        <v>618</v>
      </c>
      <c r="CO275" s="3">
        <v>0</v>
      </c>
      <c r="CP275" s="3">
        <f t="shared" si="228"/>
        <v>713.39</v>
      </c>
      <c r="CQ275" s="3">
        <f t="shared" si="229"/>
        <v>0</v>
      </c>
      <c r="CR275" s="3">
        <f>(ROUND((ROUND((((ET275*1.2))*AV275*1),2)*BB275),2)+ROUND((ROUND(((AE275-((EU275*1.2)))*AV275*1),2)*BS275),2))</f>
        <v>0</v>
      </c>
      <c r="CS275" s="3">
        <f>(ROUND((ROUND((((EU275*1.2))*AV275*1),2)*BS275),2)+ROUND((ROUND(((AE275-((EU275*1.2)))*AV275*1),2)*BS275),2))</f>
        <v>0</v>
      </c>
      <c r="CT275" s="3">
        <f t="shared" si="230"/>
        <v>178.63</v>
      </c>
      <c r="CU275" s="3">
        <f t="shared" si="231"/>
        <v>0</v>
      </c>
      <c r="CV275" s="3">
        <f t="shared" si="232"/>
        <v>0.27640799999999999</v>
      </c>
      <c r="CW275" s="3">
        <f t="shared" si="233"/>
        <v>0</v>
      </c>
      <c r="CX275" s="3">
        <f t="shared" si="234"/>
        <v>0</v>
      </c>
      <c r="CY275" s="3">
        <f>(ROUND((((S275+ROUND((ROUND((((EU275*1.2))*AV275*1),2)*BS275),2))*AT275)/100),2)+ROUND(((ROUND((ROUND(((AE275-((EU275*1.2)))*AV275*1),2)*BS275),2)*AT275)/100),2))</f>
        <v>642.04999999999995</v>
      </c>
      <c r="CZ275" s="3">
        <f>(ROUND((((S275+ROUND((ROUND((((EU275*1.2))*AV275*1),2)*BS275),2))*AU275)/100),2)+ROUND(((ROUND((ROUND(((AE275-((EU275*1.2)))*AV275*1),2)*BS275),2)*AU275)/100),2))</f>
        <v>328.16</v>
      </c>
      <c r="DB275" s="3">
        <v>78</v>
      </c>
      <c r="DC275" s="3" t="s">
        <v>3</v>
      </c>
      <c r="DD275" s="3" t="s">
        <v>55</v>
      </c>
      <c r="DE275" s="3" t="s">
        <v>56</v>
      </c>
      <c r="DF275" s="3" t="s">
        <v>56</v>
      </c>
      <c r="DG275" s="3" t="s">
        <v>56</v>
      </c>
      <c r="DH275" s="3" t="s">
        <v>3</v>
      </c>
      <c r="DI275" s="3" t="s">
        <v>56</v>
      </c>
      <c r="DJ275" s="3" t="s">
        <v>56</v>
      </c>
      <c r="DK275" s="3" t="s">
        <v>3</v>
      </c>
      <c r="DL275" s="3" t="s">
        <v>3</v>
      </c>
      <c r="DM275" s="3" t="s">
        <v>3</v>
      </c>
      <c r="DN275" s="3">
        <v>0</v>
      </c>
      <c r="DO275" s="3">
        <v>0</v>
      </c>
      <c r="DP275" s="3">
        <v>1</v>
      </c>
      <c r="DQ275" s="3">
        <v>1</v>
      </c>
      <c r="DU275" s="3">
        <v>1013</v>
      </c>
      <c r="DV275" s="3" t="s">
        <v>303</v>
      </c>
      <c r="DW275" s="3" t="s">
        <v>303</v>
      </c>
      <c r="DX275" s="3">
        <v>1</v>
      </c>
      <c r="DZ275" s="3" t="s">
        <v>3</v>
      </c>
      <c r="EA275" s="3" t="s">
        <v>3</v>
      </c>
      <c r="EB275" s="3" t="s">
        <v>3</v>
      </c>
      <c r="EC275" s="3" t="s">
        <v>3</v>
      </c>
      <c r="EE275" s="3">
        <v>55393704</v>
      </c>
      <c r="EF275" s="3">
        <v>40</v>
      </c>
      <c r="EG275" s="3" t="s">
        <v>26</v>
      </c>
      <c r="EH275" s="3">
        <v>0</v>
      </c>
      <c r="EI275" s="3" t="s">
        <v>3</v>
      </c>
      <c r="EJ275" s="3">
        <v>2</v>
      </c>
      <c r="EK275" s="3">
        <v>72</v>
      </c>
      <c r="EL275" s="3" t="s">
        <v>65</v>
      </c>
      <c r="EM275" s="3" t="s">
        <v>66</v>
      </c>
      <c r="EO275" s="3" t="s">
        <v>60</v>
      </c>
      <c r="EQ275" s="3">
        <v>0</v>
      </c>
      <c r="ER275" s="3">
        <v>2.52</v>
      </c>
      <c r="ES275" s="3">
        <v>0</v>
      </c>
      <c r="ET275" s="3">
        <v>0</v>
      </c>
      <c r="EU275" s="3">
        <v>0</v>
      </c>
      <c r="EV275" s="3">
        <v>2.52</v>
      </c>
      <c r="EW275" s="3">
        <v>0.22</v>
      </c>
      <c r="EX275" s="3">
        <v>0</v>
      </c>
      <c r="EY275" s="3">
        <v>0</v>
      </c>
      <c r="FQ275" s="3">
        <v>0</v>
      </c>
      <c r="FR275" s="3">
        <v>0</v>
      </c>
      <c r="FS275" s="3">
        <v>0</v>
      </c>
      <c r="FX275" s="3">
        <v>90</v>
      </c>
      <c r="FY275" s="3">
        <v>46</v>
      </c>
      <c r="GA275" s="3" t="s">
        <v>3</v>
      </c>
      <c r="GD275" s="3">
        <v>1</v>
      </c>
      <c r="GF275" s="3">
        <v>78914349</v>
      </c>
      <c r="GG275" s="3">
        <v>2</v>
      </c>
      <c r="GH275" s="3">
        <v>1</v>
      </c>
      <c r="GI275" s="3">
        <v>2</v>
      </c>
      <c r="GJ275" s="3">
        <v>0</v>
      </c>
      <c r="GK275" s="3">
        <v>0</v>
      </c>
      <c r="GL275" s="3">
        <f t="shared" si="235"/>
        <v>0</v>
      </c>
      <c r="GM275" s="3">
        <f t="shared" si="236"/>
        <v>1683.6</v>
      </c>
      <c r="GN275" s="3">
        <f t="shared" si="237"/>
        <v>0</v>
      </c>
      <c r="GO275" s="3">
        <f t="shared" si="238"/>
        <v>1683.6</v>
      </c>
      <c r="GP275" s="3">
        <f t="shared" si="239"/>
        <v>0</v>
      </c>
      <c r="GR275" s="3">
        <v>0</v>
      </c>
      <c r="GS275" s="3">
        <v>3</v>
      </c>
      <c r="GT275" s="3">
        <v>0</v>
      </c>
      <c r="GU275" s="3" t="s">
        <v>3</v>
      </c>
      <c r="GV275" s="3">
        <f t="shared" si="240"/>
        <v>0</v>
      </c>
      <c r="GW275" s="3">
        <v>1</v>
      </c>
      <c r="GX275" s="3">
        <f t="shared" si="241"/>
        <v>0</v>
      </c>
      <c r="HA275" s="3">
        <v>0</v>
      </c>
      <c r="HB275" s="3">
        <v>0</v>
      </c>
      <c r="HC275" s="3">
        <f t="shared" si="242"/>
        <v>0</v>
      </c>
      <c r="HE275" s="3" t="s">
        <v>3</v>
      </c>
      <c r="HF275" s="3" t="s">
        <v>3</v>
      </c>
      <c r="HM275" s="3" t="s">
        <v>3</v>
      </c>
      <c r="HN275" s="3" t="s">
        <v>3</v>
      </c>
      <c r="HO275" s="3" t="s">
        <v>3</v>
      </c>
      <c r="HP275" s="3" t="s">
        <v>3</v>
      </c>
      <c r="HQ275" s="3" t="s">
        <v>3</v>
      </c>
      <c r="HS275" s="3">
        <v>0</v>
      </c>
      <c r="IK275" s="3">
        <v>0</v>
      </c>
    </row>
    <row r="276" spans="1:255" x14ac:dyDescent="0.25">
      <c r="A276" s="2">
        <v>17</v>
      </c>
      <c r="B276" s="2">
        <v>1</v>
      </c>
      <c r="C276" s="2"/>
      <c r="D276" s="2"/>
      <c r="E276" s="2" t="s">
        <v>305</v>
      </c>
      <c r="F276" s="2" t="s">
        <v>306</v>
      </c>
      <c r="G276" s="2" t="s">
        <v>307</v>
      </c>
      <c r="H276" s="2" t="s">
        <v>148</v>
      </c>
      <c r="I276" s="2">
        <v>2</v>
      </c>
      <c r="J276" s="2">
        <v>0</v>
      </c>
      <c r="K276" s="2">
        <v>2</v>
      </c>
      <c r="L276" s="2"/>
      <c r="M276" s="2"/>
      <c r="N276" s="2"/>
      <c r="O276" s="2">
        <f t="shared" si="218"/>
        <v>45.6</v>
      </c>
      <c r="P276" s="2">
        <f t="shared" si="219"/>
        <v>45.6</v>
      </c>
      <c r="Q276" s="2">
        <f>(ROUND((ROUND(((ET276)*AV276*I276),2)*BB276),2)+ROUND((ROUND(((AE276-(EU276))*AV276*I276),2)*BS276),2))</f>
        <v>0</v>
      </c>
      <c r="R276" s="2">
        <f>(ROUND((ROUND(((EU276)*AV276*I276),2)*BS276),2)+ROUND((ROUND(((AE276-(EU276))*AV276*I276),2)*BS276),2))</f>
        <v>0</v>
      </c>
      <c r="S276" s="2">
        <f t="shared" si="220"/>
        <v>0</v>
      </c>
      <c r="T276" s="2">
        <f t="shared" si="221"/>
        <v>0</v>
      </c>
      <c r="U276" s="2">
        <f t="shared" si="222"/>
        <v>0</v>
      </c>
      <c r="V276" s="2">
        <f t="shared" si="223"/>
        <v>0</v>
      </c>
      <c r="W276" s="2">
        <f t="shared" si="224"/>
        <v>0</v>
      </c>
      <c r="X276" s="2">
        <f>(ROUND((((S276+ROUND((ROUND(((EU276)*AV276*I276),2)*BS276),2))*AT276)/100),2)+ROUND(((ROUND((ROUND(((AE276-(EU276))*AV276*I276),2)*BS276),2)*AT276)/100),2))</f>
        <v>0</v>
      </c>
      <c r="Y276" s="2">
        <f>(ROUND((((S276+ROUND((ROUND(((EU276)*AV276*I276),2)*BS276),2))*AU276)/100),2)+ROUND(((ROUND((ROUND(((AE276-(EU276))*AV276*I276),2)*BS276),2)*AU276)/100),2))</f>
        <v>0</v>
      </c>
      <c r="Z276" s="2"/>
      <c r="AA276" s="2">
        <v>55917797</v>
      </c>
      <c r="AB276" s="2">
        <f t="shared" si="225"/>
        <v>22.8</v>
      </c>
      <c r="AC276" s="2">
        <f>ROUND((ES276),6)</f>
        <v>22.8</v>
      </c>
      <c r="AD276" s="2">
        <f>ROUND((((ET276)-(EU276))+AE276),6)</f>
        <v>0</v>
      </c>
      <c r="AE276" s="2">
        <f>ROUND((EU276),6)</f>
        <v>0</v>
      </c>
      <c r="AF276" s="2">
        <f>ROUND((EV276),6)</f>
        <v>0</v>
      </c>
      <c r="AG276" s="2">
        <f t="shared" si="226"/>
        <v>0</v>
      </c>
      <c r="AH276" s="2">
        <f>(EW276)</f>
        <v>0</v>
      </c>
      <c r="AI276" s="2">
        <f>(EX276)</f>
        <v>0</v>
      </c>
      <c r="AJ276" s="2">
        <f t="shared" si="227"/>
        <v>0</v>
      </c>
      <c r="AK276" s="2">
        <v>22.8</v>
      </c>
      <c r="AL276" s="2">
        <v>22.8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1</v>
      </c>
      <c r="AW276" s="2">
        <v>1</v>
      </c>
      <c r="AX276" s="2"/>
      <c r="AY276" s="2"/>
      <c r="AZ276" s="2">
        <v>1</v>
      </c>
      <c r="BA276" s="2">
        <v>1</v>
      </c>
      <c r="BB276" s="2">
        <v>1</v>
      </c>
      <c r="BC276" s="2">
        <v>1</v>
      </c>
      <c r="BD276" s="2" t="s">
        <v>3</v>
      </c>
      <c r="BE276" s="2" t="s">
        <v>3</v>
      </c>
      <c r="BF276" s="2" t="s">
        <v>3</v>
      </c>
      <c r="BG276" s="2" t="s">
        <v>3</v>
      </c>
      <c r="BH276" s="2">
        <v>3</v>
      </c>
      <c r="BI276" s="2">
        <v>2</v>
      </c>
      <c r="BJ276" s="2" t="s">
        <v>306</v>
      </c>
      <c r="BK276" s="2"/>
      <c r="BL276" s="2"/>
      <c r="BM276" s="2">
        <v>400005</v>
      </c>
      <c r="BN276" s="2">
        <v>0</v>
      </c>
      <c r="BO276" s="2" t="s">
        <v>3</v>
      </c>
      <c r="BP276" s="2">
        <v>0</v>
      </c>
      <c r="BQ276" s="2">
        <v>213</v>
      </c>
      <c r="BR276" s="2">
        <v>0</v>
      </c>
      <c r="BS276" s="2">
        <v>1</v>
      </c>
      <c r="BT276" s="2">
        <v>1</v>
      </c>
      <c r="BU276" s="2">
        <v>1</v>
      </c>
      <c r="BV276" s="2">
        <v>1</v>
      </c>
      <c r="BW276" s="2">
        <v>1</v>
      </c>
      <c r="BX276" s="2">
        <v>1</v>
      </c>
      <c r="BY276" s="2" t="s">
        <v>3</v>
      </c>
      <c r="BZ276" s="2">
        <v>0</v>
      </c>
      <c r="CA276" s="2">
        <v>0</v>
      </c>
      <c r="CB276" s="2" t="s">
        <v>3</v>
      </c>
      <c r="CC276" s="2"/>
      <c r="CD276" s="2"/>
      <c r="CE276" s="2">
        <v>1566</v>
      </c>
      <c r="CF276" s="2">
        <v>0</v>
      </c>
      <c r="CG276" s="2">
        <v>0</v>
      </c>
      <c r="CH276" s="2"/>
      <c r="CI276" s="2"/>
      <c r="CJ276" s="2"/>
      <c r="CK276" s="2"/>
      <c r="CL276" s="2"/>
      <c r="CM276" s="2">
        <v>0</v>
      </c>
      <c r="CN276" s="2" t="s">
        <v>3</v>
      </c>
      <c r="CO276" s="2">
        <v>0</v>
      </c>
      <c r="CP276" s="2">
        <f t="shared" si="228"/>
        <v>45.6</v>
      </c>
      <c r="CQ276" s="2">
        <f t="shared" si="229"/>
        <v>22.8</v>
      </c>
      <c r="CR276" s="2">
        <f>(ROUND((ROUND(((ET276)*AV276*1),2)*BB276),2)+ROUND((ROUND(((AE276-(EU276))*AV276*1),2)*BS276),2))</f>
        <v>0</v>
      </c>
      <c r="CS276" s="2">
        <f>(ROUND((ROUND(((EU276)*AV276*1),2)*BS276),2)+ROUND((ROUND(((AE276-(EU276))*AV276*1),2)*BS276),2))</f>
        <v>0</v>
      </c>
      <c r="CT276" s="2">
        <f t="shared" si="230"/>
        <v>0</v>
      </c>
      <c r="CU276" s="2">
        <f t="shared" si="231"/>
        <v>0</v>
      </c>
      <c r="CV276" s="2">
        <f t="shared" si="232"/>
        <v>0</v>
      </c>
      <c r="CW276" s="2">
        <f t="shared" si="233"/>
        <v>0</v>
      </c>
      <c r="CX276" s="2">
        <f t="shared" si="234"/>
        <v>0</v>
      </c>
      <c r="CY276" s="2">
        <f>(ROUND((((S276+ROUND((ROUND(((EU276)*AV276*1),2)*BS276),2))*AT276)/100),2)+ROUND(((ROUND((ROUND(((AE276-(EU276))*AV276*1),2)*BS276),2)*AT276)/100),2))</f>
        <v>0</v>
      </c>
      <c r="CZ276" s="2">
        <f>(ROUND((((S276+ROUND((ROUND(((EU276)*AV276*1),2)*BS276),2))*AU276)/100),2)+ROUND(((ROUND((ROUND(((AE276-(EU276))*AV276*1),2)*BS276),2)*AU276)/100),2))</f>
        <v>0</v>
      </c>
      <c r="DA276" s="2"/>
      <c r="DB276" s="2"/>
      <c r="DC276" s="2" t="s">
        <v>3</v>
      </c>
      <c r="DD276" s="2" t="s">
        <v>3</v>
      </c>
      <c r="DE276" s="2" t="s">
        <v>3</v>
      </c>
      <c r="DF276" s="2" t="s">
        <v>3</v>
      </c>
      <c r="DG276" s="2" t="s">
        <v>3</v>
      </c>
      <c r="DH276" s="2" t="s">
        <v>3</v>
      </c>
      <c r="DI276" s="2" t="s">
        <v>3</v>
      </c>
      <c r="DJ276" s="2" t="s">
        <v>3</v>
      </c>
      <c r="DK276" s="2" t="s">
        <v>3</v>
      </c>
      <c r="DL276" s="2" t="s">
        <v>3</v>
      </c>
      <c r="DM276" s="2" t="s">
        <v>3</v>
      </c>
      <c r="DN276" s="2">
        <v>0</v>
      </c>
      <c r="DO276" s="2">
        <v>0</v>
      </c>
      <c r="DP276" s="2">
        <v>1</v>
      </c>
      <c r="DQ276" s="2">
        <v>1</v>
      </c>
      <c r="DR276" s="2"/>
      <c r="DS276" s="2"/>
      <c r="DT276" s="2"/>
      <c r="DU276" s="2">
        <v>1013</v>
      </c>
      <c r="DV276" s="2" t="s">
        <v>148</v>
      </c>
      <c r="DW276" s="2" t="s">
        <v>148</v>
      </c>
      <c r="DX276" s="2">
        <v>1</v>
      </c>
      <c r="DY276" s="2"/>
      <c r="DZ276" s="2" t="s">
        <v>3</v>
      </c>
      <c r="EA276" s="2" t="s">
        <v>3</v>
      </c>
      <c r="EB276" s="2" t="s">
        <v>3</v>
      </c>
      <c r="EC276" s="2" t="s">
        <v>3</v>
      </c>
      <c r="ED276" s="2"/>
      <c r="EE276" s="2">
        <v>55393628</v>
      </c>
      <c r="EF276" s="2">
        <v>213</v>
      </c>
      <c r="EG276" s="2" t="s">
        <v>243</v>
      </c>
      <c r="EH276" s="2">
        <v>0</v>
      </c>
      <c r="EI276" s="2" t="s">
        <v>3</v>
      </c>
      <c r="EJ276" s="2">
        <v>1</v>
      </c>
      <c r="EK276" s="2">
        <v>400005</v>
      </c>
      <c r="EL276" s="2" t="s">
        <v>243</v>
      </c>
      <c r="EM276" s="2" t="s">
        <v>244</v>
      </c>
      <c r="EN276" s="2"/>
      <c r="EO276" s="2" t="s">
        <v>3</v>
      </c>
      <c r="EP276" s="2"/>
      <c r="EQ276" s="2">
        <v>16</v>
      </c>
      <c r="ER276" s="2">
        <v>0</v>
      </c>
      <c r="ES276" s="2">
        <v>22.8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>
        <v>0</v>
      </c>
      <c r="FR276" s="2">
        <v>0</v>
      </c>
      <c r="FS276" s="2">
        <v>0</v>
      </c>
      <c r="FT276" s="2"/>
      <c r="FU276" s="2"/>
      <c r="FV276" s="2"/>
      <c r="FW276" s="2"/>
      <c r="FX276" s="2">
        <v>0</v>
      </c>
      <c r="FY276" s="2">
        <v>0</v>
      </c>
      <c r="FZ276" s="2"/>
      <c r="GA276" s="2" t="s">
        <v>308</v>
      </c>
      <c r="GB276" s="2"/>
      <c r="GC276" s="2"/>
      <c r="GD276" s="2">
        <v>1</v>
      </c>
      <c r="GE276" s="2"/>
      <c r="GF276" s="2">
        <v>88437706</v>
      </c>
      <c r="GG276" s="2">
        <v>2</v>
      </c>
      <c r="GH276" s="2">
        <v>4</v>
      </c>
      <c r="GI276" s="2">
        <v>-2</v>
      </c>
      <c r="GJ276" s="2">
        <v>0</v>
      </c>
      <c r="GK276" s="2">
        <v>0</v>
      </c>
      <c r="GL276" s="2">
        <f t="shared" si="235"/>
        <v>0</v>
      </c>
      <c r="GM276" s="2">
        <f t="shared" si="236"/>
        <v>45.6</v>
      </c>
      <c r="GN276" s="2">
        <f t="shared" si="237"/>
        <v>0</v>
      </c>
      <c r="GO276" s="2">
        <f t="shared" si="238"/>
        <v>45.6</v>
      </c>
      <c r="GP276" s="2">
        <f t="shared" si="239"/>
        <v>0</v>
      </c>
      <c r="GQ276" s="2"/>
      <c r="GR276" s="2">
        <v>1</v>
      </c>
      <c r="GS276" s="2">
        <v>2</v>
      </c>
      <c r="GT276" s="2">
        <v>0</v>
      </c>
      <c r="GU276" s="2" t="s">
        <v>3</v>
      </c>
      <c r="GV276" s="2">
        <f t="shared" si="240"/>
        <v>0</v>
      </c>
      <c r="GW276" s="2">
        <v>1</v>
      </c>
      <c r="GX276" s="2">
        <f t="shared" si="241"/>
        <v>0</v>
      </c>
      <c r="GY276" s="2"/>
      <c r="GZ276" s="2"/>
      <c r="HA276" s="2">
        <v>0</v>
      </c>
      <c r="HB276" s="2">
        <v>0</v>
      </c>
      <c r="HC276" s="2">
        <f t="shared" si="242"/>
        <v>0</v>
      </c>
      <c r="HD276" s="2"/>
      <c r="HE276" s="2" t="s">
        <v>246</v>
      </c>
      <c r="HF276" s="2" t="s">
        <v>30</v>
      </c>
      <c r="HG276" s="2"/>
      <c r="HH276" s="2"/>
      <c r="HI276" s="2"/>
      <c r="HJ276" s="2"/>
      <c r="HK276" s="2"/>
      <c r="HL276" s="2"/>
      <c r="HM276" s="2" t="s">
        <v>3</v>
      </c>
      <c r="HN276" s="2" t="s">
        <v>3</v>
      </c>
      <c r="HO276" s="2" t="s">
        <v>3</v>
      </c>
      <c r="HP276" s="2" t="s">
        <v>3</v>
      </c>
      <c r="HQ276" s="2" t="s">
        <v>3</v>
      </c>
      <c r="HR276" s="2"/>
      <c r="HS276" s="2">
        <v>0</v>
      </c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>
        <v>0</v>
      </c>
      <c r="IL276" s="2"/>
      <c r="IM276" s="2"/>
      <c r="IN276" s="2"/>
      <c r="IO276" s="2"/>
      <c r="IP276" s="2"/>
      <c r="IQ276" s="2"/>
      <c r="IR276" s="2"/>
      <c r="IS276" s="2"/>
      <c r="IT276" s="2"/>
      <c r="IU276" s="2"/>
    </row>
    <row r="277" spans="1:255" x14ac:dyDescent="0.25">
      <c r="A277" s="3">
        <v>17</v>
      </c>
      <c r="B277" s="3">
        <v>1</v>
      </c>
      <c r="E277" s="3" t="s">
        <v>305</v>
      </c>
      <c r="F277" s="3" t="s">
        <v>306</v>
      </c>
      <c r="G277" s="3" t="s">
        <v>307</v>
      </c>
      <c r="H277" s="3" t="s">
        <v>148</v>
      </c>
      <c r="I277" s="3">
        <v>2</v>
      </c>
      <c r="J277" s="3">
        <v>0</v>
      </c>
      <c r="K277" s="3">
        <v>2</v>
      </c>
      <c r="O277" s="3">
        <f t="shared" si="218"/>
        <v>448.7</v>
      </c>
      <c r="P277" s="3">
        <f t="shared" si="219"/>
        <v>448.7</v>
      </c>
      <c r="Q277" s="3">
        <f>(ROUND((ROUND(((ET277)*AV277*I277),2)*BB277),2)+ROUND((ROUND(((AE277-(EU277))*AV277*I277),2)*BS277),2))</f>
        <v>0</v>
      </c>
      <c r="R277" s="3">
        <f>(ROUND((ROUND(((EU277)*AV277*I277),2)*BS277),2)+ROUND((ROUND(((AE277-(EU277))*AV277*I277),2)*BS277),2))</f>
        <v>0</v>
      </c>
      <c r="S277" s="3">
        <f t="shared" si="220"/>
        <v>0</v>
      </c>
      <c r="T277" s="3">
        <f t="shared" si="221"/>
        <v>0</v>
      </c>
      <c r="U277" s="3">
        <f t="shared" si="222"/>
        <v>0</v>
      </c>
      <c r="V277" s="3">
        <f t="shared" si="223"/>
        <v>0</v>
      </c>
      <c r="W277" s="3">
        <f t="shared" si="224"/>
        <v>0</v>
      </c>
      <c r="X277" s="3">
        <f>(ROUND((((S277+ROUND((ROUND(((EU277)*AV277*I277),2)*BS277),2))*AT277)/100),2)+ROUND(((ROUND((ROUND(((AE277-(EU277))*AV277*I277),2)*BS277),2)*AT277)/100),2))</f>
        <v>0</v>
      </c>
      <c r="Y277" s="3">
        <f>(ROUND((((S277+ROUND((ROUND(((EU277)*AV277*I277),2)*BS277),2))*AU277)/100),2)+ROUND(((ROUND((ROUND(((AE277-(EU277))*AV277*I277),2)*BS277),2)*AU277)/100),2))</f>
        <v>0</v>
      </c>
      <c r="AA277" s="3">
        <v>55917799</v>
      </c>
      <c r="AB277" s="3">
        <f t="shared" si="225"/>
        <v>22.8</v>
      </c>
      <c r="AC277" s="3">
        <f>ROUND((ES277),6)</f>
        <v>22.8</v>
      </c>
      <c r="AD277" s="3">
        <f>ROUND((((ET277)-(EU277))+AE277),6)</f>
        <v>0</v>
      </c>
      <c r="AE277" s="3">
        <f>ROUND((EU277),6)</f>
        <v>0</v>
      </c>
      <c r="AF277" s="3">
        <f>ROUND((EV277),6)</f>
        <v>0</v>
      </c>
      <c r="AG277" s="3">
        <f t="shared" si="226"/>
        <v>0</v>
      </c>
      <c r="AH277" s="3">
        <f>(EW277)</f>
        <v>0</v>
      </c>
      <c r="AI277" s="3">
        <f>(EX277)</f>
        <v>0</v>
      </c>
      <c r="AJ277" s="3">
        <f t="shared" si="227"/>
        <v>0</v>
      </c>
      <c r="AK277" s="3">
        <v>22.8</v>
      </c>
      <c r="AL277" s="3">
        <v>22.8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1</v>
      </c>
      <c r="AW277" s="3">
        <v>1</v>
      </c>
      <c r="AZ277" s="3">
        <v>1</v>
      </c>
      <c r="BA277" s="3">
        <v>1</v>
      </c>
      <c r="BB277" s="3">
        <v>1</v>
      </c>
      <c r="BC277" s="3">
        <v>9.84</v>
      </c>
      <c r="BD277" s="3" t="s">
        <v>3</v>
      </c>
      <c r="BE277" s="3" t="s">
        <v>3</v>
      </c>
      <c r="BF277" s="3" t="s">
        <v>3</v>
      </c>
      <c r="BG277" s="3" t="s">
        <v>3</v>
      </c>
      <c r="BH277" s="3">
        <v>3</v>
      </c>
      <c r="BI277" s="3">
        <v>2</v>
      </c>
      <c r="BJ277" s="3" t="s">
        <v>306</v>
      </c>
      <c r="BM277" s="3">
        <v>400005</v>
      </c>
      <c r="BN277" s="3">
        <v>0</v>
      </c>
      <c r="BO277" s="3" t="s">
        <v>3</v>
      </c>
      <c r="BP277" s="3">
        <v>0</v>
      </c>
      <c r="BQ277" s="3">
        <v>213</v>
      </c>
      <c r="BR277" s="3">
        <v>0</v>
      </c>
      <c r="BS277" s="3">
        <v>1</v>
      </c>
      <c r="BT277" s="3">
        <v>1</v>
      </c>
      <c r="BU277" s="3">
        <v>1</v>
      </c>
      <c r="BV277" s="3">
        <v>1</v>
      </c>
      <c r="BW277" s="3">
        <v>1</v>
      </c>
      <c r="BX277" s="3">
        <v>1</v>
      </c>
      <c r="BY277" s="3" t="s">
        <v>3</v>
      </c>
      <c r="BZ277" s="3">
        <v>0</v>
      </c>
      <c r="CA277" s="3">
        <v>0</v>
      </c>
      <c r="CB277" s="3" t="s">
        <v>3</v>
      </c>
      <c r="CE277" s="3">
        <v>1566</v>
      </c>
      <c r="CF277" s="3">
        <v>0</v>
      </c>
      <c r="CG277" s="3">
        <v>0</v>
      </c>
      <c r="CM277" s="3">
        <v>0</v>
      </c>
      <c r="CN277" s="3" t="s">
        <v>3</v>
      </c>
      <c r="CO277" s="3">
        <v>0</v>
      </c>
      <c r="CP277" s="3">
        <f t="shared" si="228"/>
        <v>448.7</v>
      </c>
      <c r="CQ277" s="3">
        <f t="shared" si="229"/>
        <v>224.35</v>
      </c>
      <c r="CR277" s="3">
        <f>(ROUND((ROUND(((ET277)*AV277*1),2)*BB277),2)+ROUND((ROUND(((AE277-(EU277))*AV277*1),2)*BS277),2))</f>
        <v>0</v>
      </c>
      <c r="CS277" s="3">
        <f>(ROUND((ROUND(((EU277)*AV277*1),2)*BS277),2)+ROUND((ROUND(((AE277-(EU277))*AV277*1),2)*BS277),2))</f>
        <v>0</v>
      </c>
      <c r="CT277" s="3">
        <f t="shared" si="230"/>
        <v>0</v>
      </c>
      <c r="CU277" s="3">
        <f t="shared" si="231"/>
        <v>0</v>
      </c>
      <c r="CV277" s="3">
        <f t="shared" si="232"/>
        <v>0</v>
      </c>
      <c r="CW277" s="3">
        <f t="shared" si="233"/>
        <v>0</v>
      </c>
      <c r="CX277" s="3">
        <f t="shared" si="234"/>
        <v>0</v>
      </c>
      <c r="CY277" s="3">
        <f>(ROUND((((S277+ROUND((ROUND(((EU277)*AV277*1),2)*BS277),2))*AT277)/100),2)+ROUND(((ROUND((ROUND(((AE277-(EU277))*AV277*1),2)*BS277),2)*AT277)/100),2))</f>
        <v>0</v>
      </c>
      <c r="CZ277" s="3">
        <f>(ROUND((((S277+ROUND((ROUND(((EU277)*AV277*1),2)*BS277),2))*AU277)/100),2)+ROUND(((ROUND((ROUND(((AE277-(EU277))*AV277*1),2)*BS277),2)*AU277)/100),2))</f>
        <v>0</v>
      </c>
      <c r="DC277" s="3" t="s">
        <v>3</v>
      </c>
      <c r="DD277" s="3" t="s">
        <v>3</v>
      </c>
      <c r="DE277" s="3" t="s">
        <v>3</v>
      </c>
      <c r="DF277" s="3" t="s">
        <v>3</v>
      </c>
      <c r="DG277" s="3" t="s">
        <v>3</v>
      </c>
      <c r="DH277" s="3" t="s">
        <v>3</v>
      </c>
      <c r="DI277" s="3" t="s">
        <v>3</v>
      </c>
      <c r="DJ277" s="3" t="s">
        <v>3</v>
      </c>
      <c r="DK277" s="3" t="s">
        <v>3</v>
      </c>
      <c r="DL277" s="3" t="s">
        <v>3</v>
      </c>
      <c r="DM277" s="3" t="s">
        <v>3</v>
      </c>
      <c r="DN277" s="3">
        <v>0</v>
      </c>
      <c r="DO277" s="3">
        <v>0</v>
      </c>
      <c r="DP277" s="3">
        <v>1</v>
      </c>
      <c r="DQ277" s="3">
        <v>1</v>
      </c>
      <c r="DU277" s="3">
        <v>1013</v>
      </c>
      <c r="DV277" s="3" t="s">
        <v>148</v>
      </c>
      <c r="DW277" s="3" t="s">
        <v>148</v>
      </c>
      <c r="DX277" s="3">
        <v>1</v>
      </c>
      <c r="DZ277" s="3" t="s">
        <v>3</v>
      </c>
      <c r="EA277" s="3" t="s">
        <v>3</v>
      </c>
      <c r="EB277" s="3" t="s">
        <v>3</v>
      </c>
      <c r="EC277" s="3" t="s">
        <v>3</v>
      </c>
      <c r="EE277" s="3">
        <v>55393628</v>
      </c>
      <c r="EF277" s="3">
        <v>213</v>
      </c>
      <c r="EG277" s="3" t="s">
        <v>243</v>
      </c>
      <c r="EH277" s="3">
        <v>0</v>
      </c>
      <c r="EI277" s="3" t="s">
        <v>3</v>
      </c>
      <c r="EJ277" s="3">
        <v>1</v>
      </c>
      <c r="EK277" s="3">
        <v>400005</v>
      </c>
      <c r="EL277" s="3" t="s">
        <v>243</v>
      </c>
      <c r="EM277" s="3" t="s">
        <v>244</v>
      </c>
      <c r="EO277" s="3" t="s">
        <v>3</v>
      </c>
      <c r="EQ277" s="3">
        <v>16</v>
      </c>
      <c r="ER277" s="3">
        <v>0</v>
      </c>
      <c r="ES277" s="3">
        <v>22.8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5</v>
      </c>
      <c r="FC277" s="3">
        <v>1</v>
      </c>
      <c r="FD277" s="3">
        <v>18</v>
      </c>
      <c r="FF277" s="3">
        <v>268.33999999999997</v>
      </c>
      <c r="FQ277" s="3">
        <v>0</v>
      </c>
      <c r="FR277" s="3">
        <v>0</v>
      </c>
      <c r="FS277" s="3">
        <v>0</v>
      </c>
      <c r="FX277" s="3">
        <v>0</v>
      </c>
      <c r="FY277" s="3">
        <v>0</v>
      </c>
      <c r="GA277" s="3" t="s">
        <v>308</v>
      </c>
      <c r="GD277" s="3">
        <v>1</v>
      </c>
      <c r="GF277" s="3">
        <v>88437706</v>
      </c>
      <c r="GG277" s="3">
        <v>2</v>
      </c>
      <c r="GH277" s="3">
        <v>3</v>
      </c>
      <c r="GI277" s="3">
        <v>5</v>
      </c>
      <c r="GJ277" s="3">
        <v>0</v>
      </c>
      <c r="GK277" s="3">
        <v>0</v>
      </c>
      <c r="GL277" s="3">
        <f t="shared" si="235"/>
        <v>0</v>
      </c>
      <c r="GM277" s="3">
        <f t="shared" si="236"/>
        <v>448.7</v>
      </c>
      <c r="GN277" s="3">
        <f t="shared" si="237"/>
        <v>0</v>
      </c>
      <c r="GO277" s="3">
        <f t="shared" si="238"/>
        <v>448.7</v>
      </c>
      <c r="GP277" s="3">
        <f t="shared" si="239"/>
        <v>0</v>
      </c>
      <c r="GR277" s="3">
        <v>1</v>
      </c>
      <c r="GS277" s="3">
        <v>1</v>
      </c>
      <c r="GT277" s="3">
        <v>0</v>
      </c>
      <c r="GU277" s="3" t="s">
        <v>3</v>
      </c>
      <c r="GV277" s="3">
        <f t="shared" si="240"/>
        <v>0</v>
      </c>
      <c r="GW277" s="3">
        <v>1</v>
      </c>
      <c r="GX277" s="3">
        <f t="shared" si="241"/>
        <v>0</v>
      </c>
      <c r="HA277" s="3">
        <v>0</v>
      </c>
      <c r="HB277" s="3">
        <v>0</v>
      </c>
      <c r="HC277" s="3">
        <f t="shared" si="242"/>
        <v>0</v>
      </c>
      <c r="HE277" s="3" t="s">
        <v>246</v>
      </c>
      <c r="HF277" s="3" t="s">
        <v>30</v>
      </c>
      <c r="HM277" s="3" t="s">
        <v>3</v>
      </c>
      <c r="HN277" s="3" t="s">
        <v>3</v>
      </c>
      <c r="HO277" s="3" t="s">
        <v>3</v>
      </c>
      <c r="HP277" s="3" t="s">
        <v>3</v>
      </c>
      <c r="HQ277" s="3" t="s">
        <v>3</v>
      </c>
      <c r="HS277" s="3">
        <v>0</v>
      </c>
      <c r="IK277" s="3">
        <v>0</v>
      </c>
    </row>
    <row r="278" spans="1:255" x14ac:dyDescent="0.25">
      <c r="A278" s="2">
        <v>17</v>
      </c>
      <c r="B278" s="2">
        <v>1</v>
      </c>
      <c r="C278" s="2">
        <f>ROW(SmtRes!A355)</f>
        <v>355</v>
      </c>
      <c r="D278" s="2">
        <f>ROW(EtalonRes!A402)</f>
        <v>402</v>
      </c>
      <c r="E278" s="2" t="s">
        <v>309</v>
      </c>
      <c r="F278" s="2" t="s">
        <v>310</v>
      </c>
      <c r="G278" s="2" t="s">
        <v>311</v>
      </c>
      <c r="H278" s="2" t="s">
        <v>312</v>
      </c>
      <c r="I278" s="2">
        <f>ROUND((50+50+50+300+20+15)/100,9)</f>
        <v>4.8499999999999996</v>
      </c>
      <c r="J278" s="2">
        <v>0</v>
      </c>
      <c r="K278" s="2">
        <f>ROUND((50+50+50+300+20+15)/100,9)</f>
        <v>4.8499999999999996</v>
      </c>
      <c r="L278" s="2"/>
      <c r="M278" s="2"/>
      <c r="N278" s="2"/>
      <c r="O278" s="2">
        <f t="shared" si="218"/>
        <v>97.33</v>
      </c>
      <c r="P278" s="2">
        <f t="shared" si="219"/>
        <v>2.76</v>
      </c>
      <c r="Q278" s="2">
        <f>(ROUND((ROUND((((ET278*1.2))*AV278*I278),2)*BB278),2)+ROUND((ROUND(((AE278-((EU278*1.2)))*AV278*I278),2)*BS278),2))</f>
        <v>0</v>
      </c>
      <c r="R278" s="2">
        <f>(ROUND((ROUND((((EU278*1.2))*AV278*I278),2)*BS278),2)+ROUND((ROUND(((AE278-((EU278*1.2)))*AV278*I278),2)*BS278),2))</f>
        <v>0</v>
      </c>
      <c r="S278" s="2">
        <f t="shared" si="220"/>
        <v>94.57</v>
      </c>
      <c r="T278" s="2">
        <f t="shared" si="221"/>
        <v>0</v>
      </c>
      <c r="U278" s="2">
        <f t="shared" si="222"/>
        <v>7.6778603999999984</v>
      </c>
      <c r="V278" s="2">
        <f t="shared" si="223"/>
        <v>0</v>
      </c>
      <c r="W278" s="2">
        <f t="shared" si="224"/>
        <v>0</v>
      </c>
      <c r="X278" s="2">
        <f>(ROUND((((S278+ROUND((ROUND((((EU278*1.2))*AV278*I278),2)*BS278),2))*AT278)/100),2)+ROUND(((ROUND((ROUND(((AE278-((EU278*1.2)))*AV278*I278),2)*BS278),2)*AT278)/100),2))</f>
        <v>91.73</v>
      </c>
      <c r="Y278" s="2">
        <f>(ROUND((((S278+ROUND((ROUND((((EU278*1.2))*AV278*I278),2)*BS278),2))*AU278)/100),2)+ROUND(((ROUND((ROUND(((AE278-((EU278*1.2)))*AV278*I278),2)*BS278),2)*AU278)/100),2))</f>
        <v>48.23</v>
      </c>
      <c r="Z278" s="2"/>
      <c r="AA278" s="2">
        <v>55917797</v>
      </c>
      <c r="AB278" s="2">
        <f t="shared" si="225"/>
        <v>19.193999999999999</v>
      </c>
      <c r="AC278" s="2">
        <f>ROUND(((ES278*1)),6)</f>
        <v>0.56999999999999995</v>
      </c>
      <c r="AD278" s="2">
        <f>ROUND(((((ET278*1.2))-((EU278*1.2)))+AE278),6)</f>
        <v>0</v>
      </c>
      <c r="AE278" s="2">
        <f>ROUND(((EU278*1.2)),6)</f>
        <v>0</v>
      </c>
      <c r="AF278" s="2">
        <f>ROUND(((EV278*1.2)),6)</f>
        <v>18.623999999999999</v>
      </c>
      <c r="AG278" s="2">
        <f t="shared" si="226"/>
        <v>0</v>
      </c>
      <c r="AH278" s="2">
        <f>((EW278*1.2))</f>
        <v>1.512</v>
      </c>
      <c r="AI278" s="2">
        <f>((EX278*1.2))</f>
        <v>0</v>
      </c>
      <c r="AJ278" s="2">
        <f t="shared" si="227"/>
        <v>0</v>
      </c>
      <c r="AK278" s="2">
        <v>16.09</v>
      </c>
      <c r="AL278" s="2">
        <v>0.56999999999999995</v>
      </c>
      <c r="AM278" s="2">
        <v>0</v>
      </c>
      <c r="AN278" s="2">
        <v>0</v>
      </c>
      <c r="AO278" s="2">
        <v>15.52</v>
      </c>
      <c r="AP278" s="2">
        <v>0</v>
      </c>
      <c r="AQ278" s="2">
        <v>1.26</v>
      </c>
      <c r="AR278" s="2">
        <v>0</v>
      </c>
      <c r="AS278" s="2">
        <v>0</v>
      </c>
      <c r="AT278" s="2">
        <v>97</v>
      </c>
      <c r="AU278" s="2">
        <v>51</v>
      </c>
      <c r="AV278" s="2">
        <v>1.0469999999999999</v>
      </c>
      <c r="AW278" s="2">
        <v>1</v>
      </c>
      <c r="AX278" s="2"/>
      <c r="AY278" s="2"/>
      <c r="AZ278" s="2">
        <v>1</v>
      </c>
      <c r="BA278" s="2">
        <v>1</v>
      </c>
      <c r="BB278" s="2">
        <v>1</v>
      </c>
      <c r="BC278" s="2">
        <v>1</v>
      </c>
      <c r="BD278" s="2" t="s">
        <v>3</v>
      </c>
      <c r="BE278" s="2" t="s">
        <v>3</v>
      </c>
      <c r="BF278" s="2" t="s">
        <v>3</v>
      </c>
      <c r="BG278" s="2" t="s">
        <v>3</v>
      </c>
      <c r="BH278" s="2">
        <v>0</v>
      </c>
      <c r="BI278" s="2">
        <v>2</v>
      </c>
      <c r="BJ278" s="2" t="s">
        <v>313</v>
      </c>
      <c r="BK278" s="2"/>
      <c r="BL278" s="2"/>
      <c r="BM278" s="2">
        <v>67</v>
      </c>
      <c r="BN278" s="2">
        <v>0</v>
      </c>
      <c r="BO278" s="2" t="s">
        <v>310</v>
      </c>
      <c r="BP278" s="2">
        <v>1</v>
      </c>
      <c r="BQ278" s="2">
        <v>40</v>
      </c>
      <c r="BR278" s="2">
        <v>0</v>
      </c>
      <c r="BS278" s="2">
        <v>1</v>
      </c>
      <c r="BT278" s="2">
        <v>1</v>
      </c>
      <c r="BU278" s="2">
        <v>1</v>
      </c>
      <c r="BV278" s="2">
        <v>1</v>
      </c>
      <c r="BW278" s="2">
        <v>1</v>
      </c>
      <c r="BX278" s="2">
        <v>1</v>
      </c>
      <c r="BY278" s="2" t="s">
        <v>3</v>
      </c>
      <c r="BZ278" s="2">
        <v>97</v>
      </c>
      <c r="CA278" s="2">
        <v>51</v>
      </c>
      <c r="CB278" s="2" t="s">
        <v>3</v>
      </c>
      <c r="CC278" s="2"/>
      <c r="CD278" s="2"/>
      <c r="CE278" s="2">
        <v>1566</v>
      </c>
      <c r="CF278" s="2">
        <v>0</v>
      </c>
      <c r="CG278" s="2">
        <v>0</v>
      </c>
      <c r="CH278" s="2"/>
      <c r="CI278" s="2"/>
      <c r="CJ278" s="2"/>
      <c r="CK278" s="2"/>
      <c r="CL278" s="2"/>
      <c r="CM278" s="2">
        <v>0</v>
      </c>
      <c r="CN278" s="2" t="s">
        <v>618</v>
      </c>
      <c r="CO278" s="2">
        <v>0</v>
      </c>
      <c r="CP278" s="2">
        <f t="shared" si="228"/>
        <v>97.33</v>
      </c>
      <c r="CQ278" s="2">
        <f t="shared" si="229"/>
        <v>0.56999999999999995</v>
      </c>
      <c r="CR278" s="2">
        <f>(ROUND((ROUND((((ET278*1.2))*AV278*1),2)*BB278),2)+ROUND((ROUND(((AE278-((EU278*1.2)))*AV278*1),2)*BS278),2))</f>
        <v>0</v>
      </c>
      <c r="CS278" s="2">
        <f>(ROUND((ROUND((((EU278*1.2))*AV278*1),2)*BS278),2)+ROUND((ROUND(((AE278-((EU278*1.2)))*AV278*1),2)*BS278),2))</f>
        <v>0</v>
      </c>
      <c r="CT278" s="2">
        <f t="shared" si="230"/>
        <v>19.5</v>
      </c>
      <c r="CU278" s="2">
        <f t="shared" si="231"/>
        <v>0</v>
      </c>
      <c r="CV278" s="2">
        <f t="shared" si="232"/>
        <v>1.5830639999999998</v>
      </c>
      <c r="CW278" s="2">
        <f t="shared" si="233"/>
        <v>0</v>
      </c>
      <c r="CX278" s="2">
        <f t="shared" si="234"/>
        <v>0</v>
      </c>
      <c r="CY278" s="2">
        <f>(ROUND((((S278+ROUND((ROUND((((EU278*1.2))*AV278*1),2)*BS278),2))*AT278)/100),2)+ROUND(((ROUND((ROUND(((AE278-((EU278*1.2)))*AV278*1),2)*BS278),2)*AT278)/100),2))</f>
        <v>91.73</v>
      </c>
      <c r="CZ278" s="2">
        <f>(ROUND((((S278+ROUND((ROUND((((EU278*1.2))*AV278*1),2)*BS278),2))*AU278)/100),2)+ROUND(((ROUND((ROUND(((AE278-((EU278*1.2)))*AV278*1),2)*BS278),2)*AU278)/100),2))</f>
        <v>48.23</v>
      </c>
      <c r="DA278" s="2"/>
      <c r="DB278" s="2">
        <v>79</v>
      </c>
      <c r="DC278" s="2" t="s">
        <v>3</v>
      </c>
      <c r="DD278" s="2" t="s">
        <v>55</v>
      </c>
      <c r="DE278" s="2" t="s">
        <v>56</v>
      </c>
      <c r="DF278" s="2" t="s">
        <v>56</v>
      </c>
      <c r="DG278" s="2" t="s">
        <v>56</v>
      </c>
      <c r="DH278" s="2" t="s">
        <v>3</v>
      </c>
      <c r="DI278" s="2" t="s">
        <v>56</v>
      </c>
      <c r="DJ278" s="2" t="s">
        <v>56</v>
      </c>
      <c r="DK278" s="2" t="s">
        <v>3</v>
      </c>
      <c r="DL278" s="2" t="s">
        <v>3</v>
      </c>
      <c r="DM278" s="2" t="s">
        <v>3</v>
      </c>
      <c r="DN278" s="2">
        <v>0</v>
      </c>
      <c r="DO278" s="2">
        <v>0</v>
      </c>
      <c r="DP278" s="2">
        <v>1</v>
      </c>
      <c r="DQ278" s="2">
        <v>1</v>
      </c>
      <c r="DR278" s="2"/>
      <c r="DS278" s="2"/>
      <c r="DT278" s="2"/>
      <c r="DU278" s="2">
        <v>1013</v>
      </c>
      <c r="DV278" s="2" t="s">
        <v>312</v>
      </c>
      <c r="DW278" s="2" t="s">
        <v>312</v>
      </c>
      <c r="DX278" s="2">
        <v>1</v>
      </c>
      <c r="DY278" s="2"/>
      <c r="DZ278" s="2" t="s">
        <v>3</v>
      </c>
      <c r="EA278" s="2" t="s">
        <v>3</v>
      </c>
      <c r="EB278" s="2" t="s">
        <v>3</v>
      </c>
      <c r="EC278" s="2" t="s">
        <v>3</v>
      </c>
      <c r="ED278" s="2"/>
      <c r="EE278" s="2">
        <v>55393699</v>
      </c>
      <c r="EF278" s="2">
        <v>40</v>
      </c>
      <c r="EG278" s="2" t="s">
        <v>26</v>
      </c>
      <c r="EH278" s="2">
        <v>0</v>
      </c>
      <c r="EI278" s="2" t="s">
        <v>3</v>
      </c>
      <c r="EJ278" s="2">
        <v>2</v>
      </c>
      <c r="EK278" s="2">
        <v>67</v>
      </c>
      <c r="EL278" s="2" t="s">
        <v>192</v>
      </c>
      <c r="EM278" s="2" t="s">
        <v>193</v>
      </c>
      <c r="EN278" s="2"/>
      <c r="EO278" s="2" t="s">
        <v>60</v>
      </c>
      <c r="EP278" s="2"/>
      <c r="EQ278" s="2">
        <v>0</v>
      </c>
      <c r="ER278" s="2">
        <v>16.09</v>
      </c>
      <c r="ES278" s="2">
        <v>0.56999999999999995</v>
      </c>
      <c r="ET278" s="2">
        <v>0</v>
      </c>
      <c r="EU278" s="2">
        <v>0</v>
      </c>
      <c r="EV278" s="2">
        <v>15.52</v>
      </c>
      <c r="EW278" s="2">
        <v>1.26</v>
      </c>
      <c r="EX278" s="2">
        <v>0</v>
      </c>
      <c r="EY278" s="2">
        <v>0</v>
      </c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>
        <v>0</v>
      </c>
      <c r="FR278" s="2">
        <v>0</v>
      </c>
      <c r="FS278" s="2">
        <v>0</v>
      </c>
      <c r="FT278" s="2"/>
      <c r="FU278" s="2"/>
      <c r="FV278" s="2"/>
      <c r="FW278" s="2"/>
      <c r="FX278" s="2">
        <v>97</v>
      </c>
      <c r="FY278" s="2">
        <v>51</v>
      </c>
      <c r="FZ278" s="2"/>
      <c r="GA278" s="2" t="s">
        <v>3</v>
      </c>
      <c r="GB278" s="2"/>
      <c r="GC278" s="2"/>
      <c r="GD278" s="2">
        <v>1</v>
      </c>
      <c r="GE278" s="2"/>
      <c r="GF278" s="2">
        <v>2037938139</v>
      </c>
      <c r="GG278" s="2">
        <v>2</v>
      </c>
      <c r="GH278" s="2">
        <v>1</v>
      </c>
      <c r="GI278" s="2">
        <v>2</v>
      </c>
      <c r="GJ278" s="2">
        <v>0</v>
      </c>
      <c r="GK278" s="2">
        <v>0</v>
      </c>
      <c r="GL278" s="2">
        <f t="shared" si="235"/>
        <v>0</v>
      </c>
      <c r="GM278" s="2">
        <f t="shared" si="236"/>
        <v>237.29</v>
      </c>
      <c r="GN278" s="2">
        <f t="shared" si="237"/>
        <v>0</v>
      </c>
      <c r="GO278" s="2">
        <f t="shared" si="238"/>
        <v>237.29</v>
      </c>
      <c r="GP278" s="2">
        <f t="shared" si="239"/>
        <v>0</v>
      </c>
      <c r="GQ278" s="2"/>
      <c r="GR278" s="2">
        <v>0</v>
      </c>
      <c r="GS278" s="2">
        <v>3</v>
      </c>
      <c r="GT278" s="2">
        <v>0</v>
      </c>
      <c r="GU278" s="2" t="s">
        <v>3</v>
      </c>
      <c r="GV278" s="2">
        <f t="shared" si="240"/>
        <v>0</v>
      </c>
      <c r="GW278" s="2">
        <v>1</v>
      </c>
      <c r="GX278" s="2">
        <f t="shared" si="241"/>
        <v>0</v>
      </c>
      <c r="GY278" s="2"/>
      <c r="GZ278" s="2"/>
      <c r="HA278" s="2">
        <v>0</v>
      </c>
      <c r="HB278" s="2">
        <v>0</v>
      </c>
      <c r="HC278" s="2">
        <f t="shared" si="242"/>
        <v>0</v>
      </c>
      <c r="HD278" s="2"/>
      <c r="HE278" s="2" t="s">
        <v>3</v>
      </c>
      <c r="HF278" s="2" t="s">
        <v>3</v>
      </c>
      <c r="HG278" s="2"/>
      <c r="HH278" s="2"/>
      <c r="HI278" s="2"/>
      <c r="HJ278" s="2"/>
      <c r="HK278" s="2"/>
      <c r="HL278" s="2"/>
      <c r="HM278" s="2" t="s">
        <v>3</v>
      </c>
      <c r="HN278" s="2" t="s">
        <v>3</v>
      </c>
      <c r="HO278" s="2" t="s">
        <v>3</v>
      </c>
      <c r="HP278" s="2" t="s">
        <v>3</v>
      </c>
      <c r="HQ278" s="2" t="s">
        <v>3</v>
      </c>
      <c r="HR278" s="2"/>
      <c r="HS278" s="2">
        <v>0</v>
      </c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>
        <v>0</v>
      </c>
      <c r="IL278" s="2"/>
      <c r="IM278" s="2"/>
      <c r="IN278" s="2"/>
      <c r="IO278" s="2"/>
      <c r="IP278" s="2"/>
      <c r="IQ278" s="2"/>
      <c r="IR278" s="2"/>
      <c r="IS278" s="2"/>
      <c r="IT278" s="2"/>
      <c r="IU278" s="2"/>
    </row>
    <row r="279" spans="1:255" x14ac:dyDescent="0.25">
      <c r="A279" s="3">
        <v>17</v>
      </c>
      <c r="B279" s="3">
        <v>1</v>
      </c>
      <c r="C279" s="3">
        <f>ROW(SmtRes!A356)</f>
        <v>356</v>
      </c>
      <c r="D279" s="3">
        <f>ROW(EtalonRes!A404)</f>
        <v>404</v>
      </c>
      <c r="E279" s="3" t="s">
        <v>309</v>
      </c>
      <c r="F279" s="3" t="s">
        <v>310</v>
      </c>
      <c r="G279" s="3" t="s">
        <v>311</v>
      </c>
      <c r="H279" s="3" t="s">
        <v>312</v>
      </c>
      <c r="I279" s="3">
        <f>ROUND((50+50+50+300+20+15)/100,9)</f>
        <v>4.8499999999999996</v>
      </c>
      <c r="J279" s="3">
        <v>0</v>
      </c>
      <c r="K279" s="3">
        <f>ROUND((50+50+50+300+20+15)/100,9)</f>
        <v>4.8499999999999996</v>
      </c>
      <c r="O279" s="3">
        <f t="shared" si="218"/>
        <v>5379.22</v>
      </c>
      <c r="P279" s="3">
        <f t="shared" si="219"/>
        <v>50.2</v>
      </c>
      <c r="Q279" s="3">
        <f>(ROUND((ROUND((((ET279*1.2))*AV279*I279),2)*BB279),2)+ROUND((ROUND(((AE279-((EU279*1.2)))*AV279*I279),2)*BS279),2))</f>
        <v>0</v>
      </c>
      <c r="R279" s="3">
        <f>(ROUND((ROUND((((EU279*1.2))*AV279*I279),2)*BS279),2)+ROUND((ROUND(((AE279-((EU279*1.2)))*AV279*I279),2)*BS279),2))</f>
        <v>0</v>
      </c>
      <c r="S279" s="3">
        <f t="shared" si="220"/>
        <v>5329.02</v>
      </c>
      <c r="T279" s="3">
        <f t="shared" si="221"/>
        <v>0</v>
      </c>
      <c r="U279" s="3">
        <f t="shared" si="222"/>
        <v>7.6778603999999984</v>
      </c>
      <c r="V279" s="3">
        <f t="shared" si="223"/>
        <v>0</v>
      </c>
      <c r="W279" s="3">
        <f t="shared" si="224"/>
        <v>0</v>
      </c>
      <c r="X279" s="3">
        <f>(ROUND((((S279+ROUND((ROUND((((EU279*1.2))*AV279*I279),2)*BS279),2))*AT279)/100),2)+ROUND(((ROUND((ROUND(((AE279-((EU279*1.2)))*AV279*I279),2)*BS279),2)*AT279)/100),2))</f>
        <v>5169.1499999999996</v>
      </c>
      <c r="Y279" s="3">
        <f>(ROUND((((S279+ROUND((ROUND((((EU279*1.2))*AV279*I279),2)*BS279),2))*AU279)/100),2)+ROUND(((ROUND((ROUND(((AE279-((EU279*1.2)))*AV279*I279),2)*BS279),2)*AU279)/100),2))</f>
        <v>2717.8</v>
      </c>
      <c r="AA279" s="3">
        <v>55917799</v>
      </c>
      <c r="AB279" s="3">
        <f t="shared" si="225"/>
        <v>19.193999999999999</v>
      </c>
      <c r="AC279" s="3">
        <f>ROUND(((ES279*1)),6)</f>
        <v>0.56999999999999995</v>
      </c>
      <c r="AD279" s="3">
        <f>ROUND(((((ET279*1.2))-((EU279*1.2)))+AE279),6)</f>
        <v>0</v>
      </c>
      <c r="AE279" s="3">
        <f>ROUND(((EU279*1.2)),6)</f>
        <v>0</v>
      </c>
      <c r="AF279" s="3">
        <f>ROUND(((EV279*1.2)),6)</f>
        <v>18.623999999999999</v>
      </c>
      <c r="AG279" s="3">
        <f t="shared" si="226"/>
        <v>0</v>
      </c>
      <c r="AH279" s="3">
        <f>((EW279*1.2))</f>
        <v>1.512</v>
      </c>
      <c r="AI279" s="3">
        <f>((EX279*1.2))</f>
        <v>0</v>
      </c>
      <c r="AJ279" s="3">
        <f t="shared" si="227"/>
        <v>0</v>
      </c>
      <c r="AK279" s="3">
        <v>16.09</v>
      </c>
      <c r="AL279" s="3">
        <v>0.56999999999999995</v>
      </c>
      <c r="AM279" s="3">
        <v>0</v>
      </c>
      <c r="AN279" s="3">
        <v>0</v>
      </c>
      <c r="AO279" s="3">
        <v>15.52</v>
      </c>
      <c r="AP279" s="3">
        <v>0</v>
      </c>
      <c r="AQ279" s="3">
        <v>1.26</v>
      </c>
      <c r="AR279" s="3">
        <v>0</v>
      </c>
      <c r="AS279" s="3">
        <v>0</v>
      </c>
      <c r="AT279" s="3">
        <v>97</v>
      </c>
      <c r="AU279" s="3">
        <v>51</v>
      </c>
      <c r="AV279" s="3">
        <v>1.0469999999999999</v>
      </c>
      <c r="AW279" s="3">
        <v>1</v>
      </c>
      <c r="AZ279" s="3">
        <v>1</v>
      </c>
      <c r="BA279" s="3">
        <v>56.35</v>
      </c>
      <c r="BB279" s="3">
        <v>1</v>
      </c>
      <c r="BC279" s="3">
        <v>18.190000000000001</v>
      </c>
      <c r="BD279" s="3" t="s">
        <v>3</v>
      </c>
      <c r="BE279" s="3" t="s">
        <v>3</v>
      </c>
      <c r="BF279" s="3" t="s">
        <v>3</v>
      </c>
      <c r="BG279" s="3" t="s">
        <v>3</v>
      </c>
      <c r="BH279" s="3">
        <v>0</v>
      </c>
      <c r="BI279" s="3">
        <v>2</v>
      </c>
      <c r="BJ279" s="3" t="s">
        <v>313</v>
      </c>
      <c r="BM279" s="3">
        <v>67</v>
      </c>
      <c r="BN279" s="3">
        <v>0</v>
      </c>
      <c r="BO279" s="3" t="s">
        <v>310</v>
      </c>
      <c r="BP279" s="3">
        <v>1</v>
      </c>
      <c r="BQ279" s="3">
        <v>40</v>
      </c>
      <c r="BR279" s="3">
        <v>0</v>
      </c>
      <c r="BS279" s="3">
        <v>56.35</v>
      </c>
      <c r="BT279" s="3">
        <v>1</v>
      </c>
      <c r="BU279" s="3">
        <v>1</v>
      </c>
      <c r="BV279" s="3">
        <v>1</v>
      </c>
      <c r="BW279" s="3">
        <v>1</v>
      </c>
      <c r="BX279" s="3">
        <v>1</v>
      </c>
      <c r="BY279" s="3" t="s">
        <v>3</v>
      </c>
      <c r="BZ279" s="3">
        <v>97</v>
      </c>
      <c r="CA279" s="3">
        <v>51</v>
      </c>
      <c r="CB279" s="3" t="s">
        <v>3</v>
      </c>
      <c r="CE279" s="3">
        <v>1566</v>
      </c>
      <c r="CF279" s="3">
        <v>0</v>
      </c>
      <c r="CG279" s="3">
        <v>0</v>
      </c>
      <c r="CM279" s="3">
        <v>0</v>
      </c>
      <c r="CN279" s="3" t="s">
        <v>618</v>
      </c>
      <c r="CO279" s="3">
        <v>0</v>
      </c>
      <c r="CP279" s="3">
        <f t="shared" si="228"/>
        <v>5379.22</v>
      </c>
      <c r="CQ279" s="3">
        <f t="shared" si="229"/>
        <v>10.37</v>
      </c>
      <c r="CR279" s="3">
        <f>(ROUND((ROUND((((ET279*1.2))*AV279*1),2)*BB279),2)+ROUND((ROUND(((AE279-((EU279*1.2)))*AV279*1),2)*BS279),2))</f>
        <v>0</v>
      </c>
      <c r="CS279" s="3">
        <f>(ROUND((ROUND((((EU279*1.2))*AV279*1),2)*BS279),2)+ROUND((ROUND(((AE279-((EU279*1.2)))*AV279*1),2)*BS279),2))</f>
        <v>0</v>
      </c>
      <c r="CT279" s="3">
        <f t="shared" si="230"/>
        <v>1098.83</v>
      </c>
      <c r="CU279" s="3">
        <f t="shared" si="231"/>
        <v>0</v>
      </c>
      <c r="CV279" s="3">
        <f t="shared" si="232"/>
        <v>1.5830639999999998</v>
      </c>
      <c r="CW279" s="3">
        <f t="shared" si="233"/>
        <v>0</v>
      </c>
      <c r="CX279" s="3">
        <f t="shared" si="234"/>
        <v>0</v>
      </c>
      <c r="CY279" s="3">
        <f>(ROUND((((S279+ROUND((ROUND((((EU279*1.2))*AV279*1),2)*BS279),2))*AT279)/100),2)+ROUND(((ROUND((ROUND(((AE279-((EU279*1.2)))*AV279*1),2)*BS279),2)*AT279)/100),2))</f>
        <v>5169.1499999999996</v>
      </c>
      <c r="CZ279" s="3">
        <f>(ROUND((((S279+ROUND((ROUND((((EU279*1.2))*AV279*1),2)*BS279),2))*AU279)/100),2)+ROUND(((ROUND((ROUND(((AE279-((EU279*1.2)))*AV279*1),2)*BS279),2)*AU279)/100),2))</f>
        <v>2717.8</v>
      </c>
      <c r="DB279" s="3">
        <v>80</v>
      </c>
      <c r="DC279" s="3" t="s">
        <v>3</v>
      </c>
      <c r="DD279" s="3" t="s">
        <v>55</v>
      </c>
      <c r="DE279" s="3" t="s">
        <v>56</v>
      </c>
      <c r="DF279" s="3" t="s">
        <v>56</v>
      </c>
      <c r="DG279" s="3" t="s">
        <v>56</v>
      </c>
      <c r="DH279" s="3" t="s">
        <v>3</v>
      </c>
      <c r="DI279" s="3" t="s">
        <v>56</v>
      </c>
      <c r="DJ279" s="3" t="s">
        <v>56</v>
      </c>
      <c r="DK279" s="3" t="s">
        <v>3</v>
      </c>
      <c r="DL279" s="3" t="s">
        <v>3</v>
      </c>
      <c r="DM279" s="3" t="s">
        <v>3</v>
      </c>
      <c r="DN279" s="3">
        <v>0</v>
      </c>
      <c r="DO279" s="3">
        <v>0</v>
      </c>
      <c r="DP279" s="3">
        <v>1</v>
      </c>
      <c r="DQ279" s="3">
        <v>1</v>
      </c>
      <c r="DU279" s="3">
        <v>1013</v>
      </c>
      <c r="DV279" s="3" t="s">
        <v>312</v>
      </c>
      <c r="DW279" s="3" t="s">
        <v>312</v>
      </c>
      <c r="DX279" s="3">
        <v>1</v>
      </c>
      <c r="DZ279" s="3" t="s">
        <v>3</v>
      </c>
      <c r="EA279" s="3" t="s">
        <v>3</v>
      </c>
      <c r="EB279" s="3" t="s">
        <v>3</v>
      </c>
      <c r="EC279" s="3" t="s">
        <v>3</v>
      </c>
      <c r="EE279" s="3">
        <v>55393699</v>
      </c>
      <c r="EF279" s="3">
        <v>40</v>
      </c>
      <c r="EG279" s="3" t="s">
        <v>26</v>
      </c>
      <c r="EH279" s="3">
        <v>0</v>
      </c>
      <c r="EI279" s="3" t="s">
        <v>3</v>
      </c>
      <c r="EJ279" s="3">
        <v>2</v>
      </c>
      <c r="EK279" s="3">
        <v>67</v>
      </c>
      <c r="EL279" s="3" t="s">
        <v>192</v>
      </c>
      <c r="EM279" s="3" t="s">
        <v>193</v>
      </c>
      <c r="EO279" s="3" t="s">
        <v>60</v>
      </c>
      <c r="EQ279" s="3">
        <v>0</v>
      </c>
      <c r="ER279" s="3">
        <v>16.09</v>
      </c>
      <c r="ES279" s="3">
        <v>0.56999999999999995</v>
      </c>
      <c r="ET279" s="3">
        <v>0</v>
      </c>
      <c r="EU279" s="3">
        <v>0</v>
      </c>
      <c r="EV279" s="3">
        <v>15.52</v>
      </c>
      <c r="EW279" s="3">
        <v>1.26</v>
      </c>
      <c r="EX279" s="3">
        <v>0</v>
      </c>
      <c r="EY279" s="3">
        <v>0</v>
      </c>
      <c r="FQ279" s="3">
        <v>0</v>
      </c>
      <c r="FR279" s="3">
        <v>0</v>
      </c>
      <c r="FS279" s="3">
        <v>0</v>
      </c>
      <c r="FX279" s="3">
        <v>97</v>
      </c>
      <c r="FY279" s="3">
        <v>51</v>
      </c>
      <c r="GA279" s="3" t="s">
        <v>3</v>
      </c>
      <c r="GD279" s="3">
        <v>1</v>
      </c>
      <c r="GF279" s="3">
        <v>2037938139</v>
      </c>
      <c r="GG279" s="3">
        <v>2</v>
      </c>
      <c r="GH279" s="3">
        <v>1</v>
      </c>
      <c r="GI279" s="3">
        <v>2</v>
      </c>
      <c r="GJ279" s="3">
        <v>0</v>
      </c>
      <c r="GK279" s="3">
        <v>0</v>
      </c>
      <c r="GL279" s="3">
        <f t="shared" si="235"/>
        <v>0</v>
      </c>
      <c r="GM279" s="3">
        <f t="shared" si="236"/>
        <v>13266.17</v>
      </c>
      <c r="GN279" s="3">
        <f t="shared" si="237"/>
        <v>0</v>
      </c>
      <c r="GO279" s="3">
        <f t="shared" si="238"/>
        <v>13266.17</v>
      </c>
      <c r="GP279" s="3">
        <f t="shared" si="239"/>
        <v>0</v>
      </c>
      <c r="GR279" s="3">
        <v>0</v>
      </c>
      <c r="GS279" s="3">
        <v>3</v>
      </c>
      <c r="GT279" s="3">
        <v>0</v>
      </c>
      <c r="GU279" s="3" t="s">
        <v>3</v>
      </c>
      <c r="GV279" s="3">
        <f t="shared" si="240"/>
        <v>0</v>
      </c>
      <c r="GW279" s="3">
        <v>1</v>
      </c>
      <c r="GX279" s="3">
        <f t="shared" si="241"/>
        <v>0</v>
      </c>
      <c r="HA279" s="3">
        <v>0</v>
      </c>
      <c r="HB279" s="3">
        <v>0</v>
      </c>
      <c r="HC279" s="3">
        <f t="shared" si="242"/>
        <v>0</v>
      </c>
      <c r="HE279" s="3" t="s">
        <v>3</v>
      </c>
      <c r="HF279" s="3" t="s">
        <v>3</v>
      </c>
      <c r="HM279" s="3" t="s">
        <v>3</v>
      </c>
      <c r="HN279" s="3" t="s">
        <v>3</v>
      </c>
      <c r="HO279" s="3" t="s">
        <v>3</v>
      </c>
      <c r="HP279" s="3" t="s">
        <v>3</v>
      </c>
      <c r="HQ279" s="3" t="s">
        <v>3</v>
      </c>
      <c r="HS279" s="3">
        <v>0</v>
      </c>
      <c r="IK279" s="3">
        <v>0</v>
      </c>
    </row>
    <row r="280" spans="1:255" x14ac:dyDescent="0.25">
      <c r="A280" s="2">
        <v>17</v>
      </c>
      <c r="B280" s="2">
        <v>1</v>
      </c>
      <c r="C280" s="2"/>
      <c r="D280" s="2"/>
      <c r="E280" s="2" t="s">
        <v>314</v>
      </c>
      <c r="F280" s="2" t="s">
        <v>315</v>
      </c>
      <c r="G280" s="2" t="s">
        <v>620</v>
      </c>
      <c r="H280" s="2" t="s">
        <v>316</v>
      </c>
      <c r="I280" s="2">
        <v>0.74</v>
      </c>
      <c r="J280" s="2">
        <v>0</v>
      </c>
      <c r="K280" s="2">
        <v>0.74</v>
      </c>
      <c r="L280" s="2"/>
      <c r="M280" s="2"/>
      <c r="N280" s="2"/>
      <c r="O280" s="2">
        <f t="shared" si="218"/>
        <v>128.19</v>
      </c>
      <c r="P280" s="2">
        <f t="shared" si="219"/>
        <v>128.19</v>
      </c>
      <c r="Q280" s="2">
        <f>(ROUND((ROUND(((ET280)*AV280*I280),2)*BB280),2)+ROUND((ROUND(((AE280-(EU280))*AV280*I280),2)*BS280),2))</f>
        <v>0</v>
      </c>
      <c r="R280" s="2">
        <f>(ROUND((ROUND(((EU280)*AV280*I280),2)*BS280),2)+ROUND((ROUND(((AE280-(EU280))*AV280*I280),2)*BS280),2))</f>
        <v>0</v>
      </c>
      <c r="S280" s="2">
        <f t="shared" si="220"/>
        <v>0</v>
      </c>
      <c r="T280" s="2">
        <f t="shared" si="221"/>
        <v>0</v>
      </c>
      <c r="U280" s="2">
        <f t="shared" si="222"/>
        <v>0</v>
      </c>
      <c r="V280" s="2">
        <f t="shared" si="223"/>
        <v>0</v>
      </c>
      <c r="W280" s="2">
        <f t="shared" si="224"/>
        <v>0</v>
      </c>
      <c r="X280" s="2">
        <f>(ROUND((((S280+ROUND((ROUND(((EU280)*AV280*I280),2)*BS280),2))*AT280)/100),2)+ROUND(((ROUND((ROUND(((AE280-(EU280))*AV280*I280),2)*BS280),2)*AT280)/100),2))</f>
        <v>0</v>
      </c>
      <c r="Y280" s="2">
        <f>(ROUND((((S280+ROUND((ROUND(((EU280)*AV280*I280),2)*BS280),2))*AU280)/100),2)+ROUND(((ROUND((ROUND(((AE280-(EU280))*AV280*I280),2)*BS280),2)*AU280)/100),2))</f>
        <v>0</v>
      </c>
      <c r="Z280" s="2"/>
      <c r="AA280" s="2">
        <v>55917797</v>
      </c>
      <c r="AB280" s="2">
        <f t="shared" si="225"/>
        <v>173.23</v>
      </c>
      <c r="AC280" s="2">
        <f>ROUND((ES280),6)</f>
        <v>173.23</v>
      </c>
      <c r="AD280" s="2">
        <f>ROUND((((ET280)-(EU280))+AE280),6)</f>
        <v>0</v>
      </c>
      <c r="AE280" s="2">
        <f>ROUND((EU280),6)</f>
        <v>0</v>
      </c>
      <c r="AF280" s="2">
        <f>ROUND((EV280),6)</f>
        <v>0</v>
      </c>
      <c r="AG280" s="2">
        <f t="shared" si="226"/>
        <v>0</v>
      </c>
      <c r="AH280" s="2">
        <f>(EW280)</f>
        <v>0</v>
      </c>
      <c r="AI280" s="2">
        <f>(EX280)</f>
        <v>0</v>
      </c>
      <c r="AJ280" s="2">
        <f t="shared" si="227"/>
        <v>0</v>
      </c>
      <c r="AK280" s="2">
        <v>173.23</v>
      </c>
      <c r="AL280" s="2">
        <v>173.23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1</v>
      </c>
      <c r="AW280" s="2">
        <v>1</v>
      </c>
      <c r="AX280" s="2"/>
      <c r="AY280" s="2"/>
      <c r="AZ280" s="2">
        <v>1</v>
      </c>
      <c r="BA280" s="2">
        <v>1</v>
      </c>
      <c r="BB280" s="2">
        <v>1</v>
      </c>
      <c r="BC280" s="2">
        <v>1</v>
      </c>
      <c r="BD280" s="2" t="s">
        <v>3</v>
      </c>
      <c r="BE280" s="2" t="s">
        <v>3</v>
      </c>
      <c r="BF280" s="2" t="s">
        <v>3</v>
      </c>
      <c r="BG280" s="2" t="s">
        <v>3</v>
      </c>
      <c r="BH280" s="2">
        <v>3</v>
      </c>
      <c r="BI280" s="2">
        <v>2</v>
      </c>
      <c r="BJ280" s="2" t="s">
        <v>317</v>
      </c>
      <c r="BK280" s="2"/>
      <c r="BL280" s="2"/>
      <c r="BM280" s="2">
        <v>1617</v>
      </c>
      <c r="BN280" s="2">
        <v>0</v>
      </c>
      <c r="BO280" s="2" t="s">
        <v>3</v>
      </c>
      <c r="BP280" s="2">
        <v>0</v>
      </c>
      <c r="BQ280" s="2">
        <v>200</v>
      </c>
      <c r="BR280" s="2">
        <v>0</v>
      </c>
      <c r="BS280" s="2">
        <v>1</v>
      </c>
      <c r="BT280" s="2">
        <v>1</v>
      </c>
      <c r="BU280" s="2">
        <v>1</v>
      </c>
      <c r="BV280" s="2">
        <v>1</v>
      </c>
      <c r="BW280" s="2">
        <v>1</v>
      </c>
      <c r="BX280" s="2">
        <v>1</v>
      </c>
      <c r="BY280" s="2" t="s">
        <v>3</v>
      </c>
      <c r="BZ280" s="2">
        <v>0</v>
      </c>
      <c r="CA280" s="2">
        <v>0</v>
      </c>
      <c r="CB280" s="2" t="s">
        <v>3</v>
      </c>
      <c r="CC280" s="2"/>
      <c r="CD280" s="2"/>
      <c r="CE280" s="2">
        <v>1566</v>
      </c>
      <c r="CF280" s="2">
        <v>0</v>
      </c>
      <c r="CG280" s="2">
        <v>0</v>
      </c>
      <c r="CH280" s="2"/>
      <c r="CI280" s="2"/>
      <c r="CJ280" s="2"/>
      <c r="CK280" s="2"/>
      <c r="CL280" s="2"/>
      <c r="CM280" s="2">
        <v>0</v>
      </c>
      <c r="CN280" s="2" t="s">
        <v>3</v>
      </c>
      <c r="CO280" s="2">
        <v>0</v>
      </c>
      <c r="CP280" s="2">
        <f t="shared" si="228"/>
        <v>128.19</v>
      </c>
      <c r="CQ280" s="2">
        <f t="shared" si="229"/>
        <v>173.23</v>
      </c>
      <c r="CR280" s="2">
        <f>(ROUND((ROUND(((ET280)*AV280*1),2)*BB280),2)+ROUND((ROUND(((AE280-(EU280))*AV280*1),2)*BS280),2))</f>
        <v>0</v>
      </c>
      <c r="CS280" s="2">
        <f>(ROUND((ROUND(((EU280)*AV280*1),2)*BS280),2)+ROUND((ROUND(((AE280-(EU280))*AV280*1),2)*BS280),2))</f>
        <v>0</v>
      </c>
      <c r="CT280" s="2">
        <f t="shared" si="230"/>
        <v>0</v>
      </c>
      <c r="CU280" s="2">
        <f t="shared" si="231"/>
        <v>0</v>
      </c>
      <c r="CV280" s="2">
        <f t="shared" si="232"/>
        <v>0</v>
      </c>
      <c r="CW280" s="2">
        <f t="shared" si="233"/>
        <v>0</v>
      </c>
      <c r="CX280" s="2">
        <f t="shared" si="234"/>
        <v>0</v>
      </c>
      <c r="CY280" s="2">
        <f>(ROUND((((S280+ROUND((ROUND(((EU280)*AV280*1),2)*BS280),2))*AT280)/100),2)+ROUND(((ROUND((ROUND(((AE280-(EU280))*AV280*1),2)*BS280),2)*AT280)/100),2))</f>
        <v>0</v>
      </c>
      <c r="CZ280" s="2">
        <f>(ROUND((((S280+ROUND((ROUND(((EU280)*AV280*1),2)*BS280),2))*AU280)/100),2)+ROUND(((ROUND((ROUND(((AE280-(EU280))*AV280*1),2)*BS280),2)*AU280)/100),2))</f>
        <v>0</v>
      </c>
      <c r="DA280" s="2"/>
      <c r="DB280" s="2"/>
      <c r="DC280" s="2" t="s">
        <v>3</v>
      </c>
      <c r="DD280" s="2" t="s">
        <v>3</v>
      </c>
      <c r="DE280" s="2" t="s">
        <v>3</v>
      </c>
      <c r="DF280" s="2" t="s">
        <v>3</v>
      </c>
      <c r="DG280" s="2" t="s">
        <v>3</v>
      </c>
      <c r="DH280" s="2" t="s">
        <v>3</v>
      </c>
      <c r="DI280" s="2" t="s">
        <v>3</v>
      </c>
      <c r="DJ280" s="2" t="s">
        <v>3</v>
      </c>
      <c r="DK280" s="2" t="s">
        <v>3</v>
      </c>
      <c r="DL280" s="2" t="s">
        <v>3</v>
      </c>
      <c r="DM280" s="2" t="s">
        <v>3</v>
      </c>
      <c r="DN280" s="2">
        <v>0</v>
      </c>
      <c r="DO280" s="2">
        <v>0</v>
      </c>
      <c r="DP280" s="2">
        <v>1</v>
      </c>
      <c r="DQ280" s="2">
        <v>1</v>
      </c>
      <c r="DR280" s="2"/>
      <c r="DS280" s="2"/>
      <c r="DT280" s="2"/>
      <c r="DU280" s="2">
        <v>1009</v>
      </c>
      <c r="DV280" s="2" t="s">
        <v>316</v>
      </c>
      <c r="DW280" s="2" t="s">
        <v>316</v>
      </c>
      <c r="DX280" s="2">
        <v>1</v>
      </c>
      <c r="DY280" s="2"/>
      <c r="DZ280" s="2" t="s">
        <v>3</v>
      </c>
      <c r="EA280" s="2" t="s">
        <v>3</v>
      </c>
      <c r="EB280" s="2" t="s">
        <v>3</v>
      </c>
      <c r="EC280" s="2" t="s">
        <v>3</v>
      </c>
      <c r="ED280" s="2"/>
      <c r="EE280" s="2">
        <v>55393728</v>
      </c>
      <c r="EF280" s="2">
        <v>200</v>
      </c>
      <c r="EG280" s="2" t="s">
        <v>318</v>
      </c>
      <c r="EH280" s="2">
        <v>0</v>
      </c>
      <c r="EI280" s="2" t="s">
        <v>3</v>
      </c>
      <c r="EJ280" s="2">
        <v>1</v>
      </c>
      <c r="EK280" s="2">
        <v>1617</v>
      </c>
      <c r="EL280" s="2" t="s">
        <v>319</v>
      </c>
      <c r="EM280" s="2" t="s">
        <v>320</v>
      </c>
      <c r="EN280" s="2"/>
      <c r="EO280" s="2" t="s">
        <v>3</v>
      </c>
      <c r="EP280" s="2"/>
      <c r="EQ280" s="2">
        <v>0</v>
      </c>
      <c r="ER280" s="2">
        <v>173.23</v>
      </c>
      <c r="ES280" s="2">
        <v>173.23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>
        <v>0</v>
      </c>
      <c r="FR280" s="2">
        <v>0</v>
      </c>
      <c r="FS280" s="2">
        <v>0</v>
      </c>
      <c r="FT280" s="2"/>
      <c r="FU280" s="2"/>
      <c r="FV280" s="2"/>
      <c r="FW280" s="2"/>
      <c r="FX280" s="2">
        <v>0</v>
      </c>
      <c r="FY280" s="2">
        <v>0</v>
      </c>
      <c r="FZ280" s="2"/>
      <c r="GA280" s="2" t="s">
        <v>3</v>
      </c>
      <c r="GB280" s="2"/>
      <c r="GC280" s="2"/>
      <c r="GD280" s="2">
        <v>1</v>
      </c>
      <c r="GE280" s="2"/>
      <c r="GF280" s="2">
        <v>1081764998</v>
      </c>
      <c r="GG280" s="2">
        <v>2</v>
      </c>
      <c r="GH280" s="2">
        <v>1</v>
      </c>
      <c r="GI280" s="2">
        <v>-2</v>
      </c>
      <c r="GJ280" s="2">
        <v>0</v>
      </c>
      <c r="GK280" s="2">
        <v>0</v>
      </c>
      <c r="GL280" s="2">
        <f t="shared" si="235"/>
        <v>0</v>
      </c>
      <c r="GM280" s="2">
        <f t="shared" si="236"/>
        <v>128.19</v>
      </c>
      <c r="GN280" s="2">
        <f t="shared" si="237"/>
        <v>0</v>
      </c>
      <c r="GO280" s="2">
        <f t="shared" si="238"/>
        <v>128.19</v>
      </c>
      <c r="GP280" s="2">
        <f t="shared" si="239"/>
        <v>0</v>
      </c>
      <c r="GQ280" s="2"/>
      <c r="GR280" s="2">
        <v>0</v>
      </c>
      <c r="GS280" s="2">
        <v>3</v>
      </c>
      <c r="GT280" s="2">
        <v>0</v>
      </c>
      <c r="GU280" s="2" t="s">
        <v>3</v>
      </c>
      <c r="GV280" s="2">
        <f t="shared" si="240"/>
        <v>0</v>
      </c>
      <c r="GW280" s="2">
        <v>1</v>
      </c>
      <c r="GX280" s="2">
        <f t="shared" si="241"/>
        <v>0</v>
      </c>
      <c r="GY280" s="2"/>
      <c r="GZ280" s="2"/>
      <c r="HA280" s="2">
        <v>0</v>
      </c>
      <c r="HB280" s="2">
        <v>0</v>
      </c>
      <c r="HC280" s="2">
        <f t="shared" si="242"/>
        <v>0</v>
      </c>
      <c r="HD280" s="2"/>
      <c r="HE280" s="2" t="s">
        <v>3</v>
      </c>
      <c r="HF280" s="2" t="s">
        <v>3</v>
      </c>
      <c r="HG280" s="2"/>
      <c r="HH280" s="2"/>
      <c r="HI280" s="2"/>
      <c r="HJ280" s="2"/>
      <c r="HK280" s="2"/>
      <c r="HL280" s="2"/>
      <c r="HM280" s="2" t="s">
        <v>3</v>
      </c>
      <c r="HN280" s="2" t="s">
        <v>3</v>
      </c>
      <c r="HO280" s="2" t="s">
        <v>3</v>
      </c>
      <c r="HP280" s="2" t="s">
        <v>3</v>
      </c>
      <c r="HQ280" s="2" t="s">
        <v>3</v>
      </c>
      <c r="HR280" s="2"/>
      <c r="HS280" s="2">
        <v>0</v>
      </c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>
        <v>0</v>
      </c>
      <c r="IL280" s="2"/>
      <c r="IM280" s="2"/>
      <c r="IN280" s="2"/>
      <c r="IO280" s="2"/>
      <c r="IP280" s="2"/>
      <c r="IQ280" s="2"/>
      <c r="IR280" s="2"/>
      <c r="IS280" s="2"/>
      <c r="IT280" s="2"/>
      <c r="IU280" s="2"/>
    </row>
    <row r="281" spans="1:255" x14ac:dyDescent="0.25">
      <c r="A281" s="3">
        <v>17</v>
      </c>
      <c r="B281" s="3">
        <v>1</v>
      </c>
      <c r="E281" s="3" t="s">
        <v>314</v>
      </c>
      <c r="F281" s="3" t="s">
        <v>315</v>
      </c>
      <c r="G281" s="3" t="s">
        <v>620</v>
      </c>
      <c r="H281" s="3" t="s">
        <v>316</v>
      </c>
      <c r="I281" s="3">
        <v>0.74</v>
      </c>
      <c r="J281" s="3">
        <v>0</v>
      </c>
      <c r="K281" s="3">
        <v>0.74</v>
      </c>
      <c r="O281" s="3">
        <f t="shared" si="218"/>
        <v>984.5</v>
      </c>
      <c r="P281" s="3">
        <f t="shared" si="219"/>
        <v>984.5</v>
      </c>
      <c r="Q281" s="3">
        <f>(ROUND((ROUND(((ET281)*AV281*I281),2)*BB281),2)+ROUND((ROUND(((AE281-(EU281))*AV281*I281),2)*BS281),2))</f>
        <v>0</v>
      </c>
      <c r="R281" s="3">
        <f>(ROUND((ROUND(((EU281)*AV281*I281),2)*BS281),2)+ROUND((ROUND(((AE281-(EU281))*AV281*I281),2)*BS281),2))</f>
        <v>0</v>
      </c>
      <c r="S281" s="3">
        <f t="shared" si="220"/>
        <v>0</v>
      </c>
      <c r="T281" s="3">
        <f t="shared" si="221"/>
        <v>0</v>
      </c>
      <c r="U281" s="3">
        <f t="shared" si="222"/>
        <v>0</v>
      </c>
      <c r="V281" s="3">
        <f t="shared" si="223"/>
        <v>0</v>
      </c>
      <c r="W281" s="3">
        <f t="shared" si="224"/>
        <v>0</v>
      </c>
      <c r="X281" s="3">
        <f>(ROUND((((S281+ROUND((ROUND(((EU281)*AV281*I281),2)*BS281),2))*AT281)/100),2)+ROUND(((ROUND((ROUND(((AE281-(EU281))*AV281*I281),2)*BS281),2)*AT281)/100),2))</f>
        <v>0</v>
      </c>
      <c r="Y281" s="3">
        <f>(ROUND((((S281+ROUND((ROUND(((EU281)*AV281*I281),2)*BS281),2))*AU281)/100),2)+ROUND(((ROUND((ROUND(((AE281-(EU281))*AV281*I281),2)*BS281),2)*AU281)/100),2))</f>
        <v>0</v>
      </c>
      <c r="AA281" s="3">
        <v>55917799</v>
      </c>
      <c r="AB281" s="3">
        <f t="shared" si="225"/>
        <v>173.23</v>
      </c>
      <c r="AC281" s="3">
        <f>ROUND((ES281),6)</f>
        <v>173.23</v>
      </c>
      <c r="AD281" s="3">
        <f>ROUND((((ET281)-(EU281))+AE281),6)</f>
        <v>0</v>
      </c>
      <c r="AE281" s="3">
        <f>ROUND((EU281),6)</f>
        <v>0</v>
      </c>
      <c r="AF281" s="3">
        <f>ROUND((EV281),6)</f>
        <v>0</v>
      </c>
      <c r="AG281" s="3">
        <f t="shared" si="226"/>
        <v>0</v>
      </c>
      <c r="AH281" s="3">
        <f>(EW281)</f>
        <v>0</v>
      </c>
      <c r="AI281" s="3">
        <f>(EX281)</f>
        <v>0</v>
      </c>
      <c r="AJ281" s="3">
        <f t="shared" si="227"/>
        <v>0</v>
      </c>
      <c r="AK281" s="3">
        <v>173.23</v>
      </c>
      <c r="AL281" s="3">
        <v>173.23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1</v>
      </c>
      <c r="AW281" s="3">
        <v>1</v>
      </c>
      <c r="AZ281" s="3">
        <v>1</v>
      </c>
      <c r="BA281" s="3">
        <v>1</v>
      </c>
      <c r="BB281" s="3">
        <v>1</v>
      </c>
      <c r="BC281" s="3">
        <v>7.68</v>
      </c>
      <c r="BD281" s="3" t="s">
        <v>3</v>
      </c>
      <c r="BE281" s="3" t="s">
        <v>3</v>
      </c>
      <c r="BF281" s="3" t="s">
        <v>3</v>
      </c>
      <c r="BG281" s="3" t="s">
        <v>3</v>
      </c>
      <c r="BH281" s="3">
        <v>3</v>
      </c>
      <c r="BI281" s="3">
        <v>2</v>
      </c>
      <c r="BJ281" s="3" t="s">
        <v>317</v>
      </c>
      <c r="BM281" s="3">
        <v>1617</v>
      </c>
      <c r="BN281" s="3">
        <v>0</v>
      </c>
      <c r="BO281" s="3" t="s">
        <v>315</v>
      </c>
      <c r="BP281" s="3">
        <v>1</v>
      </c>
      <c r="BQ281" s="3">
        <v>200</v>
      </c>
      <c r="BR281" s="3">
        <v>0</v>
      </c>
      <c r="BS281" s="3">
        <v>1</v>
      </c>
      <c r="BT281" s="3">
        <v>1</v>
      </c>
      <c r="BU281" s="3">
        <v>1</v>
      </c>
      <c r="BV281" s="3">
        <v>1</v>
      </c>
      <c r="BW281" s="3">
        <v>1</v>
      </c>
      <c r="BX281" s="3">
        <v>1</v>
      </c>
      <c r="BY281" s="3" t="s">
        <v>3</v>
      </c>
      <c r="BZ281" s="3">
        <v>0</v>
      </c>
      <c r="CA281" s="3">
        <v>0</v>
      </c>
      <c r="CB281" s="3" t="s">
        <v>3</v>
      </c>
      <c r="CE281" s="3">
        <v>1566</v>
      </c>
      <c r="CF281" s="3">
        <v>0</v>
      </c>
      <c r="CG281" s="3">
        <v>0</v>
      </c>
      <c r="CM281" s="3">
        <v>0</v>
      </c>
      <c r="CN281" s="3" t="s">
        <v>3</v>
      </c>
      <c r="CO281" s="3">
        <v>0</v>
      </c>
      <c r="CP281" s="3">
        <f t="shared" si="228"/>
        <v>984.5</v>
      </c>
      <c r="CQ281" s="3">
        <f t="shared" si="229"/>
        <v>1330.41</v>
      </c>
      <c r="CR281" s="3">
        <f>(ROUND((ROUND(((ET281)*AV281*1),2)*BB281),2)+ROUND((ROUND(((AE281-(EU281))*AV281*1),2)*BS281),2))</f>
        <v>0</v>
      </c>
      <c r="CS281" s="3">
        <f>(ROUND((ROUND(((EU281)*AV281*1),2)*BS281),2)+ROUND((ROUND(((AE281-(EU281))*AV281*1),2)*BS281),2))</f>
        <v>0</v>
      </c>
      <c r="CT281" s="3">
        <f t="shared" si="230"/>
        <v>0</v>
      </c>
      <c r="CU281" s="3">
        <f t="shared" si="231"/>
        <v>0</v>
      </c>
      <c r="CV281" s="3">
        <f t="shared" si="232"/>
        <v>0</v>
      </c>
      <c r="CW281" s="3">
        <f t="shared" si="233"/>
        <v>0</v>
      </c>
      <c r="CX281" s="3">
        <f t="shared" si="234"/>
        <v>0</v>
      </c>
      <c r="CY281" s="3">
        <f>(ROUND((((S281+ROUND((ROUND(((EU281)*AV281*1),2)*BS281),2))*AT281)/100),2)+ROUND(((ROUND((ROUND(((AE281-(EU281))*AV281*1),2)*BS281),2)*AT281)/100),2))</f>
        <v>0</v>
      </c>
      <c r="CZ281" s="3">
        <f>(ROUND((((S281+ROUND((ROUND(((EU281)*AV281*1),2)*BS281),2))*AU281)/100),2)+ROUND(((ROUND((ROUND(((AE281-(EU281))*AV281*1),2)*BS281),2)*AU281)/100),2))</f>
        <v>0</v>
      </c>
      <c r="DC281" s="3" t="s">
        <v>3</v>
      </c>
      <c r="DD281" s="3" t="s">
        <v>3</v>
      </c>
      <c r="DE281" s="3" t="s">
        <v>3</v>
      </c>
      <c r="DF281" s="3" t="s">
        <v>3</v>
      </c>
      <c r="DG281" s="3" t="s">
        <v>3</v>
      </c>
      <c r="DH281" s="3" t="s">
        <v>3</v>
      </c>
      <c r="DI281" s="3" t="s">
        <v>3</v>
      </c>
      <c r="DJ281" s="3" t="s">
        <v>3</v>
      </c>
      <c r="DK281" s="3" t="s">
        <v>3</v>
      </c>
      <c r="DL281" s="3" t="s">
        <v>3</v>
      </c>
      <c r="DM281" s="3" t="s">
        <v>3</v>
      </c>
      <c r="DN281" s="3">
        <v>0</v>
      </c>
      <c r="DO281" s="3">
        <v>0</v>
      </c>
      <c r="DP281" s="3">
        <v>1</v>
      </c>
      <c r="DQ281" s="3">
        <v>1</v>
      </c>
      <c r="DU281" s="3">
        <v>1009</v>
      </c>
      <c r="DV281" s="3" t="s">
        <v>316</v>
      </c>
      <c r="DW281" s="3" t="s">
        <v>316</v>
      </c>
      <c r="DX281" s="3">
        <v>1</v>
      </c>
      <c r="DZ281" s="3" t="s">
        <v>3</v>
      </c>
      <c r="EA281" s="3" t="s">
        <v>3</v>
      </c>
      <c r="EB281" s="3" t="s">
        <v>3</v>
      </c>
      <c r="EC281" s="3" t="s">
        <v>3</v>
      </c>
      <c r="EE281" s="3">
        <v>55393728</v>
      </c>
      <c r="EF281" s="3">
        <v>200</v>
      </c>
      <c r="EG281" s="3" t="s">
        <v>318</v>
      </c>
      <c r="EH281" s="3">
        <v>0</v>
      </c>
      <c r="EI281" s="3" t="s">
        <v>3</v>
      </c>
      <c r="EJ281" s="3">
        <v>1</v>
      </c>
      <c r="EK281" s="3">
        <v>1617</v>
      </c>
      <c r="EL281" s="3" t="s">
        <v>319</v>
      </c>
      <c r="EM281" s="3" t="s">
        <v>320</v>
      </c>
      <c r="EO281" s="3" t="s">
        <v>3</v>
      </c>
      <c r="EQ281" s="3">
        <v>0</v>
      </c>
      <c r="ER281" s="3">
        <v>173.23</v>
      </c>
      <c r="ES281" s="3">
        <v>173.23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FQ281" s="3">
        <v>0</v>
      </c>
      <c r="FR281" s="3">
        <v>0</v>
      </c>
      <c r="FS281" s="3">
        <v>0</v>
      </c>
      <c r="FX281" s="3">
        <v>0</v>
      </c>
      <c r="FY281" s="3">
        <v>0</v>
      </c>
      <c r="GA281" s="3" t="s">
        <v>3</v>
      </c>
      <c r="GD281" s="3">
        <v>1</v>
      </c>
      <c r="GF281" s="3">
        <v>1081764998</v>
      </c>
      <c r="GG281" s="3">
        <v>2</v>
      </c>
      <c r="GH281" s="3">
        <v>1</v>
      </c>
      <c r="GI281" s="3">
        <v>2</v>
      </c>
      <c r="GJ281" s="3">
        <v>0</v>
      </c>
      <c r="GK281" s="3">
        <v>0</v>
      </c>
      <c r="GL281" s="3">
        <f t="shared" si="235"/>
        <v>0</v>
      </c>
      <c r="GM281" s="3">
        <f t="shared" si="236"/>
        <v>984.5</v>
      </c>
      <c r="GN281" s="3">
        <f t="shared" si="237"/>
        <v>0</v>
      </c>
      <c r="GO281" s="3">
        <f t="shared" si="238"/>
        <v>984.5</v>
      </c>
      <c r="GP281" s="3">
        <f t="shared" si="239"/>
        <v>0</v>
      </c>
      <c r="GR281" s="3">
        <v>0</v>
      </c>
      <c r="GS281" s="3">
        <v>3</v>
      </c>
      <c r="GT281" s="3">
        <v>0</v>
      </c>
      <c r="GU281" s="3" t="s">
        <v>3</v>
      </c>
      <c r="GV281" s="3">
        <f t="shared" si="240"/>
        <v>0</v>
      </c>
      <c r="GW281" s="3">
        <v>1</v>
      </c>
      <c r="GX281" s="3">
        <f t="shared" si="241"/>
        <v>0</v>
      </c>
      <c r="HA281" s="3">
        <v>0</v>
      </c>
      <c r="HB281" s="3">
        <v>0</v>
      </c>
      <c r="HC281" s="3">
        <f t="shared" si="242"/>
        <v>0</v>
      </c>
      <c r="HE281" s="3" t="s">
        <v>3</v>
      </c>
      <c r="HF281" s="3" t="s">
        <v>3</v>
      </c>
      <c r="HM281" s="3" t="s">
        <v>3</v>
      </c>
      <c r="HN281" s="3" t="s">
        <v>3</v>
      </c>
      <c r="HO281" s="3" t="s">
        <v>3</v>
      </c>
      <c r="HP281" s="3" t="s">
        <v>3</v>
      </c>
      <c r="HQ281" s="3" t="s">
        <v>3</v>
      </c>
      <c r="HS281" s="3">
        <v>0</v>
      </c>
      <c r="IK281" s="3">
        <v>0</v>
      </c>
    </row>
    <row r="283" spans="1:255" ht="13" x14ac:dyDescent="0.3">
      <c r="A283" s="11">
        <v>51</v>
      </c>
      <c r="B283" s="11">
        <f>B248</f>
        <v>1</v>
      </c>
      <c r="C283" s="11">
        <f>A248</f>
        <v>4</v>
      </c>
      <c r="D283" s="11">
        <f>ROW(A248)</f>
        <v>248</v>
      </c>
      <c r="E283" s="11"/>
      <c r="F283" s="11" t="str">
        <f>IF(F248&lt;&gt;"",F248,"")</f>
        <v>4</v>
      </c>
      <c r="G283" s="11" t="str">
        <f>IF(G248&lt;&gt;"",G248,"")</f>
        <v>Кабели и провода</v>
      </c>
      <c r="H283" s="11">
        <v>0</v>
      </c>
      <c r="I283" s="11"/>
      <c r="J283" s="11"/>
      <c r="K283" s="11"/>
      <c r="L283" s="11"/>
      <c r="M283" s="11"/>
      <c r="N283" s="11"/>
      <c r="O283" s="11">
        <f t="shared" ref="O283:T283" si="271">ROUND(AB283,2)</f>
        <v>56365.74</v>
      </c>
      <c r="P283" s="11">
        <f t="shared" si="271"/>
        <v>53914.559999999998</v>
      </c>
      <c r="Q283" s="11">
        <f t="shared" si="271"/>
        <v>260.97000000000003</v>
      </c>
      <c r="R283" s="11">
        <f t="shared" si="271"/>
        <v>12.21</v>
      </c>
      <c r="S283" s="11">
        <f t="shared" si="271"/>
        <v>2190.21</v>
      </c>
      <c r="T283" s="11">
        <f t="shared" si="271"/>
        <v>0</v>
      </c>
      <c r="U283" s="11">
        <f>AH283</f>
        <v>178.96287239999998</v>
      </c>
      <c r="V283" s="11">
        <f>AI283</f>
        <v>0</v>
      </c>
      <c r="W283" s="11">
        <f>ROUND(AJ283,2)</f>
        <v>0</v>
      </c>
      <c r="X283" s="11">
        <f>ROUND(AK283,2)</f>
        <v>2109.4299999999998</v>
      </c>
      <c r="Y283" s="11">
        <f>ROUND(AL283,2)</f>
        <v>1104</v>
      </c>
      <c r="Z283" s="11"/>
      <c r="AA283" s="11"/>
      <c r="AB283" s="11">
        <f>ROUND(SUMIF(AA252:AA281,"=55917797",O252:O281),2)</f>
        <v>56365.74</v>
      </c>
      <c r="AC283" s="11">
        <f>ROUND(SUMIF(AA252:AA281,"=55917797",P252:P281),2)</f>
        <v>53914.559999999998</v>
      </c>
      <c r="AD283" s="11">
        <f>ROUND(SUMIF(AA252:AA281,"=55917797",Q252:Q281),2)</f>
        <v>260.97000000000003</v>
      </c>
      <c r="AE283" s="11">
        <f>ROUND(SUMIF(AA252:AA281,"=55917797",R252:R281),2)</f>
        <v>12.21</v>
      </c>
      <c r="AF283" s="11">
        <f>ROUND(SUMIF(AA252:AA281,"=55917797",S252:S281),2)</f>
        <v>2190.21</v>
      </c>
      <c r="AG283" s="11">
        <f>ROUND(SUMIF(AA252:AA281,"=55917797",T252:T281),2)</f>
        <v>0</v>
      </c>
      <c r="AH283" s="11">
        <f>SUMIF(AA252:AA281,"=55917797",U252:U281)</f>
        <v>178.96287239999998</v>
      </c>
      <c r="AI283" s="11">
        <f>SUMIF(AA252:AA281,"=55917797",V252:V281)</f>
        <v>0</v>
      </c>
      <c r="AJ283" s="11">
        <f>ROUND(SUMIF(AA252:AA281,"=55917797",W252:W281),2)</f>
        <v>0</v>
      </c>
      <c r="AK283" s="11">
        <f>ROUND(SUMIF(AA252:AA281,"=55917797",X252:X281),2)</f>
        <v>2109.4299999999998</v>
      </c>
      <c r="AL283" s="11">
        <f>ROUND(SUMIF(AA252:AA281,"=55917797",Y252:Y281),2)</f>
        <v>1104</v>
      </c>
      <c r="AM283" s="11"/>
      <c r="AN283" s="11"/>
      <c r="AO283" s="11">
        <f t="shared" ref="AO283:BD283" si="272">ROUND(BX283,2)</f>
        <v>0</v>
      </c>
      <c r="AP283" s="11">
        <f t="shared" si="272"/>
        <v>0</v>
      </c>
      <c r="AQ283" s="11">
        <f t="shared" si="272"/>
        <v>0</v>
      </c>
      <c r="AR283" s="11">
        <f t="shared" si="272"/>
        <v>59579.17</v>
      </c>
      <c r="AS283" s="11">
        <f t="shared" si="272"/>
        <v>0</v>
      </c>
      <c r="AT283" s="11">
        <f t="shared" si="272"/>
        <v>59579.17</v>
      </c>
      <c r="AU283" s="11">
        <f t="shared" si="272"/>
        <v>0</v>
      </c>
      <c r="AV283" s="11">
        <f t="shared" si="272"/>
        <v>53914.559999999998</v>
      </c>
      <c r="AW283" s="11">
        <f t="shared" si="272"/>
        <v>53914.559999999998</v>
      </c>
      <c r="AX283" s="11">
        <f t="shared" si="272"/>
        <v>0</v>
      </c>
      <c r="AY283" s="11">
        <f t="shared" si="272"/>
        <v>53914.559999999998</v>
      </c>
      <c r="AZ283" s="11">
        <f t="shared" si="272"/>
        <v>0</v>
      </c>
      <c r="BA283" s="11">
        <f t="shared" si="272"/>
        <v>0</v>
      </c>
      <c r="BB283" s="11">
        <f t="shared" si="272"/>
        <v>0</v>
      </c>
      <c r="BC283" s="11">
        <f t="shared" si="272"/>
        <v>0</v>
      </c>
      <c r="BD283" s="11">
        <f t="shared" si="272"/>
        <v>0</v>
      </c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>
        <f>ROUND(SUMIF(AA252:AA281,"=55917797",FQ252:FQ281),2)</f>
        <v>0</v>
      </c>
      <c r="BY283" s="11">
        <f>ROUND(SUMIF(AA252:AA281,"=55917797",FR252:FR281),2)</f>
        <v>0</v>
      </c>
      <c r="BZ283" s="11">
        <f>ROUND(SUMIF(AA252:AA281,"=55917797",GL252:GL281),2)</f>
        <v>0</v>
      </c>
      <c r="CA283" s="11">
        <f>ROUND(SUMIF(AA252:AA281,"=55917797",GM252:GM281),2)</f>
        <v>59579.17</v>
      </c>
      <c r="CB283" s="11">
        <f>ROUND(SUMIF(AA252:AA281,"=55917797",GN252:GN281),2)</f>
        <v>0</v>
      </c>
      <c r="CC283" s="11">
        <f>ROUND(SUMIF(AA252:AA281,"=55917797",GO252:GO281),2)</f>
        <v>59579.17</v>
      </c>
      <c r="CD283" s="11">
        <f>ROUND(SUMIF(AA252:AA281,"=55917797",GP252:GP281),2)</f>
        <v>0</v>
      </c>
      <c r="CE283" s="11">
        <f>AC283-BX283</f>
        <v>53914.559999999998</v>
      </c>
      <c r="CF283" s="11">
        <f>AC283-BY283</f>
        <v>53914.559999999998</v>
      </c>
      <c r="CG283" s="11">
        <f>BX283-BZ283</f>
        <v>0</v>
      </c>
      <c r="CH283" s="11">
        <f>AC283-BX283-BY283+BZ283</f>
        <v>53914.559999999998</v>
      </c>
      <c r="CI283" s="11">
        <f>BY283-BZ283</f>
        <v>0</v>
      </c>
      <c r="CJ283" s="11">
        <f>ROUND(SUMIF(AA252:AA281,"=55917797",GX252:GX281),2)</f>
        <v>0</v>
      </c>
      <c r="CK283" s="11">
        <f>ROUND(SUMIF(AA252:AA281,"=55917797",GY252:GY281),2)</f>
        <v>0</v>
      </c>
      <c r="CL283" s="11">
        <f>ROUND(SUMIF(AA252:AA281,"=55917797",GZ252:GZ281),2)</f>
        <v>0</v>
      </c>
      <c r="CM283" s="11">
        <f>ROUND(SUMIF(AA252:AA281,"=55917797",HD252:HD281),2)</f>
        <v>0</v>
      </c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2">
        <f t="shared" ref="DG283:DL283" si="273">ROUND(DT283,2)</f>
        <v>289689.53000000003</v>
      </c>
      <c r="DH283" s="12">
        <f t="shared" si="273"/>
        <v>162552</v>
      </c>
      <c r="DI283" s="12">
        <f t="shared" si="273"/>
        <v>3719.19</v>
      </c>
      <c r="DJ283" s="12">
        <f t="shared" si="273"/>
        <v>688.03</v>
      </c>
      <c r="DK283" s="12">
        <f t="shared" si="273"/>
        <v>123418.34</v>
      </c>
      <c r="DL283" s="12">
        <f t="shared" si="273"/>
        <v>0</v>
      </c>
      <c r="DM283" s="12">
        <f>DZ283</f>
        <v>178.96287239999998</v>
      </c>
      <c r="DN283" s="12">
        <f>EA283</f>
        <v>0</v>
      </c>
      <c r="DO283" s="12">
        <f>ROUND(EB283,2)</f>
        <v>0</v>
      </c>
      <c r="DP283" s="12">
        <f>ROUND(EC283,2)</f>
        <v>118866.71</v>
      </c>
      <c r="DQ283" s="12">
        <f>ROUND(ED283,2)</f>
        <v>62211.06</v>
      </c>
      <c r="DR283" s="12"/>
      <c r="DS283" s="12"/>
      <c r="DT283" s="12">
        <f>ROUND(SUMIF(AA252:AA281,"=55917799",O252:O281),2)</f>
        <v>289689.53000000003</v>
      </c>
      <c r="DU283" s="12">
        <f>ROUND(SUMIF(AA252:AA281,"=55917799",P252:P281),2)</f>
        <v>162552</v>
      </c>
      <c r="DV283" s="12">
        <f>ROUND(SUMIF(AA252:AA281,"=55917799",Q252:Q281),2)</f>
        <v>3719.19</v>
      </c>
      <c r="DW283" s="12">
        <f>ROUND(SUMIF(AA252:AA281,"=55917799",R252:R281),2)</f>
        <v>688.03</v>
      </c>
      <c r="DX283" s="12">
        <f>ROUND(SUMIF(AA252:AA281,"=55917799",S252:S281),2)</f>
        <v>123418.34</v>
      </c>
      <c r="DY283" s="12">
        <f>ROUND(SUMIF(AA252:AA281,"=55917799",T252:T281),2)</f>
        <v>0</v>
      </c>
      <c r="DZ283" s="12">
        <f>SUMIF(AA252:AA281,"=55917799",U252:U281)</f>
        <v>178.96287239999998</v>
      </c>
      <c r="EA283" s="12">
        <f>SUMIF(AA252:AA281,"=55917799",V252:V281)</f>
        <v>0</v>
      </c>
      <c r="EB283" s="12">
        <f>ROUND(SUMIF(AA252:AA281,"=55917799",W252:W281),2)</f>
        <v>0</v>
      </c>
      <c r="EC283" s="12">
        <f>ROUND(SUMIF(AA252:AA281,"=55917799",X252:X281),2)</f>
        <v>118866.71</v>
      </c>
      <c r="ED283" s="12">
        <f>ROUND(SUMIF(AA252:AA281,"=55917799",Y252:Y281),2)</f>
        <v>62211.06</v>
      </c>
      <c r="EE283" s="12"/>
      <c r="EF283" s="12"/>
      <c r="EG283" s="12">
        <f t="shared" ref="EG283:EV283" si="274">ROUND(FP283,2)</f>
        <v>0</v>
      </c>
      <c r="EH283" s="12">
        <f t="shared" si="274"/>
        <v>0</v>
      </c>
      <c r="EI283" s="12">
        <f t="shared" si="274"/>
        <v>0</v>
      </c>
      <c r="EJ283" s="12">
        <f t="shared" si="274"/>
        <v>470767.3</v>
      </c>
      <c r="EK283" s="12">
        <f t="shared" si="274"/>
        <v>0</v>
      </c>
      <c r="EL283" s="12">
        <f t="shared" si="274"/>
        <v>470767.3</v>
      </c>
      <c r="EM283" s="12">
        <f t="shared" si="274"/>
        <v>0</v>
      </c>
      <c r="EN283" s="12">
        <f t="shared" si="274"/>
        <v>162552</v>
      </c>
      <c r="EO283" s="12">
        <f t="shared" si="274"/>
        <v>162552</v>
      </c>
      <c r="EP283" s="12">
        <f t="shared" si="274"/>
        <v>0</v>
      </c>
      <c r="EQ283" s="12">
        <f t="shared" si="274"/>
        <v>162552</v>
      </c>
      <c r="ER283" s="12">
        <f t="shared" si="274"/>
        <v>0</v>
      </c>
      <c r="ES283" s="12">
        <f t="shared" si="274"/>
        <v>0</v>
      </c>
      <c r="ET283" s="12">
        <f t="shared" si="274"/>
        <v>0</v>
      </c>
      <c r="EU283" s="12">
        <f t="shared" si="274"/>
        <v>0</v>
      </c>
      <c r="EV283" s="12">
        <f t="shared" si="274"/>
        <v>0</v>
      </c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>
        <f>ROUND(SUMIF(AA252:AA281,"=55917799",FQ252:FQ281),2)</f>
        <v>0</v>
      </c>
      <c r="FQ283" s="12">
        <f>ROUND(SUMIF(AA252:AA281,"=55917799",FR252:FR281),2)</f>
        <v>0</v>
      </c>
      <c r="FR283" s="12">
        <f>ROUND(SUMIF(AA252:AA281,"=55917799",GL252:GL281),2)</f>
        <v>0</v>
      </c>
      <c r="FS283" s="12">
        <f>ROUND(SUMIF(AA252:AA281,"=55917799",GM252:GM281),2)</f>
        <v>470767.3</v>
      </c>
      <c r="FT283" s="12">
        <f>ROUND(SUMIF(AA252:AA281,"=55917799",GN252:GN281),2)</f>
        <v>0</v>
      </c>
      <c r="FU283" s="12">
        <f>ROUND(SUMIF(AA252:AA281,"=55917799",GO252:GO281),2)</f>
        <v>470767.3</v>
      </c>
      <c r="FV283" s="12">
        <f>ROUND(SUMIF(AA252:AA281,"=55917799",GP252:GP281),2)</f>
        <v>0</v>
      </c>
      <c r="FW283" s="12">
        <f>DU283-FP283</f>
        <v>162552</v>
      </c>
      <c r="FX283" s="12">
        <f>DU283-FQ283</f>
        <v>162552</v>
      </c>
      <c r="FY283" s="12">
        <f>FP283-FR283</f>
        <v>0</v>
      </c>
      <c r="FZ283" s="12">
        <f>DU283-FP283-FQ283+FR283</f>
        <v>162552</v>
      </c>
      <c r="GA283" s="12">
        <f>FQ283-FR283</f>
        <v>0</v>
      </c>
      <c r="GB283" s="12">
        <f>ROUND(SUMIF(AA252:AA281,"=55917799",GX252:GX281),2)</f>
        <v>0</v>
      </c>
      <c r="GC283" s="12">
        <f>ROUND(SUMIF(AA252:AA281,"=55917799",GY252:GY281),2)</f>
        <v>0</v>
      </c>
      <c r="GD283" s="12">
        <f>ROUND(SUMIF(AA252:AA281,"=55917799",GZ252:GZ281),2)</f>
        <v>0</v>
      </c>
      <c r="GE283" s="12">
        <f>ROUND(SUMIF(AA252:AA281,"=55917799",HD252:HD281),2)</f>
        <v>0</v>
      </c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>
        <v>0</v>
      </c>
    </row>
    <row r="285" spans="1:255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201</v>
      </c>
      <c r="F285" s="13">
        <f>ROUND(Source!O283,O285)</f>
        <v>56365.74</v>
      </c>
      <c r="G285" s="13" t="s">
        <v>88</v>
      </c>
      <c r="H285" s="13" t="s">
        <v>89</v>
      </c>
      <c r="I285" s="13"/>
      <c r="J285" s="13"/>
      <c r="K285" s="13">
        <v>201</v>
      </c>
      <c r="L285" s="13">
        <v>1</v>
      </c>
      <c r="M285" s="13">
        <v>3</v>
      </c>
      <c r="N285" s="13" t="s">
        <v>3</v>
      </c>
      <c r="O285" s="13">
        <v>2</v>
      </c>
      <c r="P285" s="13">
        <f>ROUND(Source!DG283,O285)</f>
        <v>289689.53000000003</v>
      </c>
      <c r="Q285" s="13"/>
      <c r="R285" s="13"/>
      <c r="S285" s="13"/>
      <c r="T285" s="13"/>
      <c r="U285" s="13"/>
      <c r="V285" s="13"/>
      <c r="W285" s="13">
        <v>56365.74</v>
      </c>
      <c r="X285" s="13">
        <v>1</v>
      </c>
      <c r="Y285" s="13">
        <v>56365.74</v>
      </c>
      <c r="Z285" s="13">
        <v>289689.53000000003</v>
      </c>
      <c r="AA285" s="13">
        <v>1</v>
      </c>
      <c r="AB285" s="13">
        <v>289689.53000000003</v>
      </c>
    </row>
    <row r="286" spans="1:255" ht="13" x14ac:dyDescent="0.3">
      <c r="A286" s="13">
        <v>50</v>
      </c>
      <c r="B286" s="13">
        <v>0</v>
      </c>
      <c r="C286" s="13">
        <v>0</v>
      </c>
      <c r="D286" s="13">
        <v>1</v>
      </c>
      <c r="E286" s="13">
        <v>202</v>
      </c>
      <c r="F286" s="13">
        <f>ROUND(Source!P283,O286)</f>
        <v>53914.559999999998</v>
      </c>
      <c r="G286" s="13" t="s">
        <v>90</v>
      </c>
      <c r="H286" s="13" t="s">
        <v>91</v>
      </c>
      <c r="I286" s="13"/>
      <c r="J286" s="13"/>
      <c r="K286" s="13">
        <v>202</v>
      </c>
      <c r="L286" s="13">
        <v>2</v>
      </c>
      <c r="M286" s="13">
        <v>3</v>
      </c>
      <c r="N286" s="13" t="s">
        <v>3</v>
      </c>
      <c r="O286" s="13">
        <v>2</v>
      </c>
      <c r="P286" s="13">
        <f>ROUND(Source!DH283,O286)</f>
        <v>162552</v>
      </c>
      <c r="Q286" s="13"/>
      <c r="R286" s="13"/>
      <c r="S286" s="13"/>
      <c r="T286" s="13"/>
      <c r="U286" s="13"/>
      <c r="V286" s="13"/>
      <c r="W286" s="13">
        <v>53914.559999999998</v>
      </c>
      <c r="X286" s="13">
        <v>1</v>
      </c>
      <c r="Y286" s="13">
        <v>53914.559999999998</v>
      </c>
      <c r="Z286" s="13">
        <v>162552</v>
      </c>
      <c r="AA286" s="13">
        <v>1</v>
      </c>
      <c r="AB286" s="13">
        <v>162552</v>
      </c>
    </row>
    <row r="287" spans="1:255" ht="13" x14ac:dyDescent="0.3">
      <c r="A287" s="13">
        <v>50</v>
      </c>
      <c r="B287" s="13">
        <v>0</v>
      </c>
      <c r="C287" s="13">
        <v>0</v>
      </c>
      <c r="D287" s="13">
        <v>1</v>
      </c>
      <c r="E287" s="13">
        <v>222</v>
      </c>
      <c r="F287" s="13">
        <f>ROUND(Source!AO283,O287)</f>
        <v>0</v>
      </c>
      <c r="G287" s="13" t="s">
        <v>92</v>
      </c>
      <c r="H287" s="13" t="s">
        <v>93</v>
      </c>
      <c r="I287" s="13"/>
      <c r="J287" s="13"/>
      <c r="K287" s="13">
        <v>222</v>
      </c>
      <c r="L287" s="13">
        <v>3</v>
      </c>
      <c r="M287" s="13">
        <v>3</v>
      </c>
      <c r="N287" s="13" t="s">
        <v>3</v>
      </c>
      <c r="O287" s="13">
        <v>2</v>
      </c>
      <c r="P287" s="13">
        <f>ROUND(Source!EG283,O287)</f>
        <v>0</v>
      </c>
      <c r="Q287" s="13"/>
      <c r="R287" s="13"/>
      <c r="S287" s="13"/>
      <c r="T287" s="13"/>
      <c r="U287" s="13"/>
      <c r="V287" s="13"/>
      <c r="W287" s="13">
        <v>0</v>
      </c>
      <c r="X287" s="13">
        <v>1</v>
      </c>
      <c r="Y287" s="13">
        <v>0</v>
      </c>
      <c r="Z287" s="13">
        <v>0</v>
      </c>
      <c r="AA287" s="13">
        <v>1</v>
      </c>
      <c r="AB287" s="13">
        <v>0</v>
      </c>
    </row>
    <row r="288" spans="1:255" ht="13" x14ac:dyDescent="0.3">
      <c r="A288" s="13">
        <v>50</v>
      </c>
      <c r="B288" s="13">
        <v>0</v>
      </c>
      <c r="C288" s="13">
        <v>0</v>
      </c>
      <c r="D288" s="13">
        <v>1</v>
      </c>
      <c r="E288" s="13">
        <v>225</v>
      </c>
      <c r="F288" s="13">
        <f>ROUND(Source!AV283,O288)</f>
        <v>53914.559999999998</v>
      </c>
      <c r="G288" s="13" t="s">
        <v>94</v>
      </c>
      <c r="H288" s="13" t="s">
        <v>95</v>
      </c>
      <c r="I288" s="13"/>
      <c r="J288" s="13"/>
      <c r="K288" s="13">
        <v>225</v>
      </c>
      <c r="L288" s="13">
        <v>4</v>
      </c>
      <c r="M288" s="13">
        <v>3</v>
      </c>
      <c r="N288" s="13" t="s">
        <v>3</v>
      </c>
      <c r="O288" s="13">
        <v>2</v>
      </c>
      <c r="P288" s="13">
        <f>ROUND(Source!EN283,O288)</f>
        <v>162552</v>
      </c>
      <c r="Q288" s="13"/>
      <c r="R288" s="13"/>
      <c r="S288" s="13"/>
      <c r="T288" s="13"/>
      <c r="U288" s="13"/>
      <c r="V288" s="13"/>
      <c r="W288" s="13">
        <v>53914.559999999998</v>
      </c>
      <c r="X288" s="13">
        <v>1</v>
      </c>
      <c r="Y288" s="13">
        <v>53914.559999999998</v>
      </c>
      <c r="Z288" s="13">
        <v>162552</v>
      </c>
      <c r="AA288" s="13">
        <v>1</v>
      </c>
      <c r="AB288" s="13">
        <v>162552</v>
      </c>
    </row>
    <row r="289" spans="1:28" ht="13" x14ac:dyDescent="0.3">
      <c r="A289" s="13">
        <v>50</v>
      </c>
      <c r="B289" s="13">
        <v>0</v>
      </c>
      <c r="C289" s="13">
        <v>0</v>
      </c>
      <c r="D289" s="13">
        <v>1</v>
      </c>
      <c r="E289" s="13">
        <v>226</v>
      </c>
      <c r="F289" s="13">
        <f>ROUND(Source!AW283,O289)</f>
        <v>53914.559999999998</v>
      </c>
      <c r="G289" s="13" t="s">
        <v>96</v>
      </c>
      <c r="H289" s="13" t="s">
        <v>97</v>
      </c>
      <c r="I289" s="13"/>
      <c r="J289" s="13"/>
      <c r="K289" s="13">
        <v>226</v>
      </c>
      <c r="L289" s="13">
        <v>5</v>
      </c>
      <c r="M289" s="13">
        <v>3</v>
      </c>
      <c r="N289" s="13" t="s">
        <v>3</v>
      </c>
      <c r="O289" s="13">
        <v>2</v>
      </c>
      <c r="P289" s="13">
        <f>ROUND(Source!EO283,O289)</f>
        <v>162552</v>
      </c>
      <c r="Q289" s="13"/>
      <c r="R289" s="13"/>
      <c r="S289" s="13"/>
      <c r="T289" s="13"/>
      <c r="U289" s="13"/>
      <c r="V289" s="13"/>
      <c r="W289" s="13">
        <v>53914.559999999998</v>
      </c>
      <c r="X289" s="13">
        <v>1</v>
      </c>
      <c r="Y289" s="13">
        <v>53914.559999999998</v>
      </c>
      <c r="Z289" s="13">
        <v>162552</v>
      </c>
      <c r="AA289" s="13">
        <v>1</v>
      </c>
      <c r="AB289" s="13">
        <v>162552</v>
      </c>
    </row>
    <row r="290" spans="1:28" ht="13" x14ac:dyDescent="0.3">
      <c r="A290" s="13">
        <v>50</v>
      </c>
      <c r="B290" s="13">
        <v>0</v>
      </c>
      <c r="C290" s="13">
        <v>0</v>
      </c>
      <c r="D290" s="13">
        <v>1</v>
      </c>
      <c r="E290" s="13">
        <v>227</v>
      </c>
      <c r="F290" s="13">
        <f>ROUND(Source!AX283,O290)</f>
        <v>0</v>
      </c>
      <c r="G290" s="13" t="s">
        <v>98</v>
      </c>
      <c r="H290" s="13" t="s">
        <v>99</v>
      </c>
      <c r="I290" s="13"/>
      <c r="J290" s="13"/>
      <c r="K290" s="13">
        <v>227</v>
      </c>
      <c r="L290" s="13">
        <v>6</v>
      </c>
      <c r="M290" s="13">
        <v>3</v>
      </c>
      <c r="N290" s="13" t="s">
        <v>3</v>
      </c>
      <c r="O290" s="13">
        <v>2</v>
      </c>
      <c r="P290" s="13">
        <f>ROUND(Source!EP283,O290)</f>
        <v>0</v>
      </c>
      <c r="Q290" s="13"/>
      <c r="R290" s="13"/>
      <c r="S290" s="13"/>
      <c r="T290" s="13"/>
      <c r="U290" s="13"/>
      <c r="V290" s="13"/>
      <c r="W290" s="13">
        <v>0</v>
      </c>
      <c r="X290" s="13">
        <v>1</v>
      </c>
      <c r="Y290" s="13">
        <v>0</v>
      </c>
      <c r="Z290" s="13">
        <v>0</v>
      </c>
      <c r="AA290" s="13">
        <v>1</v>
      </c>
      <c r="AB290" s="13">
        <v>0</v>
      </c>
    </row>
    <row r="291" spans="1:28" ht="13" x14ac:dyDescent="0.3">
      <c r="A291" s="13">
        <v>50</v>
      </c>
      <c r="B291" s="13">
        <v>0</v>
      </c>
      <c r="C291" s="13">
        <v>0</v>
      </c>
      <c r="D291" s="13">
        <v>1</v>
      </c>
      <c r="E291" s="13">
        <v>228</v>
      </c>
      <c r="F291" s="13">
        <f>ROUND(Source!AY283,O291)</f>
        <v>53914.559999999998</v>
      </c>
      <c r="G291" s="13" t="s">
        <v>100</v>
      </c>
      <c r="H291" s="13" t="s">
        <v>101</v>
      </c>
      <c r="I291" s="13"/>
      <c r="J291" s="13"/>
      <c r="K291" s="13">
        <v>228</v>
      </c>
      <c r="L291" s="13">
        <v>7</v>
      </c>
      <c r="M291" s="13">
        <v>3</v>
      </c>
      <c r="N291" s="13" t="s">
        <v>3</v>
      </c>
      <c r="O291" s="13">
        <v>2</v>
      </c>
      <c r="P291" s="13">
        <f>ROUND(Source!EQ283,O291)</f>
        <v>162552</v>
      </c>
      <c r="Q291" s="13"/>
      <c r="R291" s="13"/>
      <c r="S291" s="13"/>
      <c r="T291" s="13"/>
      <c r="U291" s="13"/>
      <c r="V291" s="13"/>
      <c r="W291" s="13">
        <v>53914.559999999998</v>
      </c>
      <c r="X291" s="13">
        <v>1</v>
      </c>
      <c r="Y291" s="13">
        <v>53914.559999999998</v>
      </c>
      <c r="Z291" s="13">
        <v>162552</v>
      </c>
      <c r="AA291" s="13">
        <v>1</v>
      </c>
      <c r="AB291" s="13">
        <v>162552</v>
      </c>
    </row>
    <row r="292" spans="1:28" ht="13" x14ac:dyDescent="0.3">
      <c r="A292" s="13">
        <v>50</v>
      </c>
      <c r="B292" s="13">
        <v>0</v>
      </c>
      <c r="C292" s="13">
        <v>0</v>
      </c>
      <c r="D292" s="13">
        <v>1</v>
      </c>
      <c r="E292" s="13">
        <v>216</v>
      </c>
      <c r="F292" s="13">
        <f>ROUND(Source!AP283,O292)</f>
        <v>0</v>
      </c>
      <c r="G292" s="13" t="s">
        <v>102</v>
      </c>
      <c r="H292" s="13" t="s">
        <v>103</v>
      </c>
      <c r="I292" s="13"/>
      <c r="J292" s="13"/>
      <c r="K292" s="13">
        <v>216</v>
      </c>
      <c r="L292" s="13">
        <v>8</v>
      </c>
      <c r="M292" s="13">
        <v>3</v>
      </c>
      <c r="N292" s="13" t="s">
        <v>3</v>
      </c>
      <c r="O292" s="13">
        <v>2</v>
      </c>
      <c r="P292" s="13">
        <f>ROUND(Source!EH283,O292)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8" ht="13" x14ac:dyDescent="0.3">
      <c r="A293" s="13">
        <v>50</v>
      </c>
      <c r="B293" s="13">
        <v>0</v>
      </c>
      <c r="C293" s="13">
        <v>0</v>
      </c>
      <c r="D293" s="13">
        <v>1</v>
      </c>
      <c r="E293" s="13">
        <v>223</v>
      </c>
      <c r="F293" s="13">
        <f>ROUND(Source!AQ283,O293)</f>
        <v>0</v>
      </c>
      <c r="G293" s="13" t="s">
        <v>104</v>
      </c>
      <c r="H293" s="13" t="s">
        <v>105</v>
      </c>
      <c r="I293" s="13"/>
      <c r="J293" s="13"/>
      <c r="K293" s="13">
        <v>223</v>
      </c>
      <c r="L293" s="13">
        <v>9</v>
      </c>
      <c r="M293" s="13">
        <v>3</v>
      </c>
      <c r="N293" s="13" t="s">
        <v>3</v>
      </c>
      <c r="O293" s="13">
        <v>2</v>
      </c>
      <c r="P293" s="13">
        <f>ROUND(Source!EI283,O293)</f>
        <v>0</v>
      </c>
      <c r="Q293" s="13"/>
      <c r="R293" s="13"/>
      <c r="S293" s="13"/>
      <c r="T293" s="13"/>
      <c r="U293" s="13"/>
      <c r="V293" s="13"/>
      <c r="W293" s="13">
        <v>0</v>
      </c>
      <c r="X293" s="13">
        <v>1</v>
      </c>
      <c r="Y293" s="13">
        <v>0</v>
      </c>
      <c r="Z293" s="13">
        <v>0</v>
      </c>
      <c r="AA293" s="13">
        <v>1</v>
      </c>
      <c r="AB293" s="13">
        <v>0</v>
      </c>
    </row>
    <row r="294" spans="1:28" ht="13" x14ac:dyDescent="0.3">
      <c r="A294" s="13">
        <v>50</v>
      </c>
      <c r="B294" s="13">
        <v>0</v>
      </c>
      <c r="C294" s="13">
        <v>0</v>
      </c>
      <c r="D294" s="13">
        <v>1</v>
      </c>
      <c r="E294" s="13">
        <v>229</v>
      </c>
      <c r="F294" s="13">
        <f>ROUND(Source!AZ283,O294)</f>
        <v>0</v>
      </c>
      <c r="G294" s="13" t="s">
        <v>106</v>
      </c>
      <c r="H294" s="13" t="s">
        <v>107</v>
      </c>
      <c r="I294" s="13"/>
      <c r="J294" s="13"/>
      <c r="K294" s="13">
        <v>229</v>
      </c>
      <c r="L294" s="13">
        <v>10</v>
      </c>
      <c r="M294" s="13">
        <v>3</v>
      </c>
      <c r="N294" s="13" t="s">
        <v>3</v>
      </c>
      <c r="O294" s="13">
        <v>2</v>
      </c>
      <c r="P294" s="13">
        <f>ROUND(Source!ER283,O294)</f>
        <v>0</v>
      </c>
      <c r="Q294" s="13"/>
      <c r="R294" s="13"/>
      <c r="S294" s="13"/>
      <c r="T294" s="13"/>
      <c r="U294" s="13"/>
      <c r="V294" s="13"/>
      <c r="W294" s="13">
        <v>0</v>
      </c>
      <c r="X294" s="13">
        <v>1</v>
      </c>
      <c r="Y294" s="13">
        <v>0</v>
      </c>
      <c r="Z294" s="13">
        <v>0</v>
      </c>
      <c r="AA294" s="13">
        <v>1</v>
      </c>
      <c r="AB294" s="13">
        <v>0</v>
      </c>
    </row>
    <row r="295" spans="1:28" ht="13" x14ac:dyDescent="0.3">
      <c r="A295" s="13">
        <v>50</v>
      </c>
      <c r="B295" s="13">
        <v>0</v>
      </c>
      <c r="C295" s="13">
        <v>0</v>
      </c>
      <c r="D295" s="13">
        <v>1</v>
      </c>
      <c r="E295" s="13">
        <v>203</v>
      </c>
      <c r="F295" s="13">
        <f>ROUND(Source!Q283,O295)</f>
        <v>260.97000000000003</v>
      </c>
      <c r="G295" s="13" t="s">
        <v>108</v>
      </c>
      <c r="H295" s="13" t="s">
        <v>109</v>
      </c>
      <c r="I295" s="13"/>
      <c r="J295" s="13"/>
      <c r="K295" s="13">
        <v>203</v>
      </c>
      <c r="L295" s="13">
        <v>11</v>
      </c>
      <c r="M295" s="13">
        <v>3</v>
      </c>
      <c r="N295" s="13" t="s">
        <v>3</v>
      </c>
      <c r="O295" s="13">
        <v>2</v>
      </c>
      <c r="P295" s="13">
        <f>ROUND(Source!DI283,O295)</f>
        <v>3719.19</v>
      </c>
      <c r="Q295" s="13"/>
      <c r="R295" s="13"/>
      <c r="S295" s="13"/>
      <c r="T295" s="13"/>
      <c r="U295" s="13"/>
      <c r="V295" s="13"/>
      <c r="W295" s="13">
        <v>260.97000000000003</v>
      </c>
      <c r="X295" s="13">
        <v>1</v>
      </c>
      <c r="Y295" s="13">
        <v>260.97000000000003</v>
      </c>
      <c r="Z295" s="13">
        <v>3719.19</v>
      </c>
      <c r="AA295" s="13">
        <v>1</v>
      </c>
      <c r="AB295" s="13">
        <v>3719.19</v>
      </c>
    </row>
    <row r="296" spans="1:28" ht="13" x14ac:dyDescent="0.3">
      <c r="A296" s="13">
        <v>50</v>
      </c>
      <c r="B296" s="13">
        <v>0</v>
      </c>
      <c r="C296" s="13">
        <v>0</v>
      </c>
      <c r="D296" s="13">
        <v>1</v>
      </c>
      <c r="E296" s="13">
        <v>231</v>
      </c>
      <c r="F296" s="13">
        <f>ROUND(Source!BB283,O296)</f>
        <v>0</v>
      </c>
      <c r="G296" s="13" t="s">
        <v>110</v>
      </c>
      <c r="H296" s="13" t="s">
        <v>111</v>
      </c>
      <c r="I296" s="13"/>
      <c r="J296" s="13"/>
      <c r="K296" s="13">
        <v>231</v>
      </c>
      <c r="L296" s="13">
        <v>12</v>
      </c>
      <c r="M296" s="13">
        <v>3</v>
      </c>
      <c r="N296" s="13" t="s">
        <v>3</v>
      </c>
      <c r="O296" s="13">
        <v>2</v>
      </c>
      <c r="P296" s="13">
        <f>ROUND(Source!ET283,O296)</f>
        <v>0</v>
      </c>
      <c r="Q296" s="13"/>
      <c r="R296" s="13"/>
      <c r="S296" s="13"/>
      <c r="T296" s="13"/>
      <c r="U296" s="13"/>
      <c r="V296" s="13"/>
      <c r="W296" s="13">
        <v>0</v>
      </c>
      <c r="X296" s="13">
        <v>1</v>
      </c>
      <c r="Y296" s="13">
        <v>0</v>
      </c>
      <c r="Z296" s="13">
        <v>0</v>
      </c>
      <c r="AA296" s="13">
        <v>1</v>
      </c>
      <c r="AB296" s="13">
        <v>0</v>
      </c>
    </row>
    <row r="297" spans="1:28" ht="13" x14ac:dyDescent="0.3">
      <c r="A297" s="13">
        <v>50</v>
      </c>
      <c r="B297" s="13">
        <v>0</v>
      </c>
      <c r="C297" s="13">
        <v>0</v>
      </c>
      <c r="D297" s="13">
        <v>1</v>
      </c>
      <c r="E297" s="13">
        <v>204</v>
      </c>
      <c r="F297" s="13">
        <f>ROUND(Source!R283,O297)</f>
        <v>12.21</v>
      </c>
      <c r="G297" s="13" t="s">
        <v>112</v>
      </c>
      <c r="H297" s="13" t="s">
        <v>113</v>
      </c>
      <c r="I297" s="13"/>
      <c r="J297" s="13"/>
      <c r="K297" s="13">
        <v>204</v>
      </c>
      <c r="L297" s="13">
        <v>13</v>
      </c>
      <c r="M297" s="13">
        <v>3</v>
      </c>
      <c r="N297" s="13" t="s">
        <v>3</v>
      </c>
      <c r="O297" s="13">
        <v>2</v>
      </c>
      <c r="P297" s="13">
        <f>ROUND(Source!DJ283,O297)</f>
        <v>688.03</v>
      </c>
      <c r="Q297" s="13"/>
      <c r="R297" s="13"/>
      <c r="S297" s="13"/>
      <c r="T297" s="13"/>
      <c r="U297" s="13"/>
      <c r="V297" s="13"/>
      <c r="W297" s="13">
        <v>12.21</v>
      </c>
      <c r="X297" s="13">
        <v>1</v>
      </c>
      <c r="Y297" s="13">
        <v>12.21</v>
      </c>
      <c r="Z297" s="13">
        <v>688.03</v>
      </c>
      <c r="AA297" s="13">
        <v>1</v>
      </c>
      <c r="AB297" s="13">
        <v>688.03</v>
      </c>
    </row>
    <row r="298" spans="1:28" ht="13" x14ac:dyDescent="0.3">
      <c r="A298" s="13">
        <v>50</v>
      </c>
      <c r="B298" s="13">
        <v>0</v>
      </c>
      <c r="C298" s="13">
        <v>0</v>
      </c>
      <c r="D298" s="13">
        <v>1</v>
      </c>
      <c r="E298" s="13">
        <v>205</v>
      </c>
      <c r="F298" s="13">
        <f>ROUND(Source!S283,O298)</f>
        <v>2190.21</v>
      </c>
      <c r="G298" s="13" t="s">
        <v>114</v>
      </c>
      <c r="H298" s="13" t="s">
        <v>115</v>
      </c>
      <c r="I298" s="13"/>
      <c r="J298" s="13"/>
      <c r="K298" s="13">
        <v>205</v>
      </c>
      <c r="L298" s="13">
        <v>14</v>
      </c>
      <c r="M298" s="13">
        <v>3</v>
      </c>
      <c r="N298" s="13" t="s">
        <v>3</v>
      </c>
      <c r="O298" s="13">
        <v>2</v>
      </c>
      <c r="P298" s="13">
        <f>ROUND(Source!DK283,O298)</f>
        <v>123418.34</v>
      </c>
      <c r="Q298" s="13"/>
      <c r="R298" s="13"/>
      <c r="S298" s="13"/>
      <c r="T298" s="13"/>
      <c r="U298" s="13"/>
      <c r="V298" s="13"/>
      <c r="W298" s="13">
        <v>2190.21</v>
      </c>
      <c r="X298" s="13">
        <v>1</v>
      </c>
      <c r="Y298" s="13">
        <v>2190.21</v>
      </c>
      <c r="Z298" s="13">
        <v>123418.34</v>
      </c>
      <c r="AA298" s="13">
        <v>1</v>
      </c>
      <c r="AB298" s="13">
        <v>123418.34</v>
      </c>
    </row>
    <row r="299" spans="1:28" ht="13" x14ac:dyDescent="0.3">
      <c r="A299" s="13">
        <v>50</v>
      </c>
      <c r="B299" s="13">
        <v>0</v>
      </c>
      <c r="C299" s="13">
        <v>0</v>
      </c>
      <c r="D299" s="13">
        <v>1</v>
      </c>
      <c r="E299" s="13">
        <v>232</v>
      </c>
      <c r="F299" s="13">
        <f>ROUND(Source!BC283,O299)</f>
        <v>0</v>
      </c>
      <c r="G299" s="13" t="s">
        <v>116</v>
      </c>
      <c r="H299" s="13" t="s">
        <v>117</v>
      </c>
      <c r="I299" s="13"/>
      <c r="J299" s="13"/>
      <c r="K299" s="13">
        <v>232</v>
      </c>
      <c r="L299" s="13">
        <v>15</v>
      </c>
      <c r="M299" s="13">
        <v>3</v>
      </c>
      <c r="N299" s="13" t="s">
        <v>3</v>
      </c>
      <c r="O299" s="13">
        <v>2</v>
      </c>
      <c r="P299" s="13">
        <f>ROUND(Source!EU283,O299)</f>
        <v>0</v>
      </c>
      <c r="Q299" s="13"/>
      <c r="R299" s="13"/>
      <c r="S299" s="13"/>
      <c r="T299" s="13"/>
      <c r="U299" s="13"/>
      <c r="V299" s="13"/>
      <c r="W299" s="13">
        <v>0</v>
      </c>
      <c r="X299" s="13">
        <v>1</v>
      </c>
      <c r="Y299" s="13">
        <v>0</v>
      </c>
      <c r="Z299" s="13">
        <v>0</v>
      </c>
      <c r="AA299" s="13">
        <v>1</v>
      </c>
      <c r="AB299" s="13">
        <v>0</v>
      </c>
    </row>
    <row r="300" spans="1:28" ht="13" x14ac:dyDescent="0.3">
      <c r="A300" s="13">
        <v>50</v>
      </c>
      <c r="B300" s="13">
        <v>0</v>
      </c>
      <c r="C300" s="13">
        <v>0</v>
      </c>
      <c r="D300" s="13">
        <v>1</v>
      </c>
      <c r="E300" s="13">
        <v>214</v>
      </c>
      <c r="F300" s="13">
        <f>ROUND(Source!AS283,O300)</f>
        <v>0</v>
      </c>
      <c r="G300" s="13" t="s">
        <v>118</v>
      </c>
      <c r="H300" s="13" t="s">
        <v>119</v>
      </c>
      <c r="I300" s="13"/>
      <c r="J300" s="13"/>
      <c r="K300" s="13">
        <v>214</v>
      </c>
      <c r="L300" s="13">
        <v>16</v>
      </c>
      <c r="M300" s="13">
        <v>3</v>
      </c>
      <c r="N300" s="13" t="s">
        <v>3</v>
      </c>
      <c r="O300" s="13">
        <v>2</v>
      </c>
      <c r="P300" s="13">
        <f>ROUND(Source!EK283,O300)</f>
        <v>0</v>
      </c>
      <c r="Q300" s="13"/>
      <c r="R300" s="13"/>
      <c r="S300" s="13"/>
      <c r="T300" s="13"/>
      <c r="U300" s="13"/>
      <c r="V300" s="13"/>
      <c r="W300" s="13">
        <v>0</v>
      </c>
      <c r="X300" s="13">
        <v>1</v>
      </c>
      <c r="Y300" s="13">
        <v>0</v>
      </c>
      <c r="Z300" s="13">
        <v>0</v>
      </c>
      <c r="AA300" s="13">
        <v>1</v>
      </c>
      <c r="AB300" s="13">
        <v>0</v>
      </c>
    </row>
    <row r="301" spans="1:28" ht="13" x14ac:dyDescent="0.3">
      <c r="A301" s="13">
        <v>50</v>
      </c>
      <c r="B301" s="13">
        <v>0</v>
      </c>
      <c r="C301" s="13">
        <v>0</v>
      </c>
      <c r="D301" s="13">
        <v>1</v>
      </c>
      <c r="E301" s="13">
        <v>215</v>
      </c>
      <c r="F301" s="13">
        <f>ROUND(Source!AT283,O301)</f>
        <v>59579.17</v>
      </c>
      <c r="G301" s="13" t="s">
        <v>120</v>
      </c>
      <c r="H301" s="13" t="s">
        <v>121</v>
      </c>
      <c r="I301" s="13"/>
      <c r="J301" s="13"/>
      <c r="K301" s="13">
        <v>215</v>
      </c>
      <c r="L301" s="13">
        <v>17</v>
      </c>
      <c r="M301" s="13">
        <v>3</v>
      </c>
      <c r="N301" s="13" t="s">
        <v>3</v>
      </c>
      <c r="O301" s="13">
        <v>2</v>
      </c>
      <c r="P301" s="13">
        <f>ROUND(Source!EL283,O301)</f>
        <v>470767.3</v>
      </c>
      <c r="Q301" s="13"/>
      <c r="R301" s="13"/>
      <c r="S301" s="13"/>
      <c r="T301" s="13"/>
      <c r="U301" s="13"/>
      <c r="V301" s="13"/>
      <c r="W301" s="13">
        <v>59579.17</v>
      </c>
      <c r="X301" s="13">
        <v>1</v>
      </c>
      <c r="Y301" s="13">
        <v>59579.17</v>
      </c>
      <c r="Z301" s="13">
        <v>470767.3</v>
      </c>
      <c r="AA301" s="13">
        <v>1</v>
      </c>
      <c r="AB301" s="13">
        <v>470767.3</v>
      </c>
    </row>
    <row r="302" spans="1:28" ht="13" x14ac:dyDescent="0.3">
      <c r="A302" s="13">
        <v>50</v>
      </c>
      <c r="B302" s="13">
        <v>0</v>
      </c>
      <c r="C302" s="13">
        <v>0</v>
      </c>
      <c r="D302" s="13">
        <v>1</v>
      </c>
      <c r="E302" s="13">
        <v>217</v>
      </c>
      <c r="F302" s="13">
        <f>ROUND(Source!AU283,O302)</f>
        <v>0</v>
      </c>
      <c r="G302" s="13" t="s">
        <v>122</v>
      </c>
      <c r="H302" s="13" t="s">
        <v>123</v>
      </c>
      <c r="I302" s="13"/>
      <c r="J302" s="13"/>
      <c r="K302" s="13">
        <v>217</v>
      </c>
      <c r="L302" s="13">
        <v>18</v>
      </c>
      <c r="M302" s="13">
        <v>3</v>
      </c>
      <c r="N302" s="13" t="s">
        <v>3</v>
      </c>
      <c r="O302" s="13">
        <v>2</v>
      </c>
      <c r="P302" s="13">
        <f>ROUND(Source!EM283,O302)</f>
        <v>0</v>
      </c>
      <c r="Q302" s="13"/>
      <c r="R302" s="13"/>
      <c r="S302" s="13"/>
      <c r="T302" s="13"/>
      <c r="U302" s="13"/>
      <c r="V302" s="13"/>
      <c r="W302" s="13">
        <v>0</v>
      </c>
      <c r="X302" s="13">
        <v>1</v>
      </c>
      <c r="Y302" s="13">
        <v>0</v>
      </c>
      <c r="Z302" s="13">
        <v>0</v>
      </c>
      <c r="AA302" s="13">
        <v>1</v>
      </c>
      <c r="AB302" s="13">
        <v>0</v>
      </c>
    </row>
    <row r="303" spans="1:28" ht="13" x14ac:dyDescent="0.3">
      <c r="A303" s="13">
        <v>50</v>
      </c>
      <c r="B303" s="13">
        <v>0</v>
      </c>
      <c r="C303" s="13">
        <v>0</v>
      </c>
      <c r="D303" s="13">
        <v>1</v>
      </c>
      <c r="E303" s="13">
        <v>230</v>
      </c>
      <c r="F303" s="13">
        <f>ROUND(Source!BA283,O303)</f>
        <v>0</v>
      </c>
      <c r="G303" s="13" t="s">
        <v>124</v>
      </c>
      <c r="H303" s="13" t="s">
        <v>125</v>
      </c>
      <c r="I303" s="13"/>
      <c r="J303" s="13"/>
      <c r="K303" s="13">
        <v>230</v>
      </c>
      <c r="L303" s="13">
        <v>19</v>
      </c>
      <c r="M303" s="13">
        <v>3</v>
      </c>
      <c r="N303" s="13" t="s">
        <v>3</v>
      </c>
      <c r="O303" s="13">
        <v>2</v>
      </c>
      <c r="P303" s="13">
        <f>ROUND(Source!ES283,O303)</f>
        <v>0</v>
      </c>
      <c r="Q303" s="13"/>
      <c r="R303" s="13"/>
      <c r="S303" s="13"/>
      <c r="T303" s="13"/>
      <c r="U303" s="13"/>
      <c r="V303" s="13"/>
      <c r="W303" s="13">
        <v>0</v>
      </c>
      <c r="X303" s="13">
        <v>1</v>
      </c>
      <c r="Y303" s="13">
        <v>0</v>
      </c>
      <c r="Z303" s="13">
        <v>0</v>
      </c>
      <c r="AA303" s="13">
        <v>1</v>
      </c>
      <c r="AB303" s="13">
        <v>0</v>
      </c>
    </row>
    <row r="304" spans="1:28" ht="13" x14ac:dyDescent="0.3">
      <c r="A304" s="13">
        <v>50</v>
      </c>
      <c r="B304" s="13">
        <v>0</v>
      </c>
      <c r="C304" s="13">
        <v>0</v>
      </c>
      <c r="D304" s="13">
        <v>1</v>
      </c>
      <c r="E304" s="13">
        <v>206</v>
      </c>
      <c r="F304" s="13">
        <f>ROUND(Source!T283,O304)</f>
        <v>0</v>
      </c>
      <c r="G304" s="13" t="s">
        <v>126</v>
      </c>
      <c r="H304" s="13" t="s">
        <v>127</v>
      </c>
      <c r="I304" s="13"/>
      <c r="J304" s="13"/>
      <c r="K304" s="13">
        <v>206</v>
      </c>
      <c r="L304" s="13">
        <v>20</v>
      </c>
      <c r="M304" s="13">
        <v>3</v>
      </c>
      <c r="N304" s="13" t="s">
        <v>3</v>
      </c>
      <c r="O304" s="13">
        <v>2</v>
      </c>
      <c r="P304" s="13">
        <f>ROUND(Source!DL283,O304)</f>
        <v>0</v>
      </c>
      <c r="Q304" s="13"/>
      <c r="R304" s="13"/>
      <c r="S304" s="13"/>
      <c r="T304" s="13"/>
      <c r="U304" s="13"/>
      <c r="V304" s="13"/>
      <c r="W304" s="13">
        <v>0</v>
      </c>
      <c r="X304" s="13">
        <v>1</v>
      </c>
      <c r="Y304" s="13">
        <v>0</v>
      </c>
      <c r="Z304" s="13">
        <v>0</v>
      </c>
      <c r="AA304" s="13">
        <v>1</v>
      </c>
      <c r="AB304" s="13">
        <v>0</v>
      </c>
    </row>
    <row r="305" spans="1:206" ht="13" x14ac:dyDescent="0.3">
      <c r="A305" s="13">
        <v>50</v>
      </c>
      <c r="B305" s="13">
        <v>0</v>
      </c>
      <c r="C305" s="13">
        <v>0</v>
      </c>
      <c r="D305" s="13">
        <v>1</v>
      </c>
      <c r="E305" s="13">
        <v>207</v>
      </c>
      <c r="F305" s="13">
        <f>Source!U283</f>
        <v>178.96287239999998</v>
      </c>
      <c r="G305" s="13" t="s">
        <v>128</v>
      </c>
      <c r="H305" s="13" t="s">
        <v>129</v>
      </c>
      <c r="I305" s="13"/>
      <c r="J305" s="13"/>
      <c r="K305" s="13">
        <v>207</v>
      </c>
      <c r="L305" s="13">
        <v>21</v>
      </c>
      <c r="M305" s="13">
        <v>3</v>
      </c>
      <c r="N305" s="13" t="s">
        <v>3</v>
      </c>
      <c r="O305" s="13">
        <v>-1</v>
      </c>
      <c r="P305" s="13">
        <f>Source!DM283</f>
        <v>178.96287239999998</v>
      </c>
      <c r="Q305" s="13"/>
      <c r="R305" s="13"/>
      <c r="S305" s="13"/>
      <c r="T305" s="13"/>
      <c r="U305" s="13"/>
      <c r="V305" s="13"/>
      <c r="W305" s="13">
        <v>178.96287239999998</v>
      </c>
      <c r="X305" s="13">
        <v>1</v>
      </c>
      <c r="Y305" s="13">
        <v>178.96287239999998</v>
      </c>
      <c r="Z305" s="13">
        <v>178.96287239999998</v>
      </c>
      <c r="AA305" s="13">
        <v>1</v>
      </c>
      <c r="AB305" s="13">
        <v>178.96287239999998</v>
      </c>
    </row>
    <row r="306" spans="1:206" ht="13" x14ac:dyDescent="0.3">
      <c r="A306" s="13">
        <v>50</v>
      </c>
      <c r="B306" s="13">
        <v>0</v>
      </c>
      <c r="C306" s="13">
        <v>0</v>
      </c>
      <c r="D306" s="13">
        <v>1</v>
      </c>
      <c r="E306" s="13">
        <v>208</v>
      </c>
      <c r="F306" s="13">
        <f>Source!V283</f>
        <v>0</v>
      </c>
      <c r="G306" s="13" t="s">
        <v>130</v>
      </c>
      <c r="H306" s="13" t="s">
        <v>131</v>
      </c>
      <c r="I306" s="13"/>
      <c r="J306" s="13"/>
      <c r="K306" s="13">
        <v>208</v>
      </c>
      <c r="L306" s="13">
        <v>22</v>
      </c>
      <c r="M306" s="13">
        <v>3</v>
      </c>
      <c r="N306" s="13" t="s">
        <v>3</v>
      </c>
      <c r="O306" s="13">
        <v>-1</v>
      </c>
      <c r="P306" s="13">
        <f>Source!DN283</f>
        <v>0</v>
      </c>
      <c r="Q306" s="13"/>
      <c r="R306" s="13"/>
      <c r="S306" s="13"/>
      <c r="T306" s="13"/>
      <c r="U306" s="13"/>
      <c r="V306" s="13"/>
      <c r="W306" s="13">
        <v>0</v>
      </c>
      <c r="X306" s="13">
        <v>1</v>
      </c>
      <c r="Y306" s="13">
        <v>0</v>
      </c>
      <c r="Z306" s="13">
        <v>0</v>
      </c>
      <c r="AA306" s="13">
        <v>1</v>
      </c>
      <c r="AB306" s="13">
        <v>0</v>
      </c>
    </row>
    <row r="307" spans="1:206" ht="13" x14ac:dyDescent="0.3">
      <c r="A307" s="13">
        <v>50</v>
      </c>
      <c r="B307" s="13">
        <v>0</v>
      </c>
      <c r="C307" s="13">
        <v>0</v>
      </c>
      <c r="D307" s="13">
        <v>1</v>
      </c>
      <c r="E307" s="13">
        <v>209</v>
      </c>
      <c r="F307" s="13">
        <f>ROUND(Source!W283,O307)</f>
        <v>0</v>
      </c>
      <c r="G307" s="13" t="s">
        <v>132</v>
      </c>
      <c r="H307" s="13" t="s">
        <v>133</v>
      </c>
      <c r="I307" s="13"/>
      <c r="J307" s="13"/>
      <c r="K307" s="13">
        <v>209</v>
      </c>
      <c r="L307" s="13">
        <v>23</v>
      </c>
      <c r="M307" s="13">
        <v>3</v>
      </c>
      <c r="N307" s="13" t="s">
        <v>3</v>
      </c>
      <c r="O307" s="13">
        <v>2</v>
      </c>
      <c r="P307" s="13">
        <f>ROUND(Source!DO283,O307)</f>
        <v>0</v>
      </c>
      <c r="Q307" s="13"/>
      <c r="R307" s="13"/>
      <c r="S307" s="13"/>
      <c r="T307" s="13"/>
      <c r="U307" s="13"/>
      <c r="V307" s="13"/>
      <c r="W307" s="13">
        <v>0</v>
      </c>
      <c r="X307" s="13">
        <v>1</v>
      </c>
      <c r="Y307" s="13">
        <v>0</v>
      </c>
      <c r="Z307" s="13">
        <v>0</v>
      </c>
      <c r="AA307" s="13">
        <v>1</v>
      </c>
      <c r="AB307" s="13">
        <v>0</v>
      </c>
    </row>
    <row r="308" spans="1:206" ht="13" x14ac:dyDescent="0.3">
      <c r="A308" s="13">
        <v>50</v>
      </c>
      <c r="B308" s="13">
        <v>0</v>
      </c>
      <c r="C308" s="13">
        <v>0</v>
      </c>
      <c r="D308" s="13">
        <v>1</v>
      </c>
      <c r="E308" s="13">
        <v>233</v>
      </c>
      <c r="F308" s="13">
        <f>ROUND(Source!BD283,O308)</f>
        <v>0</v>
      </c>
      <c r="G308" s="13" t="s">
        <v>134</v>
      </c>
      <c r="H308" s="13" t="s">
        <v>135</v>
      </c>
      <c r="I308" s="13"/>
      <c r="J308" s="13"/>
      <c r="K308" s="13">
        <v>233</v>
      </c>
      <c r="L308" s="13">
        <v>24</v>
      </c>
      <c r="M308" s="13">
        <v>3</v>
      </c>
      <c r="N308" s="13" t="s">
        <v>3</v>
      </c>
      <c r="O308" s="13">
        <v>2</v>
      </c>
      <c r="P308" s="13">
        <f>ROUND(Source!EV283,O308)</f>
        <v>0</v>
      </c>
      <c r="Q308" s="13"/>
      <c r="R308" s="13"/>
      <c r="S308" s="13"/>
      <c r="T308" s="13"/>
      <c r="U308" s="13"/>
      <c r="V308" s="13"/>
      <c r="W308" s="13">
        <v>0</v>
      </c>
      <c r="X308" s="13">
        <v>1</v>
      </c>
      <c r="Y308" s="13">
        <v>0</v>
      </c>
      <c r="Z308" s="13">
        <v>0</v>
      </c>
      <c r="AA308" s="13">
        <v>1</v>
      </c>
      <c r="AB308" s="13">
        <v>0</v>
      </c>
    </row>
    <row r="309" spans="1:206" ht="13" x14ac:dyDescent="0.3">
      <c r="A309" s="13">
        <v>50</v>
      </c>
      <c r="B309" s="13">
        <v>0</v>
      </c>
      <c r="C309" s="13">
        <v>0</v>
      </c>
      <c r="D309" s="13">
        <v>1</v>
      </c>
      <c r="E309" s="13">
        <v>210</v>
      </c>
      <c r="F309" s="13">
        <f>ROUND(Source!X283,O309)</f>
        <v>2109.4299999999998</v>
      </c>
      <c r="G309" s="13" t="s">
        <v>136</v>
      </c>
      <c r="H309" s="13" t="s">
        <v>137</v>
      </c>
      <c r="I309" s="13"/>
      <c r="J309" s="13"/>
      <c r="K309" s="13">
        <v>210</v>
      </c>
      <c r="L309" s="13">
        <v>25</v>
      </c>
      <c r="M309" s="13">
        <v>3</v>
      </c>
      <c r="N309" s="13" t="s">
        <v>3</v>
      </c>
      <c r="O309" s="13">
        <v>2</v>
      </c>
      <c r="P309" s="13">
        <f>ROUND(Source!DP283,O309)</f>
        <v>118866.71</v>
      </c>
      <c r="Q309" s="13"/>
      <c r="R309" s="13"/>
      <c r="S309" s="13"/>
      <c r="T309" s="13"/>
      <c r="U309" s="13"/>
      <c r="V309" s="13"/>
      <c r="W309" s="13">
        <v>2109.4299999999998</v>
      </c>
      <c r="X309" s="13">
        <v>1</v>
      </c>
      <c r="Y309" s="13">
        <v>2109.4299999999998</v>
      </c>
      <c r="Z309" s="13">
        <v>118866.71</v>
      </c>
      <c r="AA309" s="13">
        <v>1</v>
      </c>
      <c r="AB309" s="13">
        <v>118866.71</v>
      </c>
    </row>
    <row r="310" spans="1:206" ht="13" x14ac:dyDescent="0.3">
      <c r="A310" s="13">
        <v>50</v>
      </c>
      <c r="B310" s="13">
        <v>0</v>
      </c>
      <c r="C310" s="13">
        <v>0</v>
      </c>
      <c r="D310" s="13">
        <v>1</v>
      </c>
      <c r="E310" s="13">
        <v>211</v>
      </c>
      <c r="F310" s="13">
        <f>ROUND(Source!Y283,O310)</f>
        <v>1104</v>
      </c>
      <c r="G310" s="13" t="s">
        <v>138</v>
      </c>
      <c r="H310" s="13" t="s">
        <v>139</v>
      </c>
      <c r="I310" s="13"/>
      <c r="J310" s="13"/>
      <c r="K310" s="13">
        <v>211</v>
      </c>
      <c r="L310" s="13">
        <v>26</v>
      </c>
      <c r="M310" s="13">
        <v>3</v>
      </c>
      <c r="N310" s="13" t="s">
        <v>3</v>
      </c>
      <c r="O310" s="13">
        <v>2</v>
      </c>
      <c r="P310" s="13">
        <f>ROUND(Source!DQ283,O310)</f>
        <v>62211.06</v>
      </c>
      <c r="Q310" s="13"/>
      <c r="R310" s="13"/>
      <c r="S310" s="13"/>
      <c r="T310" s="13"/>
      <c r="U310" s="13"/>
      <c r="V310" s="13"/>
      <c r="W310" s="13">
        <v>1104</v>
      </c>
      <c r="X310" s="13">
        <v>1</v>
      </c>
      <c r="Y310" s="13">
        <v>1104</v>
      </c>
      <c r="Z310" s="13">
        <v>62211.06</v>
      </c>
      <c r="AA310" s="13">
        <v>1</v>
      </c>
      <c r="AB310" s="13">
        <v>62211.06</v>
      </c>
    </row>
    <row r="311" spans="1:206" ht="13" x14ac:dyDescent="0.3">
      <c r="A311" s="13">
        <v>50</v>
      </c>
      <c r="B311" s="13">
        <v>0</v>
      </c>
      <c r="C311" s="13">
        <v>0</v>
      </c>
      <c r="D311" s="13">
        <v>1</v>
      </c>
      <c r="E311" s="13">
        <v>224</v>
      </c>
      <c r="F311" s="13">
        <f>ROUND(Source!AR283,O311)</f>
        <v>59579.17</v>
      </c>
      <c r="G311" s="13" t="s">
        <v>140</v>
      </c>
      <c r="H311" s="13" t="s">
        <v>141</v>
      </c>
      <c r="I311" s="13"/>
      <c r="J311" s="13"/>
      <c r="K311" s="13">
        <v>224</v>
      </c>
      <c r="L311" s="13">
        <v>27</v>
      </c>
      <c r="M311" s="13">
        <v>3</v>
      </c>
      <c r="N311" s="13" t="s">
        <v>3</v>
      </c>
      <c r="O311" s="13">
        <v>2</v>
      </c>
      <c r="P311" s="13">
        <f>ROUND(Source!EJ283,O311)</f>
        <v>470767.3</v>
      </c>
      <c r="Q311" s="13"/>
      <c r="R311" s="13"/>
      <c r="S311" s="13"/>
      <c r="T311" s="13"/>
      <c r="U311" s="13"/>
      <c r="V311" s="13"/>
      <c r="W311" s="13">
        <v>59579.17</v>
      </c>
      <c r="X311" s="13">
        <v>1</v>
      </c>
      <c r="Y311" s="13">
        <v>59579.17</v>
      </c>
      <c r="Z311" s="13">
        <v>470767.3</v>
      </c>
      <c r="AA311" s="13">
        <v>1</v>
      </c>
      <c r="AB311" s="13">
        <v>470767.3</v>
      </c>
    </row>
    <row r="313" spans="1:206" ht="13" x14ac:dyDescent="0.3">
      <c r="A313" s="11">
        <v>51</v>
      </c>
      <c r="B313" s="11">
        <f>B20</f>
        <v>1</v>
      </c>
      <c r="C313" s="11">
        <f>A20</f>
        <v>3</v>
      </c>
      <c r="D313" s="11">
        <f>ROW(A20)</f>
        <v>20</v>
      </c>
      <c r="E313" s="11"/>
      <c r="F313" s="11" t="str">
        <f>IF(F20&lt;&gt;"",F20,"")</f>
        <v>02-01-11</v>
      </c>
      <c r="G313" s="11" t="str">
        <f>IF(G20&lt;&gt;"",G20,"")</f>
        <v>Радиотрансляционная сеть</v>
      </c>
      <c r="H313" s="11">
        <v>0</v>
      </c>
      <c r="I313" s="11"/>
      <c r="J313" s="11"/>
      <c r="K313" s="11"/>
      <c r="L313" s="11"/>
      <c r="M313" s="11"/>
      <c r="N313" s="11"/>
      <c r="O313" s="11">
        <f t="shared" ref="O313:T313" si="275">ROUND(O55+O120+O175+O218+O283+AB313,2)</f>
        <v>236689.87</v>
      </c>
      <c r="P313" s="11">
        <f t="shared" si="275"/>
        <v>231819.9</v>
      </c>
      <c r="Q313" s="11">
        <f t="shared" si="275"/>
        <v>406.41</v>
      </c>
      <c r="R313" s="11">
        <f t="shared" si="275"/>
        <v>33.67</v>
      </c>
      <c r="S313" s="11">
        <f t="shared" si="275"/>
        <v>4463.5600000000004</v>
      </c>
      <c r="T313" s="11">
        <f t="shared" si="275"/>
        <v>0</v>
      </c>
      <c r="U313" s="11">
        <f>U55+U120+U175+U218+U283+AH313</f>
        <v>366.44694004799999</v>
      </c>
      <c r="V313" s="11">
        <f>V55+V120+V175+V218+V283+AI313</f>
        <v>0</v>
      </c>
      <c r="W313" s="11">
        <f>ROUND(W55+W120+W175+W218+W283+AJ313,2)</f>
        <v>0</v>
      </c>
      <c r="X313" s="11">
        <f>ROUND(X55+X120+X175+X218+X283+AK313,2)</f>
        <v>4249.2</v>
      </c>
      <c r="Y313" s="11">
        <f>ROUND(Y55+Y120+Y175+Y218+Y283+AL313,2)</f>
        <v>2266.69</v>
      </c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>
        <f t="shared" ref="AO313:BD313" si="276">ROUND(AO55+AO120+AO175+AO218+AO283+BX313,2)</f>
        <v>0</v>
      </c>
      <c r="AP313" s="11">
        <f t="shared" si="276"/>
        <v>176745.57</v>
      </c>
      <c r="AQ313" s="11">
        <f t="shared" si="276"/>
        <v>0</v>
      </c>
      <c r="AR313" s="11">
        <f t="shared" si="276"/>
        <v>243205.76000000001</v>
      </c>
      <c r="AS313" s="11">
        <f t="shared" si="276"/>
        <v>1445.57</v>
      </c>
      <c r="AT313" s="11">
        <f t="shared" si="276"/>
        <v>65014.62</v>
      </c>
      <c r="AU313" s="11">
        <f t="shared" si="276"/>
        <v>0</v>
      </c>
      <c r="AV313" s="11">
        <f t="shared" si="276"/>
        <v>231819.9</v>
      </c>
      <c r="AW313" s="11">
        <f t="shared" si="276"/>
        <v>55074.33</v>
      </c>
      <c r="AX313" s="11">
        <f t="shared" si="276"/>
        <v>0</v>
      </c>
      <c r="AY313" s="11">
        <f t="shared" si="276"/>
        <v>55074.33</v>
      </c>
      <c r="AZ313" s="11">
        <f t="shared" si="276"/>
        <v>176745.57</v>
      </c>
      <c r="BA313" s="11">
        <f t="shared" si="276"/>
        <v>0</v>
      </c>
      <c r="BB313" s="11">
        <f t="shared" si="276"/>
        <v>0</v>
      </c>
      <c r="BC313" s="11">
        <f t="shared" si="276"/>
        <v>0</v>
      </c>
      <c r="BD313" s="11">
        <f t="shared" si="276"/>
        <v>0</v>
      </c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2">
        <f t="shared" ref="DG313:DL313" si="277">ROUND(DG55+DG120+DG175+DG218+DG283+DT313,2)</f>
        <v>1771662.5</v>
      </c>
      <c r="DH313" s="12">
        <f t="shared" si="277"/>
        <v>1513954.35</v>
      </c>
      <c r="DI313" s="12">
        <f t="shared" si="277"/>
        <v>6186.53</v>
      </c>
      <c r="DJ313" s="12">
        <f t="shared" si="277"/>
        <v>1897.29</v>
      </c>
      <c r="DK313" s="12">
        <f t="shared" si="277"/>
        <v>251521.62</v>
      </c>
      <c r="DL313" s="12">
        <f t="shared" si="277"/>
        <v>0</v>
      </c>
      <c r="DM313" s="12">
        <f>DM55+DM120+DM175+DM218+DM283+DZ313</f>
        <v>366.44694004799999</v>
      </c>
      <c r="DN313" s="12">
        <f>DN55+DN120+DN175+DN218+DN283+EA313</f>
        <v>0</v>
      </c>
      <c r="DO313" s="12">
        <f>ROUND(DO55+DO120+DO175+DO218+DO283+EB313,2)</f>
        <v>0</v>
      </c>
      <c r="DP313" s="12">
        <f>ROUND(DP55+DP120+DP175+DP218+DP283+EC313,2)</f>
        <v>239443.45</v>
      </c>
      <c r="DQ313" s="12">
        <f>ROUND(DQ55+DQ120+DQ175+DQ218+DQ283+ED313,2)</f>
        <v>127729.95</v>
      </c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>
        <f t="shared" ref="EG313:EV313" si="278">ROUND(EG55+EG120+EG175+EG218+EG283+FP313,2)</f>
        <v>0</v>
      </c>
      <c r="EH313" s="12">
        <f t="shared" si="278"/>
        <v>1342269.47</v>
      </c>
      <c r="EI313" s="12">
        <f t="shared" si="278"/>
        <v>0</v>
      </c>
      <c r="EJ313" s="12">
        <f t="shared" si="278"/>
        <v>2138835.9</v>
      </c>
      <c r="EK313" s="12">
        <f t="shared" si="278"/>
        <v>81457.759999999995</v>
      </c>
      <c r="EL313" s="12">
        <f t="shared" si="278"/>
        <v>715108.67</v>
      </c>
      <c r="EM313" s="12">
        <f t="shared" si="278"/>
        <v>0</v>
      </c>
      <c r="EN313" s="12">
        <f t="shared" si="278"/>
        <v>1513954.35</v>
      </c>
      <c r="EO313" s="12">
        <f t="shared" si="278"/>
        <v>171684.88</v>
      </c>
      <c r="EP313" s="12">
        <f t="shared" si="278"/>
        <v>0</v>
      </c>
      <c r="EQ313" s="12">
        <f t="shared" si="278"/>
        <v>171684.88</v>
      </c>
      <c r="ER313" s="12">
        <f t="shared" si="278"/>
        <v>1342269.47</v>
      </c>
      <c r="ES313" s="12">
        <f t="shared" si="278"/>
        <v>0</v>
      </c>
      <c r="ET313" s="12">
        <f t="shared" si="278"/>
        <v>0</v>
      </c>
      <c r="EU313" s="12">
        <f t="shared" si="278"/>
        <v>0</v>
      </c>
      <c r="EV313" s="12">
        <f t="shared" si="278"/>
        <v>0</v>
      </c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>
        <v>0</v>
      </c>
    </row>
    <row r="315" spans="1:206" ht="13" x14ac:dyDescent="0.3">
      <c r="A315" s="13">
        <v>50</v>
      </c>
      <c r="B315" s="13">
        <v>0</v>
      </c>
      <c r="C315" s="13">
        <v>0</v>
      </c>
      <c r="D315" s="13">
        <v>1</v>
      </c>
      <c r="E315" s="13">
        <v>201</v>
      </c>
      <c r="F315" s="13">
        <f>ROUND(Source!O313,O315)</f>
        <v>236689.87</v>
      </c>
      <c r="G315" s="13" t="s">
        <v>88</v>
      </c>
      <c r="H315" s="13" t="s">
        <v>89</v>
      </c>
      <c r="I315" s="13"/>
      <c r="J315" s="13"/>
      <c r="K315" s="13">
        <v>201</v>
      </c>
      <c r="L315" s="13">
        <v>1</v>
      </c>
      <c r="M315" s="13">
        <v>3</v>
      </c>
      <c r="N315" s="13" t="s">
        <v>3</v>
      </c>
      <c r="O315" s="13">
        <v>2</v>
      </c>
      <c r="P315" s="13">
        <f>ROUND(Source!DG313,O315)</f>
        <v>1771662.5</v>
      </c>
      <c r="Q315" s="13"/>
      <c r="R315" s="13"/>
      <c r="S315" s="13"/>
      <c r="T315" s="13"/>
      <c r="U315" s="13"/>
      <c r="V315" s="13"/>
      <c r="W315" s="13">
        <v>236689.87</v>
      </c>
      <c r="X315" s="13">
        <v>1</v>
      </c>
      <c r="Y315" s="13">
        <v>236689.87</v>
      </c>
      <c r="Z315" s="13">
        <v>1771662.5</v>
      </c>
      <c r="AA315" s="13">
        <v>1</v>
      </c>
      <c r="AB315" s="13">
        <v>1771662.5</v>
      </c>
    </row>
    <row r="316" spans="1:206" ht="13" x14ac:dyDescent="0.3">
      <c r="A316" s="13">
        <v>50</v>
      </c>
      <c r="B316" s="13">
        <v>0</v>
      </c>
      <c r="C316" s="13">
        <v>0</v>
      </c>
      <c r="D316" s="13">
        <v>1</v>
      </c>
      <c r="E316" s="13">
        <v>202</v>
      </c>
      <c r="F316" s="13">
        <f>ROUND(Source!P313,O316)</f>
        <v>231819.9</v>
      </c>
      <c r="G316" s="13" t="s">
        <v>90</v>
      </c>
      <c r="H316" s="13" t="s">
        <v>91</v>
      </c>
      <c r="I316" s="13"/>
      <c r="J316" s="13"/>
      <c r="K316" s="13">
        <v>202</v>
      </c>
      <c r="L316" s="13">
        <v>2</v>
      </c>
      <c r="M316" s="13">
        <v>3</v>
      </c>
      <c r="N316" s="13" t="s">
        <v>3</v>
      </c>
      <c r="O316" s="13">
        <v>2</v>
      </c>
      <c r="P316" s="13">
        <f>ROUND(Source!DH313,O316)</f>
        <v>1513954.35</v>
      </c>
      <c r="Q316" s="13"/>
      <c r="R316" s="13"/>
      <c r="S316" s="13"/>
      <c r="T316" s="13"/>
      <c r="U316" s="13"/>
      <c r="V316" s="13"/>
      <c r="W316" s="13">
        <v>231819.9</v>
      </c>
      <c r="X316" s="13">
        <v>1</v>
      </c>
      <c r="Y316" s="13">
        <v>231819.9</v>
      </c>
      <c r="Z316" s="13">
        <v>1513954.35</v>
      </c>
      <c r="AA316" s="13">
        <v>1</v>
      </c>
      <c r="AB316" s="13">
        <v>1513954.35</v>
      </c>
    </row>
    <row r="317" spans="1:206" ht="13" x14ac:dyDescent="0.3">
      <c r="A317" s="13">
        <v>50</v>
      </c>
      <c r="B317" s="13">
        <v>0</v>
      </c>
      <c r="C317" s="13">
        <v>0</v>
      </c>
      <c r="D317" s="13">
        <v>1</v>
      </c>
      <c r="E317" s="13">
        <v>222</v>
      </c>
      <c r="F317" s="13">
        <f>ROUND(Source!AO313,O317)</f>
        <v>0</v>
      </c>
      <c r="G317" s="13" t="s">
        <v>92</v>
      </c>
      <c r="H317" s="13" t="s">
        <v>93</v>
      </c>
      <c r="I317" s="13"/>
      <c r="J317" s="13"/>
      <c r="K317" s="13">
        <v>222</v>
      </c>
      <c r="L317" s="13">
        <v>3</v>
      </c>
      <c r="M317" s="13">
        <v>3</v>
      </c>
      <c r="N317" s="13" t="s">
        <v>3</v>
      </c>
      <c r="O317" s="13">
        <v>2</v>
      </c>
      <c r="P317" s="13">
        <f>ROUND(Source!EG313,O317)</f>
        <v>0</v>
      </c>
      <c r="Q317" s="13"/>
      <c r="R317" s="13"/>
      <c r="S317" s="13"/>
      <c r="T317" s="13"/>
      <c r="U317" s="13"/>
      <c r="V317" s="13"/>
      <c r="W317" s="13">
        <v>0</v>
      </c>
      <c r="X317" s="13">
        <v>1</v>
      </c>
      <c r="Y317" s="13">
        <v>0</v>
      </c>
      <c r="Z317" s="13">
        <v>0</v>
      </c>
      <c r="AA317" s="13">
        <v>1</v>
      </c>
      <c r="AB317" s="13">
        <v>0</v>
      </c>
    </row>
    <row r="318" spans="1:206" ht="13" x14ac:dyDescent="0.3">
      <c r="A318" s="13">
        <v>50</v>
      </c>
      <c r="B318" s="13">
        <v>0</v>
      </c>
      <c r="C318" s="13">
        <v>0</v>
      </c>
      <c r="D318" s="13">
        <v>1</v>
      </c>
      <c r="E318" s="13">
        <v>225</v>
      </c>
      <c r="F318" s="13">
        <f>ROUND(Source!AV313,O318)</f>
        <v>231819.9</v>
      </c>
      <c r="G318" s="13" t="s">
        <v>94</v>
      </c>
      <c r="H318" s="13" t="s">
        <v>95</v>
      </c>
      <c r="I318" s="13"/>
      <c r="J318" s="13"/>
      <c r="K318" s="13">
        <v>225</v>
      </c>
      <c r="L318" s="13">
        <v>4</v>
      </c>
      <c r="M318" s="13">
        <v>3</v>
      </c>
      <c r="N318" s="13" t="s">
        <v>3</v>
      </c>
      <c r="O318" s="13">
        <v>2</v>
      </c>
      <c r="P318" s="13">
        <f>ROUND(Source!EN313,O318)</f>
        <v>1513954.35</v>
      </c>
      <c r="Q318" s="13"/>
      <c r="R318" s="13"/>
      <c r="S318" s="13"/>
      <c r="T318" s="13"/>
      <c r="U318" s="13"/>
      <c r="V318" s="13"/>
      <c r="W318" s="13">
        <v>231819.9</v>
      </c>
      <c r="X318" s="13">
        <v>1</v>
      </c>
      <c r="Y318" s="13">
        <v>231819.9</v>
      </c>
      <c r="Z318" s="13">
        <v>1513954.35</v>
      </c>
      <c r="AA318" s="13">
        <v>1</v>
      </c>
      <c r="AB318" s="13">
        <v>1513954.35</v>
      </c>
    </row>
    <row r="319" spans="1:206" ht="13" x14ac:dyDescent="0.3">
      <c r="A319" s="13">
        <v>50</v>
      </c>
      <c r="B319" s="13">
        <v>0</v>
      </c>
      <c r="C319" s="13">
        <v>0</v>
      </c>
      <c r="D319" s="13">
        <v>1</v>
      </c>
      <c r="E319" s="13">
        <v>226</v>
      </c>
      <c r="F319" s="13">
        <f>ROUND(Source!AW313,O319)</f>
        <v>55074.33</v>
      </c>
      <c r="G319" s="13" t="s">
        <v>96</v>
      </c>
      <c r="H319" s="13" t="s">
        <v>97</v>
      </c>
      <c r="I319" s="13"/>
      <c r="J319" s="13"/>
      <c r="K319" s="13">
        <v>226</v>
      </c>
      <c r="L319" s="13">
        <v>5</v>
      </c>
      <c r="M319" s="13">
        <v>3</v>
      </c>
      <c r="N319" s="13" t="s">
        <v>3</v>
      </c>
      <c r="O319" s="13">
        <v>2</v>
      </c>
      <c r="P319" s="13">
        <f>ROUND(Source!EO313,O319)</f>
        <v>171684.88</v>
      </c>
      <c r="Q319" s="13"/>
      <c r="R319" s="13"/>
      <c r="S319" s="13"/>
      <c r="T319" s="13"/>
      <c r="U319" s="13"/>
      <c r="V319" s="13"/>
      <c r="W319" s="13">
        <v>55074.33</v>
      </c>
      <c r="X319" s="13">
        <v>1</v>
      </c>
      <c r="Y319" s="13">
        <v>55074.33</v>
      </c>
      <c r="Z319" s="13">
        <v>171684.88</v>
      </c>
      <c r="AA319" s="13">
        <v>1</v>
      </c>
      <c r="AB319" s="13">
        <v>171684.88</v>
      </c>
    </row>
    <row r="320" spans="1:206" ht="13" x14ac:dyDescent="0.3">
      <c r="A320" s="13">
        <v>50</v>
      </c>
      <c r="B320" s="13">
        <v>0</v>
      </c>
      <c r="C320" s="13">
        <v>0</v>
      </c>
      <c r="D320" s="13">
        <v>1</v>
      </c>
      <c r="E320" s="13">
        <v>227</v>
      </c>
      <c r="F320" s="13">
        <f>ROUND(Source!AX313,O320)</f>
        <v>0</v>
      </c>
      <c r="G320" s="13" t="s">
        <v>98</v>
      </c>
      <c r="H320" s="13" t="s">
        <v>99</v>
      </c>
      <c r="I320" s="13"/>
      <c r="J320" s="13"/>
      <c r="K320" s="13">
        <v>227</v>
      </c>
      <c r="L320" s="13">
        <v>6</v>
      </c>
      <c r="M320" s="13">
        <v>3</v>
      </c>
      <c r="N320" s="13" t="s">
        <v>3</v>
      </c>
      <c r="O320" s="13">
        <v>2</v>
      </c>
      <c r="P320" s="13">
        <f>ROUND(Source!EP313,O320)</f>
        <v>0</v>
      </c>
      <c r="Q320" s="13"/>
      <c r="R320" s="13"/>
      <c r="S320" s="13"/>
      <c r="T320" s="13"/>
      <c r="U320" s="13"/>
      <c r="V320" s="13"/>
      <c r="W320" s="13">
        <v>0</v>
      </c>
      <c r="X320" s="13">
        <v>1</v>
      </c>
      <c r="Y320" s="13">
        <v>0</v>
      </c>
      <c r="Z320" s="13">
        <v>0</v>
      </c>
      <c r="AA320" s="13">
        <v>1</v>
      </c>
      <c r="AB320" s="13">
        <v>0</v>
      </c>
    </row>
    <row r="321" spans="1:28" ht="13" x14ac:dyDescent="0.3">
      <c r="A321" s="13">
        <v>50</v>
      </c>
      <c r="B321" s="13">
        <v>0</v>
      </c>
      <c r="C321" s="13">
        <v>0</v>
      </c>
      <c r="D321" s="13">
        <v>1</v>
      </c>
      <c r="E321" s="13">
        <v>228</v>
      </c>
      <c r="F321" s="13">
        <f>ROUND(Source!AY313,O321)</f>
        <v>55074.33</v>
      </c>
      <c r="G321" s="13" t="s">
        <v>100</v>
      </c>
      <c r="H321" s="13" t="s">
        <v>101</v>
      </c>
      <c r="I321" s="13"/>
      <c r="J321" s="13"/>
      <c r="K321" s="13">
        <v>228</v>
      </c>
      <c r="L321" s="13">
        <v>7</v>
      </c>
      <c r="M321" s="13">
        <v>3</v>
      </c>
      <c r="N321" s="13" t="s">
        <v>3</v>
      </c>
      <c r="O321" s="13">
        <v>2</v>
      </c>
      <c r="P321" s="13">
        <f>ROUND(Source!EQ313,O321)</f>
        <v>171684.88</v>
      </c>
      <c r="Q321" s="13"/>
      <c r="R321" s="13"/>
      <c r="S321" s="13"/>
      <c r="T321" s="13"/>
      <c r="U321" s="13"/>
      <c r="V321" s="13"/>
      <c r="W321" s="13">
        <v>55074.33</v>
      </c>
      <c r="X321" s="13">
        <v>1</v>
      </c>
      <c r="Y321" s="13">
        <v>55074.33</v>
      </c>
      <c r="Z321" s="13">
        <v>171684.88</v>
      </c>
      <c r="AA321" s="13">
        <v>1</v>
      </c>
      <c r="AB321" s="13">
        <v>171684.88</v>
      </c>
    </row>
    <row r="322" spans="1:28" ht="13" x14ac:dyDescent="0.3">
      <c r="A322" s="13">
        <v>50</v>
      </c>
      <c r="B322" s="13">
        <v>0</v>
      </c>
      <c r="C322" s="13">
        <v>0</v>
      </c>
      <c r="D322" s="13">
        <v>1</v>
      </c>
      <c r="E322" s="13">
        <v>216</v>
      </c>
      <c r="F322" s="13">
        <f>ROUND(Source!AP313,O322)</f>
        <v>176745.57</v>
      </c>
      <c r="G322" s="13" t="s">
        <v>102</v>
      </c>
      <c r="H322" s="13" t="s">
        <v>103</v>
      </c>
      <c r="I322" s="13"/>
      <c r="J322" s="13"/>
      <c r="K322" s="13">
        <v>216</v>
      </c>
      <c r="L322" s="13">
        <v>8</v>
      </c>
      <c r="M322" s="13">
        <v>3</v>
      </c>
      <c r="N322" s="13" t="s">
        <v>3</v>
      </c>
      <c r="O322" s="13">
        <v>2</v>
      </c>
      <c r="P322" s="13">
        <f>ROUND(Source!EH313,O322)</f>
        <v>1342269.47</v>
      </c>
      <c r="Q322" s="13"/>
      <c r="R322" s="13"/>
      <c r="S322" s="13"/>
      <c r="T322" s="13"/>
      <c r="U322" s="13"/>
      <c r="V322" s="13"/>
      <c r="W322" s="13">
        <v>176745.57</v>
      </c>
      <c r="X322" s="13">
        <v>1</v>
      </c>
      <c r="Y322" s="13">
        <v>176745.57</v>
      </c>
      <c r="Z322" s="13">
        <v>1342269.47</v>
      </c>
      <c r="AA322" s="13">
        <v>1</v>
      </c>
      <c r="AB322" s="13">
        <v>1342269.47</v>
      </c>
    </row>
    <row r="323" spans="1:28" ht="13" x14ac:dyDescent="0.3">
      <c r="A323" s="13">
        <v>50</v>
      </c>
      <c r="B323" s="13">
        <v>0</v>
      </c>
      <c r="C323" s="13">
        <v>0</v>
      </c>
      <c r="D323" s="13">
        <v>1</v>
      </c>
      <c r="E323" s="13">
        <v>223</v>
      </c>
      <c r="F323" s="13">
        <f>ROUND(Source!AQ313,O323)</f>
        <v>0</v>
      </c>
      <c r="G323" s="13" t="s">
        <v>104</v>
      </c>
      <c r="H323" s="13" t="s">
        <v>105</v>
      </c>
      <c r="I323" s="13"/>
      <c r="J323" s="13"/>
      <c r="K323" s="13">
        <v>223</v>
      </c>
      <c r="L323" s="13">
        <v>9</v>
      </c>
      <c r="M323" s="13">
        <v>3</v>
      </c>
      <c r="N323" s="13" t="s">
        <v>3</v>
      </c>
      <c r="O323" s="13">
        <v>2</v>
      </c>
      <c r="P323" s="13">
        <f>ROUND(Source!EI313,O323)</f>
        <v>0</v>
      </c>
      <c r="Q323" s="13"/>
      <c r="R323" s="13"/>
      <c r="S323" s="13"/>
      <c r="T323" s="13"/>
      <c r="U323" s="13"/>
      <c r="V323" s="13"/>
      <c r="W323" s="13">
        <v>0</v>
      </c>
      <c r="X323" s="13">
        <v>1</v>
      </c>
      <c r="Y323" s="13">
        <v>0</v>
      </c>
      <c r="Z323" s="13">
        <v>0</v>
      </c>
      <c r="AA323" s="13">
        <v>1</v>
      </c>
      <c r="AB323" s="13">
        <v>0</v>
      </c>
    </row>
    <row r="324" spans="1:28" ht="13" x14ac:dyDescent="0.3">
      <c r="A324" s="13">
        <v>50</v>
      </c>
      <c r="B324" s="13">
        <v>0</v>
      </c>
      <c r="C324" s="13">
        <v>0</v>
      </c>
      <c r="D324" s="13">
        <v>1</v>
      </c>
      <c r="E324" s="13">
        <v>229</v>
      </c>
      <c r="F324" s="13">
        <f>ROUND(Source!AZ313,O324)</f>
        <v>176745.57</v>
      </c>
      <c r="G324" s="13" t="s">
        <v>106</v>
      </c>
      <c r="H324" s="13" t="s">
        <v>107</v>
      </c>
      <c r="I324" s="13"/>
      <c r="J324" s="13"/>
      <c r="K324" s="13">
        <v>229</v>
      </c>
      <c r="L324" s="13">
        <v>10</v>
      </c>
      <c r="M324" s="13">
        <v>3</v>
      </c>
      <c r="N324" s="13" t="s">
        <v>3</v>
      </c>
      <c r="O324" s="13">
        <v>2</v>
      </c>
      <c r="P324" s="13">
        <f>ROUND(Source!ER313,O324)</f>
        <v>1342269.47</v>
      </c>
      <c r="Q324" s="13"/>
      <c r="R324" s="13"/>
      <c r="S324" s="13"/>
      <c r="T324" s="13"/>
      <c r="U324" s="13"/>
      <c r="V324" s="13"/>
      <c r="W324" s="13">
        <v>176745.57</v>
      </c>
      <c r="X324" s="13">
        <v>1</v>
      </c>
      <c r="Y324" s="13">
        <v>176745.57</v>
      </c>
      <c r="Z324" s="13">
        <v>1342269.47</v>
      </c>
      <c r="AA324" s="13">
        <v>1</v>
      </c>
      <c r="AB324" s="13">
        <v>1342269.47</v>
      </c>
    </row>
    <row r="325" spans="1:28" ht="13" x14ac:dyDescent="0.3">
      <c r="A325" s="13">
        <v>50</v>
      </c>
      <c r="B325" s="13">
        <v>0</v>
      </c>
      <c r="C325" s="13">
        <v>0</v>
      </c>
      <c r="D325" s="13">
        <v>1</v>
      </c>
      <c r="E325" s="13">
        <v>203</v>
      </c>
      <c r="F325" s="13">
        <f>ROUND(Source!Q313,O325)</f>
        <v>406.41</v>
      </c>
      <c r="G325" s="13" t="s">
        <v>108</v>
      </c>
      <c r="H325" s="13" t="s">
        <v>109</v>
      </c>
      <c r="I325" s="13"/>
      <c r="J325" s="13"/>
      <c r="K325" s="13">
        <v>203</v>
      </c>
      <c r="L325" s="13">
        <v>11</v>
      </c>
      <c r="M325" s="13">
        <v>3</v>
      </c>
      <c r="N325" s="13" t="s">
        <v>3</v>
      </c>
      <c r="O325" s="13">
        <v>2</v>
      </c>
      <c r="P325" s="13">
        <f>ROUND(Source!DI313,O325)</f>
        <v>6186.53</v>
      </c>
      <c r="Q325" s="13"/>
      <c r="R325" s="13"/>
      <c r="S325" s="13"/>
      <c r="T325" s="13"/>
      <c r="U325" s="13"/>
      <c r="V325" s="13"/>
      <c r="W325" s="13">
        <v>406.41</v>
      </c>
      <c r="X325" s="13">
        <v>1</v>
      </c>
      <c r="Y325" s="13">
        <v>406.41</v>
      </c>
      <c r="Z325" s="13">
        <v>6186.53</v>
      </c>
      <c r="AA325" s="13">
        <v>1</v>
      </c>
      <c r="AB325" s="13">
        <v>6186.53</v>
      </c>
    </row>
    <row r="326" spans="1:28" ht="13" x14ac:dyDescent="0.3">
      <c r="A326" s="13">
        <v>50</v>
      </c>
      <c r="B326" s="13">
        <v>0</v>
      </c>
      <c r="C326" s="13">
        <v>0</v>
      </c>
      <c r="D326" s="13">
        <v>1</v>
      </c>
      <c r="E326" s="13">
        <v>231</v>
      </c>
      <c r="F326" s="13">
        <f>ROUND(Source!BB313,O326)</f>
        <v>0</v>
      </c>
      <c r="G326" s="13" t="s">
        <v>110</v>
      </c>
      <c r="H326" s="13" t="s">
        <v>111</v>
      </c>
      <c r="I326" s="13"/>
      <c r="J326" s="13"/>
      <c r="K326" s="13">
        <v>231</v>
      </c>
      <c r="L326" s="13">
        <v>12</v>
      </c>
      <c r="M326" s="13">
        <v>3</v>
      </c>
      <c r="N326" s="13" t="s">
        <v>3</v>
      </c>
      <c r="O326" s="13">
        <v>2</v>
      </c>
      <c r="P326" s="13">
        <f>ROUND(Source!ET313,O326)</f>
        <v>0</v>
      </c>
      <c r="Q326" s="13"/>
      <c r="R326" s="13"/>
      <c r="S326" s="13"/>
      <c r="T326" s="13"/>
      <c r="U326" s="13"/>
      <c r="V326" s="13"/>
      <c r="W326" s="13">
        <v>0</v>
      </c>
      <c r="X326" s="13">
        <v>1</v>
      </c>
      <c r="Y326" s="13">
        <v>0</v>
      </c>
      <c r="Z326" s="13">
        <v>0</v>
      </c>
      <c r="AA326" s="13">
        <v>1</v>
      </c>
      <c r="AB326" s="13">
        <v>0</v>
      </c>
    </row>
    <row r="327" spans="1:28" ht="13" x14ac:dyDescent="0.3">
      <c r="A327" s="13">
        <v>50</v>
      </c>
      <c r="B327" s="13">
        <v>0</v>
      </c>
      <c r="C327" s="13">
        <v>0</v>
      </c>
      <c r="D327" s="13">
        <v>1</v>
      </c>
      <c r="E327" s="13">
        <v>204</v>
      </c>
      <c r="F327" s="13">
        <f>ROUND(Source!R313,O327)</f>
        <v>33.67</v>
      </c>
      <c r="G327" s="13" t="s">
        <v>112</v>
      </c>
      <c r="H327" s="13" t="s">
        <v>113</v>
      </c>
      <c r="I327" s="13"/>
      <c r="J327" s="13"/>
      <c r="K327" s="13">
        <v>204</v>
      </c>
      <c r="L327" s="13">
        <v>13</v>
      </c>
      <c r="M327" s="13">
        <v>3</v>
      </c>
      <c r="N327" s="13" t="s">
        <v>3</v>
      </c>
      <c r="O327" s="13">
        <v>2</v>
      </c>
      <c r="P327" s="13">
        <f>ROUND(Source!DJ313,O327)</f>
        <v>1897.29</v>
      </c>
      <c r="Q327" s="13"/>
      <c r="R327" s="13"/>
      <c r="S327" s="13"/>
      <c r="T327" s="13"/>
      <c r="U327" s="13"/>
      <c r="V327" s="13"/>
      <c r="W327" s="13">
        <v>33.67</v>
      </c>
      <c r="X327" s="13">
        <v>1</v>
      </c>
      <c r="Y327" s="13">
        <v>33.67</v>
      </c>
      <c r="Z327" s="13">
        <v>1897.29</v>
      </c>
      <c r="AA327" s="13">
        <v>1</v>
      </c>
      <c r="AB327" s="13">
        <v>1897.29</v>
      </c>
    </row>
    <row r="328" spans="1:28" ht="13" x14ac:dyDescent="0.3">
      <c r="A328" s="13">
        <v>50</v>
      </c>
      <c r="B328" s="13">
        <v>0</v>
      </c>
      <c r="C328" s="13">
        <v>0</v>
      </c>
      <c r="D328" s="13">
        <v>1</v>
      </c>
      <c r="E328" s="13">
        <v>205</v>
      </c>
      <c r="F328" s="13">
        <f>ROUND(Source!S313,O328)</f>
        <v>4463.5600000000004</v>
      </c>
      <c r="G328" s="13" t="s">
        <v>114</v>
      </c>
      <c r="H328" s="13" t="s">
        <v>115</v>
      </c>
      <c r="I328" s="13"/>
      <c r="J328" s="13"/>
      <c r="K328" s="13">
        <v>205</v>
      </c>
      <c r="L328" s="13">
        <v>14</v>
      </c>
      <c r="M328" s="13">
        <v>3</v>
      </c>
      <c r="N328" s="13" t="s">
        <v>3</v>
      </c>
      <c r="O328" s="13">
        <v>2</v>
      </c>
      <c r="P328" s="13">
        <f>ROUND(Source!DK313,O328)</f>
        <v>251521.62</v>
      </c>
      <c r="Q328" s="13"/>
      <c r="R328" s="13"/>
      <c r="S328" s="13"/>
      <c r="T328" s="13"/>
      <c r="U328" s="13"/>
      <c r="V328" s="13"/>
      <c r="W328" s="13">
        <v>4463.5600000000004</v>
      </c>
      <c r="X328" s="13">
        <v>1</v>
      </c>
      <c r="Y328" s="13">
        <v>4463.5600000000004</v>
      </c>
      <c r="Z328" s="13">
        <v>251521.62</v>
      </c>
      <c r="AA328" s="13">
        <v>1</v>
      </c>
      <c r="AB328" s="13">
        <v>251521.62</v>
      </c>
    </row>
    <row r="329" spans="1:28" ht="13" x14ac:dyDescent="0.3">
      <c r="A329" s="13">
        <v>50</v>
      </c>
      <c r="B329" s="13">
        <v>0</v>
      </c>
      <c r="C329" s="13">
        <v>0</v>
      </c>
      <c r="D329" s="13">
        <v>1</v>
      </c>
      <c r="E329" s="13">
        <v>232</v>
      </c>
      <c r="F329" s="13">
        <f>ROUND(Source!BC313,O329)</f>
        <v>0</v>
      </c>
      <c r="G329" s="13" t="s">
        <v>116</v>
      </c>
      <c r="H329" s="13" t="s">
        <v>117</v>
      </c>
      <c r="I329" s="13"/>
      <c r="J329" s="13"/>
      <c r="K329" s="13">
        <v>232</v>
      </c>
      <c r="L329" s="13">
        <v>15</v>
      </c>
      <c r="M329" s="13">
        <v>3</v>
      </c>
      <c r="N329" s="13" t="s">
        <v>3</v>
      </c>
      <c r="O329" s="13">
        <v>2</v>
      </c>
      <c r="P329" s="13">
        <f>ROUND(Source!EU313,O329)</f>
        <v>0</v>
      </c>
      <c r="Q329" s="13"/>
      <c r="R329" s="13"/>
      <c r="S329" s="13"/>
      <c r="T329" s="13"/>
      <c r="U329" s="13"/>
      <c r="V329" s="13"/>
      <c r="W329" s="13">
        <v>0</v>
      </c>
      <c r="X329" s="13">
        <v>1</v>
      </c>
      <c r="Y329" s="13">
        <v>0</v>
      </c>
      <c r="Z329" s="13">
        <v>0</v>
      </c>
      <c r="AA329" s="13">
        <v>1</v>
      </c>
      <c r="AB329" s="13">
        <v>0</v>
      </c>
    </row>
    <row r="330" spans="1:28" ht="13" x14ac:dyDescent="0.3">
      <c r="A330" s="13">
        <v>50</v>
      </c>
      <c r="B330" s="13">
        <v>0</v>
      </c>
      <c r="C330" s="13">
        <v>0</v>
      </c>
      <c r="D330" s="13">
        <v>1</v>
      </c>
      <c r="E330" s="13">
        <v>214</v>
      </c>
      <c r="F330" s="13">
        <f>ROUND(Source!AS313,O330)</f>
        <v>1445.57</v>
      </c>
      <c r="G330" s="13" t="s">
        <v>118</v>
      </c>
      <c r="H330" s="13" t="s">
        <v>119</v>
      </c>
      <c r="I330" s="13"/>
      <c r="J330" s="13"/>
      <c r="K330" s="13">
        <v>214</v>
      </c>
      <c r="L330" s="13">
        <v>16</v>
      </c>
      <c r="M330" s="13">
        <v>3</v>
      </c>
      <c r="N330" s="13" t="s">
        <v>3</v>
      </c>
      <c r="O330" s="13">
        <v>2</v>
      </c>
      <c r="P330" s="13">
        <f>ROUND(Source!EK313,O330)</f>
        <v>81457.759999999995</v>
      </c>
      <c r="Q330" s="13"/>
      <c r="R330" s="13"/>
      <c r="S330" s="13"/>
      <c r="T330" s="13"/>
      <c r="U330" s="13"/>
      <c r="V330" s="13"/>
      <c r="W330" s="13">
        <v>1445.57</v>
      </c>
      <c r="X330" s="13">
        <v>1</v>
      </c>
      <c r="Y330" s="13">
        <v>1445.57</v>
      </c>
      <c r="Z330" s="13">
        <v>81457.759999999995</v>
      </c>
      <c r="AA330" s="13">
        <v>1</v>
      </c>
      <c r="AB330" s="13">
        <v>81457.759999999995</v>
      </c>
    </row>
    <row r="331" spans="1:28" ht="13" x14ac:dyDescent="0.3">
      <c r="A331" s="13">
        <v>50</v>
      </c>
      <c r="B331" s="13">
        <v>0</v>
      </c>
      <c r="C331" s="13">
        <v>0</v>
      </c>
      <c r="D331" s="13">
        <v>1</v>
      </c>
      <c r="E331" s="13">
        <v>215</v>
      </c>
      <c r="F331" s="13">
        <f>ROUND(Source!AT313,O331)</f>
        <v>65014.62</v>
      </c>
      <c r="G331" s="13" t="s">
        <v>120</v>
      </c>
      <c r="H331" s="13" t="s">
        <v>121</v>
      </c>
      <c r="I331" s="13"/>
      <c r="J331" s="13"/>
      <c r="K331" s="13">
        <v>215</v>
      </c>
      <c r="L331" s="13">
        <v>17</v>
      </c>
      <c r="M331" s="13">
        <v>3</v>
      </c>
      <c r="N331" s="13" t="s">
        <v>3</v>
      </c>
      <c r="O331" s="13">
        <v>2</v>
      </c>
      <c r="P331" s="13">
        <f>ROUND(Source!EL313,O331)</f>
        <v>715108.67</v>
      </c>
      <c r="Q331" s="13"/>
      <c r="R331" s="13"/>
      <c r="S331" s="13"/>
      <c r="T331" s="13"/>
      <c r="U331" s="13"/>
      <c r="V331" s="13"/>
      <c r="W331" s="13">
        <v>65014.62</v>
      </c>
      <c r="X331" s="13">
        <v>1</v>
      </c>
      <c r="Y331" s="13">
        <v>65014.62</v>
      </c>
      <c r="Z331" s="13">
        <v>715108.67</v>
      </c>
      <c r="AA331" s="13">
        <v>1</v>
      </c>
      <c r="AB331" s="13">
        <v>715108.67</v>
      </c>
    </row>
    <row r="332" spans="1:28" ht="13" x14ac:dyDescent="0.3">
      <c r="A332" s="13">
        <v>50</v>
      </c>
      <c r="B332" s="13">
        <v>0</v>
      </c>
      <c r="C332" s="13">
        <v>0</v>
      </c>
      <c r="D332" s="13">
        <v>1</v>
      </c>
      <c r="E332" s="13">
        <v>217</v>
      </c>
      <c r="F332" s="13">
        <f>ROUND(Source!AU313,O332)</f>
        <v>0</v>
      </c>
      <c r="G332" s="13" t="s">
        <v>122</v>
      </c>
      <c r="H332" s="13" t="s">
        <v>123</v>
      </c>
      <c r="I332" s="13"/>
      <c r="J332" s="13"/>
      <c r="K332" s="13">
        <v>217</v>
      </c>
      <c r="L332" s="13">
        <v>18</v>
      </c>
      <c r="M332" s="13">
        <v>3</v>
      </c>
      <c r="N332" s="13" t="s">
        <v>3</v>
      </c>
      <c r="O332" s="13">
        <v>2</v>
      </c>
      <c r="P332" s="13">
        <f>ROUND(Source!EM313,O332)</f>
        <v>0</v>
      </c>
      <c r="Q332" s="13"/>
      <c r="R332" s="13"/>
      <c r="S332" s="13"/>
      <c r="T332" s="13"/>
      <c r="U332" s="13"/>
      <c r="V332" s="13"/>
      <c r="W332" s="13">
        <v>0</v>
      </c>
      <c r="X332" s="13">
        <v>1</v>
      </c>
      <c r="Y332" s="13">
        <v>0</v>
      </c>
      <c r="Z332" s="13">
        <v>0</v>
      </c>
      <c r="AA332" s="13">
        <v>1</v>
      </c>
      <c r="AB332" s="13">
        <v>0</v>
      </c>
    </row>
    <row r="333" spans="1:28" ht="13" x14ac:dyDescent="0.3">
      <c r="A333" s="13">
        <v>50</v>
      </c>
      <c r="B333" s="13">
        <v>0</v>
      </c>
      <c r="C333" s="13">
        <v>0</v>
      </c>
      <c r="D333" s="13">
        <v>1</v>
      </c>
      <c r="E333" s="13">
        <v>230</v>
      </c>
      <c r="F333" s="13">
        <f>ROUND(Source!BA313,O333)</f>
        <v>0</v>
      </c>
      <c r="G333" s="13" t="s">
        <v>124</v>
      </c>
      <c r="H333" s="13" t="s">
        <v>125</v>
      </c>
      <c r="I333" s="13"/>
      <c r="J333" s="13"/>
      <c r="K333" s="13">
        <v>230</v>
      </c>
      <c r="L333" s="13">
        <v>19</v>
      </c>
      <c r="M333" s="13">
        <v>3</v>
      </c>
      <c r="N333" s="13" t="s">
        <v>3</v>
      </c>
      <c r="O333" s="13">
        <v>2</v>
      </c>
      <c r="P333" s="13">
        <f>ROUND(Source!ES313,O333)</f>
        <v>0</v>
      </c>
      <c r="Q333" s="13"/>
      <c r="R333" s="13"/>
      <c r="S333" s="13"/>
      <c r="T333" s="13"/>
      <c r="U333" s="13"/>
      <c r="V333" s="13"/>
      <c r="W333" s="13">
        <v>0</v>
      </c>
      <c r="X333" s="13">
        <v>1</v>
      </c>
      <c r="Y333" s="13">
        <v>0</v>
      </c>
      <c r="Z333" s="13">
        <v>0</v>
      </c>
      <c r="AA333" s="13">
        <v>1</v>
      </c>
      <c r="AB333" s="13">
        <v>0</v>
      </c>
    </row>
    <row r="334" spans="1:28" ht="13" x14ac:dyDescent="0.3">
      <c r="A334" s="13">
        <v>50</v>
      </c>
      <c r="B334" s="13">
        <v>0</v>
      </c>
      <c r="C334" s="13">
        <v>0</v>
      </c>
      <c r="D334" s="13">
        <v>1</v>
      </c>
      <c r="E334" s="13">
        <v>206</v>
      </c>
      <c r="F334" s="13">
        <f>ROUND(Source!T313,O334)</f>
        <v>0</v>
      </c>
      <c r="G334" s="13" t="s">
        <v>126</v>
      </c>
      <c r="H334" s="13" t="s">
        <v>127</v>
      </c>
      <c r="I334" s="13"/>
      <c r="J334" s="13"/>
      <c r="K334" s="13">
        <v>206</v>
      </c>
      <c r="L334" s="13">
        <v>20</v>
      </c>
      <c r="M334" s="13">
        <v>3</v>
      </c>
      <c r="N334" s="13" t="s">
        <v>3</v>
      </c>
      <c r="O334" s="13">
        <v>2</v>
      </c>
      <c r="P334" s="13">
        <f>ROUND(Source!DL313,O334)</f>
        <v>0</v>
      </c>
      <c r="Q334" s="13"/>
      <c r="R334" s="13"/>
      <c r="S334" s="13"/>
      <c r="T334" s="13"/>
      <c r="U334" s="13"/>
      <c r="V334" s="13"/>
      <c r="W334" s="13">
        <v>0</v>
      </c>
      <c r="X334" s="13">
        <v>1</v>
      </c>
      <c r="Y334" s="13">
        <v>0</v>
      </c>
      <c r="Z334" s="13">
        <v>0</v>
      </c>
      <c r="AA334" s="13">
        <v>1</v>
      </c>
      <c r="AB334" s="13">
        <v>0</v>
      </c>
    </row>
    <row r="335" spans="1:28" ht="13" x14ac:dyDescent="0.3">
      <c r="A335" s="13">
        <v>50</v>
      </c>
      <c r="B335" s="13">
        <v>0</v>
      </c>
      <c r="C335" s="13">
        <v>0</v>
      </c>
      <c r="D335" s="13">
        <v>1</v>
      </c>
      <c r="E335" s="13">
        <v>207</v>
      </c>
      <c r="F335" s="13">
        <f>Source!U313</f>
        <v>366.44694004799999</v>
      </c>
      <c r="G335" s="13" t="s">
        <v>128</v>
      </c>
      <c r="H335" s="13" t="s">
        <v>129</v>
      </c>
      <c r="I335" s="13"/>
      <c r="J335" s="13"/>
      <c r="K335" s="13">
        <v>207</v>
      </c>
      <c r="L335" s="13">
        <v>21</v>
      </c>
      <c r="M335" s="13">
        <v>3</v>
      </c>
      <c r="N335" s="13" t="s">
        <v>3</v>
      </c>
      <c r="O335" s="13">
        <v>-1</v>
      </c>
      <c r="P335" s="13">
        <f>Source!DM313</f>
        <v>366.44694004799999</v>
      </c>
      <c r="Q335" s="13"/>
      <c r="R335" s="13"/>
      <c r="S335" s="13"/>
      <c r="T335" s="13"/>
      <c r="U335" s="13"/>
      <c r="V335" s="13"/>
      <c r="W335" s="13">
        <v>366.44694004799999</v>
      </c>
      <c r="X335" s="13">
        <v>1</v>
      </c>
      <c r="Y335" s="13">
        <v>366.44694004799999</v>
      </c>
      <c r="Z335" s="13">
        <v>366.44694004799999</v>
      </c>
      <c r="AA335" s="13">
        <v>1</v>
      </c>
      <c r="AB335" s="13">
        <v>366.44694004799999</v>
      </c>
    </row>
    <row r="336" spans="1:28" ht="13" x14ac:dyDescent="0.3">
      <c r="A336" s="13">
        <v>50</v>
      </c>
      <c r="B336" s="13">
        <v>0</v>
      </c>
      <c r="C336" s="13">
        <v>0</v>
      </c>
      <c r="D336" s="13">
        <v>1</v>
      </c>
      <c r="E336" s="13">
        <v>208</v>
      </c>
      <c r="F336" s="13">
        <f>Source!V313</f>
        <v>0</v>
      </c>
      <c r="G336" s="13" t="s">
        <v>130</v>
      </c>
      <c r="H336" s="13" t="s">
        <v>131</v>
      </c>
      <c r="I336" s="13"/>
      <c r="J336" s="13"/>
      <c r="K336" s="13">
        <v>208</v>
      </c>
      <c r="L336" s="13">
        <v>22</v>
      </c>
      <c r="M336" s="13">
        <v>3</v>
      </c>
      <c r="N336" s="13" t="s">
        <v>3</v>
      </c>
      <c r="O336" s="13">
        <v>-1</v>
      </c>
      <c r="P336" s="13">
        <f>Source!DN313</f>
        <v>0</v>
      </c>
      <c r="Q336" s="13"/>
      <c r="R336" s="13"/>
      <c r="S336" s="13"/>
      <c r="T336" s="13"/>
      <c r="U336" s="13"/>
      <c r="V336" s="13"/>
      <c r="W336" s="13">
        <v>0</v>
      </c>
      <c r="X336" s="13">
        <v>1</v>
      </c>
      <c r="Y336" s="13">
        <v>0</v>
      </c>
      <c r="Z336" s="13">
        <v>0</v>
      </c>
      <c r="AA336" s="13">
        <v>1</v>
      </c>
      <c r="AB336" s="13">
        <v>0</v>
      </c>
    </row>
    <row r="337" spans="1:206" ht="13" x14ac:dyDescent="0.3">
      <c r="A337" s="13">
        <v>50</v>
      </c>
      <c r="B337" s="13">
        <v>0</v>
      </c>
      <c r="C337" s="13">
        <v>0</v>
      </c>
      <c r="D337" s="13">
        <v>1</v>
      </c>
      <c r="E337" s="13">
        <v>209</v>
      </c>
      <c r="F337" s="13">
        <f>ROUND(Source!W313,O337)</f>
        <v>0</v>
      </c>
      <c r="G337" s="13" t="s">
        <v>132</v>
      </c>
      <c r="H337" s="13" t="s">
        <v>133</v>
      </c>
      <c r="I337" s="13"/>
      <c r="J337" s="13"/>
      <c r="K337" s="13">
        <v>209</v>
      </c>
      <c r="L337" s="13">
        <v>23</v>
      </c>
      <c r="M337" s="13">
        <v>3</v>
      </c>
      <c r="N337" s="13" t="s">
        <v>3</v>
      </c>
      <c r="O337" s="13">
        <v>2</v>
      </c>
      <c r="P337" s="13">
        <f>ROUND(Source!DO313,O337)</f>
        <v>0</v>
      </c>
      <c r="Q337" s="13"/>
      <c r="R337" s="13"/>
      <c r="S337" s="13"/>
      <c r="T337" s="13"/>
      <c r="U337" s="13"/>
      <c r="V337" s="13"/>
      <c r="W337" s="13">
        <v>0</v>
      </c>
      <c r="X337" s="13">
        <v>1</v>
      </c>
      <c r="Y337" s="13">
        <v>0</v>
      </c>
      <c r="Z337" s="13">
        <v>0</v>
      </c>
      <c r="AA337" s="13">
        <v>1</v>
      </c>
      <c r="AB337" s="13">
        <v>0</v>
      </c>
    </row>
    <row r="338" spans="1:206" ht="13" x14ac:dyDescent="0.3">
      <c r="A338" s="13">
        <v>50</v>
      </c>
      <c r="B338" s="13">
        <v>0</v>
      </c>
      <c r="C338" s="13">
        <v>0</v>
      </c>
      <c r="D338" s="13">
        <v>1</v>
      </c>
      <c r="E338" s="13">
        <v>233</v>
      </c>
      <c r="F338" s="13">
        <f>ROUND(Source!BD313,O338)</f>
        <v>0</v>
      </c>
      <c r="G338" s="13" t="s">
        <v>134</v>
      </c>
      <c r="H338" s="13" t="s">
        <v>135</v>
      </c>
      <c r="I338" s="13"/>
      <c r="J338" s="13"/>
      <c r="K338" s="13">
        <v>233</v>
      </c>
      <c r="L338" s="13">
        <v>24</v>
      </c>
      <c r="M338" s="13">
        <v>3</v>
      </c>
      <c r="N338" s="13" t="s">
        <v>3</v>
      </c>
      <c r="O338" s="13">
        <v>2</v>
      </c>
      <c r="P338" s="13">
        <f>ROUND(Source!EV313,O338)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06" ht="13" x14ac:dyDescent="0.3">
      <c r="A339" s="13">
        <v>50</v>
      </c>
      <c r="B339" s="13">
        <v>0</v>
      </c>
      <c r="C339" s="13">
        <v>0</v>
      </c>
      <c r="D339" s="13">
        <v>1</v>
      </c>
      <c r="E339" s="13">
        <v>210</v>
      </c>
      <c r="F339" s="13">
        <f>ROUND(Source!X313,O339)</f>
        <v>4249.2</v>
      </c>
      <c r="G339" s="13" t="s">
        <v>136</v>
      </c>
      <c r="H339" s="13" t="s">
        <v>137</v>
      </c>
      <c r="I339" s="13"/>
      <c r="J339" s="13"/>
      <c r="K339" s="13">
        <v>210</v>
      </c>
      <c r="L339" s="13">
        <v>25</v>
      </c>
      <c r="M339" s="13">
        <v>3</v>
      </c>
      <c r="N339" s="13" t="s">
        <v>3</v>
      </c>
      <c r="O339" s="13">
        <v>2</v>
      </c>
      <c r="P339" s="13">
        <f>ROUND(Source!DP313,O339)</f>
        <v>239443.45</v>
      </c>
      <c r="Q339" s="13"/>
      <c r="R339" s="13"/>
      <c r="S339" s="13"/>
      <c r="T339" s="13"/>
      <c r="U339" s="13"/>
      <c r="V339" s="13"/>
      <c r="W339" s="13">
        <v>4249.2</v>
      </c>
      <c r="X339" s="13">
        <v>1</v>
      </c>
      <c r="Y339" s="13">
        <v>4249.2</v>
      </c>
      <c r="Z339" s="13">
        <v>239443.45</v>
      </c>
      <c r="AA339" s="13">
        <v>1</v>
      </c>
      <c r="AB339" s="13">
        <v>239443.45</v>
      </c>
    </row>
    <row r="340" spans="1:206" ht="13" x14ac:dyDescent="0.3">
      <c r="A340" s="13">
        <v>50</v>
      </c>
      <c r="B340" s="13">
        <v>0</v>
      </c>
      <c r="C340" s="13">
        <v>0</v>
      </c>
      <c r="D340" s="13">
        <v>1</v>
      </c>
      <c r="E340" s="13">
        <v>211</v>
      </c>
      <c r="F340" s="13">
        <f>ROUND(Source!Y313,O340)</f>
        <v>2266.69</v>
      </c>
      <c r="G340" s="13" t="s">
        <v>138</v>
      </c>
      <c r="H340" s="13" t="s">
        <v>139</v>
      </c>
      <c r="I340" s="13"/>
      <c r="J340" s="13"/>
      <c r="K340" s="13">
        <v>211</v>
      </c>
      <c r="L340" s="13">
        <v>26</v>
      </c>
      <c r="M340" s="13">
        <v>3</v>
      </c>
      <c r="N340" s="13" t="s">
        <v>3</v>
      </c>
      <c r="O340" s="13">
        <v>2</v>
      </c>
      <c r="P340" s="13">
        <f>ROUND(Source!DQ313,O340)</f>
        <v>127729.95</v>
      </c>
      <c r="Q340" s="13"/>
      <c r="R340" s="13"/>
      <c r="S340" s="13"/>
      <c r="T340" s="13"/>
      <c r="U340" s="13"/>
      <c r="V340" s="13"/>
      <c r="W340" s="13">
        <v>2266.69</v>
      </c>
      <c r="X340" s="13">
        <v>1</v>
      </c>
      <c r="Y340" s="13">
        <v>2266.69</v>
      </c>
      <c r="Z340" s="13">
        <v>127729.95</v>
      </c>
      <c r="AA340" s="13">
        <v>1</v>
      </c>
      <c r="AB340" s="13">
        <v>127729.95</v>
      </c>
    </row>
    <row r="341" spans="1:206" ht="13" x14ac:dyDescent="0.3">
      <c r="A341" s="13">
        <v>50</v>
      </c>
      <c r="B341" s="13">
        <v>0</v>
      </c>
      <c r="C341" s="13">
        <v>0</v>
      </c>
      <c r="D341" s="13">
        <v>1</v>
      </c>
      <c r="E341" s="13">
        <v>224</v>
      </c>
      <c r="F341" s="13">
        <f>ROUND(Source!AR313,O341)</f>
        <v>243205.76000000001</v>
      </c>
      <c r="G341" s="13" t="s">
        <v>140</v>
      </c>
      <c r="H341" s="13" t="s">
        <v>141</v>
      </c>
      <c r="I341" s="13"/>
      <c r="J341" s="13"/>
      <c r="K341" s="13">
        <v>224</v>
      </c>
      <c r="L341" s="13">
        <v>27</v>
      </c>
      <c r="M341" s="13">
        <v>3</v>
      </c>
      <c r="N341" s="13" t="s">
        <v>3</v>
      </c>
      <c r="O341" s="13">
        <v>2</v>
      </c>
      <c r="P341" s="13">
        <f>ROUND(Source!EJ313,O341)</f>
        <v>2138835.9</v>
      </c>
      <c r="Q341" s="13"/>
      <c r="R341" s="13"/>
      <c r="S341" s="13"/>
      <c r="T341" s="13"/>
      <c r="U341" s="13"/>
      <c r="V341" s="13"/>
      <c r="W341" s="13">
        <v>243205.76000000001</v>
      </c>
      <c r="X341" s="13">
        <v>1</v>
      </c>
      <c r="Y341" s="13">
        <v>243205.76000000001</v>
      </c>
      <c r="Z341" s="13">
        <v>2138835.9</v>
      </c>
      <c r="AA341" s="13">
        <v>1</v>
      </c>
      <c r="AB341" s="13">
        <v>2138835.9</v>
      </c>
    </row>
    <row r="343" spans="1:206" ht="13" x14ac:dyDescent="0.3">
      <c r="A343" s="11">
        <v>51</v>
      </c>
      <c r="B343" s="11">
        <f>B12</f>
        <v>382</v>
      </c>
      <c r="C343" s="11">
        <f>A12</f>
        <v>1</v>
      </c>
      <c r="D343" s="11">
        <f>ROW(A12)</f>
        <v>12</v>
      </c>
      <c r="E343" s="11"/>
      <c r="F343" s="11" t="str">
        <f>IF(F12&lt;&gt;"",F12,"")</f>
        <v>02-01-11</v>
      </c>
      <c r="G343" s="11" t="str">
        <f>IF(G12&lt;&gt;"",G12,"")</f>
        <v>02-01-11 РТС</v>
      </c>
      <c r="H343" s="11">
        <v>0</v>
      </c>
      <c r="I343" s="11"/>
      <c r="J343" s="11"/>
      <c r="K343" s="11"/>
      <c r="L343" s="11"/>
      <c r="M343" s="11"/>
      <c r="N343" s="11"/>
      <c r="O343" s="11">
        <f t="shared" ref="O343:T343" si="279">ROUND(O313,2)</f>
        <v>236689.87</v>
      </c>
      <c r="P343" s="11">
        <f t="shared" si="279"/>
        <v>231819.9</v>
      </c>
      <c r="Q343" s="11">
        <f t="shared" si="279"/>
        <v>406.41</v>
      </c>
      <c r="R343" s="11">
        <f t="shared" si="279"/>
        <v>33.67</v>
      </c>
      <c r="S343" s="11">
        <f t="shared" si="279"/>
        <v>4463.5600000000004</v>
      </c>
      <c r="T343" s="11">
        <f t="shared" si="279"/>
        <v>0</v>
      </c>
      <c r="U343" s="11">
        <f>U313</f>
        <v>366.44694004799999</v>
      </c>
      <c r="V343" s="11">
        <f>V313</f>
        <v>0</v>
      </c>
      <c r="W343" s="11">
        <f>ROUND(W313,2)</f>
        <v>0</v>
      </c>
      <c r="X343" s="11">
        <f>ROUND(X313,2)</f>
        <v>4249.2</v>
      </c>
      <c r="Y343" s="11">
        <f>ROUND(Y313,2)</f>
        <v>2266.69</v>
      </c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>
        <f t="shared" ref="AO343:BD343" si="280">ROUND(AO313,2)</f>
        <v>0</v>
      </c>
      <c r="AP343" s="11">
        <f t="shared" si="280"/>
        <v>176745.57</v>
      </c>
      <c r="AQ343" s="11">
        <f t="shared" si="280"/>
        <v>0</v>
      </c>
      <c r="AR343" s="11">
        <f t="shared" si="280"/>
        <v>243205.76000000001</v>
      </c>
      <c r="AS343" s="11">
        <f t="shared" si="280"/>
        <v>1445.57</v>
      </c>
      <c r="AT343" s="11">
        <f t="shared" si="280"/>
        <v>65014.62</v>
      </c>
      <c r="AU343" s="11">
        <f t="shared" si="280"/>
        <v>0</v>
      </c>
      <c r="AV343" s="11">
        <f t="shared" si="280"/>
        <v>231819.9</v>
      </c>
      <c r="AW343" s="11">
        <f t="shared" si="280"/>
        <v>55074.33</v>
      </c>
      <c r="AX343" s="11">
        <f t="shared" si="280"/>
        <v>0</v>
      </c>
      <c r="AY343" s="11">
        <f t="shared" si="280"/>
        <v>55074.33</v>
      </c>
      <c r="AZ343" s="11">
        <f t="shared" si="280"/>
        <v>176745.57</v>
      </c>
      <c r="BA343" s="11">
        <f t="shared" si="280"/>
        <v>0</v>
      </c>
      <c r="BB343" s="11">
        <f t="shared" si="280"/>
        <v>0</v>
      </c>
      <c r="BC343" s="11">
        <f t="shared" si="280"/>
        <v>0</v>
      </c>
      <c r="BD343" s="11">
        <f t="shared" si="280"/>
        <v>0</v>
      </c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2">
        <f t="shared" ref="DG343:DL343" si="281">ROUND(DG313,2)</f>
        <v>1771662.5</v>
      </c>
      <c r="DH343" s="12">
        <f t="shared" si="281"/>
        <v>1513954.35</v>
      </c>
      <c r="DI343" s="12">
        <f t="shared" si="281"/>
        <v>6186.53</v>
      </c>
      <c r="DJ343" s="12">
        <f t="shared" si="281"/>
        <v>1897.29</v>
      </c>
      <c r="DK343" s="12">
        <f t="shared" si="281"/>
        <v>251521.62</v>
      </c>
      <c r="DL343" s="12">
        <f t="shared" si="281"/>
        <v>0</v>
      </c>
      <c r="DM343" s="12">
        <f>DM313</f>
        <v>366.44694004799999</v>
      </c>
      <c r="DN343" s="12">
        <f>DN313</f>
        <v>0</v>
      </c>
      <c r="DO343" s="12">
        <f>ROUND(DO313,2)</f>
        <v>0</v>
      </c>
      <c r="DP343" s="12">
        <f>ROUND(DP313,2)</f>
        <v>239443.45</v>
      </c>
      <c r="DQ343" s="12">
        <f>ROUND(DQ313,2)</f>
        <v>127729.95</v>
      </c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>
        <f t="shared" ref="EG343:EV343" si="282">ROUND(EG313,2)</f>
        <v>0</v>
      </c>
      <c r="EH343" s="12">
        <f t="shared" si="282"/>
        <v>1342269.47</v>
      </c>
      <c r="EI343" s="12">
        <f t="shared" si="282"/>
        <v>0</v>
      </c>
      <c r="EJ343" s="12">
        <f t="shared" si="282"/>
        <v>2138835.9</v>
      </c>
      <c r="EK343" s="12">
        <f t="shared" si="282"/>
        <v>81457.759999999995</v>
      </c>
      <c r="EL343" s="12">
        <f t="shared" si="282"/>
        <v>715108.67</v>
      </c>
      <c r="EM343" s="12">
        <f t="shared" si="282"/>
        <v>0</v>
      </c>
      <c r="EN343" s="12">
        <f t="shared" si="282"/>
        <v>1513954.35</v>
      </c>
      <c r="EO343" s="12">
        <f t="shared" si="282"/>
        <v>171684.88</v>
      </c>
      <c r="EP343" s="12">
        <f t="shared" si="282"/>
        <v>0</v>
      </c>
      <c r="EQ343" s="12">
        <f t="shared" si="282"/>
        <v>171684.88</v>
      </c>
      <c r="ER343" s="12">
        <f t="shared" si="282"/>
        <v>1342269.47</v>
      </c>
      <c r="ES343" s="12">
        <f t="shared" si="282"/>
        <v>0</v>
      </c>
      <c r="ET343" s="12">
        <f t="shared" si="282"/>
        <v>0</v>
      </c>
      <c r="EU343" s="12">
        <f t="shared" si="282"/>
        <v>0</v>
      </c>
      <c r="EV343" s="12">
        <f t="shared" si="282"/>
        <v>0</v>
      </c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>
        <v>0</v>
      </c>
    </row>
    <row r="345" spans="1:206" ht="13" x14ac:dyDescent="0.3">
      <c r="A345" s="13">
        <v>50</v>
      </c>
      <c r="B345" s="13">
        <v>0</v>
      </c>
      <c r="C345" s="13">
        <v>0</v>
      </c>
      <c r="D345" s="13">
        <v>1</v>
      </c>
      <c r="E345" s="13">
        <v>201</v>
      </c>
      <c r="F345" s="13">
        <f>ROUND(Source!O343,O345)</f>
        <v>236689.87</v>
      </c>
      <c r="G345" s="13" t="s">
        <v>88</v>
      </c>
      <c r="H345" s="13" t="s">
        <v>89</v>
      </c>
      <c r="I345" s="13"/>
      <c r="J345" s="13"/>
      <c r="K345" s="13">
        <v>201</v>
      </c>
      <c r="L345" s="13">
        <v>1</v>
      </c>
      <c r="M345" s="13">
        <v>3</v>
      </c>
      <c r="N345" s="13" t="s">
        <v>3</v>
      </c>
      <c r="O345" s="13">
        <v>2</v>
      </c>
      <c r="P345" s="13">
        <f>ROUND(Source!DG343,O345)</f>
        <v>1771662.5</v>
      </c>
      <c r="Q345" s="13"/>
      <c r="R345" s="13"/>
      <c r="S345" s="13"/>
      <c r="T345" s="13"/>
      <c r="U345" s="13"/>
      <c r="V345" s="13"/>
      <c r="W345" s="13">
        <v>236689.87</v>
      </c>
      <c r="X345" s="13">
        <v>1</v>
      </c>
      <c r="Y345" s="13">
        <v>236689.87</v>
      </c>
      <c r="Z345" s="13">
        <v>1771662.5</v>
      </c>
      <c r="AA345" s="13">
        <v>1</v>
      </c>
      <c r="AB345" s="13">
        <v>1771662.5</v>
      </c>
    </row>
    <row r="346" spans="1:206" ht="13" x14ac:dyDescent="0.3">
      <c r="A346" s="13">
        <v>50</v>
      </c>
      <c r="B346" s="13">
        <v>0</v>
      </c>
      <c r="C346" s="13">
        <v>0</v>
      </c>
      <c r="D346" s="13">
        <v>1</v>
      </c>
      <c r="E346" s="13">
        <v>202</v>
      </c>
      <c r="F346" s="13">
        <f>ROUND(Source!P343,O346)</f>
        <v>231819.9</v>
      </c>
      <c r="G346" s="13" t="s">
        <v>90</v>
      </c>
      <c r="H346" s="13" t="s">
        <v>91</v>
      </c>
      <c r="I346" s="13"/>
      <c r="J346" s="13"/>
      <c r="K346" s="13">
        <v>202</v>
      </c>
      <c r="L346" s="13">
        <v>2</v>
      </c>
      <c r="M346" s="13">
        <v>3</v>
      </c>
      <c r="N346" s="13" t="s">
        <v>3</v>
      </c>
      <c r="O346" s="13">
        <v>2</v>
      </c>
      <c r="P346" s="13">
        <f>ROUND(Source!DH343,O346)</f>
        <v>1513954.35</v>
      </c>
      <c r="Q346" s="13"/>
      <c r="R346" s="13"/>
      <c r="S346" s="13"/>
      <c r="T346" s="13"/>
      <c r="U346" s="13"/>
      <c r="V346" s="13"/>
      <c r="W346" s="13">
        <v>231819.9</v>
      </c>
      <c r="X346" s="13">
        <v>1</v>
      </c>
      <c r="Y346" s="13">
        <v>231819.9</v>
      </c>
      <c r="Z346" s="13">
        <v>1513954.35</v>
      </c>
      <c r="AA346" s="13">
        <v>1</v>
      </c>
      <c r="AB346" s="13">
        <v>1513954.35</v>
      </c>
    </row>
    <row r="347" spans="1:206" ht="13" x14ac:dyDescent="0.3">
      <c r="A347" s="13">
        <v>50</v>
      </c>
      <c r="B347" s="13">
        <v>0</v>
      </c>
      <c r="C347" s="13">
        <v>0</v>
      </c>
      <c r="D347" s="13">
        <v>1</v>
      </c>
      <c r="E347" s="13">
        <v>222</v>
      </c>
      <c r="F347" s="13">
        <f>ROUND(Source!AO343,O347)</f>
        <v>0</v>
      </c>
      <c r="G347" s="13" t="s">
        <v>92</v>
      </c>
      <c r="H347" s="13" t="s">
        <v>93</v>
      </c>
      <c r="I347" s="13"/>
      <c r="J347" s="13"/>
      <c r="K347" s="13">
        <v>222</v>
      </c>
      <c r="L347" s="13">
        <v>3</v>
      </c>
      <c r="M347" s="13">
        <v>3</v>
      </c>
      <c r="N347" s="13" t="s">
        <v>3</v>
      </c>
      <c r="O347" s="13">
        <v>2</v>
      </c>
      <c r="P347" s="13">
        <f>ROUND(Source!EG343,O347)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06" ht="13" x14ac:dyDescent="0.3">
      <c r="A348" s="13">
        <v>50</v>
      </c>
      <c r="B348" s="13">
        <v>0</v>
      </c>
      <c r="C348" s="13">
        <v>0</v>
      </c>
      <c r="D348" s="13">
        <v>1</v>
      </c>
      <c r="E348" s="13">
        <v>225</v>
      </c>
      <c r="F348" s="13">
        <f>ROUND(Source!AV343,O348)</f>
        <v>231819.9</v>
      </c>
      <c r="G348" s="13" t="s">
        <v>94</v>
      </c>
      <c r="H348" s="13" t="s">
        <v>95</v>
      </c>
      <c r="I348" s="13"/>
      <c r="J348" s="13"/>
      <c r="K348" s="13">
        <v>225</v>
      </c>
      <c r="L348" s="13">
        <v>4</v>
      </c>
      <c r="M348" s="13">
        <v>3</v>
      </c>
      <c r="N348" s="13" t="s">
        <v>3</v>
      </c>
      <c r="O348" s="13">
        <v>2</v>
      </c>
      <c r="P348" s="13">
        <f>ROUND(Source!EN343,O348)</f>
        <v>1513954.35</v>
      </c>
      <c r="Q348" s="13"/>
      <c r="R348" s="13"/>
      <c r="S348" s="13"/>
      <c r="T348" s="13"/>
      <c r="U348" s="13"/>
      <c r="V348" s="13"/>
      <c r="W348" s="13">
        <v>231819.9</v>
      </c>
      <c r="X348" s="13">
        <v>1</v>
      </c>
      <c r="Y348" s="13">
        <v>231819.9</v>
      </c>
      <c r="Z348" s="13">
        <v>1513954.35</v>
      </c>
      <c r="AA348" s="13">
        <v>1</v>
      </c>
      <c r="AB348" s="13">
        <v>1513954.35</v>
      </c>
    </row>
    <row r="349" spans="1:206" ht="13" x14ac:dyDescent="0.3">
      <c r="A349" s="13">
        <v>50</v>
      </c>
      <c r="B349" s="13">
        <v>0</v>
      </c>
      <c r="C349" s="13">
        <v>0</v>
      </c>
      <c r="D349" s="13">
        <v>1</v>
      </c>
      <c r="E349" s="13">
        <v>226</v>
      </c>
      <c r="F349" s="13">
        <f>ROUND(Source!AW343,O349)</f>
        <v>55074.33</v>
      </c>
      <c r="G349" s="13" t="s">
        <v>96</v>
      </c>
      <c r="H349" s="13" t="s">
        <v>97</v>
      </c>
      <c r="I349" s="13"/>
      <c r="J349" s="13"/>
      <c r="K349" s="13">
        <v>226</v>
      </c>
      <c r="L349" s="13">
        <v>5</v>
      </c>
      <c r="M349" s="13">
        <v>3</v>
      </c>
      <c r="N349" s="13" t="s">
        <v>3</v>
      </c>
      <c r="O349" s="13">
        <v>2</v>
      </c>
      <c r="P349" s="13">
        <f>ROUND(Source!EO343,O349)</f>
        <v>171684.88</v>
      </c>
      <c r="Q349" s="13"/>
      <c r="R349" s="13"/>
      <c r="S349" s="13"/>
      <c r="T349" s="13"/>
      <c r="U349" s="13"/>
      <c r="V349" s="13"/>
      <c r="W349" s="13">
        <v>55074.33</v>
      </c>
      <c r="X349" s="13">
        <v>1</v>
      </c>
      <c r="Y349" s="13">
        <v>55074.33</v>
      </c>
      <c r="Z349" s="13">
        <v>171684.88</v>
      </c>
      <c r="AA349" s="13">
        <v>1</v>
      </c>
      <c r="AB349" s="13">
        <v>171684.88</v>
      </c>
    </row>
    <row r="350" spans="1:206" ht="13" x14ac:dyDescent="0.3">
      <c r="A350" s="13">
        <v>50</v>
      </c>
      <c r="B350" s="13">
        <v>0</v>
      </c>
      <c r="C350" s="13">
        <v>0</v>
      </c>
      <c r="D350" s="13">
        <v>1</v>
      </c>
      <c r="E350" s="13">
        <v>227</v>
      </c>
      <c r="F350" s="13">
        <f>ROUND(Source!AX343,O350)</f>
        <v>0</v>
      </c>
      <c r="G350" s="13" t="s">
        <v>98</v>
      </c>
      <c r="H350" s="13" t="s">
        <v>99</v>
      </c>
      <c r="I350" s="13"/>
      <c r="J350" s="13"/>
      <c r="K350" s="13">
        <v>227</v>
      </c>
      <c r="L350" s="13">
        <v>6</v>
      </c>
      <c r="M350" s="13">
        <v>3</v>
      </c>
      <c r="N350" s="13" t="s">
        <v>3</v>
      </c>
      <c r="O350" s="13">
        <v>2</v>
      </c>
      <c r="P350" s="13">
        <f>ROUND(Source!EP343,O350)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06" ht="13" x14ac:dyDescent="0.3">
      <c r="A351" s="13">
        <v>50</v>
      </c>
      <c r="B351" s="13">
        <v>0</v>
      </c>
      <c r="C351" s="13">
        <v>0</v>
      </c>
      <c r="D351" s="13">
        <v>1</v>
      </c>
      <c r="E351" s="13">
        <v>228</v>
      </c>
      <c r="F351" s="13">
        <f>ROUND(Source!AY343,O351)</f>
        <v>55074.33</v>
      </c>
      <c r="G351" s="13" t="s">
        <v>100</v>
      </c>
      <c r="H351" s="13" t="s">
        <v>101</v>
      </c>
      <c r="I351" s="13"/>
      <c r="J351" s="13"/>
      <c r="K351" s="13">
        <v>228</v>
      </c>
      <c r="L351" s="13">
        <v>7</v>
      </c>
      <c r="M351" s="13">
        <v>3</v>
      </c>
      <c r="N351" s="13" t="s">
        <v>3</v>
      </c>
      <c r="O351" s="13">
        <v>2</v>
      </c>
      <c r="P351" s="13">
        <f>ROUND(Source!EQ343,O351)</f>
        <v>171684.88</v>
      </c>
      <c r="Q351" s="13"/>
      <c r="R351" s="13"/>
      <c r="S351" s="13"/>
      <c r="T351" s="13"/>
      <c r="U351" s="13"/>
      <c r="V351" s="13"/>
      <c r="W351" s="13">
        <v>55074.33</v>
      </c>
      <c r="X351" s="13">
        <v>1</v>
      </c>
      <c r="Y351" s="13">
        <v>55074.33</v>
      </c>
      <c r="Z351" s="13">
        <v>171684.88</v>
      </c>
      <c r="AA351" s="13">
        <v>1</v>
      </c>
      <c r="AB351" s="13">
        <v>171684.88</v>
      </c>
    </row>
    <row r="352" spans="1:206" ht="13" x14ac:dyDescent="0.3">
      <c r="A352" s="13">
        <v>50</v>
      </c>
      <c r="B352" s="13">
        <v>0</v>
      </c>
      <c r="C352" s="13">
        <v>0</v>
      </c>
      <c r="D352" s="13">
        <v>1</v>
      </c>
      <c r="E352" s="13">
        <v>216</v>
      </c>
      <c r="F352" s="13">
        <f>ROUND(Source!AP343,O352)</f>
        <v>176745.57</v>
      </c>
      <c r="G352" s="13" t="s">
        <v>102</v>
      </c>
      <c r="H352" s="13" t="s">
        <v>103</v>
      </c>
      <c r="I352" s="13"/>
      <c r="J352" s="13"/>
      <c r="K352" s="13">
        <v>216</v>
      </c>
      <c r="L352" s="13">
        <v>8</v>
      </c>
      <c r="M352" s="13">
        <v>3</v>
      </c>
      <c r="N352" s="13" t="s">
        <v>3</v>
      </c>
      <c r="O352" s="13">
        <v>2</v>
      </c>
      <c r="P352" s="13">
        <f>ROUND(Source!EH343,O352)</f>
        <v>1342269.47</v>
      </c>
      <c r="Q352" s="13"/>
      <c r="R352" s="13"/>
      <c r="S352" s="13"/>
      <c r="T352" s="13"/>
      <c r="U352" s="13"/>
      <c r="V352" s="13"/>
      <c r="W352" s="13">
        <v>176745.57</v>
      </c>
      <c r="X352" s="13">
        <v>1</v>
      </c>
      <c r="Y352" s="13">
        <v>176745.57</v>
      </c>
      <c r="Z352" s="13">
        <v>1342269.47</v>
      </c>
      <c r="AA352" s="13">
        <v>1</v>
      </c>
      <c r="AB352" s="13">
        <v>1342269.47</v>
      </c>
    </row>
    <row r="353" spans="1:28" ht="13" x14ac:dyDescent="0.3">
      <c r="A353" s="13">
        <v>50</v>
      </c>
      <c r="B353" s="13">
        <v>0</v>
      </c>
      <c r="C353" s="13">
        <v>0</v>
      </c>
      <c r="D353" s="13">
        <v>1</v>
      </c>
      <c r="E353" s="13">
        <v>223</v>
      </c>
      <c r="F353" s="13">
        <f>ROUND(Source!AQ343,O353)</f>
        <v>0</v>
      </c>
      <c r="G353" s="13" t="s">
        <v>104</v>
      </c>
      <c r="H353" s="13" t="s">
        <v>105</v>
      </c>
      <c r="I353" s="13"/>
      <c r="J353" s="13"/>
      <c r="K353" s="13">
        <v>223</v>
      </c>
      <c r="L353" s="13">
        <v>9</v>
      </c>
      <c r="M353" s="13">
        <v>3</v>
      </c>
      <c r="N353" s="13" t="s">
        <v>3</v>
      </c>
      <c r="O353" s="13">
        <v>2</v>
      </c>
      <c r="P353" s="13">
        <f>ROUND(Source!EI343,O353)</f>
        <v>0</v>
      </c>
      <c r="Q353" s="13"/>
      <c r="R353" s="13"/>
      <c r="S353" s="13"/>
      <c r="T353" s="13"/>
      <c r="U353" s="13"/>
      <c r="V353" s="13"/>
      <c r="W353" s="13">
        <v>0</v>
      </c>
      <c r="X353" s="13">
        <v>1</v>
      </c>
      <c r="Y353" s="13">
        <v>0</v>
      </c>
      <c r="Z353" s="13">
        <v>0</v>
      </c>
      <c r="AA353" s="13">
        <v>1</v>
      </c>
      <c r="AB353" s="13">
        <v>0</v>
      </c>
    </row>
    <row r="354" spans="1:28" ht="13" x14ac:dyDescent="0.3">
      <c r="A354" s="13">
        <v>50</v>
      </c>
      <c r="B354" s="13">
        <v>0</v>
      </c>
      <c r="C354" s="13">
        <v>0</v>
      </c>
      <c r="D354" s="13">
        <v>1</v>
      </c>
      <c r="E354" s="13">
        <v>229</v>
      </c>
      <c r="F354" s="13">
        <f>ROUND(Source!AZ343,O354)</f>
        <v>176745.57</v>
      </c>
      <c r="G354" s="13" t="s">
        <v>106</v>
      </c>
      <c r="H354" s="13" t="s">
        <v>107</v>
      </c>
      <c r="I354" s="13"/>
      <c r="J354" s="13"/>
      <c r="K354" s="13">
        <v>229</v>
      </c>
      <c r="L354" s="13">
        <v>10</v>
      </c>
      <c r="M354" s="13">
        <v>3</v>
      </c>
      <c r="N354" s="13" t="s">
        <v>3</v>
      </c>
      <c r="O354" s="13">
        <v>2</v>
      </c>
      <c r="P354" s="13">
        <f>ROUND(Source!ER343,O354)</f>
        <v>1342269.47</v>
      </c>
      <c r="Q354" s="13"/>
      <c r="R354" s="13"/>
      <c r="S354" s="13"/>
      <c r="T354" s="13"/>
      <c r="U354" s="13"/>
      <c r="V354" s="13"/>
      <c r="W354" s="13">
        <v>176745.57</v>
      </c>
      <c r="X354" s="13">
        <v>1</v>
      </c>
      <c r="Y354" s="13">
        <v>176745.57</v>
      </c>
      <c r="Z354" s="13">
        <v>1342269.47</v>
      </c>
      <c r="AA354" s="13">
        <v>1</v>
      </c>
      <c r="AB354" s="13">
        <v>1342269.47</v>
      </c>
    </row>
    <row r="355" spans="1:28" ht="13" x14ac:dyDescent="0.3">
      <c r="A355" s="13">
        <v>50</v>
      </c>
      <c r="B355" s="13">
        <v>0</v>
      </c>
      <c r="C355" s="13">
        <v>0</v>
      </c>
      <c r="D355" s="13">
        <v>1</v>
      </c>
      <c r="E355" s="13">
        <v>203</v>
      </c>
      <c r="F355" s="13">
        <f>ROUND(Source!Q343,O355)</f>
        <v>406.41</v>
      </c>
      <c r="G355" s="13" t="s">
        <v>108</v>
      </c>
      <c r="H355" s="13" t="s">
        <v>109</v>
      </c>
      <c r="I355" s="13"/>
      <c r="J355" s="13"/>
      <c r="K355" s="13">
        <v>203</v>
      </c>
      <c r="L355" s="13">
        <v>11</v>
      </c>
      <c r="M355" s="13">
        <v>3</v>
      </c>
      <c r="N355" s="13" t="s">
        <v>3</v>
      </c>
      <c r="O355" s="13">
        <v>2</v>
      </c>
      <c r="P355" s="13">
        <f>ROUND(Source!DI343,O355)</f>
        <v>6186.53</v>
      </c>
      <c r="Q355" s="13"/>
      <c r="R355" s="13"/>
      <c r="S355" s="13"/>
      <c r="T355" s="13"/>
      <c r="U355" s="13"/>
      <c r="V355" s="13"/>
      <c r="W355" s="13">
        <v>406.41</v>
      </c>
      <c r="X355" s="13">
        <v>1</v>
      </c>
      <c r="Y355" s="13">
        <v>406.41</v>
      </c>
      <c r="Z355" s="13">
        <v>6186.53</v>
      </c>
      <c r="AA355" s="13">
        <v>1</v>
      </c>
      <c r="AB355" s="13">
        <v>6186.53</v>
      </c>
    </row>
    <row r="356" spans="1:28" ht="13" x14ac:dyDescent="0.3">
      <c r="A356" s="13">
        <v>50</v>
      </c>
      <c r="B356" s="13">
        <v>0</v>
      </c>
      <c r="C356" s="13">
        <v>0</v>
      </c>
      <c r="D356" s="13">
        <v>1</v>
      </c>
      <c r="E356" s="13">
        <v>231</v>
      </c>
      <c r="F356" s="13">
        <f>ROUND(Source!BB343,O356)</f>
        <v>0</v>
      </c>
      <c r="G356" s="13" t="s">
        <v>110</v>
      </c>
      <c r="H356" s="13" t="s">
        <v>111</v>
      </c>
      <c r="I356" s="13"/>
      <c r="J356" s="13"/>
      <c r="K356" s="13">
        <v>231</v>
      </c>
      <c r="L356" s="13">
        <v>12</v>
      </c>
      <c r="M356" s="13">
        <v>3</v>
      </c>
      <c r="N356" s="13" t="s">
        <v>3</v>
      </c>
      <c r="O356" s="13">
        <v>2</v>
      </c>
      <c r="P356" s="13">
        <f>ROUND(Source!ET343,O356)</f>
        <v>0</v>
      </c>
      <c r="Q356" s="13"/>
      <c r="R356" s="13"/>
      <c r="S356" s="13"/>
      <c r="T356" s="13"/>
      <c r="U356" s="13"/>
      <c r="V356" s="13"/>
      <c r="W356" s="13">
        <v>0</v>
      </c>
      <c r="X356" s="13">
        <v>1</v>
      </c>
      <c r="Y356" s="13">
        <v>0</v>
      </c>
      <c r="Z356" s="13">
        <v>0</v>
      </c>
      <c r="AA356" s="13">
        <v>1</v>
      </c>
      <c r="AB356" s="13">
        <v>0</v>
      </c>
    </row>
    <row r="357" spans="1:28" ht="13" x14ac:dyDescent="0.3">
      <c r="A357" s="13">
        <v>50</v>
      </c>
      <c r="B357" s="13">
        <v>0</v>
      </c>
      <c r="C357" s="13">
        <v>0</v>
      </c>
      <c r="D357" s="13">
        <v>1</v>
      </c>
      <c r="E357" s="13">
        <v>204</v>
      </c>
      <c r="F357" s="13">
        <f>ROUND(Source!R343,O357)</f>
        <v>33.67</v>
      </c>
      <c r="G357" s="13" t="s">
        <v>112</v>
      </c>
      <c r="H357" s="13" t="s">
        <v>113</v>
      </c>
      <c r="I357" s="13"/>
      <c r="J357" s="13"/>
      <c r="K357" s="13">
        <v>204</v>
      </c>
      <c r="L357" s="13">
        <v>13</v>
      </c>
      <c r="M357" s="13">
        <v>3</v>
      </c>
      <c r="N357" s="13" t="s">
        <v>3</v>
      </c>
      <c r="O357" s="13">
        <v>2</v>
      </c>
      <c r="P357" s="13">
        <f>ROUND(Source!DJ343,O357)</f>
        <v>1897.29</v>
      </c>
      <c r="Q357" s="13"/>
      <c r="R357" s="13"/>
      <c r="S357" s="13"/>
      <c r="T357" s="13"/>
      <c r="U357" s="13"/>
      <c r="V357" s="13"/>
      <c r="W357" s="13">
        <v>33.67</v>
      </c>
      <c r="X357" s="13">
        <v>1</v>
      </c>
      <c r="Y357" s="13">
        <v>33.67</v>
      </c>
      <c r="Z357" s="13">
        <v>1897.29</v>
      </c>
      <c r="AA357" s="13">
        <v>1</v>
      </c>
      <c r="AB357" s="13">
        <v>1897.29</v>
      </c>
    </row>
    <row r="358" spans="1:28" ht="13" x14ac:dyDescent="0.3">
      <c r="A358" s="13">
        <v>50</v>
      </c>
      <c r="B358" s="13">
        <v>0</v>
      </c>
      <c r="C358" s="13">
        <v>0</v>
      </c>
      <c r="D358" s="13">
        <v>1</v>
      </c>
      <c r="E358" s="13">
        <v>205</v>
      </c>
      <c r="F358" s="13">
        <f>ROUND(Source!S343,O358)</f>
        <v>4463.5600000000004</v>
      </c>
      <c r="G358" s="13" t="s">
        <v>114</v>
      </c>
      <c r="H358" s="13" t="s">
        <v>115</v>
      </c>
      <c r="I358" s="13"/>
      <c r="J358" s="13"/>
      <c r="K358" s="13">
        <v>205</v>
      </c>
      <c r="L358" s="13">
        <v>14</v>
      </c>
      <c r="M358" s="13">
        <v>3</v>
      </c>
      <c r="N358" s="13" t="s">
        <v>3</v>
      </c>
      <c r="O358" s="13">
        <v>2</v>
      </c>
      <c r="P358" s="13">
        <f>ROUND(Source!DK343,O358)</f>
        <v>251521.62</v>
      </c>
      <c r="Q358" s="13"/>
      <c r="R358" s="13"/>
      <c r="S358" s="13"/>
      <c r="T358" s="13"/>
      <c r="U358" s="13"/>
      <c r="V358" s="13"/>
      <c r="W358" s="13">
        <v>4463.5600000000004</v>
      </c>
      <c r="X358" s="13">
        <v>1</v>
      </c>
      <c r="Y358" s="13">
        <v>4463.5600000000004</v>
      </c>
      <c r="Z358" s="13">
        <v>251521.62</v>
      </c>
      <c r="AA358" s="13">
        <v>1</v>
      </c>
      <c r="AB358" s="13">
        <v>251521.62</v>
      </c>
    </row>
    <row r="359" spans="1:28" ht="13" x14ac:dyDescent="0.3">
      <c r="A359" s="13">
        <v>50</v>
      </c>
      <c r="B359" s="13">
        <v>0</v>
      </c>
      <c r="C359" s="13">
        <v>0</v>
      </c>
      <c r="D359" s="13">
        <v>1</v>
      </c>
      <c r="E359" s="13">
        <v>232</v>
      </c>
      <c r="F359" s="13">
        <f>ROUND(Source!BC343,O359)</f>
        <v>0</v>
      </c>
      <c r="G359" s="13" t="s">
        <v>116</v>
      </c>
      <c r="H359" s="13" t="s">
        <v>117</v>
      </c>
      <c r="I359" s="13"/>
      <c r="J359" s="13"/>
      <c r="K359" s="13">
        <v>232</v>
      </c>
      <c r="L359" s="13">
        <v>15</v>
      </c>
      <c r="M359" s="13">
        <v>3</v>
      </c>
      <c r="N359" s="13" t="s">
        <v>3</v>
      </c>
      <c r="O359" s="13">
        <v>2</v>
      </c>
      <c r="P359" s="13">
        <f>ROUND(Source!EU343,O359)</f>
        <v>0</v>
      </c>
      <c r="Q359" s="13"/>
      <c r="R359" s="13"/>
      <c r="S359" s="13"/>
      <c r="T359" s="13"/>
      <c r="U359" s="13"/>
      <c r="V359" s="13"/>
      <c r="W359" s="13">
        <v>0</v>
      </c>
      <c r="X359" s="13">
        <v>1</v>
      </c>
      <c r="Y359" s="13">
        <v>0</v>
      </c>
      <c r="Z359" s="13">
        <v>0</v>
      </c>
      <c r="AA359" s="13">
        <v>1</v>
      </c>
      <c r="AB359" s="13">
        <v>0</v>
      </c>
    </row>
    <row r="360" spans="1:28" ht="13" x14ac:dyDescent="0.3">
      <c r="A360" s="13">
        <v>50</v>
      </c>
      <c r="B360" s="13">
        <v>0</v>
      </c>
      <c r="C360" s="13">
        <v>0</v>
      </c>
      <c r="D360" s="13">
        <v>1</v>
      </c>
      <c r="E360" s="13">
        <v>214</v>
      </c>
      <c r="F360" s="13">
        <f>ROUND(Source!AS343,O360)</f>
        <v>1445.57</v>
      </c>
      <c r="G360" s="13" t="s">
        <v>118</v>
      </c>
      <c r="H360" s="13" t="s">
        <v>119</v>
      </c>
      <c r="I360" s="13"/>
      <c r="J360" s="13"/>
      <c r="K360" s="13">
        <v>214</v>
      </c>
      <c r="L360" s="13">
        <v>16</v>
      </c>
      <c r="M360" s="13">
        <v>3</v>
      </c>
      <c r="N360" s="13" t="s">
        <v>3</v>
      </c>
      <c r="O360" s="13">
        <v>2</v>
      </c>
      <c r="P360" s="13">
        <f>ROUND(Source!EK343,O360)</f>
        <v>81457.759999999995</v>
      </c>
      <c r="Q360" s="13"/>
      <c r="R360" s="13"/>
      <c r="S360" s="13"/>
      <c r="T360" s="13"/>
      <c r="U360" s="13"/>
      <c r="V360" s="13"/>
      <c r="W360" s="13">
        <v>1445.57</v>
      </c>
      <c r="X360" s="13">
        <v>1</v>
      </c>
      <c r="Y360" s="13">
        <v>1445.57</v>
      </c>
      <c r="Z360" s="13">
        <v>81457.759999999995</v>
      </c>
      <c r="AA360" s="13">
        <v>1</v>
      </c>
      <c r="AB360" s="13">
        <v>81457.759999999995</v>
      </c>
    </row>
    <row r="361" spans="1:28" ht="13" x14ac:dyDescent="0.3">
      <c r="A361" s="13">
        <v>50</v>
      </c>
      <c r="B361" s="13">
        <v>0</v>
      </c>
      <c r="C361" s="13">
        <v>0</v>
      </c>
      <c r="D361" s="13">
        <v>1</v>
      </c>
      <c r="E361" s="13">
        <v>215</v>
      </c>
      <c r="F361" s="13">
        <f>ROUND(Source!AT343,O361)</f>
        <v>65014.62</v>
      </c>
      <c r="G361" s="13" t="s">
        <v>120</v>
      </c>
      <c r="H361" s="13" t="s">
        <v>121</v>
      </c>
      <c r="I361" s="13"/>
      <c r="J361" s="13"/>
      <c r="K361" s="13">
        <v>215</v>
      </c>
      <c r="L361" s="13">
        <v>17</v>
      </c>
      <c r="M361" s="13">
        <v>3</v>
      </c>
      <c r="N361" s="13" t="s">
        <v>3</v>
      </c>
      <c r="O361" s="13">
        <v>2</v>
      </c>
      <c r="P361" s="13">
        <f>ROUND(Source!EL343,O361)</f>
        <v>715108.67</v>
      </c>
      <c r="Q361" s="13"/>
      <c r="R361" s="13"/>
      <c r="S361" s="13"/>
      <c r="T361" s="13"/>
      <c r="U361" s="13"/>
      <c r="V361" s="13"/>
      <c r="W361" s="13">
        <v>65014.62</v>
      </c>
      <c r="X361" s="13">
        <v>1</v>
      </c>
      <c r="Y361" s="13">
        <v>65014.62</v>
      </c>
      <c r="Z361" s="13">
        <v>715108.67</v>
      </c>
      <c r="AA361" s="13">
        <v>1</v>
      </c>
      <c r="AB361" s="13">
        <v>715108.67</v>
      </c>
    </row>
    <row r="362" spans="1:28" ht="13" x14ac:dyDescent="0.3">
      <c r="A362" s="13">
        <v>50</v>
      </c>
      <c r="B362" s="13">
        <v>0</v>
      </c>
      <c r="C362" s="13">
        <v>0</v>
      </c>
      <c r="D362" s="13">
        <v>1</v>
      </c>
      <c r="E362" s="13">
        <v>217</v>
      </c>
      <c r="F362" s="13">
        <f>ROUND(Source!AU343,O362)</f>
        <v>0</v>
      </c>
      <c r="G362" s="13" t="s">
        <v>122</v>
      </c>
      <c r="H362" s="13" t="s">
        <v>123</v>
      </c>
      <c r="I362" s="13"/>
      <c r="J362" s="13"/>
      <c r="K362" s="13">
        <v>217</v>
      </c>
      <c r="L362" s="13">
        <v>18</v>
      </c>
      <c r="M362" s="13">
        <v>3</v>
      </c>
      <c r="N362" s="13" t="s">
        <v>3</v>
      </c>
      <c r="O362" s="13">
        <v>2</v>
      </c>
      <c r="P362" s="13">
        <f>ROUND(Source!EM343,O362)</f>
        <v>0</v>
      </c>
      <c r="Q362" s="13"/>
      <c r="R362" s="13"/>
      <c r="S362" s="13"/>
      <c r="T362" s="13"/>
      <c r="U362" s="13"/>
      <c r="V362" s="13"/>
      <c r="W362" s="13">
        <v>0</v>
      </c>
      <c r="X362" s="13">
        <v>1</v>
      </c>
      <c r="Y362" s="13">
        <v>0</v>
      </c>
      <c r="Z362" s="13">
        <v>0</v>
      </c>
      <c r="AA362" s="13">
        <v>1</v>
      </c>
      <c r="AB362" s="13">
        <v>0</v>
      </c>
    </row>
    <row r="363" spans="1:28" ht="13" x14ac:dyDescent="0.3">
      <c r="A363" s="13">
        <v>50</v>
      </c>
      <c r="B363" s="13">
        <v>0</v>
      </c>
      <c r="C363" s="13">
        <v>0</v>
      </c>
      <c r="D363" s="13">
        <v>1</v>
      </c>
      <c r="E363" s="13">
        <v>230</v>
      </c>
      <c r="F363" s="13">
        <f>ROUND(Source!BA343,O363)</f>
        <v>0</v>
      </c>
      <c r="G363" s="13" t="s">
        <v>124</v>
      </c>
      <c r="H363" s="13" t="s">
        <v>125</v>
      </c>
      <c r="I363" s="13"/>
      <c r="J363" s="13"/>
      <c r="K363" s="13">
        <v>230</v>
      </c>
      <c r="L363" s="13">
        <v>19</v>
      </c>
      <c r="M363" s="13">
        <v>3</v>
      </c>
      <c r="N363" s="13" t="s">
        <v>3</v>
      </c>
      <c r="O363" s="13">
        <v>2</v>
      </c>
      <c r="P363" s="13">
        <f>ROUND(Source!ES343,O363)</f>
        <v>0</v>
      </c>
      <c r="Q363" s="13"/>
      <c r="R363" s="13"/>
      <c r="S363" s="13"/>
      <c r="T363" s="13"/>
      <c r="U363" s="13"/>
      <c r="V363" s="13"/>
      <c r="W363" s="13">
        <v>0</v>
      </c>
      <c r="X363" s="13">
        <v>1</v>
      </c>
      <c r="Y363" s="13">
        <v>0</v>
      </c>
      <c r="Z363" s="13">
        <v>0</v>
      </c>
      <c r="AA363" s="13">
        <v>1</v>
      </c>
      <c r="AB363" s="13">
        <v>0</v>
      </c>
    </row>
    <row r="364" spans="1:28" ht="13" x14ac:dyDescent="0.3">
      <c r="A364" s="13">
        <v>50</v>
      </c>
      <c r="B364" s="13">
        <v>0</v>
      </c>
      <c r="C364" s="13">
        <v>0</v>
      </c>
      <c r="D364" s="13">
        <v>1</v>
      </c>
      <c r="E364" s="13">
        <v>206</v>
      </c>
      <c r="F364" s="13">
        <f>ROUND(Source!T343,O364)</f>
        <v>0</v>
      </c>
      <c r="G364" s="13" t="s">
        <v>126</v>
      </c>
      <c r="H364" s="13" t="s">
        <v>127</v>
      </c>
      <c r="I364" s="13"/>
      <c r="J364" s="13"/>
      <c r="K364" s="13">
        <v>206</v>
      </c>
      <c r="L364" s="13">
        <v>20</v>
      </c>
      <c r="M364" s="13">
        <v>3</v>
      </c>
      <c r="N364" s="13" t="s">
        <v>3</v>
      </c>
      <c r="O364" s="13">
        <v>2</v>
      </c>
      <c r="P364" s="13">
        <f>ROUND(Source!DL343,O364)</f>
        <v>0</v>
      </c>
      <c r="Q364" s="13"/>
      <c r="R364" s="13"/>
      <c r="S364" s="13"/>
      <c r="T364" s="13"/>
      <c r="U364" s="13"/>
      <c r="V364" s="13"/>
      <c r="W364" s="13">
        <v>0</v>
      </c>
      <c r="X364" s="13">
        <v>1</v>
      </c>
      <c r="Y364" s="13">
        <v>0</v>
      </c>
      <c r="Z364" s="13">
        <v>0</v>
      </c>
      <c r="AA364" s="13">
        <v>1</v>
      </c>
      <c r="AB364" s="13">
        <v>0</v>
      </c>
    </row>
    <row r="365" spans="1:28" ht="13" x14ac:dyDescent="0.3">
      <c r="A365" s="13">
        <v>50</v>
      </c>
      <c r="B365" s="13">
        <v>0</v>
      </c>
      <c r="C365" s="13">
        <v>0</v>
      </c>
      <c r="D365" s="13">
        <v>1</v>
      </c>
      <c r="E365" s="13">
        <v>207</v>
      </c>
      <c r="F365" s="13">
        <f>Source!U343</f>
        <v>366.44694004799999</v>
      </c>
      <c r="G365" s="13" t="s">
        <v>128</v>
      </c>
      <c r="H365" s="13" t="s">
        <v>129</v>
      </c>
      <c r="I365" s="13"/>
      <c r="J365" s="13"/>
      <c r="K365" s="13">
        <v>207</v>
      </c>
      <c r="L365" s="13">
        <v>21</v>
      </c>
      <c r="M365" s="13">
        <v>3</v>
      </c>
      <c r="N365" s="13" t="s">
        <v>3</v>
      </c>
      <c r="O365" s="13">
        <v>-1</v>
      </c>
      <c r="P365" s="13">
        <f>Source!DM343</f>
        <v>366.44694004799999</v>
      </c>
      <c r="Q365" s="13"/>
      <c r="R365" s="13"/>
      <c r="S365" s="13"/>
      <c r="T365" s="13"/>
      <c r="U365" s="13"/>
      <c r="V365" s="13"/>
      <c r="W365" s="13">
        <v>366.44694004799999</v>
      </c>
      <c r="X365" s="13">
        <v>1</v>
      </c>
      <c r="Y365" s="13">
        <v>366.44694004799999</v>
      </c>
      <c r="Z365" s="13">
        <v>366.44694004799999</v>
      </c>
      <c r="AA365" s="13">
        <v>1</v>
      </c>
      <c r="AB365" s="13">
        <v>366.44694004799999</v>
      </c>
    </row>
    <row r="366" spans="1:28" ht="13" x14ac:dyDescent="0.3">
      <c r="A366" s="13">
        <v>50</v>
      </c>
      <c r="B366" s="13">
        <v>0</v>
      </c>
      <c r="C366" s="13">
        <v>0</v>
      </c>
      <c r="D366" s="13">
        <v>1</v>
      </c>
      <c r="E366" s="13">
        <v>208</v>
      </c>
      <c r="F366" s="13">
        <f>Source!V343</f>
        <v>0</v>
      </c>
      <c r="G366" s="13" t="s">
        <v>130</v>
      </c>
      <c r="H366" s="13" t="s">
        <v>131</v>
      </c>
      <c r="I366" s="13"/>
      <c r="J366" s="13"/>
      <c r="K366" s="13">
        <v>208</v>
      </c>
      <c r="L366" s="13">
        <v>22</v>
      </c>
      <c r="M366" s="13">
        <v>3</v>
      </c>
      <c r="N366" s="13" t="s">
        <v>3</v>
      </c>
      <c r="O366" s="13">
        <v>-1</v>
      </c>
      <c r="P366" s="13">
        <f>Source!DN343</f>
        <v>0</v>
      </c>
      <c r="Q366" s="13"/>
      <c r="R366" s="13"/>
      <c r="S366" s="13"/>
      <c r="T366" s="13"/>
      <c r="U366" s="13"/>
      <c r="V366" s="13"/>
      <c r="W366" s="13">
        <v>0</v>
      </c>
      <c r="X366" s="13">
        <v>1</v>
      </c>
      <c r="Y366" s="13">
        <v>0</v>
      </c>
      <c r="Z366" s="13">
        <v>0</v>
      </c>
      <c r="AA366" s="13">
        <v>1</v>
      </c>
      <c r="AB366" s="13">
        <v>0</v>
      </c>
    </row>
    <row r="367" spans="1:28" ht="13" x14ac:dyDescent="0.3">
      <c r="A367" s="13">
        <v>50</v>
      </c>
      <c r="B367" s="13">
        <v>0</v>
      </c>
      <c r="C367" s="13">
        <v>0</v>
      </c>
      <c r="D367" s="13">
        <v>1</v>
      </c>
      <c r="E367" s="13">
        <v>209</v>
      </c>
      <c r="F367" s="13">
        <f>ROUND(Source!W343,O367)</f>
        <v>0</v>
      </c>
      <c r="G367" s="13" t="s">
        <v>132</v>
      </c>
      <c r="H367" s="13" t="s">
        <v>133</v>
      </c>
      <c r="I367" s="13"/>
      <c r="J367" s="13"/>
      <c r="K367" s="13">
        <v>209</v>
      </c>
      <c r="L367" s="13">
        <v>23</v>
      </c>
      <c r="M367" s="13">
        <v>3</v>
      </c>
      <c r="N367" s="13" t="s">
        <v>3</v>
      </c>
      <c r="O367" s="13">
        <v>2</v>
      </c>
      <c r="P367" s="13">
        <f>ROUND(Source!DO343,O367)</f>
        <v>0</v>
      </c>
      <c r="Q367" s="13"/>
      <c r="R367" s="13"/>
      <c r="S367" s="13"/>
      <c r="T367" s="13"/>
      <c r="U367" s="13"/>
      <c r="V367" s="13"/>
      <c r="W367" s="13">
        <v>0</v>
      </c>
      <c r="X367" s="13">
        <v>1</v>
      </c>
      <c r="Y367" s="13">
        <v>0</v>
      </c>
      <c r="Z367" s="13">
        <v>0</v>
      </c>
      <c r="AA367" s="13">
        <v>1</v>
      </c>
      <c r="AB367" s="13">
        <v>0</v>
      </c>
    </row>
    <row r="368" spans="1:28" ht="13" x14ac:dyDescent="0.3">
      <c r="A368" s="13">
        <v>50</v>
      </c>
      <c r="B368" s="13">
        <v>0</v>
      </c>
      <c r="C368" s="13">
        <v>0</v>
      </c>
      <c r="D368" s="13">
        <v>1</v>
      </c>
      <c r="E368" s="13">
        <v>233</v>
      </c>
      <c r="F368" s="13">
        <f>ROUND(Source!BD343,O368)</f>
        <v>0</v>
      </c>
      <c r="G368" s="13" t="s">
        <v>134</v>
      </c>
      <c r="H368" s="13" t="s">
        <v>135</v>
      </c>
      <c r="I368" s="13"/>
      <c r="J368" s="13"/>
      <c r="K368" s="13">
        <v>233</v>
      </c>
      <c r="L368" s="13">
        <v>24</v>
      </c>
      <c r="M368" s="13">
        <v>3</v>
      </c>
      <c r="N368" s="13" t="s">
        <v>3</v>
      </c>
      <c r="O368" s="13">
        <v>2</v>
      </c>
      <c r="P368" s="13">
        <f>ROUND(Source!EV343,O368)</f>
        <v>0</v>
      </c>
      <c r="Q368" s="13"/>
      <c r="R368" s="13"/>
      <c r="S368" s="13"/>
      <c r="T368" s="13"/>
      <c r="U368" s="13"/>
      <c r="V368" s="13"/>
      <c r="W368" s="13">
        <v>0</v>
      </c>
      <c r="X368" s="13">
        <v>1</v>
      </c>
      <c r="Y368" s="13">
        <v>0</v>
      </c>
      <c r="Z368" s="13">
        <v>0</v>
      </c>
      <c r="AA368" s="13">
        <v>1</v>
      </c>
      <c r="AB368" s="13">
        <v>0</v>
      </c>
    </row>
    <row r="369" spans="1:50" ht="13" x14ac:dyDescent="0.3">
      <c r="A369" s="13">
        <v>50</v>
      </c>
      <c r="B369" s="13">
        <v>0</v>
      </c>
      <c r="C369" s="13">
        <v>0</v>
      </c>
      <c r="D369" s="13">
        <v>1</v>
      </c>
      <c r="E369" s="13">
        <v>210</v>
      </c>
      <c r="F369" s="13">
        <f>ROUND(Source!X343,O369)</f>
        <v>4249.2</v>
      </c>
      <c r="G369" s="13" t="s">
        <v>136</v>
      </c>
      <c r="H369" s="13" t="s">
        <v>137</v>
      </c>
      <c r="I369" s="13"/>
      <c r="J369" s="13"/>
      <c r="K369" s="13">
        <v>210</v>
      </c>
      <c r="L369" s="13">
        <v>25</v>
      </c>
      <c r="M369" s="13">
        <v>3</v>
      </c>
      <c r="N369" s="13" t="s">
        <v>3</v>
      </c>
      <c r="O369" s="13">
        <v>2</v>
      </c>
      <c r="P369" s="13">
        <f>ROUND(Source!DP343,O369)</f>
        <v>239443.45</v>
      </c>
      <c r="Q369" s="13"/>
      <c r="R369" s="13"/>
      <c r="S369" s="13"/>
      <c r="T369" s="13"/>
      <c r="U369" s="13"/>
      <c r="V369" s="13"/>
      <c r="W369" s="13">
        <v>4249.2</v>
      </c>
      <c r="X369" s="13">
        <v>1</v>
      </c>
      <c r="Y369" s="13">
        <v>4249.2</v>
      </c>
      <c r="Z369" s="13">
        <v>239443.45</v>
      </c>
      <c r="AA369" s="13">
        <v>1</v>
      </c>
      <c r="AB369" s="13">
        <v>239443.45</v>
      </c>
    </row>
    <row r="370" spans="1:50" ht="13" x14ac:dyDescent="0.3">
      <c r="A370" s="13">
        <v>50</v>
      </c>
      <c r="B370" s="13">
        <v>0</v>
      </c>
      <c r="C370" s="13">
        <v>0</v>
      </c>
      <c r="D370" s="13">
        <v>1</v>
      </c>
      <c r="E370" s="13">
        <v>211</v>
      </c>
      <c r="F370" s="13">
        <f>ROUND(Source!Y343,O370)</f>
        <v>2266.69</v>
      </c>
      <c r="G370" s="13" t="s">
        <v>138</v>
      </c>
      <c r="H370" s="13" t="s">
        <v>139</v>
      </c>
      <c r="I370" s="13"/>
      <c r="J370" s="13"/>
      <c r="K370" s="13">
        <v>211</v>
      </c>
      <c r="L370" s="13">
        <v>26</v>
      </c>
      <c r="M370" s="13">
        <v>3</v>
      </c>
      <c r="N370" s="13" t="s">
        <v>3</v>
      </c>
      <c r="O370" s="13">
        <v>2</v>
      </c>
      <c r="P370" s="13">
        <f>ROUND(Source!DQ343,O370)</f>
        <v>127729.95</v>
      </c>
      <c r="Q370" s="13"/>
      <c r="R370" s="13"/>
      <c r="S370" s="13"/>
      <c r="T370" s="13"/>
      <c r="U370" s="13"/>
      <c r="V370" s="13"/>
      <c r="W370" s="13">
        <v>2266.69</v>
      </c>
      <c r="X370" s="13">
        <v>1</v>
      </c>
      <c r="Y370" s="13">
        <v>2266.69</v>
      </c>
      <c r="Z370" s="13">
        <v>127729.95</v>
      </c>
      <c r="AA370" s="13">
        <v>1</v>
      </c>
      <c r="AB370" s="13">
        <v>127729.95</v>
      </c>
    </row>
    <row r="371" spans="1:50" ht="13" x14ac:dyDescent="0.3">
      <c r="A371" s="13">
        <v>50</v>
      </c>
      <c r="B371" s="13">
        <v>0</v>
      </c>
      <c r="C371" s="13">
        <v>0</v>
      </c>
      <c r="D371" s="13">
        <v>1</v>
      </c>
      <c r="E371" s="13">
        <v>224</v>
      </c>
      <c r="F371" s="13">
        <f>ROUND(Source!AR343,O371)</f>
        <v>243205.76000000001</v>
      </c>
      <c r="G371" s="13" t="s">
        <v>140</v>
      </c>
      <c r="H371" s="13" t="s">
        <v>141</v>
      </c>
      <c r="I371" s="13"/>
      <c r="J371" s="13"/>
      <c r="K371" s="13">
        <v>224</v>
      </c>
      <c r="L371" s="13">
        <v>27</v>
      </c>
      <c r="M371" s="13">
        <v>3</v>
      </c>
      <c r="N371" s="13" t="s">
        <v>3</v>
      </c>
      <c r="O371" s="13">
        <v>2</v>
      </c>
      <c r="P371" s="13">
        <f>ROUND(Source!EJ343,O371)</f>
        <v>2138835.9</v>
      </c>
      <c r="Q371" s="13"/>
      <c r="R371" s="13"/>
      <c r="S371" s="13"/>
      <c r="T371" s="13"/>
      <c r="U371" s="13"/>
      <c r="V371" s="13"/>
      <c r="W371" s="13">
        <v>243205.76000000001</v>
      </c>
      <c r="X371" s="13">
        <v>1</v>
      </c>
      <c r="Y371" s="13">
        <v>243205.76000000001</v>
      </c>
      <c r="Z371" s="13">
        <v>2138835.9</v>
      </c>
      <c r="AA371" s="13">
        <v>1</v>
      </c>
      <c r="AB371" s="13">
        <v>2138835.9</v>
      </c>
    </row>
    <row r="374" spans="1:50" x14ac:dyDescent="0.25">
      <c r="A374" s="3">
        <v>70</v>
      </c>
      <c r="B374" s="3">
        <v>1</v>
      </c>
      <c r="D374" s="3">
        <v>1</v>
      </c>
      <c r="E374" s="3" t="s">
        <v>321</v>
      </c>
      <c r="F374" s="3" t="s">
        <v>322</v>
      </c>
      <c r="G374" s="3">
        <v>0</v>
      </c>
      <c r="H374" s="3">
        <v>0</v>
      </c>
      <c r="I374" s="3" t="s">
        <v>3</v>
      </c>
      <c r="J374" s="3">
        <v>1</v>
      </c>
      <c r="K374" s="3">
        <v>0</v>
      </c>
      <c r="L374" s="3" t="s">
        <v>3</v>
      </c>
      <c r="M374" s="3" t="s">
        <v>3</v>
      </c>
      <c r="N374" s="3">
        <v>0</v>
      </c>
      <c r="O374" s="3">
        <v>0</v>
      </c>
      <c r="P374" s="3" t="s">
        <v>3</v>
      </c>
    </row>
    <row r="375" spans="1:50" x14ac:dyDescent="0.25">
      <c r="A375" s="3">
        <v>70</v>
      </c>
      <c r="B375" s="3">
        <v>1</v>
      </c>
      <c r="D375" s="3">
        <v>2</v>
      </c>
      <c r="E375" s="3" t="s">
        <v>323</v>
      </c>
      <c r="F375" s="3" t="s">
        <v>324</v>
      </c>
      <c r="G375" s="3">
        <v>1</v>
      </c>
      <c r="H375" s="3">
        <v>0</v>
      </c>
      <c r="I375" s="3" t="s">
        <v>3</v>
      </c>
      <c r="J375" s="3">
        <v>1</v>
      </c>
      <c r="K375" s="3">
        <v>0</v>
      </c>
      <c r="L375" s="3" t="s">
        <v>3</v>
      </c>
      <c r="M375" s="3" t="s">
        <v>3</v>
      </c>
      <c r="N375" s="3">
        <v>0</v>
      </c>
      <c r="O375" s="3">
        <v>1</v>
      </c>
      <c r="P375" s="3" t="s">
        <v>3</v>
      </c>
    </row>
    <row r="376" spans="1:50" x14ac:dyDescent="0.25">
      <c r="A376" s="3">
        <v>70</v>
      </c>
      <c r="B376" s="3">
        <v>1</v>
      </c>
      <c r="D376" s="3">
        <v>3</v>
      </c>
      <c r="E376" s="3" t="s">
        <v>325</v>
      </c>
      <c r="F376" s="3" t="s">
        <v>326</v>
      </c>
      <c r="G376" s="3">
        <v>1</v>
      </c>
      <c r="H376" s="3">
        <v>0</v>
      </c>
      <c r="I376" s="3" t="s">
        <v>3</v>
      </c>
      <c r="J376" s="3">
        <v>0</v>
      </c>
      <c r="K376" s="3">
        <v>0</v>
      </c>
      <c r="L376" s="3" t="s">
        <v>3</v>
      </c>
      <c r="M376" s="3" t="s">
        <v>3</v>
      </c>
      <c r="N376" s="3">
        <v>0</v>
      </c>
      <c r="O376" s="3">
        <v>1</v>
      </c>
      <c r="P376" s="3" t="s">
        <v>3</v>
      </c>
    </row>
    <row r="377" spans="1:50" x14ac:dyDescent="0.25">
      <c r="A377" s="3">
        <v>70</v>
      </c>
      <c r="B377" s="3">
        <v>1</v>
      </c>
      <c r="D377" s="3">
        <v>4</v>
      </c>
      <c r="E377" s="3" t="s">
        <v>327</v>
      </c>
      <c r="F377" s="3" t="s">
        <v>328</v>
      </c>
      <c r="G377" s="3">
        <v>1</v>
      </c>
      <c r="H377" s="3">
        <v>0</v>
      </c>
      <c r="I377" s="3" t="s">
        <v>3</v>
      </c>
      <c r="J377" s="3">
        <v>0</v>
      </c>
      <c r="K377" s="3">
        <v>0</v>
      </c>
      <c r="L377" s="3" t="s">
        <v>3</v>
      </c>
      <c r="M377" s="3" t="s">
        <v>3</v>
      </c>
      <c r="N377" s="3">
        <v>0</v>
      </c>
      <c r="O377" s="3">
        <v>1</v>
      </c>
      <c r="P377" s="3" t="s">
        <v>3</v>
      </c>
    </row>
    <row r="378" spans="1:50" x14ac:dyDescent="0.25">
      <c r="A378" s="3">
        <v>70</v>
      </c>
      <c r="B378" s="3">
        <v>1</v>
      </c>
      <c r="D378" s="3">
        <v>5</v>
      </c>
      <c r="E378" s="3" t="s">
        <v>329</v>
      </c>
      <c r="F378" s="3" t="s">
        <v>330</v>
      </c>
      <c r="G378" s="3">
        <v>0</v>
      </c>
      <c r="H378" s="3">
        <v>0</v>
      </c>
      <c r="I378" s="3" t="s">
        <v>3</v>
      </c>
      <c r="J378" s="3">
        <v>0</v>
      </c>
      <c r="K378" s="3">
        <v>0</v>
      </c>
      <c r="L378" s="3" t="s">
        <v>3</v>
      </c>
      <c r="M378" s="3" t="s">
        <v>3</v>
      </c>
      <c r="N378" s="3">
        <v>0</v>
      </c>
      <c r="O378" s="3">
        <v>0</v>
      </c>
      <c r="P378" s="3" t="s">
        <v>3</v>
      </c>
    </row>
    <row r="380" spans="1:50" x14ac:dyDescent="0.25">
      <c r="A380" s="3">
        <v>-1</v>
      </c>
    </row>
    <row r="382" spans="1:50" ht="13" x14ac:dyDescent="0.3">
      <c r="A382" s="12">
        <v>75</v>
      </c>
      <c r="B382" s="12" t="s">
        <v>331</v>
      </c>
      <c r="C382" s="12">
        <v>2000</v>
      </c>
      <c r="D382" s="12">
        <v>0</v>
      </c>
      <c r="E382" s="12">
        <v>1</v>
      </c>
      <c r="F382" s="12">
        <v>0</v>
      </c>
      <c r="G382" s="12">
        <v>0</v>
      </c>
      <c r="H382" s="12">
        <v>1</v>
      </c>
      <c r="I382" s="12">
        <v>1</v>
      </c>
      <c r="J382" s="12">
        <v>3</v>
      </c>
      <c r="K382" s="12">
        <v>0</v>
      </c>
      <c r="L382" s="12">
        <v>0</v>
      </c>
      <c r="M382" s="12">
        <v>0</v>
      </c>
      <c r="N382" s="12">
        <v>55917797</v>
      </c>
      <c r="O382" s="12">
        <v>1</v>
      </c>
    </row>
    <row r="383" spans="1:50" x14ac:dyDescent="0.25">
      <c r="A383" s="14">
        <v>1</v>
      </c>
      <c r="B383" s="14" t="s">
        <v>332</v>
      </c>
      <c r="C383" s="14" t="s">
        <v>333</v>
      </c>
      <c r="D383" s="14">
        <v>2000</v>
      </c>
      <c r="E383" s="14">
        <v>1</v>
      </c>
      <c r="F383" s="14">
        <v>1</v>
      </c>
      <c r="G383" s="14">
        <v>1</v>
      </c>
      <c r="H383" s="14">
        <v>0</v>
      </c>
      <c r="I383" s="14">
        <v>2</v>
      </c>
      <c r="J383" s="14">
        <v>1</v>
      </c>
      <c r="K383" s="14">
        <v>1</v>
      </c>
      <c r="L383" s="14">
        <v>1</v>
      </c>
      <c r="M383" s="14">
        <v>1</v>
      </c>
      <c r="N383" s="14">
        <v>1</v>
      </c>
      <c r="O383" s="14">
        <v>1</v>
      </c>
      <c r="P383" s="14">
        <v>1</v>
      </c>
      <c r="Q383" s="14">
        <v>1</v>
      </c>
      <c r="R383" s="14" t="s">
        <v>3</v>
      </c>
      <c r="S383" s="14" t="s">
        <v>3</v>
      </c>
      <c r="T383" s="14" t="s">
        <v>3</v>
      </c>
      <c r="U383" s="14" t="s">
        <v>3</v>
      </c>
      <c r="V383" s="14" t="s">
        <v>3</v>
      </c>
      <c r="W383" s="14" t="s">
        <v>3</v>
      </c>
      <c r="X383" s="14" t="s">
        <v>3</v>
      </c>
      <c r="Y383" s="14" t="s">
        <v>3</v>
      </c>
      <c r="Z383" s="14" t="s">
        <v>3</v>
      </c>
      <c r="AA383" s="14" t="s">
        <v>246</v>
      </c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>
        <v>55917798</v>
      </c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</row>
    <row r="384" spans="1:50" ht="13" x14ac:dyDescent="0.3">
      <c r="A384" s="12">
        <v>75</v>
      </c>
      <c r="B384" s="12" t="s">
        <v>334</v>
      </c>
      <c r="C384" s="12">
        <v>2026</v>
      </c>
      <c r="D384" s="12">
        <v>1</v>
      </c>
      <c r="E384" s="12">
        <v>0</v>
      </c>
      <c r="F384" s="12"/>
      <c r="G384" s="12">
        <v>0</v>
      </c>
      <c r="H384" s="12">
        <v>1</v>
      </c>
      <c r="I384" s="12">
        <v>1</v>
      </c>
      <c r="J384" s="12">
        <v>1</v>
      </c>
      <c r="K384" s="12">
        <v>0</v>
      </c>
      <c r="L384" s="12">
        <v>0</v>
      </c>
      <c r="M384" s="12">
        <v>1</v>
      </c>
      <c r="N384" s="12">
        <v>55917799</v>
      </c>
      <c r="O384" s="12">
        <v>2</v>
      </c>
    </row>
    <row r="385" spans="1:50" x14ac:dyDescent="0.25">
      <c r="A385" s="14">
        <v>1</v>
      </c>
      <c r="B385" s="14" t="s">
        <v>332</v>
      </c>
      <c r="C385" s="14" t="s">
        <v>333</v>
      </c>
      <c r="D385" s="14">
        <v>2026</v>
      </c>
      <c r="E385" s="14">
        <v>1</v>
      </c>
      <c r="F385" s="14">
        <v>1</v>
      </c>
      <c r="G385" s="14">
        <v>1</v>
      </c>
      <c r="H385" s="14">
        <v>0</v>
      </c>
      <c r="I385" s="14">
        <v>2</v>
      </c>
      <c r="J385" s="14">
        <v>1</v>
      </c>
      <c r="K385" s="14">
        <v>9.84</v>
      </c>
      <c r="L385" s="14">
        <v>7.57</v>
      </c>
      <c r="M385" s="14">
        <v>1</v>
      </c>
      <c r="N385" s="14">
        <v>1</v>
      </c>
      <c r="O385" s="14">
        <v>9.84</v>
      </c>
      <c r="P385" s="14">
        <v>7.57</v>
      </c>
      <c r="Q385" s="14">
        <v>1</v>
      </c>
      <c r="R385" s="14" t="s">
        <v>3</v>
      </c>
      <c r="S385" s="14" t="s">
        <v>3</v>
      </c>
      <c r="T385" s="14" t="s">
        <v>3</v>
      </c>
      <c r="U385" s="14" t="s">
        <v>3</v>
      </c>
      <c r="V385" s="14" t="s">
        <v>3</v>
      </c>
      <c r="W385" s="14" t="s">
        <v>3</v>
      </c>
      <c r="X385" s="14" t="s">
        <v>3</v>
      </c>
      <c r="Y385" s="14" t="s">
        <v>3</v>
      </c>
      <c r="Z385" s="14" t="s">
        <v>3</v>
      </c>
      <c r="AA385" s="14" t="s">
        <v>335</v>
      </c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>
        <v>55917800</v>
      </c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</row>
    <row r="386" spans="1:50" x14ac:dyDescent="0.25">
      <c r="A386" s="14">
        <v>1</v>
      </c>
      <c r="B386" s="14" t="s">
        <v>332</v>
      </c>
      <c r="C386" s="14" t="s">
        <v>336</v>
      </c>
      <c r="D386" s="14">
        <v>2026</v>
      </c>
      <c r="E386" s="14">
        <v>1</v>
      </c>
      <c r="F386" s="14">
        <v>1</v>
      </c>
      <c r="G386" s="14">
        <v>1</v>
      </c>
      <c r="H386" s="14">
        <v>0</v>
      </c>
      <c r="I386" s="14">
        <v>2</v>
      </c>
      <c r="J386" s="14">
        <v>1</v>
      </c>
      <c r="K386" s="14">
        <v>9.84</v>
      </c>
      <c r="L386" s="14">
        <v>7.57</v>
      </c>
      <c r="M386" s="14">
        <v>1</v>
      </c>
      <c r="N386" s="14">
        <v>1</v>
      </c>
      <c r="O386" s="14">
        <v>9.84</v>
      </c>
      <c r="P386" s="14">
        <v>7.57</v>
      </c>
      <c r="Q386" s="14">
        <v>1</v>
      </c>
      <c r="R386" s="14" t="s">
        <v>3</v>
      </c>
      <c r="S386" s="14" t="s">
        <v>3</v>
      </c>
      <c r="T386" s="14" t="s">
        <v>3</v>
      </c>
      <c r="U386" s="14" t="s">
        <v>3</v>
      </c>
      <c r="V386" s="14" t="s">
        <v>3</v>
      </c>
      <c r="W386" s="14" t="s">
        <v>3</v>
      </c>
      <c r="X386" s="14" t="s">
        <v>3</v>
      </c>
      <c r="Y386" s="14" t="s">
        <v>3</v>
      </c>
      <c r="Z386" s="14" t="s">
        <v>3</v>
      </c>
      <c r="AA386" s="14" t="s">
        <v>337</v>
      </c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>
        <v>55917801</v>
      </c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</row>
    <row r="390" spans="1:50" x14ac:dyDescent="0.25">
      <c r="A390" s="3">
        <v>65</v>
      </c>
      <c r="C390" s="3">
        <v>1</v>
      </c>
      <c r="D390" s="3">
        <v>0</v>
      </c>
      <c r="E390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338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55917797</v>
      </c>
      <c r="E14" s="1">
        <v>55917799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16</v>
      </c>
      <c r="E16" s="8">
        <f>ROUND((Source!F330)/1000,2)</f>
        <v>1.45</v>
      </c>
      <c r="F16" s="8">
        <f>ROUND((Source!F331)/1000,2)</f>
        <v>65.010000000000005</v>
      </c>
      <c r="G16" s="8">
        <f>ROUND((Source!F322)/1000,2)</f>
        <v>176.75</v>
      </c>
      <c r="H16" s="8">
        <f>ROUND((Source!F332)/1000+(Source!F333)/1000,2)</f>
        <v>0</v>
      </c>
      <c r="I16" s="8">
        <f>E16+F16+G16+H16</f>
        <v>243.21</v>
      </c>
      <c r="J16" s="8">
        <f>ROUND((Source!F328+Source!F327)/1000,2)</f>
        <v>4.5</v>
      </c>
      <c r="K16" s="8">
        <v>468.51</v>
      </c>
      <c r="L16" s="8">
        <v>0</v>
      </c>
      <c r="M16" s="8">
        <v>0</v>
      </c>
      <c r="N16" s="8">
        <f>I16+L16+M16</f>
        <v>243.21</v>
      </c>
      <c r="T16" s="9">
        <f>ROUND((Source!P330)/1000,2)</f>
        <v>81.459999999999994</v>
      </c>
      <c r="U16" s="9">
        <f>ROUND((Source!P331)/1000,2)</f>
        <v>715.11</v>
      </c>
      <c r="V16" s="9">
        <f>ROUND((Source!P322)/1000,2)</f>
        <v>1342.27</v>
      </c>
      <c r="W16" s="9">
        <f>ROUND((Source!P332)/1000+(Source!P333)/1000,2)</f>
        <v>0</v>
      </c>
      <c r="X16" s="9">
        <f>T16+U16+V16+W16</f>
        <v>2138.84</v>
      </c>
      <c r="Y16" s="9">
        <f>ROUND((Source!P328+Source!P327)/1000,2)</f>
        <v>253.42</v>
      </c>
      <c r="Z16" s="9">
        <v>3285.62</v>
      </c>
      <c r="AA16" s="9">
        <v>0</v>
      </c>
      <c r="AB16" s="9">
        <v>0</v>
      </c>
      <c r="AC16" s="9">
        <f>X16+AA16+AB16</f>
        <v>2138.84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236689.87</v>
      </c>
      <c r="AU16" s="8">
        <v>231819.9</v>
      </c>
      <c r="AV16" s="8">
        <v>0</v>
      </c>
      <c r="AW16" s="8">
        <v>176745.57</v>
      </c>
      <c r="AX16" s="8">
        <v>0</v>
      </c>
      <c r="AY16" s="8">
        <v>406.41</v>
      </c>
      <c r="AZ16" s="8">
        <v>33.67</v>
      </c>
      <c r="BA16" s="8">
        <v>4463.5600000000004</v>
      </c>
      <c r="BB16" s="8">
        <v>1445.57</v>
      </c>
      <c r="BC16" s="8">
        <v>65014.62</v>
      </c>
      <c r="BD16" s="8">
        <v>0</v>
      </c>
      <c r="BE16" s="8">
        <v>0</v>
      </c>
      <c r="BF16" s="8">
        <v>366.44694004799999</v>
      </c>
      <c r="BG16" s="8">
        <v>0</v>
      </c>
      <c r="BH16" s="8">
        <v>0</v>
      </c>
      <c r="BI16" s="8">
        <v>4249.2</v>
      </c>
      <c r="BJ16" s="8">
        <v>2266.69</v>
      </c>
      <c r="BK16" s="8">
        <v>243205.76000000001</v>
      </c>
      <c r="BR16" s="9">
        <v>1771662.5</v>
      </c>
      <c r="BS16" s="9">
        <v>1513954.35</v>
      </c>
      <c r="BT16" s="9">
        <v>0</v>
      </c>
      <c r="BU16" s="9">
        <v>1342269.47</v>
      </c>
      <c r="BV16" s="9">
        <v>0</v>
      </c>
      <c r="BW16" s="9">
        <v>6186.53</v>
      </c>
      <c r="BX16" s="9">
        <v>1897.29</v>
      </c>
      <c r="BY16" s="9">
        <v>251521.62</v>
      </c>
      <c r="BZ16" s="9">
        <v>81457.759999999995</v>
      </c>
      <c r="CA16" s="9">
        <v>715108.67</v>
      </c>
      <c r="CB16" s="9">
        <v>0</v>
      </c>
      <c r="CC16" s="9">
        <v>0</v>
      </c>
      <c r="CD16" s="9">
        <v>366.44694004799999</v>
      </c>
      <c r="CE16" s="9">
        <v>0</v>
      </c>
      <c r="CF16" s="9">
        <v>0</v>
      </c>
      <c r="CG16" s="9">
        <v>239443.45</v>
      </c>
      <c r="CH16" s="9">
        <v>127729.95</v>
      </c>
      <c r="CI16" s="9">
        <v>2138835.9</v>
      </c>
    </row>
    <row r="18" spans="1:29" x14ac:dyDescent="0.25">
      <c r="A18">
        <v>51</v>
      </c>
      <c r="E18">
        <v>1.45</v>
      </c>
      <c r="F18">
        <v>65.010000000000005</v>
      </c>
      <c r="G18">
        <v>176.75</v>
      </c>
      <c r="H18">
        <v>0</v>
      </c>
      <c r="I18">
        <v>243.21</v>
      </c>
      <c r="J18">
        <v>4.5</v>
      </c>
      <c r="K18">
        <v>468.51</v>
      </c>
      <c r="L18">
        <v>0</v>
      </c>
      <c r="M18">
        <v>0</v>
      </c>
      <c r="N18">
        <v>243.21</v>
      </c>
      <c r="T18">
        <v>81.459999999999994</v>
      </c>
      <c r="U18">
        <v>715.11</v>
      </c>
      <c r="V18">
        <v>1342.27</v>
      </c>
      <c r="W18">
        <v>0</v>
      </c>
      <c r="X18">
        <v>2138.84</v>
      </c>
      <c r="Y18">
        <v>253.42</v>
      </c>
      <c r="Z18">
        <v>3285.62</v>
      </c>
      <c r="AA18">
        <v>0</v>
      </c>
      <c r="AB18">
        <v>0</v>
      </c>
      <c r="AC18">
        <v>2138.84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236689.87</v>
      </c>
      <c r="G20" s="5" t="s">
        <v>88</v>
      </c>
      <c r="H20" s="5" t="s">
        <v>89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1771662.5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231819.9</v>
      </c>
      <c r="G21" s="5" t="s">
        <v>90</v>
      </c>
      <c r="H21" s="5" t="s">
        <v>91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1513954.35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92</v>
      </c>
      <c r="H22" s="5" t="s">
        <v>93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231819.9</v>
      </c>
      <c r="G23" s="5" t="s">
        <v>94</v>
      </c>
      <c r="H23" s="5" t="s">
        <v>95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1513954.35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55074.33</v>
      </c>
      <c r="G24" s="5" t="s">
        <v>96</v>
      </c>
      <c r="H24" s="5" t="s">
        <v>97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171684.88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98</v>
      </c>
      <c r="H25" s="5" t="s">
        <v>99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55074.33</v>
      </c>
      <c r="G26" s="5" t="s">
        <v>100</v>
      </c>
      <c r="H26" s="5" t="s">
        <v>101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171684.88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176745.57</v>
      </c>
      <c r="G27" s="5" t="s">
        <v>102</v>
      </c>
      <c r="H27" s="5" t="s">
        <v>103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1342269.47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104</v>
      </c>
      <c r="H28" s="5" t="s">
        <v>105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176745.57</v>
      </c>
      <c r="G29" s="5" t="s">
        <v>106</v>
      </c>
      <c r="H29" s="5" t="s">
        <v>107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1342269.47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406.41</v>
      </c>
      <c r="G30" s="5" t="s">
        <v>108</v>
      </c>
      <c r="H30" s="5" t="s">
        <v>109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6186.53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110</v>
      </c>
      <c r="H31" s="5" t="s">
        <v>111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33.67</v>
      </c>
      <c r="G32" s="5" t="s">
        <v>112</v>
      </c>
      <c r="H32" s="5" t="s">
        <v>113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1897.29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4463.5600000000004</v>
      </c>
      <c r="G33" s="5" t="s">
        <v>114</v>
      </c>
      <c r="H33" s="5" t="s">
        <v>115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251521.62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116</v>
      </c>
      <c r="H34" s="5" t="s">
        <v>117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1445.57</v>
      </c>
      <c r="G35" s="5" t="s">
        <v>118</v>
      </c>
      <c r="H35" s="5" t="s">
        <v>119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81457.759999999995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65014.62</v>
      </c>
      <c r="G36" s="5" t="s">
        <v>120</v>
      </c>
      <c r="H36" s="5" t="s">
        <v>121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715108.67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122</v>
      </c>
      <c r="H37" s="5" t="s">
        <v>123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124</v>
      </c>
      <c r="H38" s="5" t="s">
        <v>125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126</v>
      </c>
      <c r="H39" s="5" t="s">
        <v>127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366.44694004799999</v>
      </c>
      <c r="G40" s="5" t="s">
        <v>128</v>
      </c>
      <c r="H40" s="5" t="s">
        <v>129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366.44694004799999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130</v>
      </c>
      <c r="H41" s="5" t="s">
        <v>131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132</v>
      </c>
      <c r="H42" s="5" t="s">
        <v>133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134</v>
      </c>
      <c r="H43" s="5" t="s">
        <v>135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4249.2</v>
      </c>
      <c r="G44" s="5" t="s">
        <v>136</v>
      </c>
      <c r="H44" s="5" t="s">
        <v>137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239443.45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2266.69</v>
      </c>
      <c r="G45" s="5" t="s">
        <v>138</v>
      </c>
      <c r="H45" s="5" t="s">
        <v>139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127729.95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243205.76000000001</v>
      </c>
      <c r="G46" s="5" t="s">
        <v>140</v>
      </c>
      <c r="H46" s="5" t="s">
        <v>141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2138835.9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331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55917797</v>
      </c>
      <c r="O51" s="4">
        <v>1</v>
      </c>
    </row>
    <row r="52" spans="1:50" x14ac:dyDescent="0.25">
      <c r="A52" s="6">
        <v>1</v>
      </c>
      <c r="B52" s="6" t="s">
        <v>332</v>
      </c>
      <c r="C52" s="6" t="s">
        <v>333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246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55917798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13" x14ac:dyDescent="0.3">
      <c r="A53" s="4">
        <v>75</v>
      </c>
      <c r="B53" s="4" t="s">
        <v>334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55917799</v>
      </c>
      <c r="O53" s="4">
        <v>2</v>
      </c>
    </row>
    <row r="54" spans="1:50" x14ac:dyDescent="0.25">
      <c r="A54" s="6">
        <v>1</v>
      </c>
      <c r="B54" s="6" t="s">
        <v>332</v>
      </c>
      <c r="C54" s="6" t="s">
        <v>333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9.84</v>
      </c>
      <c r="L54" s="6">
        <v>7.57</v>
      </c>
      <c r="M54" s="6">
        <v>1</v>
      </c>
      <c r="N54" s="6">
        <v>1</v>
      </c>
      <c r="O54" s="6">
        <v>9.84</v>
      </c>
      <c r="P54" s="6">
        <v>7.57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335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55917800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5">
      <c r="A55" s="6">
        <v>1</v>
      </c>
      <c r="B55" s="6" t="s">
        <v>332</v>
      </c>
      <c r="C55" s="6" t="s">
        <v>336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337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55917801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35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55917797</v>
      </c>
      <c r="C1">
        <v>55983273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339</v>
      </c>
      <c r="J1" t="s">
        <v>3</v>
      </c>
      <c r="K1" t="s">
        <v>340</v>
      </c>
      <c r="L1">
        <v>1191</v>
      </c>
      <c r="N1">
        <v>1013</v>
      </c>
      <c r="O1" t="s">
        <v>341</v>
      </c>
      <c r="P1" t="s">
        <v>341</v>
      </c>
      <c r="Q1">
        <v>1</v>
      </c>
      <c r="W1">
        <v>0</v>
      </c>
      <c r="X1">
        <v>476480486</v>
      </c>
      <c r="Y1">
        <f>((AT1*1.2)*0.3)</f>
        <v>3.5999999999999996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10</v>
      </c>
      <c r="AU1" t="s">
        <v>25</v>
      </c>
      <c r="AV1">
        <v>1</v>
      </c>
      <c r="AW1">
        <v>2</v>
      </c>
      <c r="AX1">
        <v>55983285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3.6</v>
      </c>
      <c r="CW1">
        <v>0</v>
      </c>
      <c r="CX1">
        <f>ROUND(Y1*Source!I28,9)</f>
        <v>3.6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 t="shared" ref="DF1:DF12" si="0">ROUND(ROUND(AE1,2)*CX1,2)</f>
        <v>0</v>
      </c>
      <c r="DG1">
        <f t="shared" ref="DG1:DG25" si="1">ROUND(ROUND(AF1,2)*CX1,2)</f>
        <v>0</v>
      </c>
      <c r="DH1">
        <f t="shared" ref="DH1:DH25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55917797</v>
      </c>
      <c r="C2">
        <v>55983273</v>
      </c>
      <c r="D2">
        <v>55460508</v>
      </c>
      <c r="E2">
        <v>1</v>
      </c>
      <c r="F2">
        <v>1</v>
      </c>
      <c r="G2">
        <v>1081</v>
      </c>
      <c r="H2">
        <v>3</v>
      </c>
      <c r="I2" t="s">
        <v>342</v>
      </c>
      <c r="J2" t="s">
        <v>343</v>
      </c>
      <c r="K2" t="s">
        <v>344</v>
      </c>
      <c r="L2">
        <v>1348</v>
      </c>
      <c r="N2">
        <v>1009</v>
      </c>
      <c r="O2" t="s">
        <v>345</v>
      </c>
      <c r="P2" t="s">
        <v>345</v>
      </c>
      <c r="Q2">
        <v>1000</v>
      </c>
      <c r="W2">
        <v>0</v>
      </c>
      <c r="X2">
        <v>1896261550</v>
      </c>
      <c r="Y2">
        <f t="shared" ref="Y2:Y11" si="4">((AT2*1)*0)</f>
        <v>0</v>
      </c>
      <c r="AA2">
        <v>12287.39</v>
      </c>
      <c r="AB2">
        <v>0</v>
      </c>
      <c r="AC2">
        <v>0</v>
      </c>
      <c r="AD2">
        <v>0</v>
      </c>
      <c r="AE2">
        <v>12287.39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2.0000000000000001E-4</v>
      </c>
      <c r="AU2" t="s">
        <v>24</v>
      </c>
      <c r="AV2">
        <v>0</v>
      </c>
      <c r="AW2">
        <v>2</v>
      </c>
      <c r="AX2">
        <v>55983286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ROUND(Y2*Source!I28,9)</f>
        <v>0</v>
      </c>
      <c r="CY2">
        <f t="shared" ref="CY2:CY11" si="5">AA2</f>
        <v>12287.39</v>
      </c>
      <c r="CZ2">
        <f t="shared" ref="CZ2:CZ11" si="6">AE2</f>
        <v>12287.39</v>
      </c>
      <c r="DA2">
        <f t="shared" ref="DA2:DA11" si="7">AI2</f>
        <v>1</v>
      </c>
      <c r="DB2">
        <f t="shared" ref="DB2:DB11" si="8">ROUND(((ROUND(AT2*CZ2,2)*1)*0),6)</f>
        <v>0</v>
      </c>
      <c r="DC2">
        <f t="shared" ref="DC2:DC11" si="9">ROUND(((ROUND(AT2*AG2,2)*1)*0),6)</f>
        <v>0</v>
      </c>
      <c r="DD2" t="s">
        <v>3</v>
      </c>
      <c r="DE2" t="s">
        <v>3</v>
      </c>
      <c r="DF2">
        <f t="shared" si="0"/>
        <v>0</v>
      </c>
      <c r="DG2">
        <f t="shared" si="1"/>
        <v>0</v>
      </c>
      <c r="DH2">
        <f t="shared" si="2"/>
        <v>0</v>
      </c>
      <c r="DI2">
        <f t="shared" si="3"/>
        <v>0</v>
      </c>
      <c r="DJ2">
        <f t="shared" ref="DJ2:DJ11" si="10">DF2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ROW(Source!A28)</f>
        <v>28</v>
      </c>
      <c r="B3">
        <v>55917797</v>
      </c>
      <c r="C3">
        <v>55983273</v>
      </c>
      <c r="D3">
        <v>55460545</v>
      </c>
      <c r="E3">
        <v>1</v>
      </c>
      <c r="F3">
        <v>1</v>
      </c>
      <c r="G3">
        <v>1081</v>
      </c>
      <c r="H3">
        <v>3</v>
      </c>
      <c r="I3" t="s">
        <v>346</v>
      </c>
      <c r="J3" t="s">
        <v>347</v>
      </c>
      <c r="K3" t="s">
        <v>348</v>
      </c>
      <c r="L3">
        <v>1348</v>
      </c>
      <c r="N3">
        <v>1009</v>
      </c>
      <c r="O3" t="s">
        <v>345</v>
      </c>
      <c r="P3" t="s">
        <v>345</v>
      </c>
      <c r="Q3">
        <v>1000</v>
      </c>
      <c r="W3">
        <v>0</v>
      </c>
      <c r="X3">
        <v>1967598333</v>
      </c>
      <c r="Y3">
        <f t="shared" si="4"/>
        <v>0</v>
      </c>
      <c r="AA3">
        <v>3772.37</v>
      </c>
      <c r="AB3">
        <v>0</v>
      </c>
      <c r="AC3">
        <v>0</v>
      </c>
      <c r="AD3">
        <v>0</v>
      </c>
      <c r="AE3">
        <v>3772.37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1.0000000000000001E-5</v>
      </c>
      <c r="AU3" t="s">
        <v>24</v>
      </c>
      <c r="AV3">
        <v>0</v>
      </c>
      <c r="AW3">
        <v>2</v>
      </c>
      <c r="AX3">
        <v>55983287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0</v>
      </c>
      <c r="CY3">
        <f t="shared" si="5"/>
        <v>3772.37</v>
      </c>
      <c r="CZ3">
        <f t="shared" si="6"/>
        <v>3772.37</v>
      </c>
      <c r="DA3">
        <f t="shared" si="7"/>
        <v>1</v>
      </c>
      <c r="DB3">
        <f t="shared" si="8"/>
        <v>0</v>
      </c>
      <c r="DC3">
        <f t="shared" si="9"/>
        <v>0</v>
      </c>
      <c r="DD3" t="s">
        <v>3</v>
      </c>
      <c r="DE3" t="s">
        <v>3</v>
      </c>
      <c r="DF3">
        <f t="shared" si="0"/>
        <v>0</v>
      </c>
      <c r="DG3">
        <f t="shared" si="1"/>
        <v>0</v>
      </c>
      <c r="DH3">
        <f t="shared" si="2"/>
        <v>0</v>
      </c>
      <c r="DI3">
        <f t="shared" si="3"/>
        <v>0</v>
      </c>
      <c r="DJ3">
        <f t="shared" si="10"/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ROW(Source!A28)</f>
        <v>28</v>
      </c>
      <c r="B4">
        <v>55917797</v>
      </c>
      <c r="C4">
        <v>55983273</v>
      </c>
      <c r="D4">
        <v>55461230</v>
      </c>
      <c r="E4">
        <v>1</v>
      </c>
      <c r="F4">
        <v>1</v>
      </c>
      <c r="G4">
        <v>1081</v>
      </c>
      <c r="H4">
        <v>3</v>
      </c>
      <c r="I4" t="s">
        <v>349</v>
      </c>
      <c r="J4" t="s">
        <v>350</v>
      </c>
      <c r="K4" t="s">
        <v>351</v>
      </c>
      <c r="L4">
        <v>1346</v>
      </c>
      <c r="N4">
        <v>1009</v>
      </c>
      <c r="O4" t="s">
        <v>316</v>
      </c>
      <c r="P4" t="s">
        <v>316</v>
      </c>
      <c r="Q4">
        <v>1</v>
      </c>
      <c r="W4">
        <v>0</v>
      </c>
      <c r="X4">
        <v>1561715650</v>
      </c>
      <c r="Y4">
        <f t="shared" si="4"/>
        <v>0</v>
      </c>
      <c r="AA4">
        <v>15.11</v>
      </c>
      <c r="AB4">
        <v>0</v>
      </c>
      <c r="AC4">
        <v>0</v>
      </c>
      <c r="AD4">
        <v>0</v>
      </c>
      <c r="AE4">
        <v>15.11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0.02</v>
      </c>
      <c r="AU4" t="s">
        <v>24</v>
      </c>
      <c r="AV4">
        <v>0</v>
      </c>
      <c r="AW4">
        <v>2</v>
      </c>
      <c r="AX4">
        <v>55983288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0</v>
      </c>
      <c r="CY4">
        <f t="shared" si="5"/>
        <v>15.11</v>
      </c>
      <c r="CZ4">
        <f t="shared" si="6"/>
        <v>15.11</v>
      </c>
      <c r="DA4">
        <f t="shared" si="7"/>
        <v>1</v>
      </c>
      <c r="DB4">
        <f t="shared" si="8"/>
        <v>0</v>
      </c>
      <c r="DC4">
        <f t="shared" si="9"/>
        <v>0</v>
      </c>
      <c r="DD4" t="s">
        <v>3</v>
      </c>
      <c r="DE4" t="s">
        <v>3</v>
      </c>
      <c r="DF4">
        <f t="shared" si="0"/>
        <v>0</v>
      </c>
      <c r="DG4">
        <f t="shared" si="1"/>
        <v>0</v>
      </c>
      <c r="DH4">
        <f t="shared" si="2"/>
        <v>0</v>
      </c>
      <c r="DI4">
        <f t="shared" si="3"/>
        <v>0</v>
      </c>
      <c r="DJ4">
        <f t="shared" si="10"/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ROW(Source!A28)</f>
        <v>28</v>
      </c>
      <c r="B5">
        <v>55917797</v>
      </c>
      <c r="C5">
        <v>55983273</v>
      </c>
      <c r="D5">
        <v>55461426</v>
      </c>
      <c r="E5">
        <v>1</v>
      </c>
      <c r="F5">
        <v>1</v>
      </c>
      <c r="G5">
        <v>1081</v>
      </c>
      <c r="H5">
        <v>3</v>
      </c>
      <c r="I5" t="s">
        <v>352</v>
      </c>
      <c r="J5" t="s">
        <v>353</v>
      </c>
      <c r="K5" t="s">
        <v>354</v>
      </c>
      <c r="L5">
        <v>1346</v>
      </c>
      <c r="N5">
        <v>1009</v>
      </c>
      <c r="O5" t="s">
        <v>316</v>
      </c>
      <c r="P5" t="s">
        <v>316</v>
      </c>
      <c r="Q5">
        <v>1</v>
      </c>
      <c r="W5">
        <v>0</v>
      </c>
      <c r="X5">
        <v>-1175794599</v>
      </c>
      <c r="Y5">
        <f t="shared" si="4"/>
        <v>0</v>
      </c>
      <c r="AA5">
        <v>35.590000000000003</v>
      </c>
      <c r="AB5">
        <v>0</v>
      </c>
      <c r="AC5">
        <v>0</v>
      </c>
      <c r="AD5">
        <v>0</v>
      </c>
      <c r="AE5">
        <v>35.590000000000003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0.5</v>
      </c>
      <c r="AU5" t="s">
        <v>24</v>
      </c>
      <c r="AV5">
        <v>0</v>
      </c>
      <c r="AW5">
        <v>2</v>
      </c>
      <c r="AX5">
        <v>55983289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0</v>
      </c>
      <c r="CY5">
        <f t="shared" si="5"/>
        <v>35.590000000000003</v>
      </c>
      <c r="CZ5">
        <f t="shared" si="6"/>
        <v>35.590000000000003</v>
      </c>
      <c r="DA5">
        <f t="shared" si="7"/>
        <v>1</v>
      </c>
      <c r="DB5">
        <f t="shared" si="8"/>
        <v>0</v>
      </c>
      <c r="DC5">
        <f t="shared" si="9"/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 t="shared" si="10"/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ROW(Source!A28)</f>
        <v>28</v>
      </c>
      <c r="B6">
        <v>55917797</v>
      </c>
      <c r="C6">
        <v>55983273</v>
      </c>
      <c r="D6">
        <v>55459400</v>
      </c>
      <c r="E6">
        <v>1</v>
      </c>
      <c r="F6">
        <v>1</v>
      </c>
      <c r="G6">
        <v>1081</v>
      </c>
      <c r="H6">
        <v>3</v>
      </c>
      <c r="I6" t="s">
        <v>355</v>
      </c>
      <c r="J6" t="s">
        <v>356</v>
      </c>
      <c r="K6" t="s">
        <v>357</v>
      </c>
      <c r="L6">
        <v>1346</v>
      </c>
      <c r="N6">
        <v>1009</v>
      </c>
      <c r="O6" t="s">
        <v>316</v>
      </c>
      <c r="P6" t="s">
        <v>316</v>
      </c>
      <c r="Q6">
        <v>1</v>
      </c>
      <c r="W6">
        <v>0</v>
      </c>
      <c r="X6">
        <v>-2129869794</v>
      </c>
      <c r="Y6">
        <f t="shared" si="4"/>
        <v>0</v>
      </c>
      <c r="AA6">
        <v>16.690000000000001</v>
      </c>
      <c r="AB6">
        <v>0</v>
      </c>
      <c r="AC6">
        <v>0</v>
      </c>
      <c r="AD6">
        <v>0</v>
      </c>
      <c r="AE6">
        <v>16.690000000000001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0.05</v>
      </c>
      <c r="AU6" t="s">
        <v>24</v>
      </c>
      <c r="AV6">
        <v>0</v>
      </c>
      <c r="AW6">
        <v>2</v>
      </c>
      <c r="AX6">
        <v>55983290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ROUND(Y6*Source!I28,9)</f>
        <v>0</v>
      </c>
      <c r="CY6">
        <f t="shared" si="5"/>
        <v>16.690000000000001</v>
      </c>
      <c r="CZ6">
        <f t="shared" si="6"/>
        <v>16.690000000000001</v>
      </c>
      <c r="DA6">
        <f t="shared" si="7"/>
        <v>1</v>
      </c>
      <c r="DB6">
        <f t="shared" si="8"/>
        <v>0</v>
      </c>
      <c r="DC6">
        <f t="shared" si="9"/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 t="shared" si="10"/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ROW(Source!A28)</f>
        <v>28</v>
      </c>
      <c r="B7">
        <v>55917797</v>
      </c>
      <c r="C7">
        <v>55983273</v>
      </c>
      <c r="D7">
        <v>55459404</v>
      </c>
      <c r="E7">
        <v>1</v>
      </c>
      <c r="F7">
        <v>1</v>
      </c>
      <c r="G7">
        <v>1081</v>
      </c>
      <c r="H7">
        <v>3</v>
      </c>
      <c r="I7" t="s">
        <v>358</v>
      </c>
      <c r="J7" t="s">
        <v>359</v>
      </c>
      <c r="K7" t="s">
        <v>360</v>
      </c>
      <c r="L7">
        <v>1346</v>
      </c>
      <c r="N7">
        <v>1009</v>
      </c>
      <c r="O7" t="s">
        <v>316</v>
      </c>
      <c r="P7" t="s">
        <v>316</v>
      </c>
      <c r="Q7">
        <v>1</v>
      </c>
      <c r="W7">
        <v>0</v>
      </c>
      <c r="X7">
        <v>669791865</v>
      </c>
      <c r="Y7">
        <f t="shared" si="4"/>
        <v>0</v>
      </c>
      <c r="AA7">
        <v>73.53</v>
      </c>
      <c r="AB7">
        <v>0</v>
      </c>
      <c r="AC7">
        <v>0</v>
      </c>
      <c r="AD7">
        <v>0</v>
      </c>
      <c r="AE7">
        <v>73.53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0.2</v>
      </c>
      <c r="AU7" t="s">
        <v>24</v>
      </c>
      <c r="AV7">
        <v>0</v>
      </c>
      <c r="AW7">
        <v>2</v>
      </c>
      <c r="AX7">
        <v>55983291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ROUND(Y7*Source!I28,9)</f>
        <v>0</v>
      </c>
      <c r="CY7">
        <f t="shared" si="5"/>
        <v>73.53</v>
      </c>
      <c r="CZ7">
        <f t="shared" si="6"/>
        <v>73.53</v>
      </c>
      <c r="DA7">
        <f t="shared" si="7"/>
        <v>1</v>
      </c>
      <c r="DB7">
        <f t="shared" si="8"/>
        <v>0</v>
      </c>
      <c r="DC7">
        <f t="shared" si="9"/>
        <v>0</v>
      </c>
      <c r="DD7" t="s">
        <v>3</v>
      </c>
      <c r="DE7" t="s">
        <v>3</v>
      </c>
      <c r="DF7">
        <f t="shared" si="0"/>
        <v>0</v>
      </c>
      <c r="DG7">
        <f t="shared" si="1"/>
        <v>0</v>
      </c>
      <c r="DH7">
        <f t="shared" si="2"/>
        <v>0</v>
      </c>
      <c r="DI7">
        <f t="shared" si="3"/>
        <v>0</v>
      </c>
      <c r="DJ7">
        <f t="shared" si="10"/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ROW(Source!A28)</f>
        <v>28</v>
      </c>
      <c r="B8">
        <v>55917797</v>
      </c>
      <c r="C8">
        <v>55983273</v>
      </c>
      <c r="D8">
        <v>55459793</v>
      </c>
      <c r="E8">
        <v>1</v>
      </c>
      <c r="F8">
        <v>1</v>
      </c>
      <c r="G8">
        <v>1081</v>
      </c>
      <c r="H8">
        <v>3</v>
      </c>
      <c r="I8" t="s">
        <v>361</v>
      </c>
      <c r="J8" t="s">
        <v>362</v>
      </c>
      <c r="K8" t="s">
        <v>363</v>
      </c>
      <c r="L8">
        <v>1348</v>
      </c>
      <c r="N8">
        <v>1009</v>
      </c>
      <c r="O8" t="s">
        <v>345</v>
      </c>
      <c r="P8" t="s">
        <v>345</v>
      </c>
      <c r="Q8">
        <v>1000</v>
      </c>
      <c r="W8">
        <v>0</v>
      </c>
      <c r="X8">
        <v>-761454284</v>
      </c>
      <c r="Y8">
        <f t="shared" si="4"/>
        <v>0</v>
      </c>
      <c r="AA8">
        <v>64123.05</v>
      </c>
      <c r="AB8">
        <v>0</v>
      </c>
      <c r="AC8">
        <v>0</v>
      </c>
      <c r="AD8">
        <v>0</v>
      </c>
      <c r="AE8">
        <v>64123.05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2.0000000000000001E-4</v>
      </c>
      <c r="AU8" t="s">
        <v>24</v>
      </c>
      <c r="AV8">
        <v>0</v>
      </c>
      <c r="AW8">
        <v>2</v>
      </c>
      <c r="AX8">
        <v>55983292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ROUND(Y8*Source!I28,9)</f>
        <v>0</v>
      </c>
      <c r="CY8">
        <f t="shared" si="5"/>
        <v>64123.05</v>
      </c>
      <c r="CZ8">
        <f t="shared" si="6"/>
        <v>64123.05</v>
      </c>
      <c r="DA8">
        <f t="shared" si="7"/>
        <v>1</v>
      </c>
      <c r="DB8">
        <f t="shared" si="8"/>
        <v>0</v>
      </c>
      <c r="DC8">
        <f t="shared" si="9"/>
        <v>0</v>
      </c>
      <c r="DD8" t="s">
        <v>3</v>
      </c>
      <c r="DE8" t="s">
        <v>3</v>
      </c>
      <c r="DF8">
        <f t="shared" si="0"/>
        <v>0</v>
      </c>
      <c r="DG8">
        <f t="shared" si="1"/>
        <v>0</v>
      </c>
      <c r="DH8">
        <f t="shared" si="2"/>
        <v>0</v>
      </c>
      <c r="DI8">
        <f t="shared" si="3"/>
        <v>0</v>
      </c>
      <c r="DJ8">
        <f t="shared" si="10"/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ROW(Source!A28)</f>
        <v>28</v>
      </c>
      <c r="B9">
        <v>55917797</v>
      </c>
      <c r="C9">
        <v>55983273</v>
      </c>
      <c r="D9">
        <v>55466338</v>
      </c>
      <c r="E9">
        <v>1</v>
      </c>
      <c r="F9">
        <v>1</v>
      </c>
      <c r="G9">
        <v>1081</v>
      </c>
      <c r="H9">
        <v>3</v>
      </c>
      <c r="I9" t="s">
        <v>364</v>
      </c>
      <c r="J9" t="s">
        <v>365</v>
      </c>
      <c r="K9" t="s">
        <v>366</v>
      </c>
      <c r="L9">
        <v>1349</v>
      </c>
      <c r="N9">
        <v>1009</v>
      </c>
      <c r="O9" t="s">
        <v>367</v>
      </c>
      <c r="P9" t="s">
        <v>367</v>
      </c>
      <c r="Q9">
        <v>1E-3</v>
      </c>
      <c r="W9">
        <v>0</v>
      </c>
      <c r="X9">
        <v>-667754050</v>
      </c>
      <c r="Y9">
        <f t="shared" si="4"/>
        <v>0</v>
      </c>
      <c r="AA9">
        <v>7.0000000000000007E-2</v>
      </c>
      <c r="AB9">
        <v>0</v>
      </c>
      <c r="AC9">
        <v>0</v>
      </c>
      <c r="AD9">
        <v>0</v>
      </c>
      <c r="AE9">
        <v>7.0000000000000007E-2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100</v>
      </c>
      <c r="AU9" t="s">
        <v>24</v>
      </c>
      <c r="AV9">
        <v>0</v>
      </c>
      <c r="AW9">
        <v>2</v>
      </c>
      <c r="AX9">
        <v>55983293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ROUND(Y9*Source!I28,9)</f>
        <v>0</v>
      </c>
      <c r="CY9">
        <f t="shared" si="5"/>
        <v>7.0000000000000007E-2</v>
      </c>
      <c r="CZ9">
        <f t="shared" si="6"/>
        <v>7.0000000000000007E-2</v>
      </c>
      <c r="DA9">
        <f t="shared" si="7"/>
        <v>1</v>
      </c>
      <c r="DB9">
        <f t="shared" si="8"/>
        <v>0</v>
      </c>
      <c r="DC9">
        <f t="shared" si="9"/>
        <v>0</v>
      </c>
      <c r="DD9" t="s">
        <v>3</v>
      </c>
      <c r="DE9" t="s">
        <v>3</v>
      </c>
      <c r="DF9">
        <f t="shared" si="0"/>
        <v>0</v>
      </c>
      <c r="DG9">
        <f t="shared" si="1"/>
        <v>0</v>
      </c>
      <c r="DH9">
        <f t="shared" si="2"/>
        <v>0</v>
      </c>
      <c r="DI9">
        <f t="shared" si="3"/>
        <v>0</v>
      </c>
      <c r="DJ9">
        <f t="shared" si="10"/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ROW(Source!A28)</f>
        <v>28</v>
      </c>
      <c r="B10">
        <v>55917797</v>
      </c>
      <c r="C10">
        <v>55983273</v>
      </c>
      <c r="D10">
        <v>55482233</v>
      </c>
      <c r="E10">
        <v>1</v>
      </c>
      <c r="F10">
        <v>1</v>
      </c>
      <c r="G10">
        <v>1081</v>
      </c>
      <c r="H10">
        <v>3</v>
      </c>
      <c r="I10" t="s">
        <v>368</v>
      </c>
      <c r="J10" t="s">
        <v>369</v>
      </c>
      <c r="K10" t="s">
        <v>370</v>
      </c>
      <c r="L10">
        <v>1346</v>
      </c>
      <c r="N10">
        <v>1009</v>
      </c>
      <c r="O10" t="s">
        <v>316</v>
      </c>
      <c r="P10" t="s">
        <v>316</v>
      </c>
      <c r="Q10">
        <v>1</v>
      </c>
      <c r="W10">
        <v>0</v>
      </c>
      <c r="X10">
        <v>1566362712</v>
      </c>
      <c r="Y10">
        <f t="shared" si="4"/>
        <v>0</v>
      </c>
      <c r="AA10">
        <v>493.08</v>
      </c>
      <c r="AB10">
        <v>0</v>
      </c>
      <c r="AC10">
        <v>0</v>
      </c>
      <c r="AD10">
        <v>0</v>
      </c>
      <c r="AE10">
        <v>493.08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0.04</v>
      </c>
      <c r="AU10" t="s">
        <v>24</v>
      </c>
      <c r="AV10">
        <v>0</v>
      </c>
      <c r="AW10">
        <v>2</v>
      </c>
      <c r="AX10">
        <v>55983294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ROUND(Y10*Source!I28,9)</f>
        <v>0</v>
      </c>
      <c r="CY10">
        <f t="shared" si="5"/>
        <v>493.08</v>
      </c>
      <c r="CZ10">
        <f t="shared" si="6"/>
        <v>493.08</v>
      </c>
      <c r="DA10">
        <f t="shared" si="7"/>
        <v>1</v>
      </c>
      <c r="DB10">
        <f t="shared" si="8"/>
        <v>0</v>
      </c>
      <c r="DC10">
        <f t="shared" si="9"/>
        <v>0</v>
      </c>
      <c r="DD10" t="s">
        <v>3</v>
      </c>
      <c r="DE10" t="s">
        <v>3</v>
      </c>
      <c r="DF10">
        <f t="shared" si="0"/>
        <v>0</v>
      </c>
      <c r="DG10">
        <f t="shared" si="1"/>
        <v>0</v>
      </c>
      <c r="DH10">
        <f t="shared" si="2"/>
        <v>0</v>
      </c>
      <c r="DI10">
        <f t="shared" si="3"/>
        <v>0</v>
      </c>
      <c r="DJ10">
        <f t="shared" si="10"/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ROW(Source!A28)</f>
        <v>28</v>
      </c>
      <c r="B11">
        <v>55917797</v>
      </c>
      <c r="C11">
        <v>55983273</v>
      </c>
      <c r="D11">
        <v>55424290</v>
      </c>
      <c r="E11">
        <v>1081</v>
      </c>
      <c r="F11">
        <v>1</v>
      </c>
      <c r="G11">
        <v>1081</v>
      </c>
      <c r="H11">
        <v>3</v>
      </c>
      <c r="I11" t="s">
        <v>371</v>
      </c>
      <c r="J11" t="s">
        <v>3</v>
      </c>
      <c r="K11" t="s">
        <v>372</v>
      </c>
      <c r="L11">
        <v>1348</v>
      </c>
      <c r="N11">
        <v>1009</v>
      </c>
      <c r="O11" t="s">
        <v>345</v>
      </c>
      <c r="P11" t="s">
        <v>345</v>
      </c>
      <c r="Q11">
        <v>1000</v>
      </c>
      <c r="W11">
        <v>0</v>
      </c>
      <c r="X11">
        <v>-783086922</v>
      </c>
      <c r="Y11">
        <f t="shared" si="4"/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1.2E-2</v>
      </c>
      <c r="AU11" t="s">
        <v>24</v>
      </c>
      <c r="AV11">
        <v>0</v>
      </c>
      <c r="AW11">
        <v>2</v>
      </c>
      <c r="AX11">
        <v>55983296</v>
      </c>
      <c r="AY11">
        <v>1</v>
      </c>
      <c r="AZ11">
        <v>0</v>
      </c>
      <c r="BA11">
        <v>12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ROUND(Y11*Source!I28,9)</f>
        <v>0</v>
      </c>
      <c r="CY11">
        <f t="shared" si="5"/>
        <v>0</v>
      </c>
      <c r="CZ11">
        <f t="shared" si="6"/>
        <v>0</v>
      </c>
      <c r="DA11">
        <f t="shared" si="7"/>
        <v>1</v>
      </c>
      <c r="DB11">
        <f t="shared" si="8"/>
        <v>0</v>
      </c>
      <c r="DC11">
        <f t="shared" si="9"/>
        <v>0</v>
      </c>
      <c r="DD11" t="s">
        <v>3</v>
      </c>
      <c r="DE11" t="s">
        <v>3</v>
      </c>
      <c r="DF11">
        <f t="shared" si="0"/>
        <v>0</v>
      </c>
      <c r="DG11">
        <f t="shared" si="1"/>
        <v>0</v>
      </c>
      <c r="DH11">
        <f t="shared" si="2"/>
        <v>0</v>
      </c>
      <c r="DI11">
        <f t="shared" si="3"/>
        <v>0</v>
      </c>
      <c r="DJ11">
        <f t="shared" si="10"/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ROW(Source!A29)</f>
        <v>29</v>
      </c>
      <c r="B12">
        <v>55917799</v>
      </c>
      <c r="C12">
        <v>55983273</v>
      </c>
      <c r="D12">
        <v>55424304</v>
      </c>
      <c r="E12">
        <v>1081</v>
      </c>
      <c r="F12">
        <v>1</v>
      </c>
      <c r="G12">
        <v>1081</v>
      </c>
      <c r="H12">
        <v>1</v>
      </c>
      <c r="I12" t="s">
        <v>339</v>
      </c>
      <c r="J12" t="s">
        <v>3</v>
      </c>
      <c r="K12" t="s">
        <v>340</v>
      </c>
      <c r="L12">
        <v>1191</v>
      </c>
      <c r="N12">
        <v>1013</v>
      </c>
      <c r="O12" t="s">
        <v>341</v>
      </c>
      <c r="P12" t="s">
        <v>341</v>
      </c>
      <c r="Q12">
        <v>1</v>
      </c>
      <c r="W12">
        <v>0</v>
      </c>
      <c r="X12">
        <v>476480486</v>
      </c>
      <c r="Y12">
        <f>((AT12*1.2)*0.3)</f>
        <v>3.5999999999999996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5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10</v>
      </c>
      <c r="AU12" t="s">
        <v>25</v>
      </c>
      <c r="AV12">
        <v>1</v>
      </c>
      <c r="AW12">
        <v>2</v>
      </c>
      <c r="AX12">
        <v>55983285</v>
      </c>
      <c r="AY12">
        <v>1</v>
      </c>
      <c r="AZ12">
        <v>0</v>
      </c>
      <c r="BA12">
        <v>13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U12">
        <f>ROUND(AT12*Source!I29*AH12*AL12,2)</f>
        <v>0</v>
      </c>
      <c r="CV12">
        <f>ROUND(Y12*Source!I29,9)</f>
        <v>3.6</v>
      </c>
      <c r="CW12">
        <v>0</v>
      </c>
      <c r="CX12">
        <f>ROUND(Y12*Source!I29,9)</f>
        <v>3.6</v>
      </c>
      <c r="CY12">
        <f>AD12</f>
        <v>0</v>
      </c>
      <c r="CZ12">
        <f>AH12</f>
        <v>0</v>
      </c>
      <c r="DA12">
        <f>AL12</f>
        <v>1</v>
      </c>
      <c r="DB12">
        <f>ROUND(((ROUND(AT12*CZ12,2)*1.2)*0.3),6)</f>
        <v>0</v>
      </c>
      <c r="DC12">
        <f>ROUND(((ROUND(AT12*AG12,2)*1.2)*0.3),6)</f>
        <v>0</v>
      </c>
      <c r="DD12" t="s">
        <v>3</v>
      </c>
      <c r="DE12" t="s">
        <v>3</v>
      </c>
      <c r="DF12">
        <f t="shared" si="0"/>
        <v>0</v>
      </c>
      <c r="DG12">
        <f t="shared" si="1"/>
        <v>0</v>
      </c>
      <c r="DH12">
        <f t="shared" si="2"/>
        <v>0</v>
      </c>
      <c r="DI12">
        <f t="shared" si="3"/>
        <v>0</v>
      </c>
      <c r="DJ12">
        <f>DI12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ROW(Source!A29)</f>
        <v>29</v>
      </c>
      <c r="B13">
        <v>55917799</v>
      </c>
      <c r="C13">
        <v>55983273</v>
      </c>
      <c r="D13">
        <v>55460508</v>
      </c>
      <c r="E13">
        <v>1</v>
      </c>
      <c r="F13">
        <v>1</v>
      </c>
      <c r="G13">
        <v>1081</v>
      </c>
      <c r="H13">
        <v>3</v>
      </c>
      <c r="I13" t="s">
        <v>342</v>
      </c>
      <c r="J13" t="s">
        <v>343</v>
      </c>
      <c r="K13" t="s">
        <v>344</v>
      </c>
      <c r="L13">
        <v>1348</v>
      </c>
      <c r="N13">
        <v>1009</v>
      </c>
      <c r="O13" t="s">
        <v>345</v>
      </c>
      <c r="P13" t="s">
        <v>345</v>
      </c>
      <c r="Q13">
        <v>1000</v>
      </c>
      <c r="W13">
        <v>0</v>
      </c>
      <c r="X13">
        <v>1896261550</v>
      </c>
      <c r="Y13">
        <f t="shared" ref="Y13:Y22" si="11">((AT13*1)*0)</f>
        <v>0</v>
      </c>
      <c r="AA13">
        <v>199670.09</v>
      </c>
      <c r="AB13">
        <v>0</v>
      </c>
      <c r="AC13">
        <v>0</v>
      </c>
      <c r="AD13">
        <v>0</v>
      </c>
      <c r="AE13">
        <v>12287.39</v>
      </c>
      <c r="AF13">
        <v>0</v>
      </c>
      <c r="AG13">
        <v>0</v>
      </c>
      <c r="AH13">
        <v>0</v>
      </c>
      <c r="AI13">
        <v>16.25</v>
      </c>
      <c r="AJ13">
        <v>1</v>
      </c>
      <c r="AK13">
        <v>1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2.0000000000000001E-4</v>
      </c>
      <c r="AU13" t="s">
        <v>24</v>
      </c>
      <c r="AV13">
        <v>0</v>
      </c>
      <c r="AW13">
        <v>2</v>
      </c>
      <c r="AX13">
        <v>55983286</v>
      </c>
      <c r="AY13">
        <v>1</v>
      </c>
      <c r="AZ13">
        <v>0</v>
      </c>
      <c r="BA13">
        <v>14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ROUND(Y13*Source!I29,9)</f>
        <v>0</v>
      </c>
      <c r="CY13">
        <f t="shared" ref="CY13:CY22" si="12">AA13</f>
        <v>199670.09</v>
      </c>
      <c r="CZ13">
        <f t="shared" ref="CZ13:CZ22" si="13">AE13</f>
        <v>12287.39</v>
      </c>
      <c r="DA13">
        <f t="shared" ref="DA13:DA22" si="14">AI13</f>
        <v>16.25</v>
      </c>
      <c r="DB13">
        <f t="shared" ref="DB13:DB22" si="15">ROUND(((ROUND(AT13*CZ13,2)*1)*0),6)</f>
        <v>0</v>
      </c>
      <c r="DC13">
        <f t="shared" ref="DC13:DC22" si="16">ROUND(((ROUND(AT13*AG13,2)*1)*0),6)</f>
        <v>0</v>
      </c>
      <c r="DD13" t="s">
        <v>3</v>
      </c>
      <c r="DE13" t="s">
        <v>3</v>
      </c>
      <c r="DF13">
        <f t="shared" ref="DF13:DF22" si="17">ROUND(ROUND(AE13*AI13,2)*CX13,2)</f>
        <v>0</v>
      </c>
      <c r="DG13">
        <f t="shared" si="1"/>
        <v>0</v>
      </c>
      <c r="DH13">
        <f t="shared" si="2"/>
        <v>0</v>
      </c>
      <c r="DI13">
        <f t="shared" si="3"/>
        <v>0</v>
      </c>
      <c r="DJ13">
        <f t="shared" ref="DJ13:DJ22" si="18">DF13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ROW(Source!A29)</f>
        <v>29</v>
      </c>
      <c r="B14">
        <v>55917799</v>
      </c>
      <c r="C14">
        <v>55983273</v>
      </c>
      <c r="D14">
        <v>55460545</v>
      </c>
      <c r="E14">
        <v>1</v>
      </c>
      <c r="F14">
        <v>1</v>
      </c>
      <c r="G14">
        <v>1081</v>
      </c>
      <c r="H14">
        <v>3</v>
      </c>
      <c r="I14" t="s">
        <v>346</v>
      </c>
      <c r="J14" t="s">
        <v>347</v>
      </c>
      <c r="K14" t="s">
        <v>348</v>
      </c>
      <c r="L14">
        <v>1348</v>
      </c>
      <c r="N14">
        <v>1009</v>
      </c>
      <c r="O14" t="s">
        <v>345</v>
      </c>
      <c r="P14" t="s">
        <v>345</v>
      </c>
      <c r="Q14">
        <v>1000</v>
      </c>
      <c r="W14">
        <v>0</v>
      </c>
      <c r="X14">
        <v>1967598333</v>
      </c>
      <c r="Y14">
        <f t="shared" si="11"/>
        <v>0</v>
      </c>
      <c r="AA14">
        <v>36101.58</v>
      </c>
      <c r="AB14">
        <v>0</v>
      </c>
      <c r="AC14">
        <v>0</v>
      </c>
      <c r="AD14">
        <v>0</v>
      </c>
      <c r="AE14">
        <v>3772.37</v>
      </c>
      <c r="AF14">
        <v>0</v>
      </c>
      <c r="AG14">
        <v>0</v>
      </c>
      <c r="AH14">
        <v>0</v>
      </c>
      <c r="AI14">
        <v>9.57</v>
      </c>
      <c r="AJ14">
        <v>1</v>
      </c>
      <c r="AK14">
        <v>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1.0000000000000001E-5</v>
      </c>
      <c r="AU14" t="s">
        <v>24</v>
      </c>
      <c r="AV14">
        <v>0</v>
      </c>
      <c r="AW14">
        <v>2</v>
      </c>
      <c r="AX14">
        <v>55983287</v>
      </c>
      <c r="AY14">
        <v>1</v>
      </c>
      <c r="AZ14">
        <v>0</v>
      </c>
      <c r="BA14">
        <v>15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ROUND(Y14*Source!I29,9)</f>
        <v>0</v>
      </c>
      <c r="CY14">
        <f t="shared" si="12"/>
        <v>36101.58</v>
      </c>
      <c r="CZ14">
        <f t="shared" si="13"/>
        <v>3772.37</v>
      </c>
      <c r="DA14">
        <f t="shared" si="14"/>
        <v>9.57</v>
      </c>
      <c r="DB14">
        <f t="shared" si="15"/>
        <v>0</v>
      </c>
      <c r="DC14">
        <f t="shared" si="16"/>
        <v>0</v>
      </c>
      <c r="DD14" t="s">
        <v>3</v>
      </c>
      <c r="DE14" t="s">
        <v>3</v>
      </c>
      <c r="DF14">
        <f t="shared" si="17"/>
        <v>0</v>
      </c>
      <c r="DG14">
        <f t="shared" si="1"/>
        <v>0</v>
      </c>
      <c r="DH14">
        <f t="shared" si="2"/>
        <v>0</v>
      </c>
      <c r="DI14">
        <f t="shared" si="3"/>
        <v>0</v>
      </c>
      <c r="DJ14">
        <f t="shared" si="18"/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ROW(Source!A29)</f>
        <v>29</v>
      </c>
      <c r="B15">
        <v>55917799</v>
      </c>
      <c r="C15">
        <v>55983273</v>
      </c>
      <c r="D15">
        <v>55461230</v>
      </c>
      <c r="E15">
        <v>1</v>
      </c>
      <c r="F15">
        <v>1</v>
      </c>
      <c r="G15">
        <v>1081</v>
      </c>
      <c r="H15">
        <v>3</v>
      </c>
      <c r="I15" t="s">
        <v>349</v>
      </c>
      <c r="J15" t="s">
        <v>350</v>
      </c>
      <c r="K15" t="s">
        <v>351</v>
      </c>
      <c r="L15">
        <v>1346</v>
      </c>
      <c r="N15">
        <v>1009</v>
      </c>
      <c r="O15" t="s">
        <v>316</v>
      </c>
      <c r="P15" t="s">
        <v>316</v>
      </c>
      <c r="Q15">
        <v>1</v>
      </c>
      <c r="W15">
        <v>0</v>
      </c>
      <c r="X15">
        <v>1561715650</v>
      </c>
      <c r="Y15">
        <f t="shared" si="11"/>
        <v>0</v>
      </c>
      <c r="AA15">
        <v>200.81</v>
      </c>
      <c r="AB15">
        <v>0</v>
      </c>
      <c r="AC15">
        <v>0</v>
      </c>
      <c r="AD15">
        <v>0</v>
      </c>
      <c r="AE15">
        <v>15.11</v>
      </c>
      <c r="AF15">
        <v>0</v>
      </c>
      <c r="AG15">
        <v>0</v>
      </c>
      <c r="AH15">
        <v>0</v>
      </c>
      <c r="AI15">
        <v>13.29</v>
      </c>
      <c r="AJ15">
        <v>1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0.02</v>
      </c>
      <c r="AU15" t="s">
        <v>24</v>
      </c>
      <c r="AV15">
        <v>0</v>
      </c>
      <c r="AW15">
        <v>2</v>
      </c>
      <c r="AX15">
        <v>55983288</v>
      </c>
      <c r="AY15">
        <v>1</v>
      </c>
      <c r="AZ15">
        <v>0</v>
      </c>
      <c r="BA15">
        <v>16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ROUND(Y15*Source!I29,9)</f>
        <v>0</v>
      </c>
      <c r="CY15">
        <f t="shared" si="12"/>
        <v>200.81</v>
      </c>
      <c r="CZ15">
        <f t="shared" si="13"/>
        <v>15.11</v>
      </c>
      <c r="DA15">
        <f t="shared" si="14"/>
        <v>13.29</v>
      </c>
      <c r="DB15">
        <f t="shared" si="15"/>
        <v>0</v>
      </c>
      <c r="DC15">
        <f t="shared" si="16"/>
        <v>0</v>
      </c>
      <c r="DD15" t="s">
        <v>3</v>
      </c>
      <c r="DE15" t="s">
        <v>3</v>
      </c>
      <c r="DF15">
        <f t="shared" si="17"/>
        <v>0</v>
      </c>
      <c r="DG15">
        <f t="shared" si="1"/>
        <v>0</v>
      </c>
      <c r="DH15">
        <f t="shared" si="2"/>
        <v>0</v>
      </c>
      <c r="DI15">
        <f t="shared" si="3"/>
        <v>0</v>
      </c>
      <c r="DJ15">
        <f t="shared" si="18"/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ROW(Source!A29)</f>
        <v>29</v>
      </c>
      <c r="B16">
        <v>55917799</v>
      </c>
      <c r="C16">
        <v>55983273</v>
      </c>
      <c r="D16">
        <v>55461426</v>
      </c>
      <c r="E16">
        <v>1</v>
      </c>
      <c r="F16">
        <v>1</v>
      </c>
      <c r="G16">
        <v>1081</v>
      </c>
      <c r="H16">
        <v>3</v>
      </c>
      <c r="I16" t="s">
        <v>352</v>
      </c>
      <c r="J16" t="s">
        <v>353</v>
      </c>
      <c r="K16" t="s">
        <v>354</v>
      </c>
      <c r="L16">
        <v>1346</v>
      </c>
      <c r="N16">
        <v>1009</v>
      </c>
      <c r="O16" t="s">
        <v>316</v>
      </c>
      <c r="P16" t="s">
        <v>316</v>
      </c>
      <c r="Q16">
        <v>1</v>
      </c>
      <c r="W16">
        <v>0</v>
      </c>
      <c r="X16">
        <v>-1175794599</v>
      </c>
      <c r="Y16">
        <f t="shared" si="11"/>
        <v>0</v>
      </c>
      <c r="AA16">
        <v>154.1</v>
      </c>
      <c r="AB16">
        <v>0</v>
      </c>
      <c r="AC16">
        <v>0</v>
      </c>
      <c r="AD16">
        <v>0</v>
      </c>
      <c r="AE16">
        <v>35.590000000000003</v>
      </c>
      <c r="AF16">
        <v>0</v>
      </c>
      <c r="AG16">
        <v>0</v>
      </c>
      <c r="AH16">
        <v>0</v>
      </c>
      <c r="AI16">
        <v>4.33</v>
      </c>
      <c r="AJ16">
        <v>1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0.5</v>
      </c>
      <c r="AU16" t="s">
        <v>24</v>
      </c>
      <c r="AV16">
        <v>0</v>
      </c>
      <c r="AW16">
        <v>2</v>
      </c>
      <c r="AX16">
        <v>55983289</v>
      </c>
      <c r="AY16">
        <v>1</v>
      </c>
      <c r="AZ16">
        <v>0</v>
      </c>
      <c r="BA16">
        <v>17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ROUND(Y16*Source!I29,9)</f>
        <v>0</v>
      </c>
      <c r="CY16">
        <f t="shared" si="12"/>
        <v>154.1</v>
      </c>
      <c r="CZ16">
        <f t="shared" si="13"/>
        <v>35.590000000000003</v>
      </c>
      <c r="DA16">
        <f t="shared" si="14"/>
        <v>4.33</v>
      </c>
      <c r="DB16">
        <f t="shared" si="15"/>
        <v>0</v>
      </c>
      <c r="DC16">
        <f t="shared" si="16"/>
        <v>0</v>
      </c>
      <c r="DD16" t="s">
        <v>3</v>
      </c>
      <c r="DE16" t="s">
        <v>3</v>
      </c>
      <c r="DF16">
        <f t="shared" si="17"/>
        <v>0</v>
      </c>
      <c r="DG16">
        <f t="shared" si="1"/>
        <v>0</v>
      </c>
      <c r="DH16">
        <f t="shared" si="2"/>
        <v>0</v>
      </c>
      <c r="DI16">
        <f t="shared" si="3"/>
        <v>0</v>
      </c>
      <c r="DJ16">
        <f t="shared" si="18"/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ROW(Source!A29)</f>
        <v>29</v>
      </c>
      <c r="B17">
        <v>55917799</v>
      </c>
      <c r="C17">
        <v>55983273</v>
      </c>
      <c r="D17">
        <v>55459400</v>
      </c>
      <c r="E17">
        <v>1</v>
      </c>
      <c r="F17">
        <v>1</v>
      </c>
      <c r="G17">
        <v>1081</v>
      </c>
      <c r="H17">
        <v>3</v>
      </c>
      <c r="I17" t="s">
        <v>355</v>
      </c>
      <c r="J17" t="s">
        <v>356</v>
      </c>
      <c r="K17" t="s">
        <v>357</v>
      </c>
      <c r="L17">
        <v>1346</v>
      </c>
      <c r="N17">
        <v>1009</v>
      </c>
      <c r="O17" t="s">
        <v>316</v>
      </c>
      <c r="P17" t="s">
        <v>316</v>
      </c>
      <c r="Q17">
        <v>1</v>
      </c>
      <c r="W17">
        <v>0</v>
      </c>
      <c r="X17">
        <v>-2129869794</v>
      </c>
      <c r="Y17">
        <f t="shared" si="11"/>
        <v>0</v>
      </c>
      <c r="AA17">
        <v>387.54</v>
      </c>
      <c r="AB17">
        <v>0</v>
      </c>
      <c r="AC17">
        <v>0</v>
      </c>
      <c r="AD17">
        <v>0</v>
      </c>
      <c r="AE17">
        <v>16.690000000000001</v>
      </c>
      <c r="AF17">
        <v>0</v>
      </c>
      <c r="AG17">
        <v>0</v>
      </c>
      <c r="AH17">
        <v>0</v>
      </c>
      <c r="AI17">
        <v>23.22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0.05</v>
      </c>
      <c r="AU17" t="s">
        <v>24</v>
      </c>
      <c r="AV17">
        <v>0</v>
      </c>
      <c r="AW17">
        <v>2</v>
      </c>
      <c r="AX17">
        <v>55983290</v>
      </c>
      <c r="AY17">
        <v>1</v>
      </c>
      <c r="AZ17">
        <v>0</v>
      </c>
      <c r="BA17">
        <v>18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ROUND(Y17*Source!I29,9)</f>
        <v>0</v>
      </c>
      <c r="CY17">
        <f t="shared" si="12"/>
        <v>387.54</v>
      </c>
      <c r="CZ17">
        <f t="shared" si="13"/>
        <v>16.690000000000001</v>
      </c>
      <c r="DA17">
        <f t="shared" si="14"/>
        <v>23.22</v>
      </c>
      <c r="DB17">
        <f t="shared" si="15"/>
        <v>0</v>
      </c>
      <c r="DC17">
        <f t="shared" si="16"/>
        <v>0</v>
      </c>
      <c r="DD17" t="s">
        <v>3</v>
      </c>
      <c r="DE17" t="s">
        <v>3</v>
      </c>
      <c r="DF17">
        <f t="shared" si="17"/>
        <v>0</v>
      </c>
      <c r="DG17">
        <f t="shared" si="1"/>
        <v>0</v>
      </c>
      <c r="DH17">
        <f t="shared" si="2"/>
        <v>0</v>
      </c>
      <c r="DI17">
        <f t="shared" si="3"/>
        <v>0</v>
      </c>
      <c r="DJ17">
        <f t="shared" si="18"/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ROW(Source!A29)</f>
        <v>29</v>
      </c>
      <c r="B18">
        <v>55917799</v>
      </c>
      <c r="C18">
        <v>55983273</v>
      </c>
      <c r="D18">
        <v>55459404</v>
      </c>
      <c r="E18">
        <v>1</v>
      </c>
      <c r="F18">
        <v>1</v>
      </c>
      <c r="G18">
        <v>1081</v>
      </c>
      <c r="H18">
        <v>3</v>
      </c>
      <c r="I18" t="s">
        <v>358</v>
      </c>
      <c r="J18" t="s">
        <v>359</v>
      </c>
      <c r="K18" t="s">
        <v>360</v>
      </c>
      <c r="L18">
        <v>1346</v>
      </c>
      <c r="N18">
        <v>1009</v>
      </c>
      <c r="O18" t="s">
        <v>316</v>
      </c>
      <c r="P18" t="s">
        <v>316</v>
      </c>
      <c r="Q18">
        <v>1</v>
      </c>
      <c r="W18">
        <v>0</v>
      </c>
      <c r="X18">
        <v>669791865</v>
      </c>
      <c r="Y18">
        <f t="shared" si="11"/>
        <v>0</v>
      </c>
      <c r="AA18">
        <v>158.82</v>
      </c>
      <c r="AB18">
        <v>0</v>
      </c>
      <c r="AC18">
        <v>0</v>
      </c>
      <c r="AD18">
        <v>0</v>
      </c>
      <c r="AE18">
        <v>73.53</v>
      </c>
      <c r="AF18">
        <v>0</v>
      </c>
      <c r="AG18">
        <v>0</v>
      </c>
      <c r="AH18">
        <v>0</v>
      </c>
      <c r="AI18">
        <v>2.16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0.2</v>
      </c>
      <c r="AU18" t="s">
        <v>24</v>
      </c>
      <c r="AV18">
        <v>0</v>
      </c>
      <c r="AW18">
        <v>2</v>
      </c>
      <c r="AX18">
        <v>55983291</v>
      </c>
      <c r="AY18">
        <v>1</v>
      </c>
      <c r="AZ18">
        <v>0</v>
      </c>
      <c r="BA18">
        <v>19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ROUND(Y18*Source!I29,9)</f>
        <v>0</v>
      </c>
      <c r="CY18">
        <f t="shared" si="12"/>
        <v>158.82</v>
      </c>
      <c r="CZ18">
        <f t="shared" si="13"/>
        <v>73.53</v>
      </c>
      <c r="DA18">
        <f t="shared" si="14"/>
        <v>2.16</v>
      </c>
      <c r="DB18">
        <f t="shared" si="15"/>
        <v>0</v>
      </c>
      <c r="DC18">
        <f t="shared" si="16"/>
        <v>0</v>
      </c>
      <c r="DD18" t="s">
        <v>3</v>
      </c>
      <c r="DE18" t="s">
        <v>3</v>
      </c>
      <c r="DF18">
        <f t="shared" si="17"/>
        <v>0</v>
      </c>
      <c r="DG18">
        <f t="shared" si="1"/>
        <v>0</v>
      </c>
      <c r="DH18">
        <f t="shared" si="2"/>
        <v>0</v>
      </c>
      <c r="DI18">
        <f t="shared" si="3"/>
        <v>0</v>
      </c>
      <c r="DJ18">
        <f t="shared" si="18"/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ROW(Source!A29)</f>
        <v>29</v>
      </c>
      <c r="B19">
        <v>55917799</v>
      </c>
      <c r="C19">
        <v>55983273</v>
      </c>
      <c r="D19">
        <v>55459793</v>
      </c>
      <c r="E19">
        <v>1</v>
      </c>
      <c r="F19">
        <v>1</v>
      </c>
      <c r="G19">
        <v>1081</v>
      </c>
      <c r="H19">
        <v>3</v>
      </c>
      <c r="I19" t="s">
        <v>361</v>
      </c>
      <c r="J19" t="s">
        <v>362</v>
      </c>
      <c r="K19" t="s">
        <v>363</v>
      </c>
      <c r="L19">
        <v>1348</v>
      </c>
      <c r="N19">
        <v>1009</v>
      </c>
      <c r="O19" t="s">
        <v>345</v>
      </c>
      <c r="P19" t="s">
        <v>345</v>
      </c>
      <c r="Q19">
        <v>1000</v>
      </c>
      <c r="W19">
        <v>0</v>
      </c>
      <c r="X19">
        <v>-761454284</v>
      </c>
      <c r="Y19">
        <f t="shared" si="11"/>
        <v>0</v>
      </c>
      <c r="AA19">
        <v>1930745.04</v>
      </c>
      <c r="AB19">
        <v>0</v>
      </c>
      <c r="AC19">
        <v>0</v>
      </c>
      <c r="AD19">
        <v>0</v>
      </c>
      <c r="AE19">
        <v>64123.05</v>
      </c>
      <c r="AF19">
        <v>0</v>
      </c>
      <c r="AG19">
        <v>0</v>
      </c>
      <c r="AH19">
        <v>0</v>
      </c>
      <c r="AI19">
        <v>30.11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2.0000000000000001E-4</v>
      </c>
      <c r="AU19" t="s">
        <v>24</v>
      </c>
      <c r="AV19">
        <v>0</v>
      </c>
      <c r="AW19">
        <v>2</v>
      </c>
      <c r="AX19">
        <v>55983292</v>
      </c>
      <c r="AY19">
        <v>1</v>
      </c>
      <c r="AZ19">
        <v>0</v>
      </c>
      <c r="BA19">
        <v>20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ROUND(Y19*Source!I29,9)</f>
        <v>0</v>
      </c>
      <c r="CY19">
        <f t="shared" si="12"/>
        <v>1930745.04</v>
      </c>
      <c r="CZ19">
        <f t="shared" si="13"/>
        <v>64123.05</v>
      </c>
      <c r="DA19">
        <f t="shared" si="14"/>
        <v>30.11</v>
      </c>
      <c r="DB19">
        <f t="shared" si="15"/>
        <v>0</v>
      </c>
      <c r="DC19">
        <f t="shared" si="16"/>
        <v>0</v>
      </c>
      <c r="DD19" t="s">
        <v>3</v>
      </c>
      <c r="DE19" t="s">
        <v>3</v>
      </c>
      <c r="DF19">
        <f t="shared" si="17"/>
        <v>0</v>
      </c>
      <c r="DG19">
        <f t="shared" si="1"/>
        <v>0</v>
      </c>
      <c r="DH19">
        <f t="shared" si="2"/>
        <v>0</v>
      </c>
      <c r="DI19">
        <f t="shared" si="3"/>
        <v>0</v>
      </c>
      <c r="DJ19">
        <f t="shared" si="18"/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ROW(Source!A29)</f>
        <v>29</v>
      </c>
      <c r="B20">
        <v>55917799</v>
      </c>
      <c r="C20">
        <v>55983273</v>
      </c>
      <c r="D20">
        <v>55466338</v>
      </c>
      <c r="E20">
        <v>1</v>
      </c>
      <c r="F20">
        <v>1</v>
      </c>
      <c r="G20">
        <v>1081</v>
      </c>
      <c r="H20">
        <v>3</v>
      </c>
      <c r="I20" t="s">
        <v>364</v>
      </c>
      <c r="J20" t="s">
        <v>365</v>
      </c>
      <c r="K20" t="s">
        <v>366</v>
      </c>
      <c r="L20">
        <v>1349</v>
      </c>
      <c r="N20">
        <v>1009</v>
      </c>
      <c r="O20" t="s">
        <v>367</v>
      </c>
      <c r="P20" t="s">
        <v>367</v>
      </c>
      <c r="Q20">
        <v>1E-3</v>
      </c>
      <c r="W20">
        <v>0</v>
      </c>
      <c r="X20">
        <v>-667754050</v>
      </c>
      <c r="Y20">
        <f t="shared" si="11"/>
        <v>0</v>
      </c>
      <c r="AA20">
        <v>0.44</v>
      </c>
      <c r="AB20">
        <v>0</v>
      </c>
      <c r="AC20">
        <v>0</v>
      </c>
      <c r="AD20">
        <v>0</v>
      </c>
      <c r="AE20">
        <v>7.0000000000000007E-2</v>
      </c>
      <c r="AF20">
        <v>0</v>
      </c>
      <c r="AG20">
        <v>0</v>
      </c>
      <c r="AH20">
        <v>0</v>
      </c>
      <c r="AI20">
        <v>6.29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100</v>
      </c>
      <c r="AU20" t="s">
        <v>24</v>
      </c>
      <c r="AV20">
        <v>0</v>
      </c>
      <c r="AW20">
        <v>2</v>
      </c>
      <c r="AX20">
        <v>55983293</v>
      </c>
      <c r="AY20">
        <v>1</v>
      </c>
      <c r="AZ20">
        <v>0</v>
      </c>
      <c r="BA20">
        <v>21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ROUND(Y20*Source!I29,9)</f>
        <v>0</v>
      </c>
      <c r="CY20">
        <f t="shared" si="12"/>
        <v>0.44</v>
      </c>
      <c r="CZ20">
        <f t="shared" si="13"/>
        <v>7.0000000000000007E-2</v>
      </c>
      <c r="DA20">
        <f t="shared" si="14"/>
        <v>6.29</v>
      </c>
      <c r="DB20">
        <f t="shared" si="15"/>
        <v>0</v>
      </c>
      <c r="DC20">
        <f t="shared" si="16"/>
        <v>0</v>
      </c>
      <c r="DD20" t="s">
        <v>3</v>
      </c>
      <c r="DE20" t="s">
        <v>3</v>
      </c>
      <c r="DF20">
        <f t="shared" si="17"/>
        <v>0</v>
      </c>
      <c r="DG20">
        <f t="shared" si="1"/>
        <v>0</v>
      </c>
      <c r="DH20">
        <f t="shared" si="2"/>
        <v>0</v>
      </c>
      <c r="DI20">
        <f t="shared" si="3"/>
        <v>0</v>
      </c>
      <c r="DJ20">
        <f t="shared" si="18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ROW(Source!A29)</f>
        <v>29</v>
      </c>
      <c r="B21">
        <v>55917799</v>
      </c>
      <c r="C21">
        <v>55983273</v>
      </c>
      <c r="D21">
        <v>55482233</v>
      </c>
      <c r="E21">
        <v>1</v>
      </c>
      <c r="F21">
        <v>1</v>
      </c>
      <c r="G21">
        <v>1081</v>
      </c>
      <c r="H21">
        <v>3</v>
      </c>
      <c r="I21" t="s">
        <v>368</v>
      </c>
      <c r="J21" t="s">
        <v>369</v>
      </c>
      <c r="K21" t="s">
        <v>370</v>
      </c>
      <c r="L21">
        <v>1346</v>
      </c>
      <c r="N21">
        <v>1009</v>
      </c>
      <c r="O21" t="s">
        <v>316</v>
      </c>
      <c r="P21" t="s">
        <v>316</v>
      </c>
      <c r="Q21">
        <v>1</v>
      </c>
      <c r="W21">
        <v>0</v>
      </c>
      <c r="X21">
        <v>1566362712</v>
      </c>
      <c r="Y21">
        <f t="shared" si="11"/>
        <v>0</v>
      </c>
      <c r="AA21">
        <v>3047.23</v>
      </c>
      <c r="AB21">
        <v>0</v>
      </c>
      <c r="AC21">
        <v>0</v>
      </c>
      <c r="AD21">
        <v>0</v>
      </c>
      <c r="AE21">
        <v>493.08</v>
      </c>
      <c r="AF21">
        <v>0</v>
      </c>
      <c r="AG21">
        <v>0</v>
      </c>
      <c r="AH21">
        <v>0</v>
      </c>
      <c r="AI21">
        <v>6.18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0.04</v>
      </c>
      <c r="AU21" t="s">
        <v>24</v>
      </c>
      <c r="AV21">
        <v>0</v>
      </c>
      <c r="AW21">
        <v>2</v>
      </c>
      <c r="AX21">
        <v>55983294</v>
      </c>
      <c r="AY21">
        <v>1</v>
      </c>
      <c r="AZ21">
        <v>0</v>
      </c>
      <c r="BA21">
        <v>22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ROUND(Y21*Source!I29,9)</f>
        <v>0</v>
      </c>
      <c r="CY21">
        <f t="shared" si="12"/>
        <v>3047.23</v>
      </c>
      <c r="CZ21">
        <f t="shared" si="13"/>
        <v>493.08</v>
      </c>
      <c r="DA21">
        <f t="shared" si="14"/>
        <v>6.18</v>
      </c>
      <c r="DB21">
        <f t="shared" si="15"/>
        <v>0</v>
      </c>
      <c r="DC21">
        <f t="shared" si="16"/>
        <v>0</v>
      </c>
      <c r="DD21" t="s">
        <v>3</v>
      </c>
      <c r="DE21" t="s">
        <v>3</v>
      </c>
      <c r="DF21">
        <f t="shared" si="17"/>
        <v>0</v>
      </c>
      <c r="DG21">
        <f t="shared" si="1"/>
        <v>0</v>
      </c>
      <c r="DH21">
        <f t="shared" si="2"/>
        <v>0</v>
      </c>
      <c r="DI21">
        <f t="shared" si="3"/>
        <v>0</v>
      </c>
      <c r="DJ21">
        <f t="shared" si="18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ROW(Source!A29)</f>
        <v>29</v>
      </c>
      <c r="B22">
        <v>55917799</v>
      </c>
      <c r="C22">
        <v>55983273</v>
      </c>
      <c r="D22">
        <v>55424290</v>
      </c>
      <c r="E22">
        <v>1081</v>
      </c>
      <c r="F22">
        <v>1</v>
      </c>
      <c r="G22">
        <v>1081</v>
      </c>
      <c r="H22">
        <v>3</v>
      </c>
      <c r="I22" t="s">
        <v>371</v>
      </c>
      <c r="J22" t="s">
        <v>3</v>
      </c>
      <c r="K22" t="s">
        <v>372</v>
      </c>
      <c r="L22">
        <v>1348</v>
      </c>
      <c r="N22">
        <v>1009</v>
      </c>
      <c r="O22" t="s">
        <v>345</v>
      </c>
      <c r="P22" t="s">
        <v>345</v>
      </c>
      <c r="Q22">
        <v>1000</v>
      </c>
      <c r="W22">
        <v>0</v>
      </c>
      <c r="X22">
        <v>-783086922</v>
      </c>
      <c r="Y22">
        <f t="shared" si="11"/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9.84</v>
      </c>
      <c r="AJ22">
        <v>1</v>
      </c>
      <c r="AK22">
        <v>1</v>
      </c>
      <c r="AL22">
        <v>1</v>
      </c>
      <c r="AM22">
        <v>5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1.2E-2</v>
      </c>
      <c r="AU22" t="s">
        <v>24</v>
      </c>
      <c r="AV22">
        <v>0</v>
      </c>
      <c r="AW22">
        <v>2</v>
      </c>
      <c r="AX22">
        <v>55983296</v>
      </c>
      <c r="AY22">
        <v>1</v>
      </c>
      <c r="AZ22">
        <v>0</v>
      </c>
      <c r="BA22">
        <v>24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ROUND(Y22*Source!I29,9)</f>
        <v>0</v>
      </c>
      <c r="CY22">
        <f t="shared" si="12"/>
        <v>0</v>
      </c>
      <c r="CZ22">
        <f t="shared" si="13"/>
        <v>0</v>
      </c>
      <c r="DA22">
        <f t="shared" si="14"/>
        <v>9.84</v>
      </c>
      <c r="DB22">
        <f t="shared" si="15"/>
        <v>0</v>
      </c>
      <c r="DC22">
        <f t="shared" si="16"/>
        <v>0</v>
      </c>
      <c r="DD22" t="s">
        <v>3</v>
      </c>
      <c r="DE22" t="s">
        <v>3</v>
      </c>
      <c r="DF22">
        <f t="shared" si="17"/>
        <v>0</v>
      </c>
      <c r="DG22">
        <f t="shared" si="1"/>
        <v>0</v>
      </c>
      <c r="DH22">
        <f t="shared" si="2"/>
        <v>0</v>
      </c>
      <c r="DI22">
        <f t="shared" si="3"/>
        <v>0</v>
      </c>
      <c r="DJ22">
        <f t="shared" si="18"/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ROW(Source!A30)</f>
        <v>30</v>
      </c>
      <c r="B23">
        <v>55917797</v>
      </c>
      <c r="C23">
        <v>55983297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339</v>
      </c>
      <c r="J23" t="s">
        <v>3</v>
      </c>
      <c r="K23" t="s">
        <v>340</v>
      </c>
      <c r="L23">
        <v>1191</v>
      </c>
      <c r="N23">
        <v>1013</v>
      </c>
      <c r="O23" t="s">
        <v>341</v>
      </c>
      <c r="P23" t="s">
        <v>341</v>
      </c>
      <c r="Q23">
        <v>1</v>
      </c>
      <c r="W23">
        <v>0</v>
      </c>
      <c r="X23">
        <v>476480486</v>
      </c>
      <c r="Y23">
        <f>((AT23*1.2)*0.3)</f>
        <v>0.75600000000000001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2.1</v>
      </c>
      <c r="AU23" t="s">
        <v>25</v>
      </c>
      <c r="AV23">
        <v>1</v>
      </c>
      <c r="AW23">
        <v>2</v>
      </c>
      <c r="AX23">
        <v>55983300</v>
      </c>
      <c r="AY23">
        <v>1</v>
      </c>
      <c r="AZ23">
        <v>0</v>
      </c>
      <c r="BA23">
        <v>25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ROUND(AT23*Source!I30*AH23*AL23,2)</f>
        <v>0</v>
      </c>
      <c r="CV23">
        <f>ROUND(Y23*Source!I30,9)</f>
        <v>0.75600000000000001</v>
      </c>
      <c r="CW23">
        <v>0</v>
      </c>
      <c r="CX23">
        <f>ROUND(Y23*Source!I30,9)</f>
        <v>0.75600000000000001</v>
      </c>
      <c r="CY23">
        <f>AD23</f>
        <v>0</v>
      </c>
      <c r="CZ23">
        <f>AH23</f>
        <v>0</v>
      </c>
      <c r="DA23">
        <f>AL23</f>
        <v>1</v>
      </c>
      <c r="DB23">
        <f>ROUND(((ROUND(AT23*CZ23,2)*1.2)*0.3),6)</f>
        <v>0</v>
      </c>
      <c r="DC23">
        <f>ROUND(((ROUND(AT23*AG23,2)*1.2)*0.3),6)</f>
        <v>0</v>
      </c>
      <c r="DD23" t="s">
        <v>3</v>
      </c>
      <c r="DE23" t="s">
        <v>3</v>
      </c>
      <c r="DF23">
        <f t="shared" ref="DF23:DF29" si="19">ROUND(ROUND(AE23,2)*CX23,2)</f>
        <v>0</v>
      </c>
      <c r="DG23">
        <f t="shared" si="1"/>
        <v>0</v>
      </c>
      <c r="DH23">
        <f t="shared" si="2"/>
        <v>0</v>
      </c>
      <c r="DI23">
        <f t="shared" si="3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ROW(Source!A30)</f>
        <v>30</v>
      </c>
      <c r="B24">
        <v>55917797</v>
      </c>
      <c r="C24">
        <v>55983297</v>
      </c>
      <c r="D24">
        <v>55489513</v>
      </c>
      <c r="E24">
        <v>1</v>
      </c>
      <c r="F24">
        <v>1</v>
      </c>
      <c r="G24">
        <v>1081</v>
      </c>
      <c r="H24">
        <v>2</v>
      </c>
      <c r="I24" t="s">
        <v>373</v>
      </c>
      <c r="J24" t="s">
        <v>374</v>
      </c>
      <c r="K24" t="s">
        <v>375</v>
      </c>
      <c r="L24">
        <v>1368</v>
      </c>
      <c r="N24">
        <v>1011</v>
      </c>
      <c r="O24" t="s">
        <v>376</v>
      </c>
      <c r="P24" t="s">
        <v>376</v>
      </c>
      <c r="Q24">
        <v>1</v>
      </c>
      <c r="W24">
        <v>0</v>
      </c>
      <c r="X24">
        <v>-1520980008</v>
      </c>
      <c r="Y24">
        <f>((AT24*1.2)*0.3)</f>
        <v>2.8799999999999999E-2</v>
      </c>
      <c r="AA24">
        <v>0</v>
      </c>
      <c r="AB24">
        <v>120.23</v>
      </c>
      <c r="AC24">
        <v>13.21</v>
      </c>
      <c r="AD24">
        <v>0</v>
      </c>
      <c r="AE24">
        <v>0</v>
      </c>
      <c r="AF24">
        <v>114.83</v>
      </c>
      <c r="AG24">
        <v>12.62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0.08</v>
      </c>
      <c r="AU24" t="s">
        <v>25</v>
      </c>
      <c r="AV24">
        <v>0</v>
      </c>
      <c r="AW24">
        <v>2</v>
      </c>
      <c r="AX24">
        <v>55983301</v>
      </c>
      <c r="AY24">
        <v>1</v>
      </c>
      <c r="AZ24">
        <v>0</v>
      </c>
      <c r="BA24">
        <v>26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ROUND(Y24*Source!I30*DO24,9)</f>
        <v>0.363456</v>
      </c>
      <c r="CX24">
        <f>ROUND(Y24*Source!I30,9)</f>
        <v>2.8799999999999999E-2</v>
      </c>
      <c r="CY24">
        <f>AB24</f>
        <v>120.23</v>
      </c>
      <c r="CZ24">
        <f>AF24</f>
        <v>114.83</v>
      </c>
      <c r="DA24">
        <f>AJ24</f>
        <v>1</v>
      </c>
      <c r="DB24">
        <f>ROUND(((ROUND(AT24*CZ24,2)*1.2)*0.3),6)</f>
        <v>3.3083999999999998</v>
      </c>
      <c r="DC24">
        <f>ROUND(((ROUND(AT24*AG24,2)*1.2)*0.3),6)</f>
        <v>0.36359999999999998</v>
      </c>
      <c r="DD24" t="s">
        <v>3</v>
      </c>
      <c r="DE24" t="s">
        <v>3</v>
      </c>
      <c r="DF24">
        <f t="shared" si="19"/>
        <v>0</v>
      </c>
      <c r="DG24">
        <f t="shared" si="1"/>
        <v>3.31</v>
      </c>
      <c r="DH24">
        <f t="shared" si="2"/>
        <v>0.36</v>
      </c>
      <c r="DI24">
        <f t="shared" si="3"/>
        <v>0</v>
      </c>
      <c r="DJ24">
        <f>DG24</f>
        <v>3.31</v>
      </c>
      <c r="DK24">
        <v>0</v>
      </c>
      <c r="DL24" t="s">
        <v>377</v>
      </c>
      <c r="DM24">
        <v>0</v>
      </c>
      <c r="DN24" t="s">
        <v>341</v>
      </c>
      <c r="DO24">
        <v>12.62</v>
      </c>
    </row>
    <row r="25" spans="1:119" x14ac:dyDescent="0.25">
      <c r="A25">
        <f>ROW(Source!A31)</f>
        <v>31</v>
      </c>
      <c r="B25">
        <v>55917799</v>
      </c>
      <c r="C25">
        <v>55983297</v>
      </c>
      <c r="D25">
        <v>55424304</v>
      </c>
      <c r="E25">
        <v>1081</v>
      </c>
      <c r="F25">
        <v>1</v>
      </c>
      <c r="G25">
        <v>1081</v>
      </c>
      <c r="H25">
        <v>1</v>
      </c>
      <c r="I25" t="s">
        <v>339</v>
      </c>
      <c r="J25" t="s">
        <v>3</v>
      </c>
      <c r="K25" t="s">
        <v>340</v>
      </c>
      <c r="L25">
        <v>1191</v>
      </c>
      <c r="N25">
        <v>1013</v>
      </c>
      <c r="O25" t="s">
        <v>341</v>
      </c>
      <c r="P25" t="s">
        <v>341</v>
      </c>
      <c r="Q25">
        <v>1</v>
      </c>
      <c r="W25">
        <v>0</v>
      </c>
      <c r="X25">
        <v>476480486</v>
      </c>
      <c r="Y25">
        <f>((AT25*1.2)*0.3)</f>
        <v>0.75600000000000001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5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2.1</v>
      </c>
      <c r="AU25" t="s">
        <v>25</v>
      </c>
      <c r="AV25">
        <v>1</v>
      </c>
      <c r="AW25">
        <v>2</v>
      </c>
      <c r="AX25">
        <v>55983300</v>
      </c>
      <c r="AY25">
        <v>1</v>
      </c>
      <c r="AZ25">
        <v>0</v>
      </c>
      <c r="BA25">
        <v>28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ROUND(AT25*Source!I31*AH25*AL25,2)</f>
        <v>0</v>
      </c>
      <c r="CV25">
        <f>ROUND(Y25*Source!I31,9)</f>
        <v>0.75600000000000001</v>
      </c>
      <c r="CW25">
        <v>0</v>
      </c>
      <c r="CX25">
        <f>ROUND(Y25*Source!I31,9)</f>
        <v>0.75600000000000001</v>
      </c>
      <c r="CY25">
        <f>AD25</f>
        <v>0</v>
      </c>
      <c r="CZ25">
        <f>AH25</f>
        <v>0</v>
      </c>
      <c r="DA25">
        <f>AL25</f>
        <v>1</v>
      </c>
      <c r="DB25">
        <f>ROUND(((ROUND(AT25*CZ25,2)*1.2)*0.3),6)</f>
        <v>0</v>
      </c>
      <c r="DC25">
        <f>ROUND(((ROUND(AT25*AG25,2)*1.2)*0.3),6)</f>
        <v>0</v>
      </c>
      <c r="DD25" t="s">
        <v>3</v>
      </c>
      <c r="DE25" t="s">
        <v>3</v>
      </c>
      <c r="DF25">
        <f t="shared" si="19"/>
        <v>0</v>
      </c>
      <c r="DG25">
        <f t="shared" si="1"/>
        <v>0</v>
      </c>
      <c r="DH25">
        <f t="shared" si="2"/>
        <v>0</v>
      </c>
      <c r="DI25">
        <f t="shared" si="3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ROW(Source!A31)</f>
        <v>31</v>
      </c>
      <c r="B26">
        <v>55917799</v>
      </c>
      <c r="C26">
        <v>55983297</v>
      </c>
      <c r="D26">
        <v>55489513</v>
      </c>
      <c r="E26">
        <v>1</v>
      </c>
      <c r="F26">
        <v>1</v>
      </c>
      <c r="G26">
        <v>1081</v>
      </c>
      <c r="H26">
        <v>2</v>
      </c>
      <c r="I26" t="s">
        <v>373</v>
      </c>
      <c r="J26" t="s">
        <v>374</v>
      </c>
      <c r="K26" t="s">
        <v>375</v>
      </c>
      <c r="L26">
        <v>1368</v>
      </c>
      <c r="N26">
        <v>1011</v>
      </c>
      <c r="O26" t="s">
        <v>376</v>
      </c>
      <c r="P26" t="s">
        <v>376</v>
      </c>
      <c r="Q26">
        <v>1</v>
      </c>
      <c r="W26">
        <v>0</v>
      </c>
      <c r="X26">
        <v>-1520980008</v>
      </c>
      <c r="Y26">
        <f>((AT26*1.2)*0.3)</f>
        <v>2.8799999999999999E-2</v>
      </c>
      <c r="AA26">
        <v>0</v>
      </c>
      <c r="AB26">
        <v>1942.87</v>
      </c>
      <c r="AC26">
        <v>744.56</v>
      </c>
      <c r="AD26">
        <v>0</v>
      </c>
      <c r="AE26">
        <v>0</v>
      </c>
      <c r="AF26">
        <v>114.83</v>
      </c>
      <c r="AG26">
        <v>12.62</v>
      </c>
      <c r="AH26">
        <v>0</v>
      </c>
      <c r="AI26">
        <v>1</v>
      </c>
      <c r="AJ26">
        <v>16.16</v>
      </c>
      <c r="AK26">
        <v>56.35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0.08</v>
      </c>
      <c r="AU26" t="s">
        <v>25</v>
      </c>
      <c r="AV26">
        <v>0</v>
      </c>
      <c r="AW26">
        <v>2</v>
      </c>
      <c r="AX26">
        <v>55983301</v>
      </c>
      <c r="AY26">
        <v>1</v>
      </c>
      <c r="AZ26">
        <v>0</v>
      </c>
      <c r="BA26">
        <v>29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ROUND(Y26*Source!I31*DO26,9)</f>
        <v>0.363456</v>
      </c>
      <c r="CX26">
        <f>ROUND(Y26*Source!I31,9)</f>
        <v>2.8799999999999999E-2</v>
      </c>
      <c r="CY26">
        <f>AB26</f>
        <v>1942.87</v>
      </c>
      <c r="CZ26">
        <f>AF26</f>
        <v>114.83</v>
      </c>
      <c r="DA26">
        <f>AJ26</f>
        <v>16.16</v>
      </c>
      <c r="DB26">
        <f>ROUND(((ROUND(AT26*CZ26,2)*1.2)*0.3),6)</f>
        <v>3.3083999999999998</v>
      </c>
      <c r="DC26">
        <f>ROUND(((ROUND(AT26*AG26,2)*1.2)*0.3),6)</f>
        <v>0.36359999999999998</v>
      </c>
      <c r="DD26" t="s">
        <v>3</v>
      </c>
      <c r="DE26" t="s">
        <v>3</v>
      </c>
      <c r="DF26">
        <f t="shared" si="19"/>
        <v>0</v>
      </c>
      <c r="DG26">
        <f>ROUND(ROUND(AF26*AJ26,2)*CX26,2)</f>
        <v>53.44</v>
      </c>
      <c r="DH26">
        <f>ROUND(ROUND(AG26*AK26,2)*CX26,2)</f>
        <v>20.48</v>
      </c>
      <c r="DI26">
        <f t="shared" si="3"/>
        <v>0</v>
      </c>
      <c r="DJ26">
        <f>DG26</f>
        <v>53.44</v>
      </c>
      <c r="DK26">
        <v>0</v>
      </c>
      <c r="DL26" t="s">
        <v>377</v>
      </c>
      <c r="DM26">
        <v>0</v>
      </c>
      <c r="DN26" t="s">
        <v>341</v>
      </c>
      <c r="DO26">
        <v>12.62</v>
      </c>
    </row>
    <row r="27" spans="1:119" x14ac:dyDescent="0.25">
      <c r="A27">
        <f>ROW(Source!A32)</f>
        <v>32</v>
      </c>
      <c r="B27">
        <v>55917797</v>
      </c>
      <c r="C27">
        <v>55983303</v>
      </c>
      <c r="D27">
        <v>55424304</v>
      </c>
      <c r="E27">
        <v>1081</v>
      </c>
      <c r="F27">
        <v>1</v>
      </c>
      <c r="G27">
        <v>1081</v>
      </c>
      <c r="H27">
        <v>1</v>
      </c>
      <c r="I27" t="s">
        <v>339</v>
      </c>
      <c r="J27" t="s">
        <v>3</v>
      </c>
      <c r="K27" t="s">
        <v>340</v>
      </c>
      <c r="L27">
        <v>1191</v>
      </c>
      <c r="N27">
        <v>1013</v>
      </c>
      <c r="O27" t="s">
        <v>341</v>
      </c>
      <c r="P27" t="s">
        <v>341</v>
      </c>
      <c r="Q27">
        <v>1</v>
      </c>
      <c r="W27">
        <v>0</v>
      </c>
      <c r="X27">
        <v>476480486</v>
      </c>
      <c r="Y27">
        <f>((AT27*1.2)*0.3)</f>
        <v>1.9331999999999998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5.37</v>
      </c>
      <c r="AU27" t="s">
        <v>25</v>
      </c>
      <c r="AV27">
        <v>1</v>
      </c>
      <c r="AW27">
        <v>2</v>
      </c>
      <c r="AX27">
        <v>55983306</v>
      </c>
      <c r="AY27">
        <v>1</v>
      </c>
      <c r="AZ27">
        <v>0</v>
      </c>
      <c r="BA27">
        <v>31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ROUND(AT27*Source!I32*AH27*AL27,2)</f>
        <v>0</v>
      </c>
      <c r="CV27">
        <f>ROUND(Y27*Source!I32,9)</f>
        <v>1.9332</v>
      </c>
      <c r="CW27">
        <v>0</v>
      </c>
      <c r="CX27">
        <f>ROUND(Y27*Source!I32,9)</f>
        <v>1.9332</v>
      </c>
      <c r="CY27">
        <f>AD27</f>
        <v>0</v>
      </c>
      <c r="CZ27">
        <f>AH27</f>
        <v>0</v>
      </c>
      <c r="DA27">
        <f>AL27</f>
        <v>1</v>
      </c>
      <c r="DB27">
        <f>ROUND(((ROUND(AT27*CZ27,2)*1.2)*0.3),6)</f>
        <v>0</v>
      </c>
      <c r="DC27">
        <f>ROUND(((ROUND(AT27*AG27,2)*1.2)*0.3),6)</f>
        <v>0</v>
      </c>
      <c r="DD27" t="s">
        <v>3</v>
      </c>
      <c r="DE27" t="s">
        <v>3</v>
      </c>
      <c r="DF27">
        <f t="shared" si="19"/>
        <v>0</v>
      </c>
      <c r="DG27">
        <f t="shared" ref="DG27:DG58" si="20">ROUND(ROUND(AF27,2)*CX27,2)</f>
        <v>0</v>
      </c>
      <c r="DH27">
        <f t="shared" ref="DH27:DH58" si="21">ROUND(ROUND(AG27,2)*CX27,2)</f>
        <v>0</v>
      </c>
      <c r="DI27">
        <f t="shared" si="3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ROW(Source!A32)</f>
        <v>32</v>
      </c>
      <c r="B28">
        <v>55917797</v>
      </c>
      <c r="C28">
        <v>55983303</v>
      </c>
      <c r="D28">
        <v>55459873</v>
      </c>
      <c r="E28">
        <v>1</v>
      </c>
      <c r="F28">
        <v>1</v>
      </c>
      <c r="G28">
        <v>1081</v>
      </c>
      <c r="H28">
        <v>3</v>
      </c>
      <c r="I28" t="s">
        <v>378</v>
      </c>
      <c r="J28" t="s">
        <v>379</v>
      </c>
      <c r="K28" t="s">
        <v>380</v>
      </c>
      <c r="L28">
        <v>1348</v>
      </c>
      <c r="N28">
        <v>1009</v>
      </c>
      <c r="O28" t="s">
        <v>345</v>
      </c>
      <c r="P28" t="s">
        <v>345</v>
      </c>
      <c r="Q28">
        <v>1000</v>
      </c>
      <c r="W28">
        <v>0</v>
      </c>
      <c r="X28">
        <v>-1448251497</v>
      </c>
      <c r="Y28">
        <f>((AT28*1)*0)</f>
        <v>0</v>
      </c>
      <c r="AA28">
        <v>18495.41</v>
      </c>
      <c r="AB28">
        <v>0</v>
      </c>
      <c r="AC28">
        <v>0</v>
      </c>
      <c r="AD28">
        <v>0</v>
      </c>
      <c r="AE28">
        <v>18495.41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2.0000000000000002E-5</v>
      </c>
      <c r="AU28" t="s">
        <v>24</v>
      </c>
      <c r="AV28">
        <v>0</v>
      </c>
      <c r="AW28">
        <v>2</v>
      </c>
      <c r="AX28">
        <v>55983307</v>
      </c>
      <c r="AY28">
        <v>1</v>
      </c>
      <c r="AZ28">
        <v>0</v>
      </c>
      <c r="BA28">
        <v>32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ROUND(Y28*Source!I32,9)</f>
        <v>0</v>
      </c>
      <c r="CY28">
        <f>AA28</f>
        <v>18495.41</v>
      </c>
      <c r="CZ28">
        <f>AE28</f>
        <v>18495.41</v>
      </c>
      <c r="DA28">
        <f>AI28</f>
        <v>1</v>
      </c>
      <c r="DB28">
        <f>ROUND(((ROUND(AT28*CZ28,2)*1)*0),6)</f>
        <v>0</v>
      </c>
      <c r="DC28">
        <f>ROUND(((ROUND(AT28*AG28,2)*1)*0),6)</f>
        <v>0</v>
      </c>
      <c r="DD28" t="s">
        <v>3</v>
      </c>
      <c r="DE28" t="s">
        <v>3</v>
      </c>
      <c r="DF28">
        <f t="shared" si="19"/>
        <v>0</v>
      </c>
      <c r="DG28">
        <f t="shared" si="20"/>
        <v>0</v>
      </c>
      <c r="DH28">
        <f t="shared" si="21"/>
        <v>0</v>
      </c>
      <c r="DI28">
        <f t="shared" si="3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ROW(Source!A33)</f>
        <v>33</v>
      </c>
      <c r="B29">
        <v>55917799</v>
      </c>
      <c r="C29">
        <v>55983303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339</v>
      </c>
      <c r="J29" t="s">
        <v>3</v>
      </c>
      <c r="K29" t="s">
        <v>340</v>
      </c>
      <c r="L29">
        <v>1191</v>
      </c>
      <c r="N29">
        <v>1013</v>
      </c>
      <c r="O29" t="s">
        <v>341</v>
      </c>
      <c r="P29" t="s">
        <v>341</v>
      </c>
      <c r="Q29">
        <v>1</v>
      </c>
      <c r="W29">
        <v>0</v>
      </c>
      <c r="X29">
        <v>476480486</v>
      </c>
      <c r="Y29">
        <f>((AT29*1.2)*0.3)</f>
        <v>1.9331999999999998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5.37</v>
      </c>
      <c r="AU29" t="s">
        <v>25</v>
      </c>
      <c r="AV29">
        <v>1</v>
      </c>
      <c r="AW29">
        <v>2</v>
      </c>
      <c r="AX29">
        <v>55983306</v>
      </c>
      <c r="AY29">
        <v>1</v>
      </c>
      <c r="AZ29">
        <v>0</v>
      </c>
      <c r="BA29">
        <v>33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ROUND(AT29*Source!I33*AH29*AL29,2)</f>
        <v>0</v>
      </c>
      <c r="CV29">
        <f>ROUND(Y29*Source!I33,9)</f>
        <v>1.9332</v>
      </c>
      <c r="CW29">
        <v>0</v>
      </c>
      <c r="CX29">
        <f>ROUND(Y29*Source!I33,9)</f>
        <v>1.9332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 t="shared" si="19"/>
        <v>0</v>
      </c>
      <c r="DG29">
        <f t="shared" si="20"/>
        <v>0</v>
      </c>
      <c r="DH29">
        <f t="shared" si="21"/>
        <v>0</v>
      </c>
      <c r="DI29">
        <f t="shared" si="3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ROW(Source!A33)</f>
        <v>33</v>
      </c>
      <c r="B30">
        <v>55917799</v>
      </c>
      <c r="C30">
        <v>55983303</v>
      </c>
      <c r="D30">
        <v>55459873</v>
      </c>
      <c r="E30">
        <v>1</v>
      </c>
      <c r="F30">
        <v>1</v>
      </c>
      <c r="G30">
        <v>1081</v>
      </c>
      <c r="H30">
        <v>3</v>
      </c>
      <c r="I30" t="s">
        <v>378</v>
      </c>
      <c r="J30" t="s">
        <v>379</v>
      </c>
      <c r="K30" t="s">
        <v>380</v>
      </c>
      <c r="L30">
        <v>1348</v>
      </c>
      <c r="N30">
        <v>1009</v>
      </c>
      <c r="O30" t="s">
        <v>345</v>
      </c>
      <c r="P30" t="s">
        <v>345</v>
      </c>
      <c r="Q30">
        <v>1000</v>
      </c>
      <c r="W30">
        <v>0</v>
      </c>
      <c r="X30">
        <v>-1448251497</v>
      </c>
      <c r="Y30">
        <f>((AT30*1)*0)</f>
        <v>0</v>
      </c>
      <c r="AA30">
        <v>101169.89</v>
      </c>
      <c r="AB30">
        <v>0</v>
      </c>
      <c r="AC30">
        <v>0</v>
      </c>
      <c r="AD30">
        <v>0</v>
      </c>
      <c r="AE30">
        <v>18495.41</v>
      </c>
      <c r="AF30">
        <v>0</v>
      </c>
      <c r="AG30">
        <v>0</v>
      </c>
      <c r="AH30">
        <v>0</v>
      </c>
      <c r="AI30">
        <v>5.47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2.0000000000000002E-5</v>
      </c>
      <c r="AU30" t="s">
        <v>24</v>
      </c>
      <c r="AV30">
        <v>0</v>
      </c>
      <c r="AW30">
        <v>2</v>
      </c>
      <c r="AX30">
        <v>55983307</v>
      </c>
      <c r="AY30">
        <v>1</v>
      </c>
      <c r="AZ30">
        <v>0</v>
      </c>
      <c r="BA30">
        <v>34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ROUND(Y30*Source!I33,9)</f>
        <v>0</v>
      </c>
      <c r="CY30">
        <f>AA30</f>
        <v>101169.89</v>
      </c>
      <c r="CZ30">
        <f>AE30</f>
        <v>18495.41</v>
      </c>
      <c r="DA30">
        <f>AI30</f>
        <v>5.47</v>
      </c>
      <c r="DB30">
        <f>ROUND(((ROUND(AT30*CZ30,2)*1)*0),6)</f>
        <v>0</v>
      </c>
      <c r="DC30">
        <f>ROUND(((ROUND(AT30*AG30,2)*1)*0),6)</f>
        <v>0</v>
      </c>
      <c r="DD30" t="s">
        <v>3</v>
      </c>
      <c r="DE30" t="s">
        <v>3</v>
      </c>
      <c r="DF30">
        <f>ROUND(ROUND(AE30*AI30,2)*CX30,2)</f>
        <v>0</v>
      </c>
      <c r="DG30">
        <f t="shared" si="20"/>
        <v>0</v>
      </c>
      <c r="DH30">
        <f t="shared" si="21"/>
        <v>0</v>
      </c>
      <c r="DI30">
        <f t="shared" si="3"/>
        <v>0</v>
      </c>
      <c r="DJ30">
        <f>DF30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ROW(Source!A34)</f>
        <v>34</v>
      </c>
      <c r="B31">
        <v>55917797</v>
      </c>
      <c r="C31">
        <v>55983308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339</v>
      </c>
      <c r="J31" t="s">
        <v>3</v>
      </c>
      <c r="K31" t="s">
        <v>340</v>
      </c>
      <c r="L31">
        <v>1191</v>
      </c>
      <c r="N31">
        <v>1013</v>
      </c>
      <c r="O31" t="s">
        <v>341</v>
      </c>
      <c r="P31" t="s">
        <v>341</v>
      </c>
      <c r="Q31">
        <v>1</v>
      </c>
      <c r="W31">
        <v>0</v>
      </c>
      <c r="X31">
        <v>476480486</v>
      </c>
      <c r="Y31">
        <f>((AT31*1.2)*0.3)</f>
        <v>1.0799999999999998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3</v>
      </c>
      <c r="AU31" t="s">
        <v>25</v>
      </c>
      <c r="AV31">
        <v>1</v>
      </c>
      <c r="AW31">
        <v>2</v>
      </c>
      <c r="AX31">
        <v>55983324</v>
      </c>
      <c r="AY31">
        <v>1</v>
      </c>
      <c r="AZ31">
        <v>0</v>
      </c>
      <c r="BA31">
        <v>35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ROUND(AT31*Source!I34*AH31*AL31,2)</f>
        <v>0</v>
      </c>
      <c r="CV31">
        <f>ROUND(Y31*Source!I34,9)</f>
        <v>1.08</v>
      </c>
      <c r="CW31">
        <v>0</v>
      </c>
      <c r="CX31">
        <f>ROUND(Y31*Source!I34,9)</f>
        <v>1.08</v>
      </c>
      <c r="CY31">
        <f>AD31</f>
        <v>0</v>
      </c>
      <c r="CZ31">
        <f>AH31</f>
        <v>0</v>
      </c>
      <c r="DA31">
        <f>AL31</f>
        <v>1</v>
      </c>
      <c r="DB31">
        <f>ROUND(((ROUND(AT31*CZ31,2)*1.2)*0.3),6)</f>
        <v>0</v>
      </c>
      <c r="DC31">
        <f>ROUND(((ROUND(AT31*AG31,2)*1.2)*0.3),6)</f>
        <v>0</v>
      </c>
      <c r="DD31" t="s">
        <v>3</v>
      </c>
      <c r="DE31" t="s">
        <v>3</v>
      </c>
      <c r="DF31">
        <f t="shared" ref="DF31:DF46" si="22">ROUND(ROUND(AE31,2)*CX31,2)</f>
        <v>0</v>
      </c>
      <c r="DG31">
        <f t="shared" si="20"/>
        <v>0</v>
      </c>
      <c r="DH31">
        <f t="shared" si="21"/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ROW(Source!A34)</f>
        <v>34</v>
      </c>
      <c r="B32">
        <v>55917797</v>
      </c>
      <c r="C32">
        <v>55983308</v>
      </c>
      <c r="D32">
        <v>55459894</v>
      </c>
      <c r="E32">
        <v>1</v>
      </c>
      <c r="F32">
        <v>1</v>
      </c>
      <c r="G32">
        <v>1081</v>
      </c>
      <c r="H32">
        <v>3</v>
      </c>
      <c r="I32" t="s">
        <v>381</v>
      </c>
      <c r="J32" t="s">
        <v>382</v>
      </c>
      <c r="K32" t="s">
        <v>383</v>
      </c>
      <c r="L32">
        <v>1348</v>
      </c>
      <c r="N32">
        <v>1009</v>
      </c>
      <c r="O32" t="s">
        <v>345</v>
      </c>
      <c r="P32" t="s">
        <v>345</v>
      </c>
      <c r="Q32">
        <v>1000</v>
      </c>
      <c r="W32">
        <v>0</v>
      </c>
      <c r="X32">
        <v>1175474266</v>
      </c>
      <c r="Y32">
        <f t="shared" ref="Y32:Y45" si="23">((AT32*1)*0)</f>
        <v>0</v>
      </c>
      <c r="AA32">
        <v>15319.65</v>
      </c>
      <c r="AB32">
        <v>0</v>
      </c>
      <c r="AC32">
        <v>0</v>
      </c>
      <c r="AD32">
        <v>0</v>
      </c>
      <c r="AE32">
        <v>15319.65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1E-3</v>
      </c>
      <c r="AU32" t="s">
        <v>24</v>
      </c>
      <c r="AV32">
        <v>0</v>
      </c>
      <c r="AW32">
        <v>2</v>
      </c>
      <c r="AX32">
        <v>55983325</v>
      </c>
      <c r="AY32">
        <v>1</v>
      </c>
      <c r="AZ32">
        <v>0</v>
      </c>
      <c r="BA32">
        <v>36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ROUND(Y32*Source!I34,9)</f>
        <v>0</v>
      </c>
      <c r="CY32">
        <f t="shared" ref="CY32:CY45" si="24">AA32</f>
        <v>15319.65</v>
      </c>
      <c r="CZ32">
        <f t="shared" ref="CZ32:CZ45" si="25">AE32</f>
        <v>15319.65</v>
      </c>
      <c r="DA32">
        <f t="shared" ref="DA32:DA45" si="26">AI32</f>
        <v>1</v>
      </c>
      <c r="DB32">
        <f t="shared" ref="DB32:DB45" si="27">ROUND(((ROUND(AT32*CZ32,2)*1)*0),6)</f>
        <v>0</v>
      </c>
      <c r="DC32">
        <f t="shared" ref="DC32:DC45" si="28">ROUND(((ROUND(AT32*AG32,2)*1)*0),6)</f>
        <v>0</v>
      </c>
      <c r="DD32" t="s">
        <v>3</v>
      </c>
      <c r="DE32" t="s">
        <v>3</v>
      </c>
      <c r="DF32">
        <f t="shared" si="22"/>
        <v>0</v>
      </c>
      <c r="DG32">
        <f t="shared" si="20"/>
        <v>0</v>
      </c>
      <c r="DH32">
        <f t="shared" si="21"/>
        <v>0</v>
      </c>
      <c r="DI32">
        <f t="shared" si="3"/>
        <v>0</v>
      </c>
      <c r="DJ32">
        <f t="shared" ref="DJ32:DJ45" si="29"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ROW(Source!A34)</f>
        <v>34</v>
      </c>
      <c r="B33">
        <v>55917797</v>
      </c>
      <c r="C33">
        <v>55983308</v>
      </c>
      <c r="D33">
        <v>55459261</v>
      </c>
      <c r="E33">
        <v>1</v>
      </c>
      <c r="F33">
        <v>1</v>
      </c>
      <c r="G33">
        <v>1081</v>
      </c>
      <c r="H33">
        <v>3</v>
      </c>
      <c r="I33" t="s">
        <v>384</v>
      </c>
      <c r="J33" t="s">
        <v>385</v>
      </c>
      <c r="K33" t="s">
        <v>386</v>
      </c>
      <c r="L33">
        <v>1348</v>
      </c>
      <c r="N33">
        <v>1009</v>
      </c>
      <c r="O33" t="s">
        <v>345</v>
      </c>
      <c r="P33" t="s">
        <v>345</v>
      </c>
      <c r="Q33">
        <v>1000</v>
      </c>
      <c r="W33">
        <v>0</v>
      </c>
      <c r="X33">
        <v>-2092697376</v>
      </c>
      <c r="Y33">
        <f t="shared" si="23"/>
        <v>0</v>
      </c>
      <c r="AA33">
        <v>1219.68</v>
      </c>
      <c r="AB33">
        <v>0</v>
      </c>
      <c r="AC33">
        <v>0</v>
      </c>
      <c r="AD33">
        <v>0</v>
      </c>
      <c r="AE33">
        <v>1219.68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5.0000000000000002E-5</v>
      </c>
      <c r="AU33" t="s">
        <v>24</v>
      </c>
      <c r="AV33">
        <v>0</v>
      </c>
      <c r="AW33">
        <v>2</v>
      </c>
      <c r="AX33">
        <v>55983326</v>
      </c>
      <c r="AY33">
        <v>1</v>
      </c>
      <c r="AZ33">
        <v>0</v>
      </c>
      <c r="BA33">
        <v>37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ROUND(Y33*Source!I34,9)</f>
        <v>0</v>
      </c>
      <c r="CY33">
        <f t="shared" si="24"/>
        <v>1219.68</v>
      </c>
      <c r="CZ33">
        <f t="shared" si="25"/>
        <v>1219.68</v>
      </c>
      <c r="DA33">
        <f t="shared" si="26"/>
        <v>1</v>
      </c>
      <c r="DB33">
        <f t="shared" si="27"/>
        <v>0</v>
      </c>
      <c r="DC33">
        <f t="shared" si="28"/>
        <v>0</v>
      </c>
      <c r="DD33" t="s">
        <v>3</v>
      </c>
      <c r="DE33" t="s">
        <v>3</v>
      </c>
      <c r="DF33">
        <f t="shared" si="22"/>
        <v>0</v>
      </c>
      <c r="DG33">
        <f t="shared" si="20"/>
        <v>0</v>
      </c>
      <c r="DH33">
        <f t="shared" si="21"/>
        <v>0</v>
      </c>
      <c r="DI33">
        <f t="shared" si="3"/>
        <v>0</v>
      </c>
      <c r="DJ33">
        <f t="shared" si="29"/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ROW(Source!A34)</f>
        <v>34</v>
      </c>
      <c r="B34">
        <v>55917797</v>
      </c>
      <c r="C34">
        <v>55983308</v>
      </c>
      <c r="D34">
        <v>55460328</v>
      </c>
      <c r="E34">
        <v>1</v>
      </c>
      <c r="F34">
        <v>1</v>
      </c>
      <c r="G34">
        <v>1081</v>
      </c>
      <c r="H34">
        <v>3</v>
      </c>
      <c r="I34" t="s">
        <v>387</v>
      </c>
      <c r="J34" t="s">
        <v>388</v>
      </c>
      <c r="K34" t="s">
        <v>389</v>
      </c>
      <c r="L34">
        <v>1301</v>
      </c>
      <c r="N34">
        <v>1003</v>
      </c>
      <c r="O34" t="s">
        <v>263</v>
      </c>
      <c r="P34" t="s">
        <v>263</v>
      </c>
      <c r="Q34">
        <v>1</v>
      </c>
      <c r="W34">
        <v>0</v>
      </c>
      <c r="X34">
        <v>-206055494</v>
      </c>
      <c r="Y34">
        <f t="shared" si="23"/>
        <v>0</v>
      </c>
      <c r="AA34">
        <v>0.39</v>
      </c>
      <c r="AB34">
        <v>0</v>
      </c>
      <c r="AC34">
        <v>0</v>
      </c>
      <c r="AD34">
        <v>0</v>
      </c>
      <c r="AE34">
        <v>0.39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5</v>
      </c>
      <c r="AU34" t="s">
        <v>24</v>
      </c>
      <c r="AV34">
        <v>0</v>
      </c>
      <c r="AW34">
        <v>2</v>
      </c>
      <c r="AX34">
        <v>55983327</v>
      </c>
      <c r="AY34">
        <v>1</v>
      </c>
      <c r="AZ34">
        <v>0</v>
      </c>
      <c r="BA34">
        <v>38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ROUND(Y34*Source!I34,9)</f>
        <v>0</v>
      </c>
      <c r="CY34">
        <f t="shared" si="24"/>
        <v>0.39</v>
      </c>
      <c r="CZ34">
        <f t="shared" si="25"/>
        <v>0.39</v>
      </c>
      <c r="DA34">
        <f t="shared" si="26"/>
        <v>1</v>
      </c>
      <c r="DB34">
        <f t="shared" si="27"/>
        <v>0</v>
      </c>
      <c r="DC34">
        <f t="shared" si="28"/>
        <v>0</v>
      </c>
      <c r="DD34" t="s">
        <v>3</v>
      </c>
      <c r="DE34" t="s">
        <v>3</v>
      </c>
      <c r="DF34">
        <f t="shared" si="22"/>
        <v>0</v>
      </c>
      <c r="DG34">
        <f t="shared" si="20"/>
        <v>0</v>
      </c>
      <c r="DH34">
        <f t="shared" si="21"/>
        <v>0</v>
      </c>
      <c r="DI34">
        <f t="shared" si="3"/>
        <v>0</v>
      </c>
      <c r="DJ34">
        <f t="shared" si="29"/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ROW(Source!A34)</f>
        <v>34</v>
      </c>
      <c r="B35">
        <v>55917797</v>
      </c>
      <c r="C35">
        <v>55983308</v>
      </c>
      <c r="D35">
        <v>55459312</v>
      </c>
      <c r="E35">
        <v>1</v>
      </c>
      <c r="F35">
        <v>1</v>
      </c>
      <c r="G35">
        <v>1081</v>
      </c>
      <c r="H35">
        <v>3</v>
      </c>
      <c r="I35" t="s">
        <v>390</v>
      </c>
      <c r="J35" t="s">
        <v>391</v>
      </c>
      <c r="K35" t="s">
        <v>392</v>
      </c>
      <c r="L35">
        <v>1339</v>
      </c>
      <c r="N35">
        <v>1007</v>
      </c>
      <c r="O35" t="s">
        <v>393</v>
      </c>
      <c r="P35" t="s">
        <v>393</v>
      </c>
      <c r="Q35">
        <v>1</v>
      </c>
      <c r="W35">
        <v>0</v>
      </c>
      <c r="X35">
        <v>-366856290</v>
      </c>
      <c r="Y35">
        <f t="shared" si="23"/>
        <v>0</v>
      </c>
      <c r="AA35">
        <v>1176.3</v>
      </c>
      <c r="AB35">
        <v>0</v>
      </c>
      <c r="AC35">
        <v>0</v>
      </c>
      <c r="AD35">
        <v>0</v>
      </c>
      <c r="AE35">
        <v>1176.3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1E-3</v>
      </c>
      <c r="AU35" t="s">
        <v>24</v>
      </c>
      <c r="AV35">
        <v>0</v>
      </c>
      <c r="AW35">
        <v>2</v>
      </c>
      <c r="AX35">
        <v>55983328</v>
      </c>
      <c r="AY35">
        <v>1</v>
      </c>
      <c r="AZ35">
        <v>0</v>
      </c>
      <c r="BA35">
        <v>39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ROUND(Y35*Source!I34,9)</f>
        <v>0</v>
      </c>
      <c r="CY35">
        <f t="shared" si="24"/>
        <v>1176.3</v>
      </c>
      <c r="CZ35">
        <f t="shared" si="25"/>
        <v>1176.3</v>
      </c>
      <c r="DA35">
        <f t="shared" si="26"/>
        <v>1</v>
      </c>
      <c r="DB35">
        <f t="shared" si="27"/>
        <v>0</v>
      </c>
      <c r="DC35">
        <f t="shared" si="28"/>
        <v>0</v>
      </c>
      <c r="DD35" t="s">
        <v>3</v>
      </c>
      <c r="DE35" t="s">
        <v>3</v>
      </c>
      <c r="DF35">
        <f t="shared" si="22"/>
        <v>0</v>
      </c>
      <c r="DG35">
        <f t="shared" si="20"/>
        <v>0</v>
      </c>
      <c r="DH35">
        <f t="shared" si="21"/>
        <v>0</v>
      </c>
      <c r="DI35">
        <f t="shared" si="3"/>
        <v>0</v>
      </c>
      <c r="DJ35">
        <f t="shared" si="29"/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ROW(Source!A34)</f>
        <v>34</v>
      </c>
      <c r="B36">
        <v>55917797</v>
      </c>
      <c r="C36">
        <v>55983308</v>
      </c>
      <c r="D36">
        <v>55461230</v>
      </c>
      <c r="E36">
        <v>1</v>
      </c>
      <c r="F36">
        <v>1</v>
      </c>
      <c r="G36">
        <v>1081</v>
      </c>
      <c r="H36">
        <v>3</v>
      </c>
      <c r="I36" t="s">
        <v>349</v>
      </c>
      <c r="J36" t="s">
        <v>350</v>
      </c>
      <c r="K36" t="s">
        <v>351</v>
      </c>
      <c r="L36">
        <v>1346</v>
      </c>
      <c r="N36">
        <v>1009</v>
      </c>
      <c r="O36" t="s">
        <v>316</v>
      </c>
      <c r="P36" t="s">
        <v>316</v>
      </c>
      <c r="Q36">
        <v>1</v>
      </c>
      <c r="W36">
        <v>0</v>
      </c>
      <c r="X36">
        <v>1561715650</v>
      </c>
      <c r="Y36">
        <f t="shared" si="23"/>
        <v>0</v>
      </c>
      <c r="AA36">
        <v>15.11</v>
      </c>
      <c r="AB36">
        <v>0</v>
      </c>
      <c r="AC36">
        <v>0</v>
      </c>
      <c r="AD36">
        <v>0</v>
      </c>
      <c r="AE36">
        <v>15.11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0.01</v>
      </c>
      <c r="AU36" t="s">
        <v>24</v>
      </c>
      <c r="AV36">
        <v>0</v>
      </c>
      <c r="AW36">
        <v>2</v>
      </c>
      <c r="AX36">
        <v>55983329</v>
      </c>
      <c r="AY36">
        <v>1</v>
      </c>
      <c r="AZ36">
        <v>0</v>
      </c>
      <c r="BA36">
        <v>40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ROUND(Y36*Source!I34,9)</f>
        <v>0</v>
      </c>
      <c r="CY36">
        <f t="shared" si="24"/>
        <v>15.11</v>
      </c>
      <c r="CZ36">
        <f t="shared" si="25"/>
        <v>15.11</v>
      </c>
      <c r="DA36">
        <f t="shared" si="26"/>
        <v>1</v>
      </c>
      <c r="DB36">
        <f t="shared" si="27"/>
        <v>0</v>
      </c>
      <c r="DC36">
        <f t="shared" si="28"/>
        <v>0</v>
      </c>
      <c r="DD36" t="s">
        <v>3</v>
      </c>
      <c r="DE36" t="s">
        <v>3</v>
      </c>
      <c r="DF36">
        <f t="shared" si="22"/>
        <v>0</v>
      </c>
      <c r="DG36">
        <f t="shared" si="20"/>
        <v>0</v>
      </c>
      <c r="DH36">
        <f t="shared" si="21"/>
        <v>0</v>
      </c>
      <c r="DI36">
        <f t="shared" si="3"/>
        <v>0</v>
      </c>
      <c r="DJ36">
        <f t="shared" si="29"/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ROW(Source!A34)</f>
        <v>34</v>
      </c>
      <c r="B37">
        <v>55917797</v>
      </c>
      <c r="C37">
        <v>55983308</v>
      </c>
      <c r="D37">
        <v>55459400</v>
      </c>
      <c r="E37">
        <v>1</v>
      </c>
      <c r="F37">
        <v>1</v>
      </c>
      <c r="G37">
        <v>1081</v>
      </c>
      <c r="H37">
        <v>3</v>
      </c>
      <c r="I37" t="s">
        <v>355</v>
      </c>
      <c r="J37" t="s">
        <v>356</v>
      </c>
      <c r="K37" t="s">
        <v>357</v>
      </c>
      <c r="L37">
        <v>1346</v>
      </c>
      <c r="N37">
        <v>1009</v>
      </c>
      <c r="O37" t="s">
        <v>316</v>
      </c>
      <c r="P37" t="s">
        <v>316</v>
      </c>
      <c r="Q37">
        <v>1</v>
      </c>
      <c r="W37">
        <v>0</v>
      </c>
      <c r="X37">
        <v>-2129869794</v>
      </c>
      <c r="Y37">
        <f t="shared" si="23"/>
        <v>0</v>
      </c>
      <c r="AA37">
        <v>16.690000000000001</v>
      </c>
      <c r="AB37">
        <v>0</v>
      </c>
      <c r="AC37">
        <v>0</v>
      </c>
      <c r="AD37">
        <v>0</v>
      </c>
      <c r="AE37">
        <v>16.690000000000001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0.01</v>
      </c>
      <c r="AU37" t="s">
        <v>24</v>
      </c>
      <c r="AV37">
        <v>0</v>
      </c>
      <c r="AW37">
        <v>2</v>
      </c>
      <c r="AX37">
        <v>55983330</v>
      </c>
      <c r="AY37">
        <v>1</v>
      </c>
      <c r="AZ37">
        <v>0</v>
      </c>
      <c r="BA37">
        <v>41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ROUND(Y37*Source!I34,9)</f>
        <v>0</v>
      </c>
      <c r="CY37">
        <f t="shared" si="24"/>
        <v>16.690000000000001</v>
      </c>
      <c r="CZ37">
        <f t="shared" si="25"/>
        <v>16.690000000000001</v>
      </c>
      <c r="DA37">
        <f t="shared" si="26"/>
        <v>1</v>
      </c>
      <c r="DB37">
        <f t="shared" si="27"/>
        <v>0</v>
      </c>
      <c r="DC37">
        <f t="shared" si="28"/>
        <v>0</v>
      </c>
      <c r="DD37" t="s">
        <v>3</v>
      </c>
      <c r="DE37" t="s">
        <v>3</v>
      </c>
      <c r="DF37">
        <f t="shared" si="22"/>
        <v>0</v>
      </c>
      <c r="DG37">
        <f t="shared" si="20"/>
        <v>0</v>
      </c>
      <c r="DH37">
        <f t="shared" si="21"/>
        <v>0</v>
      </c>
      <c r="DI37">
        <f t="shared" si="3"/>
        <v>0</v>
      </c>
      <c r="DJ37">
        <f t="shared" si="29"/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ROW(Source!A34)</f>
        <v>34</v>
      </c>
      <c r="B38">
        <v>55917797</v>
      </c>
      <c r="C38">
        <v>55983308</v>
      </c>
      <c r="D38">
        <v>55461719</v>
      </c>
      <c r="E38">
        <v>1</v>
      </c>
      <c r="F38">
        <v>1</v>
      </c>
      <c r="G38">
        <v>1081</v>
      </c>
      <c r="H38">
        <v>3</v>
      </c>
      <c r="I38" t="s">
        <v>394</v>
      </c>
      <c r="J38" t="s">
        <v>395</v>
      </c>
      <c r="K38" t="s">
        <v>396</v>
      </c>
      <c r="L38">
        <v>1348</v>
      </c>
      <c r="N38">
        <v>1009</v>
      </c>
      <c r="O38" t="s">
        <v>345</v>
      </c>
      <c r="P38" t="s">
        <v>345</v>
      </c>
      <c r="Q38">
        <v>1000</v>
      </c>
      <c r="W38">
        <v>0</v>
      </c>
      <c r="X38">
        <v>-1265888387</v>
      </c>
      <c r="Y38">
        <f t="shared" si="23"/>
        <v>0</v>
      </c>
      <c r="AA38">
        <v>10643.18</v>
      </c>
      <c r="AB38">
        <v>0</v>
      </c>
      <c r="AC38">
        <v>0</v>
      </c>
      <c r="AD38">
        <v>0</v>
      </c>
      <c r="AE38">
        <v>10643.18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1E-4</v>
      </c>
      <c r="AU38" t="s">
        <v>24</v>
      </c>
      <c r="AV38">
        <v>0</v>
      </c>
      <c r="AW38">
        <v>2</v>
      </c>
      <c r="AX38">
        <v>55983331</v>
      </c>
      <c r="AY38">
        <v>1</v>
      </c>
      <c r="AZ38">
        <v>0</v>
      </c>
      <c r="BA38">
        <v>42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ROUND(Y38*Source!I34,9)</f>
        <v>0</v>
      </c>
      <c r="CY38">
        <f t="shared" si="24"/>
        <v>10643.18</v>
      </c>
      <c r="CZ38">
        <f t="shared" si="25"/>
        <v>10643.18</v>
      </c>
      <c r="DA38">
        <f t="shared" si="26"/>
        <v>1</v>
      </c>
      <c r="DB38">
        <f t="shared" si="27"/>
        <v>0</v>
      </c>
      <c r="DC38">
        <f t="shared" si="28"/>
        <v>0</v>
      </c>
      <c r="DD38" t="s">
        <v>3</v>
      </c>
      <c r="DE38" t="s">
        <v>3</v>
      </c>
      <c r="DF38">
        <f t="shared" si="22"/>
        <v>0</v>
      </c>
      <c r="DG38">
        <f t="shared" si="20"/>
        <v>0</v>
      </c>
      <c r="DH38">
        <f t="shared" si="21"/>
        <v>0</v>
      </c>
      <c r="DI38">
        <f t="shared" si="3"/>
        <v>0</v>
      </c>
      <c r="DJ38">
        <f t="shared" si="29"/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ROW(Source!A34)</f>
        <v>34</v>
      </c>
      <c r="B39">
        <v>55917797</v>
      </c>
      <c r="C39">
        <v>55983308</v>
      </c>
      <c r="D39">
        <v>55466000</v>
      </c>
      <c r="E39">
        <v>1</v>
      </c>
      <c r="F39">
        <v>1</v>
      </c>
      <c r="G39">
        <v>1081</v>
      </c>
      <c r="H39">
        <v>3</v>
      </c>
      <c r="I39" t="s">
        <v>397</v>
      </c>
      <c r="J39" t="s">
        <v>398</v>
      </c>
      <c r="K39" t="s">
        <v>399</v>
      </c>
      <c r="L39">
        <v>1355</v>
      </c>
      <c r="N39">
        <v>1010</v>
      </c>
      <c r="O39" t="s">
        <v>49</v>
      </c>
      <c r="P39" t="s">
        <v>49</v>
      </c>
      <c r="Q39">
        <v>100</v>
      </c>
      <c r="W39">
        <v>0</v>
      </c>
      <c r="X39">
        <v>436393287</v>
      </c>
      <c r="Y39">
        <f t="shared" si="23"/>
        <v>0</v>
      </c>
      <c r="AA39">
        <v>120.19</v>
      </c>
      <c r="AB39">
        <v>0</v>
      </c>
      <c r="AC39">
        <v>0</v>
      </c>
      <c r="AD39">
        <v>0</v>
      </c>
      <c r="AE39">
        <v>120.19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0.01</v>
      </c>
      <c r="AU39" t="s">
        <v>24</v>
      </c>
      <c r="AV39">
        <v>0</v>
      </c>
      <c r="AW39">
        <v>2</v>
      </c>
      <c r="AX39">
        <v>55983332</v>
      </c>
      <c r="AY39">
        <v>1</v>
      </c>
      <c r="AZ39">
        <v>0</v>
      </c>
      <c r="BA39">
        <v>43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ROUND(Y39*Source!I34,9)</f>
        <v>0</v>
      </c>
      <c r="CY39">
        <f t="shared" si="24"/>
        <v>120.19</v>
      </c>
      <c r="CZ39">
        <f t="shared" si="25"/>
        <v>120.19</v>
      </c>
      <c r="DA39">
        <f t="shared" si="26"/>
        <v>1</v>
      </c>
      <c r="DB39">
        <f t="shared" si="27"/>
        <v>0</v>
      </c>
      <c r="DC39">
        <f t="shared" si="28"/>
        <v>0</v>
      </c>
      <c r="DD39" t="s">
        <v>3</v>
      </c>
      <c r="DE39" t="s">
        <v>3</v>
      </c>
      <c r="DF39">
        <f t="shared" si="22"/>
        <v>0</v>
      </c>
      <c r="DG39">
        <f t="shared" si="20"/>
        <v>0</v>
      </c>
      <c r="DH39">
        <f t="shared" si="21"/>
        <v>0</v>
      </c>
      <c r="DI39">
        <f t="shared" si="3"/>
        <v>0</v>
      </c>
      <c r="DJ39">
        <f t="shared" si="29"/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ROW(Source!A34)</f>
        <v>34</v>
      </c>
      <c r="B40">
        <v>55917797</v>
      </c>
      <c r="C40">
        <v>55983308</v>
      </c>
      <c r="D40">
        <v>55459793</v>
      </c>
      <c r="E40">
        <v>1</v>
      </c>
      <c r="F40">
        <v>1</v>
      </c>
      <c r="G40">
        <v>1081</v>
      </c>
      <c r="H40">
        <v>3</v>
      </c>
      <c r="I40" t="s">
        <v>361</v>
      </c>
      <c r="J40" t="s">
        <v>362</v>
      </c>
      <c r="K40" t="s">
        <v>363</v>
      </c>
      <c r="L40">
        <v>1348</v>
      </c>
      <c r="N40">
        <v>1009</v>
      </c>
      <c r="O40" t="s">
        <v>345</v>
      </c>
      <c r="P40" t="s">
        <v>345</v>
      </c>
      <c r="Q40">
        <v>1000</v>
      </c>
      <c r="W40">
        <v>0</v>
      </c>
      <c r="X40">
        <v>-761454284</v>
      </c>
      <c r="Y40">
        <f t="shared" si="23"/>
        <v>0</v>
      </c>
      <c r="AA40">
        <v>64123.05</v>
      </c>
      <c r="AB40">
        <v>0</v>
      </c>
      <c r="AC40">
        <v>0</v>
      </c>
      <c r="AD40">
        <v>0</v>
      </c>
      <c r="AE40">
        <v>64123.05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2.0000000000000002E-5</v>
      </c>
      <c r="AU40" t="s">
        <v>24</v>
      </c>
      <c r="AV40">
        <v>0</v>
      </c>
      <c r="AW40">
        <v>2</v>
      </c>
      <c r="AX40">
        <v>55983333</v>
      </c>
      <c r="AY40">
        <v>1</v>
      </c>
      <c r="AZ40">
        <v>0</v>
      </c>
      <c r="BA40">
        <v>44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ROUND(Y40*Source!I34,9)</f>
        <v>0</v>
      </c>
      <c r="CY40">
        <f t="shared" si="24"/>
        <v>64123.05</v>
      </c>
      <c r="CZ40">
        <f t="shared" si="25"/>
        <v>64123.05</v>
      </c>
      <c r="DA40">
        <f t="shared" si="26"/>
        <v>1</v>
      </c>
      <c r="DB40">
        <f t="shared" si="27"/>
        <v>0</v>
      </c>
      <c r="DC40">
        <f t="shared" si="28"/>
        <v>0</v>
      </c>
      <c r="DD40" t="s">
        <v>3</v>
      </c>
      <c r="DE40" t="s">
        <v>3</v>
      </c>
      <c r="DF40">
        <f t="shared" si="22"/>
        <v>0</v>
      </c>
      <c r="DG40">
        <f t="shared" si="20"/>
        <v>0</v>
      </c>
      <c r="DH40">
        <f t="shared" si="21"/>
        <v>0</v>
      </c>
      <c r="DI40">
        <f t="shared" si="3"/>
        <v>0</v>
      </c>
      <c r="DJ40">
        <f t="shared" si="29"/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ROW(Source!A34)</f>
        <v>34</v>
      </c>
      <c r="B41">
        <v>55917797</v>
      </c>
      <c r="C41">
        <v>55983308</v>
      </c>
      <c r="D41">
        <v>55459810</v>
      </c>
      <c r="E41">
        <v>1</v>
      </c>
      <c r="F41">
        <v>1</v>
      </c>
      <c r="G41">
        <v>1081</v>
      </c>
      <c r="H41">
        <v>3</v>
      </c>
      <c r="I41" t="s">
        <v>400</v>
      </c>
      <c r="J41" t="s">
        <v>401</v>
      </c>
      <c r="K41" t="s">
        <v>402</v>
      </c>
      <c r="L41">
        <v>1348</v>
      </c>
      <c r="N41">
        <v>1009</v>
      </c>
      <c r="O41" t="s">
        <v>345</v>
      </c>
      <c r="P41" t="s">
        <v>345</v>
      </c>
      <c r="Q41">
        <v>1000</v>
      </c>
      <c r="W41">
        <v>0</v>
      </c>
      <c r="X41">
        <v>-98394079</v>
      </c>
      <c r="Y41">
        <f t="shared" si="23"/>
        <v>0</v>
      </c>
      <c r="AA41">
        <v>9238.1299999999992</v>
      </c>
      <c r="AB41">
        <v>0</v>
      </c>
      <c r="AC41">
        <v>0</v>
      </c>
      <c r="AD41">
        <v>0</v>
      </c>
      <c r="AE41">
        <v>9238.1299999999992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1E-4</v>
      </c>
      <c r="AU41" t="s">
        <v>24</v>
      </c>
      <c r="AV41">
        <v>0</v>
      </c>
      <c r="AW41">
        <v>2</v>
      </c>
      <c r="AX41">
        <v>55983334</v>
      </c>
      <c r="AY41">
        <v>1</v>
      </c>
      <c r="AZ41">
        <v>0</v>
      </c>
      <c r="BA41">
        <v>45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ROUND(Y41*Source!I34,9)</f>
        <v>0</v>
      </c>
      <c r="CY41">
        <f t="shared" si="24"/>
        <v>9238.1299999999992</v>
      </c>
      <c r="CZ41">
        <f t="shared" si="25"/>
        <v>9238.1299999999992</v>
      </c>
      <c r="DA41">
        <f t="shared" si="26"/>
        <v>1</v>
      </c>
      <c r="DB41">
        <f t="shared" si="27"/>
        <v>0</v>
      </c>
      <c r="DC41">
        <f t="shared" si="28"/>
        <v>0</v>
      </c>
      <c r="DD41" t="s">
        <v>3</v>
      </c>
      <c r="DE41" t="s">
        <v>3</v>
      </c>
      <c r="DF41">
        <f t="shared" si="22"/>
        <v>0</v>
      </c>
      <c r="DG41">
        <f t="shared" si="20"/>
        <v>0</v>
      </c>
      <c r="DH41">
        <f t="shared" si="21"/>
        <v>0</v>
      </c>
      <c r="DI41">
        <f t="shared" si="3"/>
        <v>0</v>
      </c>
      <c r="DJ41">
        <f t="shared" si="29"/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ROW(Source!A34)</f>
        <v>34</v>
      </c>
      <c r="B42">
        <v>55917797</v>
      </c>
      <c r="C42">
        <v>55983308</v>
      </c>
      <c r="D42">
        <v>55482166</v>
      </c>
      <c r="E42">
        <v>1</v>
      </c>
      <c r="F42">
        <v>1</v>
      </c>
      <c r="G42">
        <v>1081</v>
      </c>
      <c r="H42">
        <v>3</v>
      </c>
      <c r="I42" t="s">
        <v>403</v>
      </c>
      <c r="J42" t="s">
        <v>404</v>
      </c>
      <c r="K42" t="s">
        <v>405</v>
      </c>
      <c r="L42">
        <v>1301</v>
      </c>
      <c r="N42">
        <v>1003</v>
      </c>
      <c r="O42" t="s">
        <v>263</v>
      </c>
      <c r="P42" t="s">
        <v>263</v>
      </c>
      <c r="Q42">
        <v>1</v>
      </c>
      <c r="W42">
        <v>0</v>
      </c>
      <c r="X42">
        <v>876831867</v>
      </c>
      <c r="Y42">
        <f t="shared" si="23"/>
        <v>0</v>
      </c>
      <c r="AA42">
        <v>0.69</v>
      </c>
      <c r="AB42">
        <v>0</v>
      </c>
      <c r="AC42">
        <v>0</v>
      </c>
      <c r="AD42">
        <v>0</v>
      </c>
      <c r="AE42">
        <v>0.69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</v>
      </c>
      <c r="AU42" t="s">
        <v>24</v>
      </c>
      <c r="AV42">
        <v>0</v>
      </c>
      <c r="AW42">
        <v>2</v>
      </c>
      <c r="AX42">
        <v>55983335</v>
      </c>
      <c r="AY42">
        <v>1</v>
      </c>
      <c r="AZ42">
        <v>0</v>
      </c>
      <c r="BA42">
        <v>46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ROUND(Y42*Source!I34,9)</f>
        <v>0</v>
      </c>
      <c r="CY42">
        <f t="shared" si="24"/>
        <v>0.69</v>
      </c>
      <c r="CZ42">
        <f t="shared" si="25"/>
        <v>0.69</v>
      </c>
      <c r="DA42">
        <f t="shared" si="26"/>
        <v>1</v>
      </c>
      <c r="DB42">
        <f t="shared" si="27"/>
        <v>0</v>
      </c>
      <c r="DC42">
        <f t="shared" si="28"/>
        <v>0</v>
      </c>
      <c r="DD42" t="s">
        <v>3</v>
      </c>
      <c r="DE42" t="s">
        <v>3</v>
      </c>
      <c r="DF42">
        <f t="shared" si="22"/>
        <v>0</v>
      </c>
      <c r="DG42">
        <f t="shared" si="20"/>
        <v>0</v>
      </c>
      <c r="DH42">
        <f t="shared" si="21"/>
        <v>0</v>
      </c>
      <c r="DI42">
        <f t="shared" si="3"/>
        <v>0</v>
      </c>
      <c r="DJ42">
        <f t="shared" si="29"/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ROW(Source!A34)</f>
        <v>34</v>
      </c>
      <c r="B43">
        <v>55917797</v>
      </c>
      <c r="C43">
        <v>55983308</v>
      </c>
      <c r="D43">
        <v>55482445</v>
      </c>
      <c r="E43">
        <v>1</v>
      </c>
      <c r="F43">
        <v>1</v>
      </c>
      <c r="G43">
        <v>1081</v>
      </c>
      <c r="H43">
        <v>3</v>
      </c>
      <c r="I43" t="s">
        <v>406</v>
      </c>
      <c r="J43" t="s">
        <v>407</v>
      </c>
      <c r="K43" t="s">
        <v>408</v>
      </c>
      <c r="L43">
        <v>1356</v>
      </c>
      <c r="N43">
        <v>1010</v>
      </c>
      <c r="O43" t="s">
        <v>409</v>
      </c>
      <c r="P43" t="s">
        <v>409</v>
      </c>
      <c r="Q43">
        <v>1000</v>
      </c>
      <c r="W43">
        <v>0</v>
      </c>
      <c r="X43">
        <v>-285397556</v>
      </c>
      <c r="Y43">
        <f t="shared" si="23"/>
        <v>0</v>
      </c>
      <c r="AA43">
        <v>294.89</v>
      </c>
      <c r="AB43">
        <v>0</v>
      </c>
      <c r="AC43">
        <v>0</v>
      </c>
      <c r="AD43">
        <v>0</v>
      </c>
      <c r="AE43">
        <v>294.89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0.01</v>
      </c>
      <c r="AU43" t="s">
        <v>24</v>
      </c>
      <c r="AV43">
        <v>0</v>
      </c>
      <c r="AW43">
        <v>2</v>
      </c>
      <c r="AX43">
        <v>55983336</v>
      </c>
      <c r="AY43">
        <v>1</v>
      </c>
      <c r="AZ43">
        <v>0</v>
      </c>
      <c r="BA43">
        <v>47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ROUND(Y43*Source!I34,9)</f>
        <v>0</v>
      </c>
      <c r="CY43">
        <f t="shared" si="24"/>
        <v>294.89</v>
      </c>
      <c r="CZ43">
        <f t="shared" si="25"/>
        <v>294.89</v>
      </c>
      <c r="DA43">
        <f t="shared" si="26"/>
        <v>1</v>
      </c>
      <c r="DB43">
        <f t="shared" si="27"/>
        <v>0</v>
      </c>
      <c r="DC43">
        <f t="shared" si="28"/>
        <v>0</v>
      </c>
      <c r="DD43" t="s">
        <v>3</v>
      </c>
      <c r="DE43" t="s">
        <v>3</v>
      </c>
      <c r="DF43">
        <f t="shared" si="22"/>
        <v>0</v>
      </c>
      <c r="DG43">
        <f t="shared" si="20"/>
        <v>0</v>
      </c>
      <c r="DH43">
        <f t="shared" si="21"/>
        <v>0</v>
      </c>
      <c r="DI43">
        <f t="shared" si="3"/>
        <v>0</v>
      </c>
      <c r="DJ43">
        <f t="shared" si="29"/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ROW(Source!A34)</f>
        <v>34</v>
      </c>
      <c r="B44">
        <v>55917797</v>
      </c>
      <c r="C44">
        <v>55983308</v>
      </c>
      <c r="D44">
        <v>55481518</v>
      </c>
      <c r="E44">
        <v>1</v>
      </c>
      <c r="F44">
        <v>1</v>
      </c>
      <c r="G44">
        <v>1081</v>
      </c>
      <c r="H44">
        <v>3</v>
      </c>
      <c r="I44" t="s">
        <v>410</v>
      </c>
      <c r="J44" t="s">
        <v>411</v>
      </c>
      <c r="K44" t="s">
        <v>412</v>
      </c>
      <c r="L44">
        <v>1354</v>
      </c>
      <c r="N44">
        <v>1010</v>
      </c>
      <c r="O44" t="s">
        <v>164</v>
      </c>
      <c r="P44" t="s">
        <v>164</v>
      </c>
      <c r="Q44">
        <v>1</v>
      </c>
      <c r="W44">
        <v>0</v>
      </c>
      <c r="X44">
        <v>55982921</v>
      </c>
      <c r="Y44">
        <f t="shared" si="23"/>
        <v>0</v>
      </c>
      <c r="AA44">
        <v>15.67</v>
      </c>
      <c r="AB44">
        <v>0</v>
      </c>
      <c r="AC44">
        <v>0</v>
      </c>
      <c r="AD44">
        <v>0</v>
      </c>
      <c r="AE44">
        <v>15.67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</v>
      </c>
      <c r="AU44" t="s">
        <v>24</v>
      </c>
      <c r="AV44">
        <v>0</v>
      </c>
      <c r="AW44">
        <v>2</v>
      </c>
      <c r="AX44">
        <v>55983337</v>
      </c>
      <c r="AY44">
        <v>1</v>
      </c>
      <c r="AZ44">
        <v>0</v>
      </c>
      <c r="BA44">
        <v>48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ROUND(Y44*Source!I34,9)</f>
        <v>0</v>
      </c>
      <c r="CY44">
        <f t="shared" si="24"/>
        <v>15.67</v>
      </c>
      <c r="CZ44">
        <f t="shared" si="25"/>
        <v>15.67</v>
      </c>
      <c r="DA44">
        <f t="shared" si="26"/>
        <v>1</v>
      </c>
      <c r="DB44">
        <f t="shared" si="27"/>
        <v>0</v>
      </c>
      <c r="DC44">
        <f t="shared" si="28"/>
        <v>0</v>
      </c>
      <c r="DD44" t="s">
        <v>3</v>
      </c>
      <c r="DE44" t="s">
        <v>3</v>
      </c>
      <c r="DF44">
        <f t="shared" si="22"/>
        <v>0</v>
      </c>
      <c r="DG44">
        <f t="shared" si="20"/>
        <v>0</v>
      </c>
      <c r="DH44">
        <f t="shared" si="21"/>
        <v>0</v>
      </c>
      <c r="DI44">
        <f t="shared" si="3"/>
        <v>0</v>
      </c>
      <c r="DJ44">
        <f t="shared" si="29"/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ROW(Source!A34)</f>
        <v>34</v>
      </c>
      <c r="B45">
        <v>55917797</v>
      </c>
      <c r="C45">
        <v>55983308</v>
      </c>
      <c r="D45">
        <v>55424290</v>
      </c>
      <c r="E45">
        <v>1081</v>
      </c>
      <c r="F45">
        <v>1</v>
      </c>
      <c r="G45">
        <v>1081</v>
      </c>
      <c r="H45">
        <v>3</v>
      </c>
      <c r="I45" t="s">
        <v>371</v>
      </c>
      <c r="J45" t="s">
        <v>3</v>
      </c>
      <c r="K45" t="s">
        <v>372</v>
      </c>
      <c r="L45">
        <v>1348</v>
      </c>
      <c r="N45">
        <v>1009</v>
      </c>
      <c r="O45" t="s">
        <v>345</v>
      </c>
      <c r="P45" t="s">
        <v>345</v>
      </c>
      <c r="Q45">
        <v>1000</v>
      </c>
      <c r="W45">
        <v>0</v>
      </c>
      <c r="X45">
        <v>-783086922</v>
      </c>
      <c r="Y45">
        <f t="shared" si="23"/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1E-3</v>
      </c>
      <c r="AU45" t="s">
        <v>24</v>
      </c>
      <c r="AV45">
        <v>0</v>
      </c>
      <c r="AW45">
        <v>2</v>
      </c>
      <c r="AX45">
        <v>55983340</v>
      </c>
      <c r="AY45">
        <v>1</v>
      </c>
      <c r="AZ45">
        <v>0</v>
      </c>
      <c r="BA45">
        <v>51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ROUND(Y45*Source!I34,9)</f>
        <v>0</v>
      </c>
      <c r="CY45">
        <f t="shared" si="24"/>
        <v>0</v>
      </c>
      <c r="CZ45">
        <f t="shared" si="25"/>
        <v>0</v>
      </c>
      <c r="DA45">
        <f t="shared" si="26"/>
        <v>1</v>
      </c>
      <c r="DB45">
        <f t="shared" si="27"/>
        <v>0</v>
      </c>
      <c r="DC45">
        <f t="shared" si="28"/>
        <v>0</v>
      </c>
      <c r="DD45" t="s">
        <v>3</v>
      </c>
      <c r="DE45" t="s">
        <v>3</v>
      </c>
      <c r="DF45">
        <f t="shared" si="22"/>
        <v>0</v>
      </c>
      <c r="DG45">
        <f t="shared" si="20"/>
        <v>0</v>
      </c>
      <c r="DH45">
        <f t="shared" si="21"/>
        <v>0</v>
      </c>
      <c r="DI45">
        <f t="shared" si="3"/>
        <v>0</v>
      </c>
      <c r="DJ45">
        <f t="shared" si="29"/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ROW(Source!A35)</f>
        <v>35</v>
      </c>
      <c r="B46">
        <v>55917799</v>
      </c>
      <c r="C46">
        <v>55983308</v>
      </c>
      <c r="D46">
        <v>55424304</v>
      </c>
      <c r="E46">
        <v>1081</v>
      </c>
      <c r="F46">
        <v>1</v>
      </c>
      <c r="G46">
        <v>1081</v>
      </c>
      <c r="H46">
        <v>1</v>
      </c>
      <c r="I46" t="s">
        <v>339</v>
      </c>
      <c r="J46" t="s">
        <v>3</v>
      </c>
      <c r="K46" t="s">
        <v>340</v>
      </c>
      <c r="L46">
        <v>1191</v>
      </c>
      <c r="N46">
        <v>1013</v>
      </c>
      <c r="O46" t="s">
        <v>341</v>
      </c>
      <c r="P46" t="s">
        <v>341</v>
      </c>
      <c r="Q46">
        <v>1</v>
      </c>
      <c r="W46">
        <v>0</v>
      </c>
      <c r="X46">
        <v>476480486</v>
      </c>
      <c r="Y46">
        <f>((AT46*1.2)*0.3)</f>
        <v>1.0799999999999998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5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3</v>
      </c>
      <c r="AU46" t="s">
        <v>25</v>
      </c>
      <c r="AV46">
        <v>1</v>
      </c>
      <c r="AW46">
        <v>2</v>
      </c>
      <c r="AX46">
        <v>55983324</v>
      </c>
      <c r="AY46">
        <v>1</v>
      </c>
      <c r="AZ46">
        <v>0</v>
      </c>
      <c r="BA46">
        <v>52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U46">
        <f>ROUND(AT46*Source!I35*AH46*AL46,2)</f>
        <v>0</v>
      </c>
      <c r="CV46">
        <f>ROUND(Y46*Source!I35,9)</f>
        <v>1.08</v>
      </c>
      <c r="CW46">
        <v>0</v>
      </c>
      <c r="CX46">
        <f>ROUND(Y46*Source!I35,9)</f>
        <v>1.08</v>
      </c>
      <c r="CY46">
        <f>AD46</f>
        <v>0</v>
      </c>
      <c r="CZ46">
        <f>AH46</f>
        <v>0</v>
      </c>
      <c r="DA46">
        <f>AL46</f>
        <v>1</v>
      </c>
      <c r="DB46">
        <f>ROUND(((ROUND(AT46*CZ46,2)*1.2)*0.3),6)</f>
        <v>0</v>
      </c>
      <c r="DC46">
        <f>ROUND(((ROUND(AT46*AG46,2)*1.2)*0.3),6)</f>
        <v>0</v>
      </c>
      <c r="DD46" t="s">
        <v>3</v>
      </c>
      <c r="DE46" t="s">
        <v>3</v>
      </c>
      <c r="DF46">
        <f t="shared" si="22"/>
        <v>0</v>
      </c>
      <c r="DG46">
        <f t="shared" si="20"/>
        <v>0</v>
      </c>
      <c r="DH46">
        <f t="shared" si="21"/>
        <v>0</v>
      </c>
      <c r="DI46">
        <f t="shared" si="3"/>
        <v>0</v>
      </c>
      <c r="DJ46">
        <f>DI46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ROW(Source!A35)</f>
        <v>35</v>
      </c>
      <c r="B47">
        <v>55917799</v>
      </c>
      <c r="C47">
        <v>55983308</v>
      </c>
      <c r="D47">
        <v>55459894</v>
      </c>
      <c r="E47">
        <v>1</v>
      </c>
      <c r="F47">
        <v>1</v>
      </c>
      <c r="G47">
        <v>1081</v>
      </c>
      <c r="H47">
        <v>3</v>
      </c>
      <c r="I47" t="s">
        <v>381</v>
      </c>
      <c r="J47" t="s">
        <v>382</v>
      </c>
      <c r="K47" t="s">
        <v>383</v>
      </c>
      <c r="L47">
        <v>1348</v>
      </c>
      <c r="N47">
        <v>1009</v>
      </c>
      <c r="O47" t="s">
        <v>345</v>
      </c>
      <c r="P47" t="s">
        <v>345</v>
      </c>
      <c r="Q47">
        <v>1000</v>
      </c>
      <c r="W47">
        <v>0</v>
      </c>
      <c r="X47">
        <v>1175474266</v>
      </c>
      <c r="Y47">
        <f t="shared" ref="Y47:Y60" si="30">((AT47*1)*0)</f>
        <v>0</v>
      </c>
      <c r="AA47">
        <v>75372.679999999993</v>
      </c>
      <c r="AB47">
        <v>0</v>
      </c>
      <c r="AC47">
        <v>0</v>
      </c>
      <c r="AD47">
        <v>0</v>
      </c>
      <c r="AE47">
        <v>15319.65</v>
      </c>
      <c r="AF47">
        <v>0</v>
      </c>
      <c r="AG47">
        <v>0</v>
      </c>
      <c r="AH47">
        <v>0</v>
      </c>
      <c r="AI47">
        <v>4.92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1E-3</v>
      </c>
      <c r="AU47" t="s">
        <v>24</v>
      </c>
      <c r="AV47">
        <v>0</v>
      </c>
      <c r="AW47">
        <v>2</v>
      </c>
      <c r="AX47">
        <v>55983325</v>
      </c>
      <c r="AY47">
        <v>1</v>
      </c>
      <c r="AZ47">
        <v>0</v>
      </c>
      <c r="BA47">
        <v>53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ROUND(Y47*Source!I35,9)</f>
        <v>0</v>
      </c>
      <c r="CY47">
        <f t="shared" ref="CY47:CY60" si="31">AA47</f>
        <v>75372.679999999993</v>
      </c>
      <c r="CZ47">
        <f t="shared" ref="CZ47:CZ60" si="32">AE47</f>
        <v>15319.65</v>
      </c>
      <c r="DA47">
        <f t="shared" ref="DA47:DA60" si="33">AI47</f>
        <v>4.92</v>
      </c>
      <c r="DB47">
        <f t="shared" ref="DB47:DB60" si="34">ROUND(((ROUND(AT47*CZ47,2)*1)*0),6)</f>
        <v>0</v>
      </c>
      <c r="DC47">
        <f t="shared" ref="DC47:DC60" si="35">ROUND(((ROUND(AT47*AG47,2)*1)*0),6)</f>
        <v>0</v>
      </c>
      <c r="DD47" t="s">
        <v>3</v>
      </c>
      <c r="DE47" t="s">
        <v>3</v>
      </c>
      <c r="DF47">
        <f t="shared" ref="DF47:DF60" si="36">ROUND(ROUND(AE47*AI47,2)*CX47,2)</f>
        <v>0</v>
      </c>
      <c r="DG47">
        <f t="shared" si="20"/>
        <v>0</v>
      </c>
      <c r="DH47">
        <f t="shared" si="21"/>
        <v>0</v>
      </c>
      <c r="DI47">
        <f t="shared" si="3"/>
        <v>0</v>
      </c>
      <c r="DJ47">
        <f t="shared" ref="DJ47:DJ60" si="37">DF47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ROW(Source!A35)</f>
        <v>35</v>
      </c>
      <c r="B48">
        <v>55917799</v>
      </c>
      <c r="C48">
        <v>55983308</v>
      </c>
      <c r="D48">
        <v>55459261</v>
      </c>
      <c r="E48">
        <v>1</v>
      </c>
      <c r="F48">
        <v>1</v>
      </c>
      <c r="G48">
        <v>1081</v>
      </c>
      <c r="H48">
        <v>3</v>
      </c>
      <c r="I48" t="s">
        <v>384</v>
      </c>
      <c r="J48" t="s">
        <v>385</v>
      </c>
      <c r="K48" t="s">
        <v>386</v>
      </c>
      <c r="L48">
        <v>1348</v>
      </c>
      <c r="N48">
        <v>1009</v>
      </c>
      <c r="O48" t="s">
        <v>345</v>
      </c>
      <c r="P48" t="s">
        <v>345</v>
      </c>
      <c r="Q48">
        <v>1000</v>
      </c>
      <c r="W48">
        <v>0</v>
      </c>
      <c r="X48">
        <v>-2092697376</v>
      </c>
      <c r="Y48">
        <f t="shared" si="30"/>
        <v>0</v>
      </c>
      <c r="AA48">
        <v>7305.88</v>
      </c>
      <c r="AB48">
        <v>0</v>
      </c>
      <c r="AC48">
        <v>0</v>
      </c>
      <c r="AD48">
        <v>0</v>
      </c>
      <c r="AE48">
        <v>1219.68</v>
      </c>
      <c r="AF48">
        <v>0</v>
      </c>
      <c r="AG48">
        <v>0</v>
      </c>
      <c r="AH48">
        <v>0</v>
      </c>
      <c r="AI48">
        <v>5.99</v>
      </c>
      <c r="AJ48">
        <v>1</v>
      </c>
      <c r="AK48">
        <v>1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5.0000000000000002E-5</v>
      </c>
      <c r="AU48" t="s">
        <v>24</v>
      </c>
      <c r="AV48">
        <v>0</v>
      </c>
      <c r="AW48">
        <v>2</v>
      </c>
      <c r="AX48">
        <v>55983326</v>
      </c>
      <c r="AY48">
        <v>1</v>
      </c>
      <c r="AZ48">
        <v>0</v>
      </c>
      <c r="BA48">
        <v>54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ROUND(Y48*Source!I35,9)</f>
        <v>0</v>
      </c>
      <c r="CY48">
        <f t="shared" si="31"/>
        <v>7305.88</v>
      </c>
      <c r="CZ48">
        <f t="shared" si="32"/>
        <v>1219.68</v>
      </c>
      <c r="DA48">
        <f t="shared" si="33"/>
        <v>5.99</v>
      </c>
      <c r="DB48">
        <f t="shared" si="34"/>
        <v>0</v>
      </c>
      <c r="DC48">
        <f t="shared" si="35"/>
        <v>0</v>
      </c>
      <c r="DD48" t="s">
        <v>3</v>
      </c>
      <c r="DE48" t="s">
        <v>3</v>
      </c>
      <c r="DF48">
        <f t="shared" si="36"/>
        <v>0</v>
      </c>
      <c r="DG48">
        <f t="shared" si="20"/>
        <v>0</v>
      </c>
      <c r="DH48">
        <f t="shared" si="21"/>
        <v>0</v>
      </c>
      <c r="DI48">
        <f t="shared" si="3"/>
        <v>0</v>
      </c>
      <c r="DJ48">
        <f t="shared" si="37"/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ROW(Source!A35)</f>
        <v>35</v>
      </c>
      <c r="B49">
        <v>55917799</v>
      </c>
      <c r="C49">
        <v>55983308</v>
      </c>
      <c r="D49">
        <v>55460328</v>
      </c>
      <c r="E49">
        <v>1</v>
      </c>
      <c r="F49">
        <v>1</v>
      </c>
      <c r="G49">
        <v>1081</v>
      </c>
      <c r="H49">
        <v>3</v>
      </c>
      <c r="I49" t="s">
        <v>387</v>
      </c>
      <c r="J49" t="s">
        <v>388</v>
      </c>
      <c r="K49" t="s">
        <v>389</v>
      </c>
      <c r="L49">
        <v>1301</v>
      </c>
      <c r="N49">
        <v>1003</v>
      </c>
      <c r="O49" t="s">
        <v>263</v>
      </c>
      <c r="P49" t="s">
        <v>263</v>
      </c>
      <c r="Q49">
        <v>1</v>
      </c>
      <c r="W49">
        <v>0</v>
      </c>
      <c r="X49">
        <v>-206055494</v>
      </c>
      <c r="Y49">
        <f t="shared" si="30"/>
        <v>0</v>
      </c>
      <c r="AA49">
        <v>5.48</v>
      </c>
      <c r="AB49">
        <v>0</v>
      </c>
      <c r="AC49">
        <v>0</v>
      </c>
      <c r="AD49">
        <v>0</v>
      </c>
      <c r="AE49">
        <v>0.39</v>
      </c>
      <c r="AF49">
        <v>0</v>
      </c>
      <c r="AG49">
        <v>0</v>
      </c>
      <c r="AH49">
        <v>0</v>
      </c>
      <c r="AI49">
        <v>14.05</v>
      </c>
      <c r="AJ49">
        <v>1</v>
      </c>
      <c r="AK49">
        <v>1</v>
      </c>
      <c r="AL49">
        <v>1</v>
      </c>
      <c r="AM49">
        <v>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5</v>
      </c>
      <c r="AU49" t="s">
        <v>24</v>
      </c>
      <c r="AV49">
        <v>0</v>
      </c>
      <c r="AW49">
        <v>2</v>
      </c>
      <c r="AX49">
        <v>55983327</v>
      </c>
      <c r="AY49">
        <v>1</v>
      </c>
      <c r="AZ49">
        <v>0</v>
      </c>
      <c r="BA49">
        <v>55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ROUND(Y49*Source!I35,9)</f>
        <v>0</v>
      </c>
      <c r="CY49">
        <f t="shared" si="31"/>
        <v>5.48</v>
      </c>
      <c r="CZ49">
        <f t="shared" si="32"/>
        <v>0.39</v>
      </c>
      <c r="DA49">
        <f t="shared" si="33"/>
        <v>14.05</v>
      </c>
      <c r="DB49">
        <f t="shared" si="34"/>
        <v>0</v>
      </c>
      <c r="DC49">
        <f t="shared" si="35"/>
        <v>0</v>
      </c>
      <c r="DD49" t="s">
        <v>3</v>
      </c>
      <c r="DE49" t="s">
        <v>3</v>
      </c>
      <c r="DF49">
        <f t="shared" si="36"/>
        <v>0</v>
      </c>
      <c r="DG49">
        <f t="shared" si="20"/>
        <v>0</v>
      </c>
      <c r="DH49">
        <f t="shared" si="21"/>
        <v>0</v>
      </c>
      <c r="DI49">
        <f t="shared" si="3"/>
        <v>0</v>
      </c>
      <c r="DJ49">
        <f t="shared" si="37"/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ROW(Source!A35)</f>
        <v>35</v>
      </c>
      <c r="B50">
        <v>55917799</v>
      </c>
      <c r="C50">
        <v>55983308</v>
      </c>
      <c r="D50">
        <v>55459312</v>
      </c>
      <c r="E50">
        <v>1</v>
      </c>
      <c r="F50">
        <v>1</v>
      </c>
      <c r="G50">
        <v>1081</v>
      </c>
      <c r="H50">
        <v>3</v>
      </c>
      <c r="I50" t="s">
        <v>390</v>
      </c>
      <c r="J50" t="s">
        <v>391</v>
      </c>
      <c r="K50" t="s">
        <v>392</v>
      </c>
      <c r="L50">
        <v>1339</v>
      </c>
      <c r="N50">
        <v>1007</v>
      </c>
      <c r="O50" t="s">
        <v>393</v>
      </c>
      <c r="P50" t="s">
        <v>393</v>
      </c>
      <c r="Q50">
        <v>1</v>
      </c>
      <c r="W50">
        <v>0</v>
      </c>
      <c r="X50">
        <v>-366856290</v>
      </c>
      <c r="Y50">
        <f t="shared" si="30"/>
        <v>0</v>
      </c>
      <c r="AA50">
        <v>8598.75</v>
      </c>
      <c r="AB50">
        <v>0</v>
      </c>
      <c r="AC50">
        <v>0</v>
      </c>
      <c r="AD50">
        <v>0</v>
      </c>
      <c r="AE50">
        <v>1176.3</v>
      </c>
      <c r="AF50">
        <v>0</v>
      </c>
      <c r="AG50">
        <v>0</v>
      </c>
      <c r="AH50">
        <v>0</v>
      </c>
      <c r="AI50">
        <v>7.31</v>
      </c>
      <c r="AJ50">
        <v>1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1E-3</v>
      </c>
      <c r="AU50" t="s">
        <v>24</v>
      </c>
      <c r="AV50">
        <v>0</v>
      </c>
      <c r="AW50">
        <v>2</v>
      </c>
      <c r="AX50">
        <v>55983328</v>
      </c>
      <c r="AY50">
        <v>1</v>
      </c>
      <c r="AZ50">
        <v>0</v>
      </c>
      <c r="BA50">
        <v>56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ROUND(Y50*Source!I35,9)</f>
        <v>0</v>
      </c>
      <c r="CY50">
        <f t="shared" si="31"/>
        <v>8598.75</v>
      </c>
      <c r="CZ50">
        <f t="shared" si="32"/>
        <v>1176.3</v>
      </c>
      <c r="DA50">
        <f t="shared" si="33"/>
        <v>7.31</v>
      </c>
      <c r="DB50">
        <f t="shared" si="34"/>
        <v>0</v>
      </c>
      <c r="DC50">
        <f t="shared" si="35"/>
        <v>0</v>
      </c>
      <c r="DD50" t="s">
        <v>3</v>
      </c>
      <c r="DE50" t="s">
        <v>3</v>
      </c>
      <c r="DF50">
        <f t="shared" si="36"/>
        <v>0</v>
      </c>
      <c r="DG50">
        <f t="shared" si="20"/>
        <v>0</v>
      </c>
      <c r="DH50">
        <f t="shared" si="21"/>
        <v>0</v>
      </c>
      <c r="DI50">
        <f t="shared" si="3"/>
        <v>0</v>
      </c>
      <c r="DJ50">
        <f t="shared" si="37"/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ROW(Source!A35)</f>
        <v>35</v>
      </c>
      <c r="B51">
        <v>55917799</v>
      </c>
      <c r="C51">
        <v>55983308</v>
      </c>
      <c r="D51">
        <v>55461230</v>
      </c>
      <c r="E51">
        <v>1</v>
      </c>
      <c r="F51">
        <v>1</v>
      </c>
      <c r="G51">
        <v>1081</v>
      </c>
      <c r="H51">
        <v>3</v>
      </c>
      <c r="I51" t="s">
        <v>349</v>
      </c>
      <c r="J51" t="s">
        <v>350</v>
      </c>
      <c r="K51" t="s">
        <v>351</v>
      </c>
      <c r="L51">
        <v>1346</v>
      </c>
      <c r="N51">
        <v>1009</v>
      </c>
      <c r="O51" t="s">
        <v>316</v>
      </c>
      <c r="P51" t="s">
        <v>316</v>
      </c>
      <c r="Q51">
        <v>1</v>
      </c>
      <c r="W51">
        <v>0</v>
      </c>
      <c r="X51">
        <v>1561715650</v>
      </c>
      <c r="Y51">
        <f t="shared" si="30"/>
        <v>0</v>
      </c>
      <c r="AA51">
        <v>200.81</v>
      </c>
      <c r="AB51">
        <v>0</v>
      </c>
      <c r="AC51">
        <v>0</v>
      </c>
      <c r="AD51">
        <v>0</v>
      </c>
      <c r="AE51">
        <v>15.11</v>
      </c>
      <c r="AF51">
        <v>0</v>
      </c>
      <c r="AG51">
        <v>0</v>
      </c>
      <c r="AH51">
        <v>0</v>
      </c>
      <c r="AI51">
        <v>13.29</v>
      </c>
      <c r="AJ51">
        <v>1</v>
      </c>
      <c r="AK51">
        <v>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0.01</v>
      </c>
      <c r="AU51" t="s">
        <v>24</v>
      </c>
      <c r="AV51">
        <v>0</v>
      </c>
      <c r="AW51">
        <v>2</v>
      </c>
      <c r="AX51">
        <v>55983329</v>
      </c>
      <c r="AY51">
        <v>1</v>
      </c>
      <c r="AZ51">
        <v>0</v>
      </c>
      <c r="BA51">
        <v>57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ROUND(Y51*Source!I35,9)</f>
        <v>0</v>
      </c>
      <c r="CY51">
        <f t="shared" si="31"/>
        <v>200.81</v>
      </c>
      <c r="CZ51">
        <f t="shared" si="32"/>
        <v>15.11</v>
      </c>
      <c r="DA51">
        <f t="shared" si="33"/>
        <v>13.29</v>
      </c>
      <c r="DB51">
        <f t="shared" si="34"/>
        <v>0</v>
      </c>
      <c r="DC51">
        <f t="shared" si="35"/>
        <v>0</v>
      </c>
      <c r="DD51" t="s">
        <v>3</v>
      </c>
      <c r="DE51" t="s">
        <v>3</v>
      </c>
      <c r="DF51">
        <f t="shared" si="36"/>
        <v>0</v>
      </c>
      <c r="DG51">
        <f t="shared" si="20"/>
        <v>0</v>
      </c>
      <c r="DH51">
        <f t="shared" si="21"/>
        <v>0</v>
      </c>
      <c r="DI51">
        <f t="shared" si="3"/>
        <v>0</v>
      </c>
      <c r="DJ51">
        <f t="shared" si="37"/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ROW(Source!A35)</f>
        <v>35</v>
      </c>
      <c r="B52">
        <v>55917799</v>
      </c>
      <c r="C52">
        <v>55983308</v>
      </c>
      <c r="D52">
        <v>55459400</v>
      </c>
      <c r="E52">
        <v>1</v>
      </c>
      <c r="F52">
        <v>1</v>
      </c>
      <c r="G52">
        <v>1081</v>
      </c>
      <c r="H52">
        <v>3</v>
      </c>
      <c r="I52" t="s">
        <v>355</v>
      </c>
      <c r="J52" t="s">
        <v>356</v>
      </c>
      <c r="K52" t="s">
        <v>357</v>
      </c>
      <c r="L52">
        <v>1346</v>
      </c>
      <c r="N52">
        <v>1009</v>
      </c>
      <c r="O52" t="s">
        <v>316</v>
      </c>
      <c r="P52" t="s">
        <v>316</v>
      </c>
      <c r="Q52">
        <v>1</v>
      </c>
      <c r="W52">
        <v>0</v>
      </c>
      <c r="X52">
        <v>-2129869794</v>
      </c>
      <c r="Y52">
        <f t="shared" si="30"/>
        <v>0</v>
      </c>
      <c r="AA52">
        <v>387.54</v>
      </c>
      <c r="AB52">
        <v>0</v>
      </c>
      <c r="AC52">
        <v>0</v>
      </c>
      <c r="AD52">
        <v>0</v>
      </c>
      <c r="AE52">
        <v>16.690000000000001</v>
      </c>
      <c r="AF52">
        <v>0</v>
      </c>
      <c r="AG52">
        <v>0</v>
      </c>
      <c r="AH52">
        <v>0</v>
      </c>
      <c r="AI52">
        <v>23.22</v>
      </c>
      <c r="AJ52">
        <v>1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0.01</v>
      </c>
      <c r="AU52" t="s">
        <v>24</v>
      </c>
      <c r="AV52">
        <v>0</v>
      </c>
      <c r="AW52">
        <v>2</v>
      </c>
      <c r="AX52">
        <v>55983330</v>
      </c>
      <c r="AY52">
        <v>1</v>
      </c>
      <c r="AZ52">
        <v>0</v>
      </c>
      <c r="BA52">
        <v>58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ROUND(Y52*Source!I35,9)</f>
        <v>0</v>
      </c>
      <c r="CY52">
        <f t="shared" si="31"/>
        <v>387.54</v>
      </c>
      <c r="CZ52">
        <f t="shared" si="32"/>
        <v>16.690000000000001</v>
      </c>
      <c r="DA52">
        <f t="shared" si="33"/>
        <v>23.22</v>
      </c>
      <c r="DB52">
        <f t="shared" si="34"/>
        <v>0</v>
      </c>
      <c r="DC52">
        <f t="shared" si="35"/>
        <v>0</v>
      </c>
      <c r="DD52" t="s">
        <v>3</v>
      </c>
      <c r="DE52" t="s">
        <v>3</v>
      </c>
      <c r="DF52">
        <f t="shared" si="36"/>
        <v>0</v>
      </c>
      <c r="DG52">
        <f t="shared" si="20"/>
        <v>0</v>
      </c>
      <c r="DH52">
        <f t="shared" si="21"/>
        <v>0</v>
      </c>
      <c r="DI52">
        <f t="shared" si="3"/>
        <v>0</v>
      </c>
      <c r="DJ52">
        <f t="shared" si="37"/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ROW(Source!A35)</f>
        <v>35</v>
      </c>
      <c r="B53">
        <v>55917799</v>
      </c>
      <c r="C53">
        <v>55983308</v>
      </c>
      <c r="D53">
        <v>55461719</v>
      </c>
      <c r="E53">
        <v>1</v>
      </c>
      <c r="F53">
        <v>1</v>
      </c>
      <c r="G53">
        <v>1081</v>
      </c>
      <c r="H53">
        <v>3</v>
      </c>
      <c r="I53" t="s">
        <v>394</v>
      </c>
      <c r="J53" t="s">
        <v>395</v>
      </c>
      <c r="K53" t="s">
        <v>396</v>
      </c>
      <c r="L53">
        <v>1348</v>
      </c>
      <c r="N53">
        <v>1009</v>
      </c>
      <c r="O53" t="s">
        <v>345</v>
      </c>
      <c r="P53" t="s">
        <v>345</v>
      </c>
      <c r="Q53">
        <v>1000</v>
      </c>
      <c r="W53">
        <v>0</v>
      </c>
      <c r="X53">
        <v>-1265888387</v>
      </c>
      <c r="Y53">
        <f t="shared" si="30"/>
        <v>0</v>
      </c>
      <c r="AA53">
        <v>147514.47</v>
      </c>
      <c r="AB53">
        <v>0</v>
      </c>
      <c r="AC53">
        <v>0</v>
      </c>
      <c r="AD53">
        <v>0</v>
      </c>
      <c r="AE53">
        <v>10643.18</v>
      </c>
      <c r="AF53">
        <v>0</v>
      </c>
      <c r="AG53">
        <v>0</v>
      </c>
      <c r="AH53">
        <v>0</v>
      </c>
      <c r="AI53">
        <v>13.86</v>
      </c>
      <c r="AJ53">
        <v>1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1E-4</v>
      </c>
      <c r="AU53" t="s">
        <v>24</v>
      </c>
      <c r="AV53">
        <v>0</v>
      </c>
      <c r="AW53">
        <v>2</v>
      </c>
      <c r="AX53">
        <v>55983331</v>
      </c>
      <c r="AY53">
        <v>1</v>
      </c>
      <c r="AZ53">
        <v>0</v>
      </c>
      <c r="BA53">
        <v>59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ROUND(Y53*Source!I35,9)</f>
        <v>0</v>
      </c>
      <c r="CY53">
        <f t="shared" si="31"/>
        <v>147514.47</v>
      </c>
      <c r="CZ53">
        <f t="shared" si="32"/>
        <v>10643.18</v>
      </c>
      <c r="DA53">
        <f t="shared" si="33"/>
        <v>13.86</v>
      </c>
      <c r="DB53">
        <f t="shared" si="34"/>
        <v>0</v>
      </c>
      <c r="DC53">
        <f t="shared" si="35"/>
        <v>0</v>
      </c>
      <c r="DD53" t="s">
        <v>3</v>
      </c>
      <c r="DE53" t="s">
        <v>3</v>
      </c>
      <c r="DF53">
        <f t="shared" si="36"/>
        <v>0</v>
      </c>
      <c r="DG53">
        <f t="shared" si="20"/>
        <v>0</v>
      </c>
      <c r="DH53">
        <f t="shared" si="21"/>
        <v>0</v>
      </c>
      <c r="DI53">
        <f t="shared" si="3"/>
        <v>0</v>
      </c>
      <c r="DJ53">
        <f t="shared" si="37"/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ROW(Source!A35)</f>
        <v>35</v>
      </c>
      <c r="B54">
        <v>55917799</v>
      </c>
      <c r="C54">
        <v>55983308</v>
      </c>
      <c r="D54">
        <v>55466000</v>
      </c>
      <c r="E54">
        <v>1</v>
      </c>
      <c r="F54">
        <v>1</v>
      </c>
      <c r="G54">
        <v>1081</v>
      </c>
      <c r="H54">
        <v>3</v>
      </c>
      <c r="I54" t="s">
        <v>397</v>
      </c>
      <c r="J54" t="s">
        <v>398</v>
      </c>
      <c r="K54" t="s">
        <v>399</v>
      </c>
      <c r="L54">
        <v>1355</v>
      </c>
      <c r="N54">
        <v>1010</v>
      </c>
      <c r="O54" t="s">
        <v>49</v>
      </c>
      <c r="P54" t="s">
        <v>49</v>
      </c>
      <c r="Q54">
        <v>100</v>
      </c>
      <c r="W54">
        <v>0</v>
      </c>
      <c r="X54">
        <v>436393287</v>
      </c>
      <c r="Y54">
        <f t="shared" si="30"/>
        <v>0</v>
      </c>
      <c r="AA54">
        <v>1555.26</v>
      </c>
      <c r="AB54">
        <v>0</v>
      </c>
      <c r="AC54">
        <v>0</v>
      </c>
      <c r="AD54">
        <v>0</v>
      </c>
      <c r="AE54">
        <v>120.19</v>
      </c>
      <c r="AF54">
        <v>0</v>
      </c>
      <c r="AG54">
        <v>0</v>
      </c>
      <c r="AH54">
        <v>0</v>
      </c>
      <c r="AI54">
        <v>12.94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0.01</v>
      </c>
      <c r="AU54" t="s">
        <v>24</v>
      </c>
      <c r="AV54">
        <v>0</v>
      </c>
      <c r="AW54">
        <v>2</v>
      </c>
      <c r="AX54">
        <v>55983332</v>
      </c>
      <c r="AY54">
        <v>1</v>
      </c>
      <c r="AZ54">
        <v>0</v>
      </c>
      <c r="BA54">
        <v>60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ROUND(Y54*Source!I35,9)</f>
        <v>0</v>
      </c>
      <c r="CY54">
        <f t="shared" si="31"/>
        <v>1555.26</v>
      </c>
      <c r="CZ54">
        <f t="shared" si="32"/>
        <v>120.19</v>
      </c>
      <c r="DA54">
        <f t="shared" si="33"/>
        <v>12.94</v>
      </c>
      <c r="DB54">
        <f t="shared" si="34"/>
        <v>0</v>
      </c>
      <c r="DC54">
        <f t="shared" si="35"/>
        <v>0</v>
      </c>
      <c r="DD54" t="s">
        <v>3</v>
      </c>
      <c r="DE54" t="s">
        <v>3</v>
      </c>
      <c r="DF54">
        <f t="shared" si="36"/>
        <v>0</v>
      </c>
      <c r="DG54">
        <f t="shared" si="20"/>
        <v>0</v>
      </c>
      <c r="DH54">
        <f t="shared" si="21"/>
        <v>0</v>
      </c>
      <c r="DI54">
        <f t="shared" si="3"/>
        <v>0</v>
      </c>
      <c r="DJ54">
        <f t="shared" si="37"/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ROW(Source!A35)</f>
        <v>35</v>
      </c>
      <c r="B55">
        <v>55917799</v>
      </c>
      <c r="C55">
        <v>55983308</v>
      </c>
      <c r="D55">
        <v>55459793</v>
      </c>
      <c r="E55">
        <v>1</v>
      </c>
      <c r="F55">
        <v>1</v>
      </c>
      <c r="G55">
        <v>1081</v>
      </c>
      <c r="H55">
        <v>3</v>
      </c>
      <c r="I55" t="s">
        <v>361</v>
      </c>
      <c r="J55" t="s">
        <v>362</v>
      </c>
      <c r="K55" t="s">
        <v>363</v>
      </c>
      <c r="L55">
        <v>1348</v>
      </c>
      <c r="N55">
        <v>1009</v>
      </c>
      <c r="O55" t="s">
        <v>345</v>
      </c>
      <c r="P55" t="s">
        <v>345</v>
      </c>
      <c r="Q55">
        <v>1000</v>
      </c>
      <c r="W55">
        <v>0</v>
      </c>
      <c r="X55">
        <v>-761454284</v>
      </c>
      <c r="Y55">
        <f t="shared" si="30"/>
        <v>0</v>
      </c>
      <c r="AA55">
        <v>1930745.04</v>
      </c>
      <c r="AB55">
        <v>0</v>
      </c>
      <c r="AC55">
        <v>0</v>
      </c>
      <c r="AD55">
        <v>0</v>
      </c>
      <c r="AE55">
        <v>64123.05</v>
      </c>
      <c r="AF55">
        <v>0</v>
      </c>
      <c r="AG55">
        <v>0</v>
      </c>
      <c r="AH55">
        <v>0</v>
      </c>
      <c r="AI55">
        <v>30.11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2.0000000000000002E-5</v>
      </c>
      <c r="AU55" t="s">
        <v>24</v>
      </c>
      <c r="AV55">
        <v>0</v>
      </c>
      <c r="AW55">
        <v>2</v>
      </c>
      <c r="AX55">
        <v>55983333</v>
      </c>
      <c r="AY55">
        <v>1</v>
      </c>
      <c r="AZ55">
        <v>0</v>
      </c>
      <c r="BA55">
        <v>61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ROUND(Y55*Source!I35,9)</f>
        <v>0</v>
      </c>
      <c r="CY55">
        <f t="shared" si="31"/>
        <v>1930745.04</v>
      </c>
      <c r="CZ55">
        <f t="shared" si="32"/>
        <v>64123.05</v>
      </c>
      <c r="DA55">
        <f t="shared" si="33"/>
        <v>30.11</v>
      </c>
      <c r="DB55">
        <f t="shared" si="34"/>
        <v>0</v>
      </c>
      <c r="DC55">
        <f t="shared" si="35"/>
        <v>0</v>
      </c>
      <c r="DD55" t="s">
        <v>3</v>
      </c>
      <c r="DE55" t="s">
        <v>3</v>
      </c>
      <c r="DF55">
        <f t="shared" si="36"/>
        <v>0</v>
      </c>
      <c r="DG55">
        <f t="shared" si="20"/>
        <v>0</v>
      </c>
      <c r="DH55">
        <f t="shared" si="21"/>
        <v>0</v>
      </c>
      <c r="DI55">
        <f t="shared" si="3"/>
        <v>0</v>
      </c>
      <c r="DJ55">
        <f t="shared" si="37"/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ROW(Source!A35)</f>
        <v>35</v>
      </c>
      <c r="B56">
        <v>55917799</v>
      </c>
      <c r="C56">
        <v>55983308</v>
      </c>
      <c r="D56">
        <v>55459810</v>
      </c>
      <c r="E56">
        <v>1</v>
      </c>
      <c r="F56">
        <v>1</v>
      </c>
      <c r="G56">
        <v>1081</v>
      </c>
      <c r="H56">
        <v>3</v>
      </c>
      <c r="I56" t="s">
        <v>400</v>
      </c>
      <c r="J56" t="s">
        <v>401</v>
      </c>
      <c r="K56" t="s">
        <v>402</v>
      </c>
      <c r="L56">
        <v>1348</v>
      </c>
      <c r="N56">
        <v>1009</v>
      </c>
      <c r="O56" t="s">
        <v>345</v>
      </c>
      <c r="P56" t="s">
        <v>345</v>
      </c>
      <c r="Q56">
        <v>1000</v>
      </c>
      <c r="W56">
        <v>0</v>
      </c>
      <c r="X56">
        <v>-98394079</v>
      </c>
      <c r="Y56">
        <f t="shared" si="30"/>
        <v>0</v>
      </c>
      <c r="AA56">
        <v>69285.98</v>
      </c>
      <c r="AB56">
        <v>0</v>
      </c>
      <c r="AC56">
        <v>0</v>
      </c>
      <c r="AD56">
        <v>0</v>
      </c>
      <c r="AE56">
        <v>9238.1299999999992</v>
      </c>
      <c r="AF56">
        <v>0</v>
      </c>
      <c r="AG56">
        <v>0</v>
      </c>
      <c r="AH56">
        <v>0</v>
      </c>
      <c r="AI56">
        <v>7.5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1E-4</v>
      </c>
      <c r="AU56" t="s">
        <v>24</v>
      </c>
      <c r="AV56">
        <v>0</v>
      </c>
      <c r="AW56">
        <v>2</v>
      </c>
      <c r="AX56">
        <v>55983334</v>
      </c>
      <c r="AY56">
        <v>1</v>
      </c>
      <c r="AZ56">
        <v>0</v>
      </c>
      <c r="BA56">
        <v>62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ROUND(Y56*Source!I35,9)</f>
        <v>0</v>
      </c>
      <c r="CY56">
        <f t="shared" si="31"/>
        <v>69285.98</v>
      </c>
      <c r="CZ56">
        <f t="shared" si="32"/>
        <v>9238.1299999999992</v>
      </c>
      <c r="DA56">
        <f t="shared" si="33"/>
        <v>7.5</v>
      </c>
      <c r="DB56">
        <f t="shared" si="34"/>
        <v>0</v>
      </c>
      <c r="DC56">
        <f t="shared" si="35"/>
        <v>0</v>
      </c>
      <c r="DD56" t="s">
        <v>3</v>
      </c>
      <c r="DE56" t="s">
        <v>3</v>
      </c>
      <c r="DF56">
        <f t="shared" si="36"/>
        <v>0</v>
      </c>
      <c r="DG56">
        <f t="shared" si="20"/>
        <v>0</v>
      </c>
      <c r="DH56">
        <f t="shared" si="21"/>
        <v>0</v>
      </c>
      <c r="DI56">
        <f t="shared" si="3"/>
        <v>0</v>
      </c>
      <c r="DJ56">
        <f t="shared" si="37"/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ROW(Source!A35)</f>
        <v>35</v>
      </c>
      <c r="B57">
        <v>55917799</v>
      </c>
      <c r="C57">
        <v>55983308</v>
      </c>
      <c r="D57">
        <v>55482166</v>
      </c>
      <c r="E57">
        <v>1</v>
      </c>
      <c r="F57">
        <v>1</v>
      </c>
      <c r="G57">
        <v>1081</v>
      </c>
      <c r="H57">
        <v>3</v>
      </c>
      <c r="I57" t="s">
        <v>403</v>
      </c>
      <c r="J57" t="s">
        <v>404</v>
      </c>
      <c r="K57" t="s">
        <v>405</v>
      </c>
      <c r="L57">
        <v>1301</v>
      </c>
      <c r="N57">
        <v>1003</v>
      </c>
      <c r="O57" t="s">
        <v>263</v>
      </c>
      <c r="P57" t="s">
        <v>263</v>
      </c>
      <c r="Q57">
        <v>1</v>
      </c>
      <c r="W57">
        <v>0</v>
      </c>
      <c r="X57">
        <v>876831867</v>
      </c>
      <c r="Y57">
        <f t="shared" si="30"/>
        <v>0</v>
      </c>
      <c r="AA57">
        <v>4.76</v>
      </c>
      <c r="AB57">
        <v>0</v>
      </c>
      <c r="AC57">
        <v>0</v>
      </c>
      <c r="AD57">
        <v>0</v>
      </c>
      <c r="AE57">
        <v>0.69</v>
      </c>
      <c r="AF57">
        <v>0</v>
      </c>
      <c r="AG57">
        <v>0</v>
      </c>
      <c r="AH57">
        <v>0</v>
      </c>
      <c r="AI57">
        <v>6.9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</v>
      </c>
      <c r="AU57" t="s">
        <v>24</v>
      </c>
      <c r="AV57">
        <v>0</v>
      </c>
      <c r="AW57">
        <v>2</v>
      </c>
      <c r="AX57">
        <v>55983335</v>
      </c>
      <c r="AY57">
        <v>1</v>
      </c>
      <c r="AZ57">
        <v>0</v>
      </c>
      <c r="BA57">
        <v>63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ROUND(Y57*Source!I35,9)</f>
        <v>0</v>
      </c>
      <c r="CY57">
        <f t="shared" si="31"/>
        <v>4.76</v>
      </c>
      <c r="CZ57">
        <f t="shared" si="32"/>
        <v>0.69</v>
      </c>
      <c r="DA57">
        <f t="shared" si="33"/>
        <v>6.9</v>
      </c>
      <c r="DB57">
        <f t="shared" si="34"/>
        <v>0</v>
      </c>
      <c r="DC57">
        <f t="shared" si="35"/>
        <v>0</v>
      </c>
      <c r="DD57" t="s">
        <v>3</v>
      </c>
      <c r="DE57" t="s">
        <v>3</v>
      </c>
      <c r="DF57">
        <f t="shared" si="36"/>
        <v>0</v>
      </c>
      <c r="DG57">
        <f t="shared" si="20"/>
        <v>0</v>
      </c>
      <c r="DH57">
        <f t="shared" si="21"/>
        <v>0</v>
      </c>
      <c r="DI57">
        <f t="shared" si="3"/>
        <v>0</v>
      </c>
      <c r="DJ57">
        <f t="shared" si="37"/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ROW(Source!A35)</f>
        <v>35</v>
      </c>
      <c r="B58">
        <v>55917799</v>
      </c>
      <c r="C58">
        <v>55983308</v>
      </c>
      <c r="D58">
        <v>55482445</v>
      </c>
      <c r="E58">
        <v>1</v>
      </c>
      <c r="F58">
        <v>1</v>
      </c>
      <c r="G58">
        <v>1081</v>
      </c>
      <c r="H58">
        <v>3</v>
      </c>
      <c r="I58" t="s">
        <v>406</v>
      </c>
      <c r="J58" t="s">
        <v>407</v>
      </c>
      <c r="K58" t="s">
        <v>408</v>
      </c>
      <c r="L58">
        <v>1356</v>
      </c>
      <c r="N58">
        <v>1010</v>
      </c>
      <c r="O58" t="s">
        <v>409</v>
      </c>
      <c r="P58" t="s">
        <v>409</v>
      </c>
      <c r="Q58">
        <v>1000</v>
      </c>
      <c r="W58">
        <v>0</v>
      </c>
      <c r="X58">
        <v>-285397556</v>
      </c>
      <c r="Y58">
        <f t="shared" si="30"/>
        <v>0</v>
      </c>
      <c r="AA58">
        <v>1040.96</v>
      </c>
      <c r="AB58">
        <v>0</v>
      </c>
      <c r="AC58">
        <v>0</v>
      </c>
      <c r="AD58">
        <v>0</v>
      </c>
      <c r="AE58">
        <v>294.89</v>
      </c>
      <c r="AF58">
        <v>0</v>
      </c>
      <c r="AG58">
        <v>0</v>
      </c>
      <c r="AH58">
        <v>0</v>
      </c>
      <c r="AI58">
        <v>3.53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0.01</v>
      </c>
      <c r="AU58" t="s">
        <v>24</v>
      </c>
      <c r="AV58">
        <v>0</v>
      </c>
      <c r="AW58">
        <v>2</v>
      </c>
      <c r="AX58">
        <v>55983336</v>
      </c>
      <c r="AY58">
        <v>1</v>
      </c>
      <c r="AZ58">
        <v>0</v>
      </c>
      <c r="BA58">
        <v>64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ROUND(Y58*Source!I35,9)</f>
        <v>0</v>
      </c>
      <c r="CY58">
        <f t="shared" si="31"/>
        <v>1040.96</v>
      </c>
      <c r="CZ58">
        <f t="shared" si="32"/>
        <v>294.89</v>
      </c>
      <c r="DA58">
        <f t="shared" si="33"/>
        <v>3.53</v>
      </c>
      <c r="DB58">
        <f t="shared" si="34"/>
        <v>0</v>
      </c>
      <c r="DC58">
        <f t="shared" si="35"/>
        <v>0</v>
      </c>
      <c r="DD58" t="s">
        <v>3</v>
      </c>
      <c r="DE58" t="s">
        <v>3</v>
      </c>
      <c r="DF58">
        <f t="shared" si="36"/>
        <v>0</v>
      </c>
      <c r="DG58">
        <f t="shared" si="20"/>
        <v>0</v>
      </c>
      <c r="DH58">
        <f t="shared" si="21"/>
        <v>0</v>
      </c>
      <c r="DI58">
        <f t="shared" si="3"/>
        <v>0</v>
      </c>
      <c r="DJ58">
        <f t="shared" si="37"/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ROW(Source!A35)</f>
        <v>35</v>
      </c>
      <c r="B59">
        <v>55917799</v>
      </c>
      <c r="C59">
        <v>55983308</v>
      </c>
      <c r="D59">
        <v>55481518</v>
      </c>
      <c r="E59">
        <v>1</v>
      </c>
      <c r="F59">
        <v>1</v>
      </c>
      <c r="G59">
        <v>1081</v>
      </c>
      <c r="H59">
        <v>3</v>
      </c>
      <c r="I59" t="s">
        <v>410</v>
      </c>
      <c r="J59" t="s">
        <v>411</v>
      </c>
      <c r="K59" t="s">
        <v>412</v>
      </c>
      <c r="L59">
        <v>1354</v>
      </c>
      <c r="N59">
        <v>1010</v>
      </c>
      <c r="O59" t="s">
        <v>164</v>
      </c>
      <c r="P59" t="s">
        <v>164</v>
      </c>
      <c r="Q59">
        <v>1</v>
      </c>
      <c r="W59">
        <v>0</v>
      </c>
      <c r="X59">
        <v>55982921</v>
      </c>
      <c r="Y59">
        <f t="shared" si="30"/>
        <v>0</v>
      </c>
      <c r="AA59">
        <v>10.66</v>
      </c>
      <c r="AB59">
        <v>0</v>
      </c>
      <c r="AC59">
        <v>0</v>
      </c>
      <c r="AD59">
        <v>0</v>
      </c>
      <c r="AE59">
        <v>15.67</v>
      </c>
      <c r="AF59">
        <v>0</v>
      </c>
      <c r="AG59">
        <v>0</v>
      </c>
      <c r="AH59">
        <v>0</v>
      </c>
      <c r="AI59">
        <v>0.68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</v>
      </c>
      <c r="AU59" t="s">
        <v>24</v>
      </c>
      <c r="AV59">
        <v>0</v>
      </c>
      <c r="AW59">
        <v>2</v>
      </c>
      <c r="AX59">
        <v>55983337</v>
      </c>
      <c r="AY59">
        <v>1</v>
      </c>
      <c r="AZ59">
        <v>0</v>
      </c>
      <c r="BA59">
        <v>65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ROUND(Y59*Source!I35,9)</f>
        <v>0</v>
      </c>
      <c r="CY59">
        <f t="shared" si="31"/>
        <v>10.66</v>
      </c>
      <c r="CZ59">
        <f t="shared" si="32"/>
        <v>15.67</v>
      </c>
      <c r="DA59">
        <f t="shared" si="33"/>
        <v>0.68</v>
      </c>
      <c r="DB59">
        <f t="shared" si="34"/>
        <v>0</v>
      </c>
      <c r="DC59">
        <f t="shared" si="35"/>
        <v>0</v>
      </c>
      <c r="DD59" t="s">
        <v>3</v>
      </c>
      <c r="DE59" t="s">
        <v>3</v>
      </c>
      <c r="DF59">
        <f t="shared" si="36"/>
        <v>0</v>
      </c>
      <c r="DG59">
        <f t="shared" ref="DG59:DG75" si="38">ROUND(ROUND(AF59,2)*CX59,2)</f>
        <v>0</v>
      </c>
      <c r="DH59">
        <f t="shared" ref="DH59:DH75" si="39">ROUND(ROUND(AG59,2)*CX59,2)</f>
        <v>0</v>
      </c>
      <c r="DI59">
        <f t="shared" si="3"/>
        <v>0</v>
      </c>
      <c r="DJ59">
        <f t="shared" si="37"/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ROW(Source!A35)</f>
        <v>35</v>
      </c>
      <c r="B60">
        <v>55917799</v>
      </c>
      <c r="C60">
        <v>55983308</v>
      </c>
      <c r="D60">
        <v>55424290</v>
      </c>
      <c r="E60">
        <v>1081</v>
      </c>
      <c r="F60">
        <v>1</v>
      </c>
      <c r="G60">
        <v>1081</v>
      </c>
      <c r="H60">
        <v>3</v>
      </c>
      <c r="I60" t="s">
        <v>371</v>
      </c>
      <c r="J60" t="s">
        <v>3</v>
      </c>
      <c r="K60" t="s">
        <v>372</v>
      </c>
      <c r="L60">
        <v>1348</v>
      </c>
      <c r="N60">
        <v>1009</v>
      </c>
      <c r="O60" t="s">
        <v>345</v>
      </c>
      <c r="P60" t="s">
        <v>345</v>
      </c>
      <c r="Q60">
        <v>1000</v>
      </c>
      <c r="W60">
        <v>0</v>
      </c>
      <c r="X60">
        <v>-783086922</v>
      </c>
      <c r="Y60">
        <f t="shared" si="30"/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9.84</v>
      </c>
      <c r="AJ60">
        <v>1</v>
      </c>
      <c r="AK60">
        <v>1</v>
      </c>
      <c r="AL60">
        <v>1</v>
      </c>
      <c r="AM60">
        <v>5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1E-3</v>
      </c>
      <c r="AU60" t="s">
        <v>24</v>
      </c>
      <c r="AV60">
        <v>0</v>
      </c>
      <c r="AW60">
        <v>2</v>
      </c>
      <c r="AX60">
        <v>55983340</v>
      </c>
      <c r="AY60">
        <v>1</v>
      </c>
      <c r="AZ60">
        <v>0</v>
      </c>
      <c r="BA60">
        <v>68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ROUND(Y60*Source!I35,9)</f>
        <v>0</v>
      </c>
      <c r="CY60">
        <f t="shared" si="31"/>
        <v>0</v>
      </c>
      <c r="CZ60">
        <f t="shared" si="32"/>
        <v>0</v>
      </c>
      <c r="DA60">
        <f t="shared" si="33"/>
        <v>9.84</v>
      </c>
      <c r="DB60">
        <f t="shared" si="34"/>
        <v>0</v>
      </c>
      <c r="DC60">
        <f t="shared" si="35"/>
        <v>0</v>
      </c>
      <c r="DD60" t="s">
        <v>3</v>
      </c>
      <c r="DE60" t="s">
        <v>3</v>
      </c>
      <c r="DF60">
        <f t="shared" si="36"/>
        <v>0</v>
      </c>
      <c r="DG60">
        <f t="shared" si="38"/>
        <v>0</v>
      </c>
      <c r="DH60">
        <f t="shared" si="39"/>
        <v>0</v>
      </c>
      <c r="DI60">
        <f t="shared" si="3"/>
        <v>0</v>
      </c>
      <c r="DJ60">
        <f t="shared" si="37"/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ROW(Source!A36)</f>
        <v>36</v>
      </c>
      <c r="B61">
        <v>55917797</v>
      </c>
      <c r="C61">
        <v>55983341</v>
      </c>
      <c r="D61">
        <v>55424304</v>
      </c>
      <c r="E61">
        <v>1081</v>
      </c>
      <c r="F61">
        <v>1</v>
      </c>
      <c r="G61">
        <v>1081</v>
      </c>
      <c r="H61">
        <v>1</v>
      </c>
      <c r="I61" t="s">
        <v>339</v>
      </c>
      <c r="J61" t="s">
        <v>3</v>
      </c>
      <c r="K61" t="s">
        <v>340</v>
      </c>
      <c r="L61">
        <v>1191</v>
      </c>
      <c r="N61">
        <v>1013</v>
      </c>
      <c r="O61" t="s">
        <v>341</v>
      </c>
      <c r="P61" t="s">
        <v>341</v>
      </c>
      <c r="Q61">
        <v>1</v>
      </c>
      <c r="W61">
        <v>0</v>
      </c>
      <c r="X61">
        <v>476480486</v>
      </c>
      <c r="Y61">
        <f>((AT61*1.2)*0.3)</f>
        <v>8.6399999999999988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24</v>
      </c>
      <c r="AU61" t="s">
        <v>25</v>
      </c>
      <c r="AV61">
        <v>1</v>
      </c>
      <c r="AW61">
        <v>2</v>
      </c>
      <c r="AX61">
        <v>55983347</v>
      </c>
      <c r="AY61">
        <v>1</v>
      </c>
      <c r="AZ61">
        <v>0</v>
      </c>
      <c r="BA61">
        <v>69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ROUND(AT61*Source!I36*AH61*AL61,2)</f>
        <v>0</v>
      </c>
      <c r="CV61">
        <f>ROUND(Y61*Source!I36,9)</f>
        <v>0.6048</v>
      </c>
      <c r="CW61">
        <v>0</v>
      </c>
      <c r="CX61">
        <f>ROUND(Y61*Source!I36,9)</f>
        <v>0.6048</v>
      </c>
      <c r="CY61">
        <f>AD61</f>
        <v>0</v>
      </c>
      <c r="CZ61">
        <f>AH61</f>
        <v>0</v>
      </c>
      <c r="DA61">
        <f>AL61</f>
        <v>1</v>
      </c>
      <c r="DB61">
        <f>ROUND(((ROUND(AT61*CZ61,2)*1.2)*0.3),6)</f>
        <v>0</v>
      </c>
      <c r="DC61">
        <f>ROUND(((ROUND(AT61*AG61,2)*1.2)*0.3),6)</f>
        <v>0</v>
      </c>
      <c r="DD61" t="s">
        <v>3</v>
      </c>
      <c r="DE61" t="s">
        <v>3</v>
      </c>
      <c r="DF61">
        <f t="shared" ref="DF61:DF66" si="40">ROUND(ROUND(AE61,2)*CX61,2)</f>
        <v>0</v>
      </c>
      <c r="DG61">
        <f t="shared" si="38"/>
        <v>0</v>
      </c>
      <c r="DH61">
        <f t="shared" si="39"/>
        <v>0</v>
      </c>
      <c r="DI61">
        <f t="shared" si="3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ROW(Source!A36)</f>
        <v>36</v>
      </c>
      <c r="B62">
        <v>55917797</v>
      </c>
      <c r="C62">
        <v>55983341</v>
      </c>
      <c r="D62">
        <v>55459907</v>
      </c>
      <c r="E62">
        <v>1</v>
      </c>
      <c r="F62">
        <v>1</v>
      </c>
      <c r="G62">
        <v>1081</v>
      </c>
      <c r="H62">
        <v>3</v>
      </c>
      <c r="I62" t="s">
        <v>413</v>
      </c>
      <c r="J62" t="s">
        <v>414</v>
      </c>
      <c r="K62" t="s">
        <v>415</v>
      </c>
      <c r="L62">
        <v>1348</v>
      </c>
      <c r="N62">
        <v>1009</v>
      </c>
      <c r="O62" t="s">
        <v>345</v>
      </c>
      <c r="P62" t="s">
        <v>345</v>
      </c>
      <c r="Q62">
        <v>1000</v>
      </c>
      <c r="W62">
        <v>0</v>
      </c>
      <c r="X62">
        <v>-921548447</v>
      </c>
      <c r="Y62">
        <f>((AT62*1)*0)</f>
        <v>0</v>
      </c>
      <c r="AA62">
        <v>7246.05</v>
      </c>
      <c r="AB62">
        <v>0</v>
      </c>
      <c r="AC62">
        <v>0</v>
      </c>
      <c r="AD62">
        <v>0</v>
      </c>
      <c r="AE62">
        <v>7246.05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6.0000000000000001E-3</v>
      </c>
      <c r="AU62" t="s">
        <v>24</v>
      </c>
      <c r="AV62">
        <v>0</v>
      </c>
      <c r="AW62">
        <v>2</v>
      </c>
      <c r="AX62">
        <v>55983348</v>
      </c>
      <c r="AY62">
        <v>1</v>
      </c>
      <c r="AZ62">
        <v>0</v>
      </c>
      <c r="BA62">
        <v>70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ROUND(Y62*Source!I36,9)</f>
        <v>0</v>
      </c>
      <c r="CY62">
        <f>AA62</f>
        <v>7246.05</v>
      </c>
      <c r="CZ62">
        <f>AE62</f>
        <v>7246.05</v>
      </c>
      <c r="DA62">
        <f>AI62</f>
        <v>1</v>
      </c>
      <c r="DB62">
        <f>ROUND(((ROUND(AT62*CZ62,2)*1)*0),6)</f>
        <v>0</v>
      </c>
      <c r="DC62">
        <f>ROUND(((ROUND(AT62*AG62,2)*1)*0),6)</f>
        <v>0</v>
      </c>
      <c r="DD62" t="s">
        <v>3</v>
      </c>
      <c r="DE62" t="s">
        <v>3</v>
      </c>
      <c r="DF62">
        <f t="shared" si="40"/>
        <v>0</v>
      </c>
      <c r="DG62">
        <f t="shared" si="38"/>
        <v>0</v>
      </c>
      <c r="DH62">
        <f t="shared" si="39"/>
        <v>0</v>
      </c>
      <c r="DI62">
        <f t="shared" si="3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ROW(Source!A36)</f>
        <v>36</v>
      </c>
      <c r="B63">
        <v>55917797</v>
      </c>
      <c r="C63">
        <v>55983341</v>
      </c>
      <c r="D63">
        <v>55460316</v>
      </c>
      <c r="E63">
        <v>1</v>
      </c>
      <c r="F63">
        <v>1</v>
      </c>
      <c r="G63">
        <v>1081</v>
      </c>
      <c r="H63">
        <v>3</v>
      </c>
      <c r="I63" t="s">
        <v>416</v>
      </c>
      <c r="J63" t="s">
        <v>417</v>
      </c>
      <c r="K63" t="s">
        <v>418</v>
      </c>
      <c r="L63">
        <v>1346</v>
      </c>
      <c r="N63">
        <v>1009</v>
      </c>
      <c r="O63" t="s">
        <v>316</v>
      </c>
      <c r="P63" t="s">
        <v>316</v>
      </c>
      <c r="Q63">
        <v>1</v>
      </c>
      <c r="W63">
        <v>0</v>
      </c>
      <c r="X63">
        <v>-1613042688</v>
      </c>
      <c r="Y63">
        <f>((AT63*1)*0)</f>
        <v>0</v>
      </c>
      <c r="AA63">
        <v>104.63</v>
      </c>
      <c r="AB63">
        <v>0</v>
      </c>
      <c r="AC63">
        <v>0</v>
      </c>
      <c r="AD63">
        <v>0</v>
      </c>
      <c r="AE63">
        <v>104.63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0.2</v>
      </c>
      <c r="AU63" t="s">
        <v>24</v>
      </c>
      <c r="AV63">
        <v>0</v>
      </c>
      <c r="AW63">
        <v>2</v>
      </c>
      <c r="AX63">
        <v>55983349</v>
      </c>
      <c r="AY63">
        <v>1</v>
      </c>
      <c r="AZ63">
        <v>0</v>
      </c>
      <c r="BA63">
        <v>71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ROUND(Y63*Source!I36,9)</f>
        <v>0</v>
      </c>
      <c r="CY63">
        <f>AA63</f>
        <v>104.63</v>
      </c>
      <c r="CZ63">
        <f>AE63</f>
        <v>104.63</v>
      </c>
      <c r="DA63">
        <f>AI63</f>
        <v>1</v>
      </c>
      <c r="DB63">
        <f>ROUND(((ROUND(AT63*CZ63,2)*1)*0),6)</f>
        <v>0</v>
      </c>
      <c r="DC63">
        <f>ROUND(((ROUND(AT63*AG63,2)*1)*0),6)</f>
        <v>0</v>
      </c>
      <c r="DD63" t="s">
        <v>3</v>
      </c>
      <c r="DE63" t="s">
        <v>3</v>
      </c>
      <c r="DF63">
        <f t="shared" si="40"/>
        <v>0</v>
      </c>
      <c r="DG63">
        <f t="shared" si="38"/>
        <v>0</v>
      </c>
      <c r="DH63">
        <f t="shared" si="39"/>
        <v>0</v>
      </c>
      <c r="DI63">
        <f t="shared" si="3"/>
        <v>0</v>
      </c>
      <c r="DJ63">
        <f>DF63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ROW(Source!A36)</f>
        <v>36</v>
      </c>
      <c r="B64">
        <v>55917797</v>
      </c>
      <c r="C64">
        <v>55983341</v>
      </c>
      <c r="D64">
        <v>55461791</v>
      </c>
      <c r="E64">
        <v>1</v>
      </c>
      <c r="F64">
        <v>1</v>
      </c>
      <c r="G64">
        <v>1081</v>
      </c>
      <c r="H64">
        <v>3</v>
      </c>
      <c r="I64" t="s">
        <v>419</v>
      </c>
      <c r="J64" t="s">
        <v>420</v>
      </c>
      <c r="K64" t="s">
        <v>421</v>
      </c>
      <c r="L64">
        <v>1355</v>
      </c>
      <c r="N64">
        <v>1010</v>
      </c>
      <c r="O64" t="s">
        <v>49</v>
      </c>
      <c r="P64" t="s">
        <v>49</v>
      </c>
      <c r="Q64">
        <v>100</v>
      </c>
      <c r="W64">
        <v>0</v>
      </c>
      <c r="X64">
        <v>-429645653</v>
      </c>
      <c r="Y64">
        <f>((AT64*1)*0)</f>
        <v>0</v>
      </c>
      <c r="AA64">
        <v>10.6</v>
      </c>
      <c r="AB64">
        <v>0</v>
      </c>
      <c r="AC64">
        <v>0</v>
      </c>
      <c r="AD64">
        <v>0</v>
      </c>
      <c r="AE64">
        <v>10.6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2</v>
      </c>
      <c r="AU64" t="s">
        <v>24</v>
      </c>
      <c r="AV64">
        <v>0</v>
      </c>
      <c r="AW64">
        <v>2</v>
      </c>
      <c r="AX64">
        <v>55983350</v>
      </c>
      <c r="AY64">
        <v>1</v>
      </c>
      <c r="AZ64">
        <v>0</v>
      </c>
      <c r="BA64">
        <v>72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ROUND(Y64*Source!I36,9)</f>
        <v>0</v>
      </c>
      <c r="CY64">
        <f>AA64</f>
        <v>10.6</v>
      </c>
      <c r="CZ64">
        <f>AE64</f>
        <v>10.6</v>
      </c>
      <c r="DA64">
        <f>AI64</f>
        <v>1</v>
      </c>
      <c r="DB64">
        <f>ROUND(((ROUND(AT64*CZ64,2)*1)*0),6)</f>
        <v>0</v>
      </c>
      <c r="DC64">
        <f>ROUND(((ROUND(AT64*AG64,2)*1)*0),6)</f>
        <v>0</v>
      </c>
      <c r="DD64" t="s">
        <v>3</v>
      </c>
      <c r="DE64" t="s">
        <v>3</v>
      </c>
      <c r="DF64">
        <f t="shared" si="40"/>
        <v>0</v>
      </c>
      <c r="DG64">
        <f t="shared" si="38"/>
        <v>0</v>
      </c>
      <c r="DH64">
        <f t="shared" si="39"/>
        <v>0</v>
      </c>
      <c r="DI64">
        <f t="shared" si="3"/>
        <v>0</v>
      </c>
      <c r="DJ64">
        <f>DF64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ROW(Source!A36)</f>
        <v>36</v>
      </c>
      <c r="B65">
        <v>55917797</v>
      </c>
      <c r="C65">
        <v>55983341</v>
      </c>
      <c r="D65">
        <v>55424290</v>
      </c>
      <c r="E65">
        <v>1081</v>
      </c>
      <c r="F65">
        <v>1</v>
      </c>
      <c r="G65">
        <v>1081</v>
      </c>
      <c r="H65">
        <v>3</v>
      </c>
      <c r="I65" t="s">
        <v>371</v>
      </c>
      <c r="J65" t="s">
        <v>3</v>
      </c>
      <c r="K65" t="s">
        <v>372</v>
      </c>
      <c r="L65">
        <v>1348</v>
      </c>
      <c r="N65">
        <v>1009</v>
      </c>
      <c r="O65" t="s">
        <v>345</v>
      </c>
      <c r="P65" t="s">
        <v>345</v>
      </c>
      <c r="Q65">
        <v>1000</v>
      </c>
      <c r="W65">
        <v>0</v>
      </c>
      <c r="X65">
        <v>-783086922</v>
      </c>
      <c r="Y65">
        <f>((AT65*1)*0)</f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0.03</v>
      </c>
      <c r="AU65" t="s">
        <v>24</v>
      </c>
      <c r="AV65">
        <v>0</v>
      </c>
      <c r="AW65">
        <v>2</v>
      </c>
      <c r="AX65">
        <v>55983352</v>
      </c>
      <c r="AY65">
        <v>1</v>
      </c>
      <c r="AZ65">
        <v>0</v>
      </c>
      <c r="BA65">
        <v>74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ROUND(Y65*Source!I36,9)</f>
        <v>0</v>
      </c>
      <c r="CY65">
        <f>AA65</f>
        <v>0</v>
      </c>
      <c r="CZ65">
        <f>AE65</f>
        <v>0</v>
      </c>
      <c r="DA65">
        <f>AI65</f>
        <v>1</v>
      </c>
      <c r="DB65">
        <f>ROUND(((ROUND(AT65*CZ65,2)*1)*0),6)</f>
        <v>0</v>
      </c>
      <c r="DC65">
        <f>ROUND(((ROUND(AT65*AG65,2)*1)*0),6)</f>
        <v>0</v>
      </c>
      <c r="DD65" t="s">
        <v>3</v>
      </c>
      <c r="DE65" t="s">
        <v>3</v>
      </c>
      <c r="DF65">
        <f t="shared" si="40"/>
        <v>0</v>
      </c>
      <c r="DG65">
        <f t="shared" si="38"/>
        <v>0</v>
      </c>
      <c r="DH65">
        <f t="shared" si="39"/>
        <v>0</v>
      </c>
      <c r="DI65">
        <f t="shared" ref="DI65:DI128" si="41">ROUND(ROUND(AH65,2)*CX65,2)</f>
        <v>0</v>
      </c>
      <c r="DJ65">
        <f>DF65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ROW(Source!A37)</f>
        <v>37</v>
      </c>
      <c r="B66">
        <v>55917799</v>
      </c>
      <c r="C66">
        <v>55983341</v>
      </c>
      <c r="D66">
        <v>55424304</v>
      </c>
      <c r="E66">
        <v>1081</v>
      </c>
      <c r="F66">
        <v>1</v>
      </c>
      <c r="G66">
        <v>1081</v>
      </c>
      <c r="H66">
        <v>1</v>
      </c>
      <c r="I66" t="s">
        <v>339</v>
      </c>
      <c r="J66" t="s">
        <v>3</v>
      </c>
      <c r="K66" t="s">
        <v>340</v>
      </c>
      <c r="L66">
        <v>1191</v>
      </c>
      <c r="N66">
        <v>1013</v>
      </c>
      <c r="O66" t="s">
        <v>341</v>
      </c>
      <c r="P66" t="s">
        <v>341</v>
      </c>
      <c r="Q66">
        <v>1</v>
      </c>
      <c r="W66">
        <v>0</v>
      </c>
      <c r="X66">
        <v>476480486</v>
      </c>
      <c r="Y66">
        <f>((AT66*1.2)*0.3)</f>
        <v>8.6399999999999988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5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24</v>
      </c>
      <c r="AU66" t="s">
        <v>25</v>
      </c>
      <c r="AV66">
        <v>1</v>
      </c>
      <c r="AW66">
        <v>2</v>
      </c>
      <c r="AX66">
        <v>55983347</v>
      </c>
      <c r="AY66">
        <v>1</v>
      </c>
      <c r="AZ66">
        <v>0</v>
      </c>
      <c r="BA66">
        <v>75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U66">
        <f>ROUND(AT66*Source!I37*AH66*AL66,2)</f>
        <v>0</v>
      </c>
      <c r="CV66">
        <f>ROUND(Y66*Source!I37,9)</f>
        <v>0.6048</v>
      </c>
      <c r="CW66">
        <v>0</v>
      </c>
      <c r="CX66">
        <f>ROUND(Y66*Source!I37,9)</f>
        <v>0.6048</v>
      </c>
      <c r="CY66">
        <f>AD66</f>
        <v>0</v>
      </c>
      <c r="CZ66">
        <f>AH66</f>
        <v>0</v>
      </c>
      <c r="DA66">
        <f>AL66</f>
        <v>1</v>
      </c>
      <c r="DB66">
        <f>ROUND(((ROUND(AT66*CZ66,2)*1.2)*0.3),6)</f>
        <v>0</v>
      </c>
      <c r="DC66">
        <f>ROUND(((ROUND(AT66*AG66,2)*1.2)*0.3),6)</f>
        <v>0</v>
      </c>
      <c r="DD66" t="s">
        <v>3</v>
      </c>
      <c r="DE66" t="s">
        <v>3</v>
      </c>
      <c r="DF66">
        <f t="shared" si="40"/>
        <v>0</v>
      </c>
      <c r="DG66">
        <f t="shared" si="38"/>
        <v>0</v>
      </c>
      <c r="DH66">
        <f t="shared" si="39"/>
        <v>0</v>
      </c>
      <c r="DI66">
        <f t="shared" si="41"/>
        <v>0</v>
      </c>
      <c r="DJ66">
        <f>DI66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ROW(Source!A37)</f>
        <v>37</v>
      </c>
      <c r="B67">
        <v>55917799</v>
      </c>
      <c r="C67">
        <v>55983341</v>
      </c>
      <c r="D67">
        <v>55459907</v>
      </c>
      <c r="E67">
        <v>1</v>
      </c>
      <c r="F67">
        <v>1</v>
      </c>
      <c r="G67">
        <v>1081</v>
      </c>
      <c r="H67">
        <v>3</v>
      </c>
      <c r="I67" t="s">
        <v>413</v>
      </c>
      <c r="J67" t="s">
        <v>414</v>
      </c>
      <c r="K67" t="s">
        <v>415</v>
      </c>
      <c r="L67">
        <v>1348</v>
      </c>
      <c r="N67">
        <v>1009</v>
      </c>
      <c r="O67" t="s">
        <v>345</v>
      </c>
      <c r="P67" t="s">
        <v>345</v>
      </c>
      <c r="Q67">
        <v>1000</v>
      </c>
      <c r="W67">
        <v>0</v>
      </c>
      <c r="X67">
        <v>-921548447</v>
      </c>
      <c r="Y67">
        <f>((AT67*1)*0)</f>
        <v>0</v>
      </c>
      <c r="AA67">
        <v>60649.440000000002</v>
      </c>
      <c r="AB67">
        <v>0</v>
      </c>
      <c r="AC67">
        <v>0</v>
      </c>
      <c r="AD67">
        <v>0</v>
      </c>
      <c r="AE67">
        <v>7246.05</v>
      </c>
      <c r="AF67">
        <v>0</v>
      </c>
      <c r="AG67">
        <v>0</v>
      </c>
      <c r="AH67">
        <v>0</v>
      </c>
      <c r="AI67">
        <v>8.3699999999999992</v>
      </c>
      <c r="AJ67">
        <v>1</v>
      </c>
      <c r="AK67">
        <v>1</v>
      </c>
      <c r="AL67">
        <v>1</v>
      </c>
      <c r="AM67">
        <v>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6.0000000000000001E-3</v>
      </c>
      <c r="AU67" t="s">
        <v>24</v>
      </c>
      <c r="AV67">
        <v>0</v>
      </c>
      <c r="AW67">
        <v>2</v>
      </c>
      <c r="AX67">
        <v>55983348</v>
      </c>
      <c r="AY67">
        <v>1</v>
      </c>
      <c r="AZ67">
        <v>0</v>
      </c>
      <c r="BA67">
        <v>76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ROUND(Y67*Source!I37,9)</f>
        <v>0</v>
      </c>
      <c r="CY67">
        <f>AA67</f>
        <v>60649.440000000002</v>
      </c>
      <c r="CZ67">
        <f>AE67</f>
        <v>7246.05</v>
      </c>
      <c r="DA67">
        <f>AI67</f>
        <v>8.3699999999999992</v>
      </c>
      <c r="DB67">
        <f>ROUND(((ROUND(AT67*CZ67,2)*1)*0),6)</f>
        <v>0</v>
      </c>
      <c r="DC67">
        <f>ROUND(((ROUND(AT67*AG67,2)*1)*0),6)</f>
        <v>0</v>
      </c>
      <c r="DD67" t="s">
        <v>3</v>
      </c>
      <c r="DE67" t="s">
        <v>3</v>
      </c>
      <c r="DF67">
        <f>ROUND(ROUND(AE67*AI67,2)*CX67,2)</f>
        <v>0</v>
      </c>
      <c r="DG67">
        <f t="shared" si="38"/>
        <v>0</v>
      </c>
      <c r="DH67">
        <f t="shared" si="39"/>
        <v>0</v>
      </c>
      <c r="DI67">
        <f t="shared" si="41"/>
        <v>0</v>
      </c>
      <c r="DJ67">
        <f>DF67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ROW(Source!A37)</f>
        <v>37</v>
      </c>
      <c r="B68">
        <v>55917799</v>
      </c>
      <c r="C68">
        <v>55983341</v>
      </c>
      <c r="D68">
        <v>55460316</v>
      </c>
      <c r="E68">
        <v>1</v>
      </c>
      <c r="F68">
        <v>1</v>
      </c>
      <c r="G68">
        <v>1081</v>
      </c>
      <c r="H68">
        <v>3</v>
      </c>
      <c r="I68" t="s">
        <v>416</v>
      </c>
      <c r="J68" t="s">
        <v>417</v>
      </c>
      <c r="K68" t="s">
        <v>418</v>
      </c>
      <c r="L68">
        <v>1346</v>
      </c>
      <c r="N68">
        <v>1009</v>
      </c>
      <c r="O68" t="s">
        <v>316</v>
      </c>
      <c r="P68" t="s">
        <v>316</v>
      </c>
      <c r="Q68">
        <v>1</v>
      </c>
      <c r="W68">
        <v>0</v>
      </c>
      <c r="X68">
        <v>-1613042688</v>
      </c>
      <c r="Y68">
        <f>((AT68*1)*0)</f>
        <v>0</v>
      </c>
      <c r="AA68">
        <v>183.1</v>
      </c>
      <c r="AB68">
        <v>0</v>
      </c>
      <c r="AC68">
        <v>0</v>
      </c>
      <c r="AD68">
        <v>0</v>
      </c>
      <c r="AE68">
        <v>104.63</v>
      </c>
      <c r="AF68">
        <v>0</v>
      </c>
      <c r="AG68">
        <v>0</v>
      </c>
      <c r="AH68">
        <v>0</v>
      </c>
      <c r="AI68">
        <v>1.75</v>
      </c>
      <c r="AJ68">
        <v>1</v>
      </c>
      <c r="AK68">
        <v>1</v>
      </c>
      <c r="AL68">
        <v>1</v>
      </c>
      <c r="AM68">
        <v>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0.2</v>
      </c>
      <c r="AU68" t="s">
        <v>24</v>
      </c>
      <c r="AV68">
        <v>0</v>
      </c>
      <c r="AW68">
        <v>2</v>
      </c>
      <c r="AX68">
        <v>55983349</v>
      </c>
      <c r="AY68">
        <v>1</v>
      </c>
      <c r="AZ68">
        <v>0</v>
      </c>
      <c r="BA68">
        <v>77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ROUND(Y68*Source!I37,9)</f>
        <v>0</v>
      </c>
      <c r="CY68">
        <f>AA68</f>
        <v>183.1</v>
      </c>
      <c r="CZ68">
        <f>AE68</f>
        <v>104.63</v>
      </c>
      <c r="DA68">
        <f>AI68</f>
        <v>1.75</v>
      </c>
      <c r="DB68">
        <f>ROUND(((ROUND(AT68*CZ68,2)*1)*0),6)</f>
        <v>0</v>
      </c>
      <c r="DC68">
        <f>ROUND(((ROUND(AT68*AG68,2)*1)*0),6)</f>
        <v>0</v>
      </c>
      <c r="DD68" t="s">
        <v>3</v>
      </c>
      <c r="DE68" t="s">
        <v>3</v>
      </c>
      <c r="DF68">
        <f>ROUND(ROUND(AE68*AI68,2)*CX68,2)</f>
        <v>0</v>
      </c>
      <c r="DG68">
        <f t="shared" si="38"/>
        <v>0</v>
      </c>
      <c r="DH68">
        <f t="shared" si="39"/>
        <v>0</v>
      </c>
      <c r="DI68">
        <f t="shared" si="41"/>
        <v>0</v>
      </c>
      <c r="DJ68">
        <f>DF68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ROW(Source!A37)</f>
        <v>37</v>
      </c>
      <c r="B69">
        <v>55917799</v>
      </c>
      <c r="C69">
        <v>55983341</v>
      </c>
      <c r="D69">
        <v>55461791</v>
      </c>
      <c r="E69">
        <v>1</v>
      </c>
      <c r="F69">
        <v>1</v>
      </c>
      <c r="G69">
        <v>1081</v>
      </c>
      <c r="H69">
        <v>3</v>
      </c>
      <c r="I69" t="s">
        <v>419</v>
      </c>
      <c r="J69" t="s">
        <v>420</v>
      </c>
      <c r="K69" t="s">
        <v>421</v>
      </c>
      <c r="L69">
        <v>1355</v>
      </c>
      <c r="N69">
        <v>1010</v>
      </c>
      <c r="O69" t="s">
        <v>49</v>
      </c>
      <c r="P69" t="s">
        <v>49</v>
      </c>
      <c r="Q69">
        <v>100</v>
      </c>
      <c r="W69">
        <v>0</v>
      </c>
      <c r="X69">
        <v>-429645653</v>
      </c>
      <c r="Y69">
        <f>((AT69*1)*0)</f>
        <v>0</v>
      </c>
      <c r="AA69">
        <v>16.43</v>
      </c>
      <c r="AB69">
        <v>0</v>
      </c>
      <c r="AC69">
        <v>0</v>
      </c>
      <c r="AD69">
        <v>0</v>
      </c>
      <c r="AE69">
        <v>10.6</v>
      </c>
      <c r="AF69">
        <v>0</v>
      </c>
      <c r="AG69">
        <v>0</v>
      </c>
      <c r="AH69">
        <v>0</v>
      </c>
      <c r="AI69">
        <v>1.55</v>
      </c>
      <c r="AJ69">
        <v>1</v>
      </c>
      <c r="AK69">
        <v>1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2</v>
      </c>
      <c r="AU69" t="s">
        <v>24</v>
      </c>
      <c r="AV69">
        <v>0</v>
      </c>
      <c r="AW69">
        <v>2</v>
      </c>
      <c r="AX69">
        <v>55983350</v>
      </c>
      <c r="AY69">
        <v>1</v>
      </c>
      <c r="AZ69">
        <v>0</v>
      </c>
      <c r="BA69">
        <v>78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v>0</v>
      </c>
      <c r="CX69">
        <f>ROUND(Y69*Source!I37,9)</f>
        <v>0</v>
      </c>
      <c r="CY69">
        <f>AA69</f>
        <v>16.43</v>
      </c>
      <c r="CZ69">
        <f>AE69</f>
        <v>10.6</v>
      </c>
      <c r="DA69">
        <f>AI69</f>
        <v>1.55</v>
      </c>
      <c r="DB69">
        <f>ROUND(((ROUND(AT69*CZ69,2)*1)*0),6)</f>
        <v>0</v>
      </c>
      <c r="DC69">
        <f>ROUND(((ROUND(AT69*AG69,2)*1)*0),6)</f>
        <v>0</v>
      </c>
      <c r="DD69" t="s">
        <v>3</v>
      </c>
      <c r="DE69" t="s">
        <v>3</v>
      </c>
      <c r="DF69">
        <f>ROUND(ROUND(AE69*AI69,2)*CX69,2)</f>
        <v>0</v>
      </c>
      <c r="DG69">
        <f t="shared" si="38"/>
        <v>0</v>
      </c>
      <c r="DH69">
        <f t="shared" si="39"/>
        <v>0</v>
      </c>
      <c r="DI69">
        <f t="shared" si="41"/>
        <v>0</v>
      </c>
      <c r="DJ69">
        <f>DF69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ROW(Source!A37)</f>
        <v>37</v>
      </c>
      <c r="B70">
        <v>55917799</v>
      </c>
      <c r="C70">
        <v>55983341</v>
      </c>
      <c r="D70">
        <v>55424290</v>
      </c>
      <c r="E70">
        <v>1081</v>
      </c>
      <c r="F70">
        <v>1</v>
      </c>
      <c r="G70">
        <v>1081</v>
      </c>
      <c r="H70">
        <v>3</v>
      </c>
      <c r="I70" t="s">
        <v>371</v>
      </c>
      <c r="J70" t="s">
        <v>3</v>
      </c>
      <c r="K70" t="s">
        <v>372</v>
      </c>
      <c r="L70">
        <v>1348</v>
      </c>
      <c r="N70">
        <v>1009</v>
      </c>
      <c r="O70" t="s">
        <v>345</v>
      </c>
      <c r="P70" t="s">
        <v>345</v>
      </c>
      <c r="Q70">
        <v>1000</v>
      </c>
      <c r="W70">
        <v>0</v>
      </c>
      <c r="X70">
        <v>-783086922</v>
      </c>
      <c r="Y70">
        <f>((AT70*1)*0)</f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9.84</v>
      </c>
      <c r="AJ70">
        <v>1</v>
      </c>
      <c r="AK70">
        <v>1</v>
      </c>
      <c r="AL70">
        <v>1</v>
      </c>
      <c r="AM70">
        <v>5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0.03</v>
      </c>
      <c r="AU70" t="s">
        <v>24</v>
      </c>
      <c r="AV70">
        <v>0</v>
      </c>
      <c r="AW70">
        <v>2</v>
      </c>
      <c r="AX70">
        <v>55983352</v>
      </c>
      <c r="AY70">
        <v>1</v>
      </c>
      <c r="AZ70">
        <v>0</v>
      </c>
      <c r="BA70">
        <v>80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ROUND(Y70*Source!I37,9)</f>
        <v>0</v>
      </c>
      <c r="CY70">
        <f>AA70</f>
        <v>0</v>
      </c>
      <c r="CZ70">
        <f>AE70</f>
        <v>0</v>
      </c>
      <c r="DA70">
        <f>AI70</f>
        <v>9.84</v>
      </c>
      <c r="DB70">
        <f>ROUND(((ROUND(AT70*CZ70,2)*1)*0),6)</f>
        <v>0</v>
      </c>
      <c r="DC70">
        <f>ROUND(((ROUND(AT70*AG70,2)*1)*0),6)</f>
        <v>0</v>
      </c>
      <c r="DD70" t="s">
        <v>3</v>
      </c>
      <c r="DE70" t="s">
        <v>3</v>
      </c>
      <c r="DF70">
        <f>ROUND(ROUND(AE70*AI70,2)*CX70,2)</f>
        <v>0</v>
      </c>
      <c r="DG70">
        <f t="shared" si="38"/>
        <v>0</v>
      </c>
      <c r="DH70">
        <f t="shared" si="39"/>
        <v>0</v>
      </c>
      <c r="DI70">
        <f t="shared" si="41"/>
        <v>0</v>
      </c>
      <c r="DJ70">
        <f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ROW(Source!A38)</f>
        <v>38</v>
      </c>
      <c r="B71">
        <v>55917797</v>
      </c>
      <c r="C71">
        <v>55983353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339</v>
      </c>
      <c r="J71" t="s">
        <v>3</v>
      </c>
      <c r="K71" t="s">
        <v>340</v>
      </c>
      <c r="L71">
        <v>1191</v>
      </c>
      <c r="N71">
        <v>1013</v>
      </c>
      <c r="O71" t="s">
        <v>341</v>
      </c>
      <c r="P71" t="s">
        <v>341</v>
      </c>
      <c r="Q71">
        <v>1</v>
      </c>
      <c r="W71">
        <v>0</v>
      </c>
      <c r="X71">
        <v>476480486</v>
      </c>
      <c r="Y71">
        <f>(AT71*1.2)</f>
        <v>7.008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5.84</v>
      </c>
      <c r="AU71" t="s">
        <v>56</v>
      </c>
      <c r="AV71">
        <v>1</v>
      </c>
      <c r="AW71">
        <v>2</v>
      </c>
      <c r="AX71">
        <v>55983355</v>
      </c>
      <c r="AY71">
        <v>1</v>
      </c>
      <c r="AZ71">
        <v>0</v>
      </c>
      <c r="BA71">
        <v>81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ROUND(AT71*Source!I38*AH71*AL71,2)</f>
        <v>0</v>
      </c>
      <c r="CV71">
        <f>ROUND(Y71*Source!I38,9)</f>
        <v>0.42048000000000002</v>
      </c>
      <c r="CW71">
        <v>0</v>
      </c>
      <c r="CX71">
        <f>ROUND(Y71*Source!I38,9)</f>
        <v>0.42048000000000002</v>
      </c>
      <c r="CY71">
        <f>AD71</f>
        <v>0</v>
      </c>
      <c r="CZ71">
        <f>AH71</f>
        <v>0</v>
      </c>
      <c r="DA71">
        <f>AL71</f>
        <v>1</v>
      </c>
      <c r="DB71">
        <f>ROUND((ROUND(AT71*CZ71,2)*1.2),6)</f>
        <v>0</v>
      </c>
      <c r="DC71">
        <f>ROUND((ROUND(AT71*AG71,2)*1.2),6)</f>
        <v>0</v>
      </c>
      <c r="DD71" t="s">
        <v>3</v>
      </c>
      <c r="DE71" t="s">
        <v>3</v>
      </c>
      <c r="DF71">
        <f t="shared" ref="DF71:DF84" si="42">ROUND(ROUND(AE71,2)*CX71,2)</f>
        <v>0</v>
      </c>
      <c r="DG71">
        <f t="shared" si="38"/>
        <v>0</v>
      </c>
      <c r="DH71">
        <f t="shared" si="39"/>
        <v>0</v>
      </c>
      <c r="DI71">
        <f t="shared" si="41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ROW(Source!A39)</f>
        <v>39</v>
      </c>
      <c r="B72">
        <v>55917799</v>
      </c>
      <c r="C72">
        <v>55983353</v>
      </c>
      <c r="D72">
        <v>55424304</v>
      </c>
      <c r="E72">
        <v>1081</v>
      </c>
      <c r="F72">
        <v>1</v>
      </c>
      <c r="G72">
        <v>1081</v>
      </c>
      <c r="H72">
        <v>1</v>
      </c>
      <c r="I72" t="s">
        <v>339</v>
      </c>
      <c r="J72" t="s">
        <v>3</v>
      </c>
      <c r="K72" t="s">
        <v>340</v>
      </c>
      <c r="L72">
        <v>1191</v>
      </c>
      <c r="N72">
        <v>1013</v>
      </c>
      <c r="O72" t="s">
        <v>341</v>
      </c>
      <c r="P72" t="s">
        <v>341</v>
      </c>
      <c r="Q72">
        <v>1</v>
      </c>
      <c r="W72">
        <v>0</v>
      </c>
      <c r="X72">
        <v>476480486</v>
      </c>
      <c r="Y72">
        <f>(AT72*1.2)</f>
        <v>7.008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5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5.84</v>
      </c>
      <c r="AU72" t="s">
        <v>56</v>
      </c>
      <c r="AV72">
        <v>1</v>
      </c>
      <c r="AW72">
        <v>2</v>
      </c>
      <c r="AX72">
        <v>55983355</v>
      </c>
      <c r="AY72">
        <v>1</v>
      </c>
      <c r="AZ72">
        <v>0</v>
      </c>
      <c r="BA72">
        <v>82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U72">
        <f>ROUND(AT72*Source!I39*AH72*AL72,2)</f>
        <v>0</v>
      </c>
      <c r="CV72">
        <f>ROUND(Y72*Source!I39,9)</f>
        <v>0.42048000000000002</v>
      </c>
      <c r="CW72">
        <v>0</v>
      </c>
      <c r="CX72">
        <f>ROUND(Y72*Source!I39,9)</f>
        <v>0.42048000000000002</v>
      </c>
      <c r="CY72">
        <f>AD72</f>
        <v>0</v>
      </c>
      <c r="CZ72">
        <f>AH72</f>
        <v>0</v>
      </c>
      <c r="DA72">
        <f>AL72</f>
        <v>1</v>
      </c>
      <c r="DB72">
        <f>ROUND((ROUND(AT72*CZ72,2)*1.2),6)</f>
        <v>0</v>
      </c>
      <c r="DC72">
        <f>ROUND((ROUND(AT72*AG72,2)*1.2),6)</f>
        <v>0</v>
      </c>
      <c r="DD72" t="s">
        <v>3</v>
      </c>
      <c r="DE72" t="s">
        <v>3</v>
      </c>
      <c r="DF72">
        <f t="shared" si="42"/>
        <v>0</v>
      </c>
      <c r="DG72">
        <f t="shared" si="38"/>
        <v>0</v>
      </c>
      <c r="DH72">
        <f t="shared" si="39"/>
        <v>0</v>
      </c>
      <c r="DI72">
        <f t="shared" si="41"/>
        <v>0</v>
      </c>
      <c r="DJ72">
        <f>DI72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ROW(Source!A40)</f>
        <v>40</v>
      </c>
      <c r="B73">
        <v>55917797</v>
      </c>
      <c r="C73">
        <v>55983356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339</v>
      </c>
      <c r="J73" t="s">
        <v>3</v>
      </c>
      <c r="K73" t="s">
        <v>340</v>
      </c>
      <c r="L73">
        <v>1191</v>
      </c>
      <c r="N73">
        <v>1013</v>
      </c>
      <c r="O73" t="s">
        <v>341</v>
      </c>
      <c r="P73" t="s">
        <v>341</v>
      </c>
      <c r="Q73">
        <v>1</v>
      </c>
      <c r="W73">
        <v>0</v>
      </c>
      <c r="X73">
        <v>476480486</v>
      </c>
      <c r="Y73">
        <f>((AT73*1.2)*0.3)</f>
        <v>0.37079999999999996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1.03</v>
      </c>
      <c r="AU73" t="s">
        <v>25</v>
      </c>
      <c r="AV73">
        <v>1</v>
      </c>
      <c r="AW73">
        <v>2</v>
      </c>
      <c r="AX73">
        <v>55983359</v>
      </c>
      <c r="AY73">
        <v>1</v>
      </c>
      <c r="AZ73">
        <v>0</v>
      </c>
      <c r="BA73">
        <v>83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ROUND(AT73*Source!I40*AH73*AL73,2)</f>
        <v>0</v>
      </c>
      <c r="CV73">
        <f>ROUND(Y73*Source!I40,9)</f>
        <v>2.2248000000000001</v>
      </c>
      <c r="CW73">
        <v>0</v>
      </c>
      <c r="CX73">
        <f>ROUND(Y73*Source!I40,9)</f>
        <v>2.2248000000000001</v>
      </c>
      <c r="CY73">
        <f>AD73</f>
        <v>0</v>
      </c>
      <c r="CZ73">
        <f>AH73</f>
        <v>0</v>
      </c>
      <c r="DA73">
        <f>AL73</f>
        <v>1</v>
      </c>
      <c r="DB73">
        <f>ROUND(((ROUND(AT73*CZ73,2)*1.2)*0.3),6)</f>
        <v>0</v>
      </c>
      <c r="DC73">
        <f>ROUND(((ROUND(AT73*AG73,2)*1.2)*0.3),6)</f>
        <v>0</v>
      </c>
      <c r="DD73" t="s">
        <v>3</v>
      </c>
      <c r="DE73" t="s">
        <v>3</v>
      </c>
      <c r="DF73">
        <f t="shared" si="42"/>
        <v>0</v>
      </c>
      <c r="DG73">
        <f t="shared" si="38"/>
        <v>0</v>
      </c>
      <c r="DH73">
        <f t="shared" si="39"/>
        <v>0</v>
      </c>
      <c r="DI73">
        <f t="shared" si="41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ROW(Source!A40)</f>
        <v>40</v>
      </c>
      <c r="B74">
        <v>55917797</v>
      </c>
      <c r="C74">
        <v>55983356</v>
      </c>
      <c r="D74">
        <v>55490209</v>
      </c>
      <c r="E74">
        <v>1</v>
      </c>
      <c r="F74">
        <v>1</v>
      </c>
      <c r="G74">
        <v>1081</v>
      </c>
      <c r="H74">
        <v>2</v>
      </c>
      <c r="I74" t="s">
        <v>422</v>
      </c>
      <c r="J74" t="s">
        <v>423</v>
      </c>
      <c r="K74" t="s">
        <v>424</v>
      </c>
      <c r="L74">
        <v>1368</v>
      </c>
      <c r="N74">
        <v>1011</v>
      </c>
      <c r="O74" t="s">
        <v>376</v>
      </c>
      <c r="P74" t="s">
        <v>376</v>
      </c>
      <c r="Q74">
        <v>1</v>
      </c>
      <c r="W74">
        <v>0</v>
      </c>
      <c r="X74">
        <v>874612079</v>
      </c>
      <c r="Y74">
        <f>((AT74*1.2)*0.3)</f>
        <v>5.7599999999999998E-2</v>
      </c>
      <c r="AA74">
        <v>0</v>
      </c>
      <c r="AB74">
        <v>87.01</v>
      </c>
      <c r="AC74">
        <v>13.21</v>
      </c>
      <c r="AD74">
        <v>0</v>
      </c>
      <c r="AE74">
        <v>0</v>
      </c>
      <c r="AF74">
        <v>83.1</v>
      </c>
      <c r="AG74">
        <v>12.62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0.16</v>
      </c>
      <c r="AU74" t="s">
        <v>25</v>
      </c>
      <c r="AV74">
        <v>0</v>
      </c>
      <c r="AW74">
        <v>2</v>
      </c>
      <c r="AX74">
        <v>55983360</v>
      </c>
      <c r="AY74">
        <v>1</v>
      </c>
      <c r="AZ74">
        <v>0</v>
      </c>
      <c r="BA74">
        <v>84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f>ROUND(Y74*Source!I40*DO74,9)</f>
        <v>4.361472</v>
      </c>
      <c r="CX74">
        <f>ROUND(Y74*Source!I40,9)</f>
        <v>0.34560000000000002</v>
      </c>
      <c r="CY74">
        <f>AB74</f>
        <v>87.01</v>
      </c>
      <c r="CZ74">
        <f>AF74</f>
        <v>83.1</v>
      </c>
      <c r="DA74">
        <f>AJ74</f>
        <v>1</v>
      </c>
      <c r="DB74">
        <f>ROUND(((ROUND(AT74*CZ74,2)*1.2)*0.3),6)</f>
        <v>4.7880000000000003</v>
      </c>
      <c r="DC74">
        <f>ROUND(((ROUND(AT74*AG74,2)*1.2)*0.3),6)</f>
        <v>0.72719999999999996</v>
      </c>
      <c r="DD74" t="s">
        <v>3</v>
      </c>
      <c r="DE74" t="s">
        <v>3</v>
      </c>
      <c r="DF74">
        <f t="shared" si="42"/>
        <v>0</v>
      </c>
      <c r="DG74">
        <f t="shared" si="38"/>
        <v>28.72</v>
      </c>
      <c r="DH74">
        <f t="shared" si="39"/>
        <v>4.3600000000000003</v>
      </c>
      <c r="DI74">
        <f t="shared" si="41"/>
        <v>0</v>
      </c>
      <c r="DJ74">
        <f>DG74</f>
        <v>28.72</v>
      </c>
      <c r="DK74">
        <v>0</v>
      </c>
      <c r="DL74" t="s">
        <v>377</v>
      </c>
      <c r="DM74">
        <v>0</v>
      </c>
      <c r="DN74" t="s">
        <v>341</v>
      </c>
      <c r="DO74">
        <v>12.62</v>
      </c>
    </row>
    <row r="75" spans="1:119" x14ac:dyDescent="0.25">
      <c r="A75">
        <f>ROW(Source!A41)</f>
        <v>41</v>
      </c>
      <c r="B75">
        <v>55917799</v>
      </c>
      <c r="C75">
        <v>55983356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339</v>
      </c>
      <c r="J75" t="s">
        <v>3</v>
      </c>
      <c r="K75" t="s">
        <v>340</v>
      </c>
      <c r="L75">
        <v>1191</v>
      </c>
      <c r="N75">
        <v>1013</v>
      </c>
      <c r="O75" t="s">
        <v>341</v>
      </c>
      <c r="P75" t="s">
        <v>341</v>
      </c>
      <c r="Q75">
        <v>1</v>
      </c>
      <c r="W75">
        <v>0</v>
      </c>
      <c r="X75">
        <v>476480486</v>
      </c>
      <c r="Y75">
        <f>((AT75*1.2)*0.3)</f>
        <v>0.37079999999999996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5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1.03</v>
      </c>
      <c r="AU75" t="s">
        <v>25</v>
      </c>
      <c r="AV75">
        <v>1</v>
      </c>
      <c r="AW75">
        <v>2</v>
      </c>
      <c r="AX75">
        <v>55983359</v>
      </c>
      <c r="AY75">
        <v>1</v>
      </c>
      <c r="AZ75">
        <v>0</v>
      </c>
      <c r="BA75">
        <v>86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ROUND(AT75*Source!I41*AH75*AL75,2)</f>
        <v>0</v>
      </c>
      <c r="CV75">
        <f>ROUND(Y75*Source!I41,9)</f>
        <v>2.2248000000000001</v>
      </c>
      <c r="CW75">
        <v>0</v>
      </c>
      <c r="CX75">
        <f>ROUND(Y75*Source!I41,9)</f>
        <v>2.2248000000000001</v>
      </c>
      <c r="CY75">
        <f>AD75</f>
        <v>0</v>
      </c>
      <c r="CZ75">
        <f>AH75</f>
        <v>0</v>
      </c>
      <c r="DA75">
        <f>AL75</f>
        <v>1</v>
      </c>
      <c r="DB75">
        <f>ROUND(((ROUND(AT75*CZ75,2)*1.2)*0.3),6)</f>
        <v>0</v>
      </c>
      <c r="DC75">
        <f>ROUND(((ROUND(AT75*AG75,2)*1.2)*0.3),6)</f>
        <v>0</v>
      </c>
      <c r="DD75" t="s">
        <v>3</v>
      </c>
      <c r="DE75" t="s">
        <v>3</v>
      </c>
      <c r="DF75">
        <f t="shared" si="42"/>
        <v>0</v>
      </c>
      <c r="DG75">
        <f t="shared" si="38"/>
        <v>0</v>
      </c>
      <c r="DH75">
        <f t="shared" si="39"/>
        <v>0</v>
      </c>
      <c r="DI75">
        <f t="shared" si="41"/>
        <v>0</v>
      </c>
      <c r="DJ75">
        <f>DI75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ROW(Source!A41)</f>
        <v>41</v>
      </c>
      <c r="B76">
        <v>55917799</v>
      </c>
      <c r="C76">
        <v>55983356</v>
      </c>
      <c r="D76">
        <v>55490209</v>
      </c>
      <c r="E76">
        <v>1</v>
      </c>
      <c r="F76">
        <v>1</v>
      </c>
      <c r="G76">
        <v>1081</v>
      </c>
      <c r="H76">
        <v>2</v>
      </c>
      <c r="I76" t="s">
        <v>422</v>
      </c>
      <c r="J76" t="s">
        <v>423</v>
      </c>
      <c r="K76" t="s">
        <v>424</v>
      </c>
      <c r="L76">
        <v>1368</v>
      </c>
      <c r="N76">
        <v>1011</v>
      </c>
      <c r="O76" t="s">
        <v>376</v>
      </c>
      <c r="P76" t="s">
        <v>376</v>
      </c>
      <c r="Q76">
        <v>1</v>
      </c>
      <c r="W76">
        <v>0</v>
      </c>
      <c r="X76">
        <v>874612079</v>
      </c>
      <c r="Y76">
        <f>((AT76*1.2)*0.3)</f>
        <v>5.7599999999999998E-2</v>
      </c>
      <c r="AA76">
        <v>0</v>
      </c>
      <c r="AB76">
        <v>1485.19</v>
      </c>
      <c r="AC76">
        <v>744.56</v>
      </c>
      <c r="AD76">
        <v>0</v>
      </c>
      <c r="AE76">
        <v>0</v>
      </c>
      <c r="AF76">
        <v>83.1</v>
      </c>
      <c r="AG76">
        <v>12.62</v>
      </c>
      <c r="AH76">
        <v>0</v>
      </c>
      <c r="AI76">
        <v>1</v>
      </c>
      <c r="AJ76">
        <v>17.07</v>
      </c>
      <c r="AK76">
        <v>56.35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0.16</v>
      </c>
      <c r="AU76" t="s">
        <v>25</v>
      </c>
      <c r="AV76">
        <v>0</v>
      </c>
      <c r="AW76">
        <v>2</v>
      </c>
      <c r="AX76">
        <v>55983360</v>
      </c>
      <c r="AY76">
        <v>1</v>
      </c>
      <c r="AZ76">
        <v>0</v>
      </c>
      <c r="BA76">
        <v>87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f>ROUND(Y76*Source!I41*DO76,9)</f>
        <v>4.361472</v>
      </c>
      <c r="CX76">
        <f>ROUND(Y76*Source!I41,9)</f>
        <v>0.34560000000000002</v>
      </c>
      <c r="CY76">
        <f>AB76</f>
        <v>1485.19</v>
      </c>
      <c r="CZ76">
        <f>AF76</f>
        <v>83.1</v>
      </c>
      <c r="DA76">
        <f>AJ76</f>
        <v>17.07</v>
      </c>
      <c r="DB76">
        <f>ROUND(((ROUND(AT76*CZ76,2)*1.2)*0.3),6)</f>
        <v>4.7880000000000003</v>
      </c>
      <c r="DC76">
        <f>ROUND(((ROUND(AT76*AG76,2)*1.2)*0.3),6)</f>
        <v>0.72719999999999996</v>
      </c>
      <c r="DD76" t="s">
        <v>3</v>
      </c>
      <c r="DE76" t="s">
        <v>3</v>
      </c>
      <c r="DF76">
        <f t="shared" si="42"/>
        <v>0</v>
      </c>
      <c r="DG76">
        <f>ROUND(ROUND(AF76*AJ76,2)*CX76,2)</f>
        <v>490.24</v>
      </c>
      <c r="DH76">
        <f>ROUND(ROUND(AG76*AK76,2)*CX76,2)</f>
        <v>245.77</v>
      </c>
      <c r="DI76">
        <f t="shared" si="41"/>
        <v>0</v>
      </c>
      <c r="DJ76">
        <f>DG76</f>
        <v>490.24</v>
      </c>
      <c r="DK76">
        <v>0</v>
      </c>
      <c r="DL76" t="s">
        <v>377</v>
      </c>
      <c r="DM76">
        <v>0</v>
      </c>
      <c r="DN76" t="s">
        <v>341</v>
      </c>
      <c r="DO76">
        <v>12.62</v>
      </c>
    </row>
    <row r="77" spans="1:119" x14ac:dyDescent="0.25">
      <c r="A77">
        <f>ROW(Source!A42)</f>
        <v>42</v>
      </c>
      <c r="B77">
        <v>55917797</v>
      </c>
      <c r="C77">
        <v>55983362</v>
      </c>
      <c r="D77">
        <v>55424304</v>
      </c>
      <c r="E77">
        <v>1081</v>
      </c>
      <c r="F77">
        <v>1</v>
      </c>
      <c r="G77">
        <v>1081</v>
      </c>
      <c r="H77">
        <v>1</v>
      </c>
      <c r="I77" t="s">
        <v>339</v>
      </c>
      <c r="J77" t="s">
        <v>3</v>
      </c>
      <c r="K77" t="s">
        <v>340</v>
      </c>
      <c r="L77">
        <v>1191</v>
      </c>
      <c r="N77">
        <v>1013</v>
      </c>
      <c r="O77" t="s">
        <v>341</v>
      </c>
      <c r="P77" t="s">
        <v>341</v>
      </c>
      <c r="Q77">
        <v>1</v>
      </c>
      <c r="W77">
        <v>0</v>
      </c>
      <c r="X77">
        <v>476480486</v>
      </c>
      <c r="Y77">
        <f>((AT77*1.2)*0.3)</f>
        <v>11.88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33</v>
      </c>
      <c r="AU77" t="s">
        <v>25</v>
      </c>
      <c r="AV77">
        <v>1</v>
      </c>
      <c r="AW77">
        <v>2</v>
      </c>
      <c r="AX77">
        <v>55983370</v>
      </c>
      <c r="AY77">
        <v>1</v>
      </c>
      <c r="AZ77">
        <v>0</v>
      </c>
      <c r="BA77">
        <v>89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ROUND(AT77*Source!I42*AH77*AL77,2)</f>
        <v>0</v>
      </c>
      <c r="CV77">
        <f>ROUND(Y77*Source!I42,9)</f>
        <v>11.88</v>
      </c>
      <c r="CW77">
        <v>0</v>
      </c>
      <c r="CX77">
        <f>ROUND(Y77*Source!I42,9)</f>
        <v>11.88</v>
      </c>
      <c r="CY77">
        <f>AD77</f>
        <v>0</v>
      </c>
      <c r="CZ77">
        <f>AH77</f>
        <v>0</v>
      </c>
      <c r="DA77">
        <f>AL77</f>
        <v>1</v>
      </c>
      <c r="DB77">
        <f>ROUND(((ROUND(AT77*CZ77,2)*1.2)*0.3),6)</f>
        <v>0</v>
      </c>
      <c r="DC77">
        <f>ROUND(((ROUND(AT77*AG77,2)*1.2)*0.3),6)</f>
        <v>0</v>
      </c>
      <c r="DD77" t="s">
        <v>3</v>
      </c>
      <c r="DE77" t="s">
        <v>3</v>
      </c>
      <c r="DF77">
        <f t="shared" si="42"/>
        <v>0</v>
      </c>
      <c r="DG77">
        <f t="shared" ref="DG77:DG108" si="43">ROUND(ROUND(AF77,2)*CX77,2)</f>
        <v>0</v>
      </c>
      <c r="DH77">
        <f t="shared" ref="DH77:DH108" si="44">ROUND(ROUND(AG77,2)*CX77,2)</f>
        <v>0</v>
      </c>
      <c r="DI77">
        <f t="shared" si="41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ROW(Source!A42)</f>
        <v>42</v>
      </c>
      <c r="B78">
        <v>55917797</v>
      </c>
      <c r="C78">
        <v>55983362</v>
      </c>
      <c r="D78">
        <v>55460546</v>
      </c>
      <c r="E78">
        <v>1</v>
      </c>
      <c r="F78">
        <v>1</v>
      </c>
      <c r="G78">
        <v>1081</v>
      </c>
      <c r="H78">
        <v>3</v>
      </c>
      <c r="I78" t="s">
        <v>425</v>
      </c>
      <c r="J78" t="s">
        <v>426</v>
      </c>
      <c r="K78" t="s">
        <v>427</v>
      </c>
      <c r="L78">
        <v>1255</v>
      </c>
      <c r="N78">
        <v>1013</v>
      </c>
      <c r="O78" t="s">
        <v>428</v>
      </c>
      <c r="P78" t="s">
        <v>428</v>
      </c>
      <c r="Q78">
        <v>1</v>
      </c>
      <c r="W78">
        <v>0</v>
      </c>
      <c r="X78">
        <v>-1398468845</v>
      </c>
      <c r="Y78">
        <f t="shared" ref="Y78:Y83" si="45">((AT78*1)*0)</f>
        <v>0</v>
      </c>
      <c r="AA78">
        <v>0.42</v>
      </c>
      <c r="AB78">
        <v>0</v>
      </c>
      <c r="AC78">
        <v>0</v>
      </c>
      <c r="AD78">
        <v>0</v>
      </c>
      <c r="AE78">
        <v>0.42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1.1000000000000001</v>
      </c>
      <c r="AU78" t="s">
        <v>24</v>
      </c>
      <c r="AV78">
        <v>0</v>
      </c>
      <c r="AW78">
        <v>2</v>
      </c>
      <c r="AX78">
        <v>55983371</v>
      </c>
      <c r="AY78">
        <v>1</v>
      </c>
      <c r="AZ78">
        <v>0</v>
      </c>
      <c r="BA78">
        <v>90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ROUND(Y78*Source!I42,9)</f>
        <v>0</v>
      </c>
      <c r="CY78">
        <f t="shared" ref="CY78:CY83" si="46">AA78</f>
        <v>0.42</v>
      </c>
      <c r="CZ78">
        <f t="shared" ref="CZ78:CZ83" si="47">AE78</f>
        <v>0.42</v>
      </c>
      <c r="DA78">
        <f t="shared" ref="DA78:DA83" si="48">AI78</f>
        <v>1</v>
      </c>
      <c r="DB78">
        <f t="shared" ref="DB78:DB83" si="49">ROUND(((ROUND(AT78*CZ78,2)*1)*0),6)</f>
        <v>0</v>
      </c>
      <c r="DC78">
        <f t="shared" ref="DC78:DC83" si="50">ROUND(((ROUND(AT78*AG78,2)*1)*0),6)</f>
        <v>0</v>
      </c>
      <c r="DD78" t="s">
        <v>3</v>
      </c>
      <c r="DE78" t="s">
        <v>3</v>
      </c>
      <c r="DF78">
        <f t="shared" si="42"/>
        <v>0</v>
      </c>
      <c r="DG78">
        <f t="shared" si="43"/>
        <v>0</v>
      </c>
      <c r="DH78">
        <f t="shared" si="44"/>
        <v>0</v>
      </c>
      <c r="DI78">
        <f t="shared" si="41"/>
        <v>0</v>
      </c>
      <c r="DJ78">
        <f t="shared" ref="DJ78:DJ83" si="51">DF78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ROW(Source!A42)</f>
        <v>42</v>
      </c>
      <c r="B79">
        <v>55917797</v>
      </c>
      <c r="C79">
        <v>55983362</v>
      </c>
      <c r="D79">
        <v>55459792</v>
      </c>
      <c r="E79">
        <v>1</v>
      </c>
      <c r="F79">
        <v>1</v>
      </c>
      <c r="G79">
        <v>1081</v>
      </c>
      <c r="H79">
        <v>3</v>
      </c>
      <c r="I79" t="s">
        <v>429</v>
      </c>
      <c r="J79" t="s">
        <v>430</v>
      </c>
      <c r="K79" t="s">
        <v>431</v>
      </c>
      <c r="L79">
        <v>1348</v>
      </c>
      <c r="N79">
        <v>1009</v>
      </c>
      <c r="O79" t="s">
        <v>345</v>
      </c>
      <c r="P79" t="s">
        <v>345</v>
      </c>
      <c r="Q79">
        <v>1000</v>
      </c>
      <c r="W79">
        <v>0</v>
      </c>
      <c r="X79">
        <v>114569696</v>
      </c>
      <c r="Y79">
        <f t="shared" si="45"/>
        <v>0</v>
      </c>
      <c r="AA79">
        <v>60960.43</v>
      </c>
      <c r="AB79">
        <v>0</v>
      </c>
      <c r="AC79">
        <v>0</v>
      </c>
      <c r="AD79">
        <v>0</v>
      </c>
      <c r="AE79">
        <v>60960.43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1.9000000000000001E-4</v>
      </c>
      <c r="AU79" t="s">
        <v>24</v>
      </c>
      <c r="AV79">
        <v>0</v>
      </c>
      <c r="AW79">
        <v>2</v>
      </c>
      <c r="AX79">
        <v>55983372</v>
      </c>
      <c r="AY79">
        <v>1</v>
      </c>
      <c r="AZ79">
        <v>0</v>
      </c>
      <c r="BA79">
        <v>91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ROUND(Y79*Source!I42,9)</f>
        <v>0</v>
      </c>
      <c r="CY79">
        <f t="shared" si="46"/>
        <v>60960.43</v>
      </c>
      <c r="CZ79">
        <f t="shared" si="47"/>
        <v>60960.43</v>
      </c>
      <c r="DA79">
        <f t="shared" si="48"/>
        <v>1</v>
      </c>
      <c r="DB79">
        <f t="shared" si="49"/>
        <v>0</v>
      </c>
      <c r="DC79">
        <f t="shared" si="50"/>
        <v>0</v>
      </c>
      <c r="DD79" t="s">
        <v>3</v>
      </c>
      <c r="DE79" t="s">
        <v>3</v>
      </c>
      <c r="DF79">
        <f t="shared" si="42"/>
        <v>0</v>
      </c>
      <c r="DG79">
        <f t="shared" si="43"/>
        <v>0</v>
      </c>
      <c r="DH79">
        <f t="shared" si="44"/>
        <v>0</v>
      </c>
      <c r="DI79">
        <f t="shared" si="41"/>
        <v>0</v>
      </c>
      <c r="DJ79">
        <f t="shared" si="51"/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ROW(Source!A42)</f>
        <v>42</v>
      </c>
      <c r="B80">
        <v>55917797</v>
      </c>
      <c r="C80">
        <v>55983362</v>
      </c>
      <c r="D80">
        <v>55466338</v>
      </c>
      <c r="E80">
        <v>1</v>
      </c>
      <c r="F80">
        <v>1</v>
      </c>
      <c r="G80">
        <v>1081</v>
      </c>
      <c r="H80">
        <v>3</v>
      </c>
      <c r="I80" t="s">
        <v>364</v>
      </c>
      <c r="J80" t="s">
        <v>365</v>
      </c>
      <c r="K80" t="s">
        <v>366</v>
      </c>
      <c r="L80">
        <v>1349</v>
      </c>
      <c r="N80">
        <v>1009</v>
      </c>
      <c r="O80" t="s">
        <v>367</v>
      </c>
      <c r="P80" t="s">
        <v>367</v>
      </c>
      <c r="Q80">
        <v>1E-3</v>
      </c>
      <c r="W80">
        <v>0</v>
      </c>
      <c r="X80">
        <v>-667754050</v>
      </c>
      <c r="Y80">
        <f t="shared" si="45"/>
        <v>0</v>
      </c>
      <c r="AA80">
        <v>7.0000000000000007E-2</v>
      </c>
      <c r="AB80">
        <v>0</v>
      </c>
      <c r="AC80">
        <v>0</v>
      </c>
      <c r="AD80">
        <v>0</v>
      </c>
      <c r="AE80">
        <v>7.0000000000000007E-2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20</v>
      </c>
      <c r="AU80" t="s">
        <v>24</v>
      </c>
      <c r="AV80">
        <v>0</v>
      </c>
      <c r="AW80">
        <v>2</v>
      </c>
      <c r="AX80">
        <v>55983373</v>
      </c>
      <c r="AY80">
        <v>1</v>
      </c>
      <c r="AZ80">
        <v>0</v>
      </c>
      <c r="BA80">
        <v>92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ROUND(Y80*Source!I42,9)</f>
        <v>0</v>
      </c>
      <c r="CY80">
        <f t="shared" si="46"/>
        <v>7.0000000000000007E-2</v>
      </c>
      <c r="CZ80">
        <f t="shared" si="47"/>
        <v>7.0000000000000007E-2</v>
      </c>
      <c r="DA80">
        <f t="shared" si="48"/>
        <v>1</v>
      </c>
      <c r="DB80">
        <f t="shared" si="49"/>
        <v>0</v>
      </c>
      <c r="DC80">
        <f t="shared" si="50"/>
        <v>0</v>
      </c>
      <c r="DD80" t="s">
        <v>3</v>
      </c>
      <c r="DE80" t="s">
        <v>3</v>
      </c>
      <c r="DF80">
        <f t="shared" si="42"/>
        <v>0</v>
      </c>
      <c r="DG80">
        <f t="shared" si="43"/>
        <v>0</v>
      </c>
      <c r="DH80">
        <f t="shared" si="44"/>
        <v>0</v>
      </c>
      <c r="DI80">
        <f t="shared" si="41"/>
        <v>0</v>
      </c>
      <c r="DJ80">
        <f t="shared" si="51"/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ROW(Source!A42)</f>
        <v>42</v>
      </c>
      <c r="B81">
        <v>55917797</v>
      </c>
      <c r="C81">
        <v>55983362</v>
      </c>
      <c r="D81">
        <v>55482203</v>
      </c>
      <c r="E81">
        <v>1</v>
      </c>
      <c r="F81">
        <v>1</v>
      </c>
      <c r="G81">
        <v>1081</v>
      </c>
      <c r="H81">
        <v>3</v>
      </c>
      <c r="I81" t="s">
        <v>432</v>
      </c>
      <c r="J81" t="s">
        <v>433</v>
      </c>
      <c r="K81" t="s">
        <v>434</v>
      </c>
      <c r="L81">
        <v>1356</v>
      </c>
      <c r="N81">
        <v>1010</v>
      </c>
      <c r="O81" t="s">
        <v>409</v>
      </c>
      <c r="P81" t="s">
        <v>409</v>
      </c>
      <c r="Q81">
        <v>1000</v>
      </c>
      <c r="W81">
        <v>0</v>
      </c>
      <c r="X81">
        <v>474149623</v>
      </c>
      <c r="Y81">
        <f t="shared" si="45"/>
        <v>0</v>
      </c>
      <c r="AA81">
        <v>226.66</v>
      </c>
      <c r="AB81">
        <v>0</v>
      </c>
      <c r="AC81">
        <v>0</v>
      </c>
      <c r="AD81">
        <v>0</v>
      </c>
      <c r="AE81">
        <v>226.66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0.04</v>
      </c>
      <c r="AU81" t="s">
        <v>24</v>
      </c>
      <c r="AV81">
        <v>0</v>
      </c>
      <c r="AW81">
        <v>2</v>
      </c>
      <c r="AX81">
        <v>55983374</v>
      </c>
      <c r="AY81">
        <v>1</v>
      </c>
      <c r="AZ81">
        <v>0</v>
      </c>
      <c r="BA81">
        <v>93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ROUND(Y81*Source!I42,9)</f>
        <v>0</v>
      </c>
      <c r="CY81">
        <f t="shared" si="46"/>
        <v>226.66</v>
      </c>
      <c r="CZ81">
        <f t="shared" si="47"/>
        <v>226.66</v>
      </c>
      <c r="DA81">
        <f t="shared" si="48"/>
        <v>1</v>
      </c>
      <c r="DB81">
        <f t="shared" si="49"/>
        <v>0</v>
      </c>
      <c r="DC81">
        <f t="shared" si="50"/>
        <v>0</v>
      </c>
      <c r="DD81" t="s">
        <v>3</v>
      </c>
      <c r="DE81" t="s">
        <v>3</v>
      </c>
      <c r="DF81">
        <f t="shared" si="42"/>
        <v>0</v>
      </c>
      <c r="DG81">
        <f t="shared" si="43"/>
        <v>0</v>
      </c>
      <c r="DH81">
        <f t="shared" si="44"/>
        <v>0</v>
      </c>
      <c r="DI81">
        <f t="shared" si="41"/>
        <v>0</v>
      </c>
      <c r="DJ81">
        <f t="shared" si="51"/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ROW(Source!A42)</f>
        <v>42</v>
      </c>
      <c r="B82">
        <v>55917797</v>
      </c>
      <c r="C82">
        <v>55983362</v>
      </c>
      <c r="D82">
        <v>55482233</v>
      </c>
      <c r="E82">
        <v>1</v>
      </c>
      <c r="F82">
        <v>1</v>
      </c>
      <c r="G82">
        <v>1081</v>
      </c>
      <c r="H82">
        <v>3</v>
      </c>
      <c r="I82" t="s">
        <v>368</v>
      </c>
      <c r="J82" t="s">
        <v>369</v>
      </c>
      <c r="K82" t="s">
        <v>370</v>
      </c>
      <c r="L82">
        <v>1346</v>
      </c>
      <c r="N82">
        <v>1009</v>
      </c>
      <c r="O82" t="s">
        <v>316</v>
      </c>
      <c r="P82" t="s">
        <v>316</v>
      </c>
      <c r="Q82">
        <v>1</v>
      </c>
      <c r="W82">
        <v>0</v>
      </c>
      <c r="X82">
        <v>1566362712</v>
      </c>
      <c r="Y82">
        <f t="shared" si="45"/>
        <v>0</v>
      </c>
      <c r="AA82">
        <v>493.08</v>
      </c>
      <c r="AB82">
        <v>0</v>
      </c>
      <c r="AC82">
        <v>0</v>
      </c>
      <c r="AD82">
        <v>0</v>
      </c>
      <c r="AE82">
        <v>493.08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0.11</v>
      </c>
      <c r="AU82" t="s">
        <v>24</v>
      </c>
      <c r="AV82">
        <v>0</v>
      </c>
      <c r="AW82">
        <v>2</v>
      </c>
      <c r="AX82">
        <v>55983375</v>
      </c>
      <c r="AY82">
        <v>1</v>
      </c>
      <c r="AZ82">
        <v>0</v>
      </c>
      <c r="BA82">
        <v>94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ROUND(Y82*Source!I42,9)</f>
        <v>0</v>
      </c>
      <c r="CY82">
        <f t="shared" si="46"/>
        <v>493.08</v>
      </c>
      <c r="CZ82">
        <f t="shared" si="47"/>
        <v>493.08</v>
      </c>
      <c r="DA82">
        <f t="shared" si="48"/>
        <v>1</v>
      </c>
      <c r="DB82">
        <f t="shared" si="49"/>
        <v>0</v>
      </c>
      <c r="DC82">
        <f t="shared" si="50"/>
        <v>0</v>
      </c>
      <c r="DD82" t="s">
        <v>3</v>
      </c>
      <c r="DE82" t="s">
        <v>3</v>
      </c>
      <c r="DF82">
        <f t="shared" si="42"/>
        <v>0</v>
      </c>
      <c r="DG82">
        <f t="shared" si="43"/>
        <v>0</v>
      </c>
      <c r="DH82">
        <f t="shared" si="44"/>
        <v>0</v>
      </c>
      <c r="DI82">
        <f t="shared" si="41"/>
        <v>0</v>
      </c>
      <c r="DJ82">
        <f t="shared" si="51"/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ROW(Source!A42)</f>
        <v>42</v>
      </c>
      <c r="B83">
        <v>55917797</v>
      </c>
      <c r="C83">
        <v>55983362</v>
      </c>
      <c r="D83">
        <v>55424290</v>
      </c>
      <c r="E83">
        <v>1081</v>
      </c>
      <c r="F83">
        <v>1</v>
      </c>
      <c r="G83">
        <v>1081</v>
      </c>
      <c r="H83">
        <v>3</v>
      </c>
      <c r="I83" t="s">
        <v>371</v>
      </c>
      <c r="J83" t="s">
        <v>3</v>
      </c>
      <c r="K83" t="s">
        <v>372</v>
      </c>
      <c r="L83">
        <v>1348</v>
      </c>
      <c r="N83">
        <v>1009</v>
      </c>
      <c r="O83" t="s">
        <v>345</v>
      </c>
      <c r="P83" t="s">
        <v>345</v>
      </c>
      <c r="Q83">
        <v>1000</v>
      </c>
      <c r="W83">
        <v>0</v>
      </c>
      <c r="X83">
        <v>-783086922</v>
      </c>
      <c r="Y83">
        <f t="shared" si="45"/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7.4999999999999997E-2</v>
      </c>
      <c r="AU83" t="s">
        <v>24</v>
      </c>
      <c r="AV83">
        <v>0</v>
      </c>
      <c r="AW83">
        <v>2</v>
      </c>
      <c r="AX83">
        <v>55983377</v>
      </c>
      <c r="AY83">
        <v>1</v>
      </c>
      <c r="AZ83">
        <v>0</v>
      </c>
      <c r="BA83">
        <v>96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ROUND(Y83*Source!I42,9)</f>
        <v>0</v>
      </c>
      <c r="CY83">
        <f t="shared" si="46"/>
        <v>0</v>
      </c>
      <c r="CZ83">
        <f t="shared" si="47"/>
        <v>0</v>
      </c>
      <c r="DA83">
        <f t="shared" si="48"/>
        <v>1</v>
      </c>
      <c r="DB83">
        <f t="shared" si="49"/>
        <v>0</v>
      </c>
      <c r="DC83">
        <f t="shared" si="50"/>
        <v>0</v>
      </c>
      <c r="DD83" t="s">
        <v>3</v>
      </c>
      <c r="DE83" t="s">
        <v>3</v>
      </c>
      <c r="DF83">
        <f t="shared" si="42"/>
        <v>0</v>
      </c>
      <c r="DG83">
        <f t="shared" si="43"/>
        <v>0</v>
      </c>
      <c r="DH83">
        <f t="shared" si="44"/>
        <v>0</v>
      </c>
      <c r="DI83">
        <f t="shared" si="41"/>
        <v>0</v>
      </c>
      <c r="DJ83">
        <f t="shared" si="51"/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ROW(Source!A43)</f>
        <v>43</v>
      </c>
      <c r="B84">
        <v>55917799</v>
      </c>
      <c r="C84">
        <v>55983362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339</v>
      </c>
      <c r="J84" t="s">
        <v>3</v>
      </c>
      <c r="K84" t="s">
        <v>340</v>
      </c>
      <c r="L84">
        <v>1191</v>
      </c>
      <c r="N84">
        <v>1013</v>
      </c>
      <c r="O84" t="s">
        <v>341</v>
      </c>
      <c r="P84" t="s">
        <v>341</v>
      </c>
      <c r="Q84">
        <v>1</v>
      </c>
      <c r="W84">
        <v>0</v>
      </c>
      <c r="X84">
        <v>476480486</v>
      </c>
      <c r="Y84">
        <f>((AT84*1.2)*0.3)</f>
        <v>11.88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5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33</v>
      </c>
      <c r="AU84" t="s">
        <v>25</v>
      </c>
      <c r="AV84">
        <v>1</v>
      </c>
      <c r="AW84">
        <v>2</v>
      </c>
      <c r="AX84">
        <v>55983370</v>
      </c>
      <c r="AY84">
        <v>1</v>
      </c>
      <c r="AZ84">
        <v>0</v>
      </c>
      <c r="BA84">
        <v>97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U84">
        <f>ROUND(AT84*Source!I43*AH84*AL84,2)</f>
        <v>0</v>
      </c>
      <c r="CV84">
        <f>ROUND(Y84*Source!I43,9)</f>
        <v>11.88</v>
      </c>
      <c r="CW84">
        <v>0</v>
      </c>
      <c r="CX84">
        <f>ROUND(Y84*Source!I43,9)</f>
        <v>11.88</v>
      </c>
      <c r="CY84">
        <f>AD84</f>
        <v>0</v>
      </c>
      <c r="CZ84">
        <f>AH84</f>
        <v>0</v>
      </c>
      <c r="DA84">
        <f>AL84</f>
        <v>1</v>
      </c>
      <c r="DB84">
        <f>ROUND(((ROUND(AT84*CZ84,2)*1.2)*0.3),6)</f>
        <v>0</v>
      </c>
      <c r="DC84">
        <f>ROUND(((ROUND(AT84*AG84,2)*1.2)*0.3),6)</f>
        <v>0</v>
      </c>
      <c r="DD84" t="s">
        <v>3</v>
      </c>
      <c r="DE84" t="s">
        <v>3</v>
      </c>
      <c r="DF84">
        <f t="shared" si="42"/>
        <v>0</v>
      </c>
      <c r="DG84">
        <f t="shared" si="43"/>
        <v>0</v>
      </c>
      <c r="DH84">
        <f t="shared" si="44"/>
        <v>0</v>
      </c>
      <c r="DI84">
        <f t="shared" si="41"/>
        <v>0</v>
      </c>
      <c r="DJ84">
        <f>DI84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ROW(Source!A43)</f>
        <v>43</v>
      </c>
      <c r="B85">
        <v>55917799</v>
      </c>
      <c r="C85">
        <v>55983362</v>
      </c>
      <c r="D85">
        <v>55460546</v>
      </c>
      <c r="E85">
        <v>1</v>
      </c>
      <c r="F85">
        <v>1</v>
      </c>
      <c r="G85">
        <v>1081</v>
      </c>
      <c r="H85">
        <v>3</v>
      </c>
      <c r="I85" t="s">
        <v>425</v>
      </c>
      <c r="J85" t="s">
        <v>426</v>
      </c>
      <c r="K85" t="s">
        <v>427</v>
      </c>
      <c r="L85">
        <v>1255</v>
      </c>
      <c r="N85">
        <v>1013</v>
      </c>
      <c r="O85" t="s">
        <v>428</v>
      </c>
      <c r="P85" t="s">
        <v>428</v>
      </c>
      <c r="Q85">
        <v>1</v>
      </c>
      <c r="W85">
        <v>0</v>
      </c>
      <c r="X85">
        <v>-1398468845</v>
      </c>
      <c r="Y85">
        <f t="shared" ref="Y85:Y90" si="52">((AT85*1)*0)</f>
        <v>0</v>
      </c>
      <c r="AA85">
        <v>6.82</v>
      </c>
      <c r="AB85">
        <v>0</v>
      </c>
      <c r="AC85">
        <v>0</v>
      </c>
      <c r="AD85">
        <v>0</v>
      </c>
      <c r="AE85">
        <v>0.42</v>
      </c>
      <c r="AF85">
        <v>0</v>
      </c>
      <c r="AG85">
        <v>0</v>
      </c>
      <c r="AH85">
        <v>0</v>
      </c>
      <c r="AI85">
        <v>16.239999999999998</v>
      </c>
      <c r="AJ85">
        <v>1</v>
      </c>
      <c r="AK85">
        <v>1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1.1000000000000001</v>
      </c>
      <c r="AU85" t="s">
        <v>24</v>
      </c>
      <c r="AV85">
        <v>0</v>
      </c>
      <c r="AW85">
        <v>2</v>
      </c>
      <c r="AX85">
        <v>55983371</v>
      </c>
      <c r="AY85">
        <v>1</v>
      </c>
      <c r="AZ85">
        <v>0</v>
      </c>
      <c r="BA85">
        <v>98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ROUND(Y85*Source!I43,9)</f>
        <v>0</v>
      </c>
      <c r="CY85">
        <f t="shared" ref="CY85:CY90" si="53">AA85</f>
        <v>6.82</v>
      </c>
      <c r="CZ85">
        <f t="shared" ref="CZ85:CZ90" si="54">AE85</f>
        <v>0.42</v>
      </c>
      <c r="DA85">
        <f t="shared" ref="DA85:DA90" si="55">AI85</f>
        <v>16.239999999999998</v>
      </c>
      <c r="DB85">
        <f t="shared" ref="DB85:DB90" si="56">ROUND(((ROUND(AT85*CZ85,2)*1)*0),6)</f>
        <v>0</v>
      </c>
      <c r="DC85">
        <f t="shared" ref="DC85:DC90" si="57">ROUND(((ROUND(AT85*AG85,2)*1)*0),6)</f>
        <v>0</v>
      </c>
      <c r="DD85" t="s">
        <v>3</v>
      </c>
      <c r="DE85" t="s">
        <v>3</v>
      </c>
      <c r="DF85">
        <f t="shared" ref="DF85:DF90" si="58">ROUND(ROUND(AE85*AI85,2)*CX85,2)</f>
        <v>0</v>
      </c>
      <c r="DG85">
        <f t="shared" si="43"/>
        <v>0</v>
      </c>
      <c r="DH85">
        <f t="shared" si="44"/>
        <v>0</v>
      </c>
      <c r="DI85">
        <f t="shared" si="41"/>
        <v>0</v>
      </c>
      <c r="DJ85">
        <f t="shared" ref="DJ85:DJ90" si="59">DF85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ROW(Source!A43)</f>
        <v>43</v>
      </c>
      <c r="B86">
        <v>55917799</v>
      </c>
      <c r="C86">
        <v>55983362</v>
      </c>
      <c r="D86">
        <v>55459792</v>
      </c>
      <c r="E86">
        <v>1</v>
      </c>
      <c r="F86">
        <v>1</v>
      </c>
      <c r="G86">
        <v>1081</v>
      </c>
      <c r="H86">
        <v>3</v>
      </c>
      <c r="I86" t="s">
        <v>429</v>
      </c>
      <c r="J86" t="s">
        <v>430</v>
      </c>
      <c r="K86" t="s">
        <v>431</v>
      </c>
      <c r="L86">
        <v>1348</v>
      </c>
      <c r="N86">
        <v>1009</v>
      </c>
      <c r="O86" t="s">
        <v>345</v>
      </c>
      <c r="P86" t="s">
        <v>345</v>
      </c>
      <c r="Q86">
        <v>1000</v>
      </c>
      <c r="W86">
        <v>0</v>
      </c>
      <c r="X86">
        <v>114569696</v>
      </c>
      <c r="Y86">
        <f t="shared" si="52"/>
        <v>0</v>
      </c>
      <c r="AA86">
        <v>1497188.16</v>
      </c>
      <c r="AB86">
        <v>0</v>
      </c>
      <c r="AC86">
        <v>0</v>
      </c>
      <c r="AD86">
        <v>0</v>
      </c>
      <c r="AE86">
        <v>60960.43</v>
      </c>
      <c r="AF86">
        <v>0</v>
      </c>
      <c r="AG86">
        <v>0</v>
      </c>
      <c r="AH86">
        <v>0</v>
      </c>
      <c r="AI86">
        <v>24.56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1.9000000000000001E-4</v>
      </c>
      <c r="AU86" t="s">
        <v>24</v>
      </c>
      <c r="AV86">
        <v>0</v>
      </c>
      <c r="AW86">
        <v>2</v>
      </c>
      <c r="AX86">
        <v>55983372</v>
      </c>
      <c r="AY86">
        <v>1</v>
      </c>
      <c r="AZ86">
        <v>0</v>
      </c>
      <c r="BA86">
        <v>99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ROUND(Y86*Source!I43,9)</f>
        <v>0</v>
      </c>
      <c r="CY86">
        <f t="shared" si="53"/>
        <v>1497188.16</v>
      </c>
      <c r="CZ86">
        <f t="shared" si="54"/>
        <v>60960.43</v>
      </c>
      <c r="DA86">
        <f t="shared" si="55"/>
        <v>24.56</v>
      </c>
      <c r="DB86">
        <f t="shared" si="56"/>
        <v>0</v>
      </c>
      <c r="DC86">
        <f t="shared" si="57"/>
        <v>0</v>
      </c>
      <c r="DD86" t="s">
        <v>3</v>
      </c>
      <c r="DE86" t="s">
        <v>3</v>
      </c>
      <c r="DF86">
        <f t="shared" si="58"/>
        <v>0</v>
      </c>
      <c r="DG86">
        <f t="shared" si="43"/>
        <v>0</v>
      </c>
      <c r="DH86">
        <f t="shared" si="44"/>
        <v>0</v>
      </c>
      <c r="DI86">
        <f t="shared" si="41"/>
        <v>0</v>
      </c>
      <c r="DJ86">
        <f t="shared" si="59"/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ROW(Source!A43)</f>
        <v>43</v>
      </c>
      <c r="B87">
        <v>55917799</v>
      </c>
      <c r="C87">
        <v>55983362</v>
      </c>
      <c r="D87">
        <v>55466338</v>
      </c>
      <c r="E87">
        <v>1</v>
      </c>
      <c r="F87">
        <v>1</v>
      </c>
      <c r="G87">
        <v>1081</v>
      </c>
      <c r="H87">
        <v>3</v>
      </c>
      <c r="I87" t="s">
        <v>364</v>
      </c>
      <c r="J87" t="s">
        <v>365</v>
      </c>
      <c r="K87" t="s">
        <v>366</v>
      </c>
      <c r="L87">
        <v>1349</v>
      </c>
      <c r="N87">
        <v>1009</v>
      </c>
      <c r="O87" t="s">
        <v>367</v>
      </c>
      <c r="P87" t="s">
        <v>367</v>
      </c>
      <c r="Q87">
        <v>1E-3</v>
      </c>
      <c r="W87">
        <v>0</v>
      </c>
      <c r="X87">
        <v>-667754050</v>
      </c>
      <c r="Y87">
        <f t="shared" si="52"/>
        <v>0</v>
      </c>
      <c r="AA87">
        <v>0.44</v>
      </c>
      <c r="AB87">
        <v>0</v>
      </c>
      <c r="AC87">
        <v>0</v>
      </c>
      <c r="AD87">
        <v>0</v>
      </c>
      <c r="AE87">
        <v>7.0000000000000007E-2</v>
      </c>
      <c r="AF87">
        <v>0</v>
      </c>
      <c r="AG87">
        <v>0</v>
      </c>
      <c r="AH87">
        <v>0</v>
      </c>
      <c r="AI87">
        <v>6.29</v>
      </c>
      <c r="AJ87">
        <v>1</v>
      </c>
      <c r="AK87">
        <v>1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20</v>
      </c>
      <c r="AU87" t="s">
        <v>24</v>
      </c>
      <c r="AV87">
        <v>0</v>
      </c>
      <c r="AW87">
        <v>2</v>
      </c>
      <c r="AX87">
        <v>55983373</v>
      </c>
      <c r="AY87">
        <v>1</v>
      </c>
      <c r="AZ87">
        <v>0</v>
      </c>
      <c r="BA87">
        <v>100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ROUND(Y87*Source!I43,9)</f>
        <v>0</v>
      </c>
      <c r="CY87">
        <f t="shared" si="53"/>
        <v>0.44</v>
      </c>
      <c r="CZ87">
        <f t="shared" si="54"/>
        <v>7.0000000000000007E-2</v>
      </c>
      <c r="DA87">
        <f t="shared" si="55"/>
        <v>6.29</v>
      </c>
      <c r="DB87">
        <f t="shared" si="56"/>
        <v>0</v>
      </c>
      <c r="DC87">
        <f t="shared" si="57"/>
        <v>0</v>
      </c>
      <c r="DD87" t="s">
        <v>3</v>
      </c>
      <c r="DE87" t="s">
        <v>3</v>
      </c>
      <c r="DF87">
        <f t="shared" si="58"/>
        <v>0</v>
      </c>
      <c r="DG87">
        <f t="shared" si="43"/>
        <v>0</v>
      </c>
      <c r="DH87">
        <f t="shared" si="44"/>
        <v>0</v>
      </c>
      <c r="DI87">
        <f t="shared" si="41"/>
        <v>0</v>
      </c>
      <c r="DJ87">
        <f t="shared" si="59"/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ROW(Source!A43)</f>
        <v>43</v>
      </c>
      <c r="B88">
        <v>55917799</v>
      </c>
      <c r="C88">
        <v>55983362</v>
      </c>
      <c r="D88">
        <v>55482203</v>
      </c>
      <c r="E88">
        <v>1</v>
      </c>
      <c r="F88">
        <v>1</v>
      </c>
      <c r="G88">
        <v>1081</v>
      </c>
      <c r="H88">
        <v>3</v>
      </c>
      <c r="I88" t="s">
        <v>432</v>
      </c>
      <c r="J88" t="s">
        <v>433</v>
      </c>
      <c r="K88" t="s">
        <v>434</v>
      </c>
      <c r="L88">
        <v>1356</v>
      </c>
      <c r="N88">
        <v>1010</v>
      </c>
      <c r="O88" t="s">
        <v>409</v>
      </c>
      <c r="P88" t="s">
        <v>409</v>
      </c>
      <c r="Q88">
        <v>1000</v>
      </c>
      <c r="W88">
        <v>0</v>
      </c>
      <c r="X88">
        <v>474149623</v>
      </c>
      <c r="Y88">
        <f t="shared" si="52"/>
        <v>0</v>
      </c>
      <c r="AA88">
        <v>1527.69</v>
      </c>
      <c r="AB88">
        <v>0</v>
      </c>
      <c r="AC88">
        <v>0</v>
      </c>
      <c r="AD88">
        <v>0</v>
      </c>
      <c r="AE88">
        <v>226.66</v>
      </c>
      <c r="AF88">
        <v>0</v>
      </c>
      <c r="AG88">
        <v>0</v>
      </c>
      <c r="AH88">
        <v>0</v>
      </c>
      <c r="AI88">
        <v>6.74</v>
      </c>
      <c r="AJ88">
        <v>1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0.04</v>
      </c>
      <c r="AU88" t="s">
        <v>24</v>
      </c>
      <c r="AV88">
        <v>0</v>
      </c>
      <c r="AW88">
        <v>2</v>
      </c>
      <c r="AX88">
        <v>55983374</v>
      </c>
      <c r="AY88">
        <v>1</v>
      </c>
      <c r="AZ88">
        <v>0</v>
      </c>
      <c r="BA88">
        <v>101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ROUND(Y88*Source!I43,9)</f>
        <v>0</v>
      </c>
      <c r="CY88">
        <f t="shared" si="53"/>
        <v>1527.69</v>
      </c>
      <c r="CZ88">
        <f t="shared" si="54"/>
        <v>226.66</v>
      </c>
      <c r="DA88">
        <f t="shared" si="55"/>
        <v>6.74</v>
      </c>
      <c r="DB88">
        <f t="shared" si="56"/>
        <v>0</v>
      </c>
      <c r="DC88">
        <f t="shared" si="57"/>
        <v>0</v>
      </c>
      <c r="DD88" t="s">
        <v>3</v>
      </c>
      <c r="DE88" t="s">
        <v>3</v>
      </c>
      <c r="DF88">
        <f t="shared" si="58"/>
        <v>0</v>
      </c>
      <c r="DG88">
        <f t="shared" si="43"/>
        <v>0</v>
      </c>
      <c r="DH88">
        <f t="shared" si="44"/>
        <v>0</v>
      </c>
      <c r="DI88">
        <f t="shared" si="41"/>
        <v>0</v>
      </c>
      <c r="DJ88">
        <f t="shared" si="59"/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ROW(Source!A43)</f>
        <v>43</v>
      </c>
      <c r="B89">
        <v>55917799</v>
      </c>
      <c r="C89">
        <v>55983362</v>
      </c>
      <c r="D89">
        <v>55482233</v>
      </c>
      <c r="E89">
        <v>1</v>
      </c>
      <c r="F89">
        <v>1</v>
      </c>
      <c r="G89">
        <v>1081</v>
      </c>
      <c r="H89">
        <v>3</v>
      </c>
      <c r="I89" t="s">
        <v>368</v>
      </c>
      <c r="J89" t="s">
        <v>369</v>
      </c>
      <c r="K89" t="s">
        <v>370</v>
      </c>
      <c r="L89">
        <v>1346</v>
      </c>
      <c r="N89">
        <v>1009</v>
      </c>
      <c r="O89" t="s">
        <v>316</v>
      </c>
      <c r="P89" t="s">
        <v>316</v>
      </c>
      <c r="Q89">
        <v>1</v>
      </c>
      <c r="W89">
        <v>0</v>
      </c>
      <c r="X89">
        <v>1566362712</v>
      </c>
      <c r="Y89">
        <f t="shared" si="52"/>
        <v>0</v>
      </c>
      <c r="AA89">
        <v>3047.23</v>
      </c>
      <c r="AB89">
        <v>0</v>
      </c>
      <c r="AC89">
        <v>0</v>
      </c>
      <c r="AD89">
        <v>0</v>
      </c>
      <c r="AE89">
        <v>493.08</v>
      </c>
      <c r="AF89">
        <v>0</v>
      </c>
      <c r="AG89">
        <v>0</v>
      </c>
      <c r="AH89">
        <v>0</v>
      </c>
      <c r="AI89">
        <v>6.18</v>
      </c>
      <c r="AJ89">
        <v>1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0.11</v>
      </c>
      <c r="AU89" t="s">
        <v>24</v>
      </c>
      <c r="AV89">
        <v>0</v>
      </c>
      <c r="AW89">
        <v>2</v>
      </c>
      <c r="AX89">
        <v>55983375</v>
      </c>
      <c r="AY89">
        <v>1</v>
      </c>
      <c r="AZ89">
        <v>0</v>
      </c>
      <c r="BA89">
        <v>102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ROUND(Y89*Source!I43,9)</f>
        <v>0</v>
      </c>
      <c r="CY89">
        <f t="shared" si="53"/>
        <v>3047.23</v>
      </c>
      <c r="CZ89">
        <f t="shared" si="54"/>
        <v>493.08</v>
      </c>
      <c r="DA89">
        <f t="shared" si="55"/>
        <v>6.18</v>
      </c>
      <c r="DB89">
        <f t="shared" si="56"/>
        <v>0</v>
      </c>
      <c r="DC89">
        <f t="shared" si="57"/>
        <v>0</v>
      </c>
      <c r="DD89" t="s">
        <v>3</v>
      </c>
      <c r="DE89" t="s">
        <v>3</v>
      </c>
      <c r="DF89">
        <f t="shared" si="58"/>
        <v>0</v>
      </c>
      <c r="DG89">
        <f t="shared" si="43"/>
        <v>0</v>
      </c>
      <c r="DH89">
        <f t="shared" si="44"/>
        <v>0</v>
      </c>
      <c r="DI89">
        <f t="shared" si="41"/>
        <v>0</v>
      </c>
      <c r="DJ89">
        <f t="shared" si="59"/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ROW(Source!A43)</f>
        <v>43</v>
      </c>
      <c r="B90">
        <v>55917799</v>
      </c>
      <c r="C90">
        <v>55983362</v>
      </c>
      <c r="D90">
        <v>55424290</v>
      </c>
      <c r="E90">
        <v>1081</v>
      </c>
      <c r="F90">
        <v>1</v>
      </c>
      <c r="G90">
        <v>1081</v>
      </c>
      <c r="H90">
        <v>3</v>
      </c>
      <c r="I90" t="s">
        <v>371</v>
      </c>
      <c r="J90" t="s">
        <v>3</v>
      </c>
      <c r="K90" t="s">
        <v>372</v>
      </c>
      <c r="L90">
        <v>1348</v>
      </c>
      <c r="N90">
        <v>1009</v>
      </c>
      <c r="O90" t="s">
        <v>345</v>
      </c>
      <c r="P90" t="s">
        <v>345</v>
      </c>
      <c r="Q90">
        <v>1000</v>
      </c>
      <c r="W90">
        <v>0</v>
      </c>
      <c r="X90">
        <v>-783086922</v>
      </c>
      <c r="Y90">
        <f t="shared" si="52"/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9.84</v>
      </c>
      <c r="AJ90">
        <v>1</v>
      </c>
      <c r="AK90">
        <v>1</v>
      </c>
      <c r="AL90">
        <v>1</v>
      </c>
      <c r="AM90">
        <v>5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7.4999999999999997E-2</v>
      </c>
      <c r="AU90" t="s">
        <v>24</v>
      </c>
      <c r="AV90">
        <v>0</v>
      </c>
      <c r="AW90">
        <v>2</v>
      </c>
      <c r="AX90">
        <v>55983377</v>
      </c>
      <c r="AY90">
        <v>1</v>
      </c>
      <c r="AZ90">
        <v>0</v>
      </c>
      <c r="BA90">
        <v>104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ROUND(Y90*Source!I43,9)</f>
        <v>0</v>
      </c>
      <c r="CY90">
        <f t="shared" si="53"/>
        <v>0</v>
      </c>
      <c r="CZ90">
        <f t="shared" si="54"/>
        <v>0</v>
      </c>
      <c r="DA90">
        <f t="shared" si="55"/>
        <v>9.84</v>
      </c>
      <c r="DB90">
        <f t="shared" si="56"/>
        <v>0</v>
      </c>
      <c r="DC90">
        <f t="shared" si="57"/>
        <v>0</v>
      </c>
      <c r="DD90" t="s">
        <v>3</v>
      </c>
      <c r="DE90" t="s">
        <v>3</v>
      </c>
      <c r="DF90">
        <f t="shared" si="58"/>
        <v>0</v>
      </c>
      <c r="DG90">
        <f t="shared" si="43"/>
        <v>0</v>
      </c>
      <c r="DH90">
        <f t="shared" si="44"/>
        <v>0</v>
      </c>
      <c r="DI90">
        <f t="shared" si="41"/>
        <v>0</v>
      </c>
      <c r="DJ90">
        <f t="shared" si="59"/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ROW(Source!A44)</f>
        <v>44</v>
      </c>
      <c r="B91">
        <v>55917797</v>
      </c>
      <c r="C91">
        <v>55983378</v>
      </c>
      <c r="D91">
        <v>55424304</v>
      </c>
      <c r="E91">
        <v>1081</v>
      </c>
      <c r="F91">
        <v>1</v>
      </c>
      <c r="G91">
        <v>1081</v>
      </c>
      <c r="H91">
        <v>1</v>
      </c>
      <c r="I91" t="s">
        <v>339</v>
      </c>
      <c r="J91" t="s">
        <v>3</v>
      </c>
      <c r="K91" t="s">
        <v>340</v>
      </c>
      <c r="L91">
        <v>1191</v>
      </c>
      <c r="N91">
        <v>1013</v>
      </c>
      <c r="O91" t="s">
        <v>341</v>
      </c>
      <c r="P91" t="s">
        <v>341</v>
      </c>
      <c r="Q91">
        <v>1</v>
      </c>
      <c r="W91">
        <v>0</v>
      </c>
      <c r="X91">
        <v>476480486</v>
      </c>
      <c r="Y91">
        <f>((AT91*1.2)*0.3)</f>
        <v>3.5999999999999996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10</v>
      </c>
      <c r="AU91" t="s">
        <v>25</v>
      </c>
      <c r="AV91">
        <v>1</v>
      </c>
      <c r="AW91">
        <v>2</v>
      </c>
      <c r="AX91">
        <v>55983390</v>
      </c>
      <c r="AY91">
        <v>1</v>
      </c>
      <c r="AZ91">
        <v>0</v>
      </c>
      <c r="BA91">
        <v>105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ROUND(AT91*Source!I44*AH91*AL91,2)</f>
        <v>0</v>
      </c>
      <c r="CV91">
        <f>ROUND(Y91*Source!I44,9)</f>
        <v>3.6</v>
      </c>
      <c r="CW91">
        <v>0</v>
      </c>
      <c r="CX91">
        <f>ROUND(Y91*Source!I44,9)</f>
        <v>3.6</v>
      </c>
      <c r="CY91">
        <f>AD91</f>
        <v>0</v>
      </c>
      <c r="CZ91">
        <f>AH91</f>
        <v>0</v>
      </c>
      <c r="DA91">
        <f>AL91</f>
        <v>1</v>
      </c>
      <c r="DB91">
        <f>ROUND(((ROUND(AT91*CZ91,2)*1.2)*0.3),6)</f>
        <v>0</v>
      </c>
      <c r="DC91">
        <f>ROUND(((ROUND(AT91*AG91,2)*1.2)*0.3),6)</f>
        <v>0</v>
      </c>
      <c r="DD91" t="s">
        <v>3</v>
      </c>
      <c r="DE91" t="s">
        <v>3</v>
      </c>
      <c r="DF91">
        <f t="shared" ref="DF91:DF102" si="60">ROUND(ROUND(AE91,2)*CX91,2)</f>
        <v>0</v>
      </c>
      <c r="DG91">
        <f t="shared" si="43"/>
        <v>0</v>
      </c>
      <c r="DH91">
        <f t="shared" si="44"/>
        <v>0</v>
      </c>
      <c r="DI91">
        <f t="shared" si="41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ROW(Source!A44)</f>
        <v>44</v>
      </c>
      <c r="B92">
        <v>55917797</v>
      </c>
      <c r="C92">
        <v>55983378</v>
      </c>
      <c r="D92">
        <v>55460508</v>
      </c>
      <c r="E92">
        <v>1</v>
      </c>
      <c r="F92">
        <v>1</v>
      </c>
      <c r="G92">
        <v>1081</v>
      </c>
      <c r="H92">
        <v>3</v>
      </c>
      <c r="I92" t="s">
        <v>342</v>
      </c>
      <c r="J92" t="s">
        <v>343</v>
      </c>
      <c r="K92" t="s">
        <v>344</v>
      </c>
      <c r="L92">
        <v>1348</v>
      </c>
      <c r="N92">
        <v>1009</v>
      </c>
      <c r="O92" t="s">
        <v>345</v>
      </c>
      <c r="P92" t="s">
        <v>345</v>
      </c>
      <c r="Q92">
        <v>1000</v>
      </c>
      <c r="W92">
        <v>0</v>
      </c>
      <c r="X92">
        <v>1896261550</v>
      </c>
      <c r="Y92">
        <f t="shared" ref="Y92:Y101" si="61">((AT92*1)*0)</f>
        <v>0</v>
      </c>
      <c r="AA92">
        <v>12287.39</v>
      </c>
      <c r="AB92">
        <v>0</v>
      </c>
      <c r="AC92">
        <v>0</v>
      </c>
      <c r="AD92">
        <v>0</v>
      </c>
      <c r="AE92">
        <v>12287.39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2.0000000000000001E-4</v>
      </c>
      <c r="AU92" t="s">
        <v>24</v>
      </c>
      <c r="AV92">
        <v>0</v>
      </c>
      <c r="AW92">
        <v>2</v>
      </c>
      <c r="AX92">
        <v>55983391</v>
      </c>
      <c r="AY92">
        <v>1</v>
      </c>
      <c r="AZ92">
        <v>0</v>
      </c>
      <c r="BA92">
        <v>106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ROUND(Y92*Source!I44,9)</f>
        <v>0</v>
      </c>
      <c r="CY92">
        <f t="shared" ref="CY92:CY101" si="62">AA92</f>
        <v>12287.39</v>
      </c>
      <c r="CZ92">
        <f t="shared" ref="CZ92:CZ101" si="63">AE92</f>
        <v>12287.39</v>
      </c>
      <c r="DA92">
        <f t="shared" ref="DA92:DA101" si="64">AI92</f>
        <v>1</v>
      </c>
      <c r="DB92">
        <f t="shared" ref="DB92:DB101" si="65">ROUND(((ROUND(AT92*CZ92,2)*1)*0),6)</f>
        <v>0</v>
      </c>
      <c r="DC92">
        <f t="shared" ref="DC92:DC101" si="66">ROUND(((ROUND(AT92*AG92,2)*1)*0),6)</f>
        <v>0</v>
      </c>
      <c r="DD92" t="s">
        <v>3</v>
      </c>
      <c r="DE92" t="s">
        <v>3</v>
      </c>
      <c r="DF92">
        <f t="shared" si="60"/>
        <v>0</v>
      </c>
      <c r="DG92">
        <f t="shared" si="43"/>
        <v>0</v>
      </c>
      <c r="DH92">
        <f t="shared" si="44"/>
        <v>0</v>
      </c>
      <c r="DI92">
        <f t="shared" si="41"/>
        <v>0</v>
      </c>
      <c r="DJ92">
        <f t="shared" ref="DJ92:DJ101" si="67">DF92</f>
        <v>0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ROW(Source!A44)</f>
        <v>44</v>
      </c>
      <c r="B93">
        <v>55917797</v>
      </c>
      <c r="C93">
        <v>55983378</v>
      </c>
      <c r="D93">
        <v>55460545</v>
      </c>
      <c r="E93">
        <v>1</v>
      </c>
      <c r="F93">
        <v>1</v>
      </c>
      <c r="G93">
        <v>1081</v>
      </c>
      <c r="H93">
        <v>3</v>
      </c>
      <c r="I93" t="s">
        <v>346</v>
      </c>
      <c r="J93" t="s">
        <v>347</v>
      </c>
      <c r="K93" t="s">
        <v>348</v>
      </c>
      <c r="L93">
        <v>1348</v>
      </c>
      <c r="N93">
        <v>1009</v>
      </c>
      <c r="O93" t="s">
        <v>345</v>
      </c>
      <c r="P93" t="s">
        <v>345</v>
      </c>
      <c r="Q93">
        <v>1000</v>
      </c>
      <c r="W93">
        <v>0</v>
      </c>
      <c r="X93">
        <v>1967598333</v>
      </c>
      <c r="Y93">
        <f t="shared" si="61"/>
        <v>0</v>
      </c>
      <c r="AA93">
        <v>3772.37</v>
      </c>
      <c r="AB93">
        <v>0</v>
      </c>
      <c r="AC93">
        <v>0</v>
      </c>
      <c r="AD93">
        <v>0</v>
      </c>
      <c r="AE93">
        <v>3772.37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1.0000000000000001E-5</v>
      </c>
      <c r="AU93" t="s">
        <v>24</v>
      </c>
      <c r="AV93">
        <v>0</v>
      </c>
      <c r="AW93">
        <v>2</v>
      </c>
      <c r="AX93">
        <v>55983392</v>
      </c>
      <c r="AY93">
        <v>1</v>
      </c>
      <c r="AZ93">
        <v>0</v>
      </c>
      <c r="BA93">
        <v>107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ROUND(Y93*Source!I44,9)</f>
        <v>0</v>
      </c>
      <c r="CY93">
        <f t="shared" si="62"/>
        <v>3772.37</v>
      </c>
      <c r="CZ93">
        <f t="shared" si="63"/>
        <v>3772.37</v>
      </c>
      <c r="DA93">
        <f t="shared" si="64"/>
        <v>1</v>
      </c>
      <c r="DB93">
        <f t="shared" si="65"/>
        <v>0</v>
      </c>
      <c r="DC93">
        <f t="shared" si="66"/>
        <v>0</v>
      </c>
      <c r="DD93" t="s">
        <v>3</v>
      </c>
      <c r="DE93" t="s">
        <v>3</v>
      </c>
      <c r="DF93">
        <f t="shared" si="60"/>
        <v>0</v>
      </c>
      <c r="DG93">
        <f t="shared" si="43"/>
        <v>0</v>
      </c>
      <c r="DH93">
        <f t="shared" si="44"/>
        <v>0</v>
      </c>
      <c r="DI93">
        <f t="shared" si="41"/>
        <v>0</v>
      </c>
      <c r="DJ93">
        <f t="shared" si="67"/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ROW(Source!A44)</f>
        <v>44</v>
      </c>
      <c r="B94">
        <v>55917797</v>
      </c>
      <c r="C94">
        <v>55983378</v>
      </c>
      <c r="D94">
        <v>55461230</v>
      </c>
      <c r="E94">
        <v>1</v>
      </c>
      <c r="F94">
        <v>1</v>
      </c>
      <c r="G94">
        <v>1081</v>
      </c>
      <c r="H94">
        <v>3</v>
      </c>
      <c r="I94" t="s">
        <v>349</v>
      </c>
      <c r="J94" t="s">
        <v>350</v>
      </c>
      <c r="K94" t="s">
        <v>351</v>
      </c>
      <c r="L94">
        <v>1346</v>
      </c>
      <c r="N94">
        <v>1009</v>
      </c>
      <c r="O94" t="s">
        <v>316</v>
      </c>
      <c r="P94" t="s">
        <v>316</v>
      </c>
      <c r="Q94">
        <v>1</v>
      </c>
      <c r="W94">
        <v>0</v>
      </c>
      <c r="X94">
        <v>1561715650</v>
      </c>
      <c r="Y94">
        <f t="shared" si="61"/>
        <v>0</v>
      </c>
      <c r="AA94">
        <v>15.11</v>
      </c>
      <c r="AB94">
        <v>0</v>
      </c>
      <c r="AC94">
        <v>0</v>
      </c>
      <c r="AD94">
        <v>0</v>
      </c>
      <c r="AE94">
        <v>15.11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0.02</v>
      </c>
      <c r="AU94" t="s">
        <v>24</v>
      </c>
      <c r="AV94">
        <v>0</v>
      </c>
      <c r="AW94">
        <v>2</v>
      </c>
      <c r="AX94">
        <v>55983393</v>
      </c>
      <c r="AY94">
        <v>1</v>
      </c>
      <c r="AZ94">
        <v>0</v>
      </c>
      <c r="BA94">
        <v>108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ROUND(Y94*Source!I44,9)</f>
        <v>0</v>
      </c>
      <c r="CY94">
        <f t="shared" si="62"/>
        <v>15.11</v>
      </c>
      <c r="CZ94">
        <f t="shared" si="63"/>
        <v>15.11</v>
      </c>
      <c r="DA94">
        <f t="shared" si="64"/>
        <v>1</v>
      </c>
      <c r="DB94">
        <f t="shared" si="65"/>
        <v>0</v>
      </c>
      <c r="DC94">
        <f t="shared" si="66"/>
        <v>0</v>
      </c>
      <c r="DD94" t="s">
        <v>3</v>
      </c>
      <c r="DE94" t="s">
        <v>3</v>
      </c>
      <c r="DF94">
        <f t="shared" si="60"/>
        <v>0</v>
      </c>
      <c r="DG94">
        <f t="shared" si="43"/>
        <v>0</v>
      </c>
      <c r="DH94">
        <f t="shared" si="44"/>
        <v>0</v>
      </c>
      <c r="DI94">
        <f t="shared" si="41"/>
        <v>0</v>
      </c>
      <c r="DJ94">
        <f t="shared" si="67"/>
        <v>0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ROW(Source!A44)</f>
        <v>44</v>
      </c>
      <c r="B95">
        <v>55917797</v>
      </c>
      <c r="C95">
        <v>55983378</v>
      </c>
      <c r="D95">
        <v>55461426</v>
      </c>
      <c r="E95">
        <v>1</v>
      </c>
      <c r="F95">
        <v>1</v>
      </c>
      <c r="G95">
        <v>1081</v>
      </c>
      <c r="H95">
        <v>3</v>
      </c>
      <c r="I95" t="s">
        <v>352</v>
      </c>
      <c r="J95" t="s">
        <v>353</v>
      </c>
      <c r="K95" t="s">
        <v>354</v>
      </c>
      <c r="L95">
        <v>1346</v>
      </c>
      <c r="N95">
        <v>1009</v>
      </c>
      <c r="O95" t="s">
        <v>316</v>
      </c>
      <c r="P95" t="s">
        <v>316</v>
      </c>
      <c r="Q95">
        <v>1</v>
      </c>
      <c r="W95">
        <v>0</v>
      </c>
      <c r="X95">
        <v>-1175794599</v>
      </c>
      <c r="Y95">
        <f t="shared" si="61"/>
        <v>0</v>
      </c>
      <c r="AA95">
        <v>35.590000000000003</v>
      </c>
      <c r="AB95">
        <v>0</v>
      </c>
      <c r="AC95">
        <v>0</v>
      </c>
      <c r="AD95">
        <v>0</v>
      </c>
      <c r="AE95">
        <v>35.590000000000003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0.5</v>
      </c>
      <c r="AU95" t="s">
        <v>24</v>
      </c>
      <c r="AV95">
        <v>0</v>
      </c>
      <c r="AW95">
        <v>2</v>
      </c>
      <c r="AX95">
        <v>55983394</v>
      </c>
      <c r="AY95">
        <v>1</v>
      </c>
      <c r="AZ95">
        <v>0</v>
      </c>
      <c r="BA95">
        <v>109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ROUND(Y95*Source!I44,9)</f>
        <v>0</v>
      </c>
      <c r="CY95">
        <f t="shared" si="62"/>
        <v>35.590000000000003</v>
      </c>
      <c r="CZ95">
        <f t="shared" si="63"/>
        <v>35.590000000000003</v>
      </c>
      <c r="DA95">
        <f t="shared" si="64"/>
        <v>1</v>
      </c>
      <c r="DB95">
        <f t="shared" si="65"/>
        <v>0</v>
      </c>
      <c r="DC95">
        <f t="shared" si="66"/>
        <v>0</v>
      </c>
      <c r="DD95" t="s">
        <v>3</v>
      </c>
      <c r="DE95" t="s">
        <v>3</v>
      </c>
      <c r="DF95">
        <f t="shared" si="60"/>
        <v>0</v>
      </c>
      <c r="DG95">
        <f t="shared" si="43"/>
        <v>0</v>
      </c>
      <c r="DH95">
        <f t="shared" si="44"/>
        <v>0</v>
      </c>
      <c r="DI95">
        <f t="shared" si="41"/>
        <v>0</v>
      </c>
      <c r="DJ95">
        <f t="shared" si="67"/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ROW(Source!A44)</f>
        <v>44</v>
      </c>
      <c r="B96">
        <v>55917797</v>
      </c>
      <c r="C96">
        <v>55983378</v>
      </c>
      <c r="D96">
        <v>55459400</v>
      </c>
      <c r="E96">
        <v>1</v>
      </c>
      <c r="F96">
        <v>1</v>
      </c>
      <c r="G96">
        <v>1081</v>
      </c>
      <c r="H96">
        <v>3</v>
      </c>
      <c r="I96" t="s">
        <v>355</v>
      </c>
      <c r="J96" t="s">
        <v>356</v>
      </c>
      <c r="K96" t="s">
        <v>357</v>
      </c>
      <c r="L96">
        <v>1346</v>
      </c>
      <c r="N96">
        <v>1009</v>
      </c>
      <c r="O96" t="s">
        <v>316</v>
      </c>
      <c r="P96" t="s">
        <v>316</v>
      </c>
      <c r="Q96">
        <v>1</v>
      </c>
      <c r="W96">
        <v>0</v>
      </c>
      <c r="X96">
        <v>-2129869794</v>
      </c>
      <c r="Y96">
        <f t="shared" si="61"/>
        <v>0</v>
      </c>
      <c r="AA96">
        <v>16.690000000000001</v>
      </c>
      <c r="AB96">
        <v>0</v>
      </c>
      <c r="AC96">
        <v>0</v>
      </c>
      <c r="AD96">
        <v>0</v>
      </c>
      <c r="AE96">
        <v>16.690000000000001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0.05</v>
      </c>
      <c r="AU96" t="s">
        <v>24</v>
      </c>
      <c r="AV96">
        <v>0</v>
      </c>
      <c r="AW96">
        <v>2</v>
      </c>
      <c r="AX96">
        <v>55983395</v>
      </c>
      <c r="AY96">
        <v>1</v>
      </c>
      <c r="AZ96">
        <v>0</v>
      </c>
      <c r="BA96">
        <v>110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ROUND(Y96*Source!I44,9)</f>
        <v>0</v>
      </c>
      <c r="CY96">
        <f t="shared" si="62"/>
        <v>16.690000000000001</v>
      </c>
      <c r="CZ96">
        <f t="shared" si="63"/>
        <v>16.690000000000001</v>
      </c>
      <c r="DA96">
        <f t="shared" si="64"/>
        <v>1</v>
      </c>
      <c r="DB96">
        <f t="shared" si="65"/>
        <v>0</v>
      </c>
      <c r="DC96">
        <f t="shared" si="66"/>
        <v>0</v>
      </c>
      <c r="DD96" t="s">
        <v>3</v>
      </c>
      <c r="DE96" t="s">
        <v>3</v>
      </c>
      <c r="DF96">
        <f t="shared" si="60"/>
        <v>0</v>
      </c>
      <c r="DG96">
        <f t="shared" si="43"/>
        <v>0</v>
      </c>
      <c r="DH96">
        <f t="shared" si="44"/>
        <v>0</v>
      </c>
      <c r="DI96">
        <f t="shared" si="41"/>
        <v>0</v>
      </c>
      <c r="DJ96">
        <f t="shared" si="67"/>
        <v>0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5">
      <c r="A97">
        <f>ROW(Source!A44)</f>
        <v>44</v>
      </c>
      <c r="B97">
        <v>55917797</v>
      </c>
      <c r="C97">
        <v>55983378</v>
      </c>
      <c r="D97">
        <v>55459404</v>
      </c>
      <c r="E97">
        <v>1</v>
      </c>
      <c r="F97">
        <v>1</v>
      </c>
      <c r="G97">
        <v>1081</v>
      </c>
      <c r="H97">
        <v>3</v>
      </c>
      <c r="I97" t="s">
        <v>358</v>
      </c>
      <c r="J97" t="s">
        <v>359</v>
      </c>
      <c r="K97" t="s">
        <v>360</v>
      </c>
      <c r="L97">
        <v>1346</v>
      </c>
      <c r="N97">
        <v>1009</v>
      </c>
      <c r="O97" t="s">
        <v>316</v>
      </c>
      <c r="P97" t="s">
        <v>316</v>
      </c>
      <c r="Q97">
        <v>1</v>
      </c>
      <c r="W97">
        <v>0</v>
      </c>
      <c r="X97">
        <v>669791865</v>
      </c>
      <c r="Y97">
        <f t="shared" si="61"/>
        <v>0</v>
      </c>
      <c r="AA97">
        <v>73.53</v>
      </c>
      <c r="AB97">
        <v>0</v>
      </c>
      <c r="AC97">
        <v>0</v>
      </c>
      <c r="AD97">
        <v>0</v>
      </c>
      <c r="AE97">
        <v>73.53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0.2</v>
      </c>
      <c r="AU97" t="s">
        <v>24</v>
      </c>
      <c r="AV97">
        <v>0</v>
      </c>
      <c r="AW97">
        <v>2</v>
      </c>
      <c r="AX97">
        <v>55983396</v>
      </c>
      <c r="AY97">
        <v>1</v>
      </c>
      <c r="AZ97">
        <v>0</v>
      </c>
      <c r="BA97">
        <v>111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ROUND(Y97*Source!I44,9)</f>
        <v>0</v>
      </c>
      <c r="CY97">
        <f t="shared" si="62"/>
        <v>73.53</v>
      </c>
      <c r="CZ97">
        <f t="shared" si="63"/>
        <v>73.53</v>
      </c>
      <c r="DA97">
        <f t="shared" si="64"/>
        <v>1</v>
      </c>
      <c r="DB97">
        <f t="shared" si="65"/>
        <v>0</v>
      </c>
      <c r="DC97">
        <f t="shared" si="66"/>
        <v>0</v>
      </c>
      <c r="DD97" t="s">
        <v>3</v>
      </c>
      <c r="DE97" t="s">
        <v>3</v>
      </c>
      <c r="DF97">
        <f t="shared" si="60"/>
        <v>0</v>
      </c>
      <c r="DG97">
        <f t="shared" si="43"/>
        <v>0</v>
      </c>
      <c r="DH97">
        <f t="shared" si="44"/>
        <v>0</v>
      </c>
      <c r="DI97">
        <f t="shared" si="41"/>
        <v>0</v>
      </c>
      <c r="DJ97">
        <f t="shared" si="67"/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ROW(Source!A44)</f>
        <v>44</v>
      </c>
      <c r="B98">
        <v>55917797</v>
      </c>
      <c r="C98">
        <v>55983378</v>
      </c>
      <c r="D98">
        <v>55459793</v>
      </c>
      <c r="E98">
        <v>1</v>
      </c>
      <c r="F98">
        <v>1</v>
      </c>
      <c r="G98">
        <v>1081</v>
      </c>
      <c r="H98">
        <v>3</v>
      </c>
      <c r="I98" t="s">
        <v>361</v>
      </c>
      <c r="J98" t="s">
        <v>362</v>
      </c>
      <c r="K98" t="s">
        <v>363</v>
      </c>
      <c r="L98">
        <v>1348</v>
      </c>
      <c r="N98">
        <v>1009</v>
      </c>
      <c r="O98" t="s">
        <v>345</v>
      </c>
      <c r="P98" t="s">
        <v>345</v>
      </c>
      <c r="Q98">
        <v>1000</v>
      </c>
      <c r="W98">
        <v>0</v>
      </c>
      <c r="X98">
        <v>-761454284</v>
      </c>
      <c r="Y98">
        <f t="shared" si="61"/>
        <v>0</v>
      </c>
      <c r="AA98">
        <v>64123.05</v>
      </c>
      <c r="AB98">
        <v>0</v>
      </c>
      <c r="AC98">
        <v>0</v>
      </c>
      <c r="AD98">
        <v>0</v>
      </c>
      <c r="AE98">
        <v>64123.05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2.0000000000000001E-4</v>
      </c>
      <c r="AU98" t="s">
        <v>24</v>
      </c>
      <c r="AV98">
        <v>0</v>
      </c>
      <c r="AW98">
        <v>2</v>
      </c>
      <c r="AX98">
        <v>55983397</v>
      </c>
      <c r="AY98">
        <v>1</v>
      </c>
      <c r="AZ98">
        <v>0</v>
      </c>
      <c r="BA98">
        <v>112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ROUND(Y98*Source!I44,9)</f>
        <v>0</v>
      </c>
      <c r="CY98">
        <f t="shared" si="62"/>
        <v>64123.05</v>
      </c>
      <c r="CZ98">
        <f t="shared" si="63"/>
        <v>64123.05</v>
      </c>
      <c r="DA98">
        <f t="shared" si="64"/>
        <v>1</v>
      </c>
      <c r="DB98">
        <f t="shared" si="65"/>
        <v>0</v>
      </c>
      <c r="DC98">
        <f t="shared" si="66"/>
        <v>0</v>
      </c>
      <c r="DD98" t="s">
        <v>3</v>
      </c>
      <c r="DE98" t="s">
        <v>3</v>
      </c>
      <c r="DF98">
        <f t="shared" si="60"/>
        <v>0</v>
      </c>
      <c r="DG98">
        <f t="shared" si="43"/>
        <v>0</v>
      </c>
      <c r="DH98">
        <f t="shared" si="44"/>
        <v>0</v>
      </c>
      <c r="DI98">
        <f t="shared" si="41"/>
        <v>0</v>
      </c>
      <c r="DJ98">
        <f t="shared" si="67"/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ROW(Source!A44)</f>
        <v>44</v>
      </c>
      <c r="B99">
        <v>55917797</v>
      </c>
      <c r="C99">
        <v>55983378</v>
      </c>
      <c r="D99">
        <v>55466338</v>
      </c>
      <c r="E99">
        <v>1</v>
      </c>
      <c r="F99">
        <v>1</v>
      </c>
      <c r="G99">
        <v>1081</v>
      </c>
      <c r="H99">
        <v>3</v>
      </c>
      <c r="I99" t="s">
        <v>364</v>
      </c>
      <c r="J99" t="s">
        <v>365</v>
      </c>
      <c r="K99" t="s">
        <v>366</v>
      </c>
      <c r="L99">
        <v>1349</v>
      </c>
      <c r="N99">
        <v>1009</v>
      </c>
      <c r="O99" t="s">
        <v>367</v>
      </c>
      <c r="P99" t="s">
        <v>367</v>
      </c>
      <c r="Q99">
        <v>1E-3</v>
      </c>
      <c r="W99">
        <v>0</v>
      </c>
      <c r="X99">
        <v>-667754050</v>
      </c>
      <c r="Y99">
        <f t="shared" si="61"/>
        <v>0</v>
      </c>
      <c r="AA99">
        <v>7.0000000000000007E-2</v>
      </c>
      <c r="AB99">
        <v>0</v>
      </c>
      <c r="AC99">
        <v>0</v>
      </c>
      <c r="AD99">
        <v>0</v>
      </c>
      <c r="AE99">
        <v>7.0000000000000007E-2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100</v>
      </c>
      <c r="AU99" t="s">
        <v>24</v>
      </c>
      <c r="AV99">
        <v>0</v>
      </c>
      <c r="AW99">
        <v>2</v>
      </c>
      <c r="AX99">
        <v>55983398</v>
      </c>
      <c r="AY99">
        <v>1</v>
      </c>
      <c r="AZ99">
        <v>0</v>
      </c>
      <c r="BA99">
        <v>113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ROUND(Y99*Source!I44,9)</f>
        <v>0</v>
      </c>
      <c r="CY99">
        <f t="shared" si="62"/>
        <v>7.0000000000000007E-2</v>
      </c>
      <c r="CZ99">
        <f t="shared" si="63"/>
        <v>7.0000000000000007E-2</v>
      </c>
      <c r="DA99">
        <f t="shared" si="64"/>
        <v>1</v>
      </c>
      <c r="DB99">
        <f t="shared" si="65"/>
        <v>0</v>
      </c>
      <c r="DC99">
        <f t="shared" si="66"/>
        <v>0</v>
      </c>
      <c r="DD99" t="s">
        <v>3</v>
      </c>
      <c r="DE99" t="s">
        <v>3</v>
      </c>
      <c r="DF99">
        <f t="shared" si="60"/>
        <v>0</v>
      </c>
      <c r="DG99">
        <f t="shared" si="43"/>
        <v>0</v>
      </c>
      <c r="DH99">
        <f t="shared" si="44"/>
        <v>0</v>
      </c>
      <c r="DI99">
        <f t="shared" si="41"/>
        <v>0</v>
      </c>
      <c r="DJ99">
        <f t="shared" si="67"/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ROW(Source!A44)</f>
        <v>44</v>
      </c>
      <c r="B100">
        <v>55917797</v>
      </c>
      <c r="C100">
        <v>55983378</v>
      </c>
      <c r="D100">
        <v>55482233</v>
      </c>
      <c r="E100">
        <v>1</v>
      </c>
      <c r="F100">
        <v>1</v>
      </c>
      <c r="G100">
        <v>1081</v>
      </c>
      <c r="H100">
        <v>3</v>
      </c>
      <c r="I100" t="s">
        <v>368</v>
      </c>
      <c r="J100" t="s">
        <v>369</v>
      </c>
      <c r="K100" t="s">
        <v>370</v>
      </c>
      <c r="L100">
        <v>1346</v>
      </c>
      <c r="N100">
        <v>1009</v>
      </c>
      <c r="O100" t="s">
        <v>316</v>
      </c>
      <c r="P100" t="s">
        <v>316</v>
      </c>
      <c r="Q100">
        <v>1</v>
      </c>
      <c r="W100">
        <v>0</v>
      </c>
      <c r="X100">
        <v>1566362712</v>
      </c>
      <c r="Y100">
        <f t="shared" si="61"/>
        <v>0</v>
      </c>
      <c r="AA100">
        <v>493.08</v>
      </c>
      <c r="AB100">
        <v>0</v>
      </c>
      <c r="AC100">
        <v>0</v>
      </c>
      <c r="AD100">
        <v>0</v>
      </c>
      <c r="AE100">
        <v>493.08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0.04</v>
      </c>
      <c r="AU100" t="s">
        <v>24</v>
      </c>
      <c r="AV100">
        <v>0</v>
      </c>
      <c r="AW100">
        <v>2</v>
      </c>
      <c r="AX100">
        <v>55983399</v>
      </c>
      <c r="AY100">
        <v>1</v>
      </c>
      <c r="AZ100">
        <v>0</v>
      </c>
      <c r="BA100">
        <v>114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ROUND(Y100*Source!I44,9)</f>
        <v>0</v>
      </c>
      <c r="CY100">
        <f t="shared" si="62"/>
        <v>493.08</v>
      </c>
      <c r="CZ100">
        <f t="shared" si="63"/>
        <v>493.08</v>
      </c>
      <c r="DA100">
        <f t="shared" si="64"/>
        <v>1</v>
      </c>
      <c r="DB100">
        <f t="shared" si="65"/>
        <v>0</v>
      </c>
      <c r="DC100">
        <f t="shared" si="66"/>
        <v>0</v>
      </c>
      <c r="DD100" t="s">
        <v>3</v>
      </c>
      <c r="DE100" t="s">
        <v>3</v>
      </c>
      <c r="DF100">
        <f t="shared" si="60"/>
        <v>0</v>
      </c>
      <c r="DG100">
        <f t="shared" si="43"/>
        <v>0</v>
      </c>
      <c r="DH100">
        <f t="shared" si="44"/>
        <v>0</v>
      </c>
      <c r="DI100">
        <f t="shared" si="41"/>
        <v>0</v>
      </c>
      <c r="DJ100">
        <f t="shared" si="67"/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ROW(Source!A44)</f>
        <v>44</v>
      </c>
      <c r="B101">
        <v>55917797</v>
      </c>
      <c r="C101">
        <v>55983378</v>
      </c>
      <c r="D101">
        <v>55424290</v>
      </c>
      <c r="E101">
        <v>1081</v>
      </c>
      <c r="F101">
        <v>1</v>
      </c>
      <c r="G101">
        <v>1081</v>
      </c>
      <c r="H101">
        <v>3</v>
      </c>
      <c r="I101" t="s">
        <v>371</v>
      </c>
      <c r="J101" t="s">
        <v>3</v>
      </c>
      <c r="K101" t="s">
        <v>372</v>
      </c>
      <c r="L101">
        <v>1348</v>
      </c>
      <c r="N101">
        <v>1009</v>
      </c>
      <c r="O101" t="s">
        <v>345</v>
      </c>
      <c r="P101" t="s">
        <v>345</v>
      </c>
      <c r="Q101">
        <v>1000</v>
      </c>
      <c r="W101">
        <v>0</v>
      </c>
      <c r="X101">
        <v>-783086922</v>
      </c>
      <c r="Y101">
        <f t="shared" si="61"/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1.2E-2</v>
      </c>
      <c r="AU101" t="s">
        <v>24</v>
      </c>
      <c r="AV101">
        <v>0</v>
      </c>
      <c r="AW101">
        <v>2</v>
      </c>
      <c r="AX101">
        <v>55983401</v>
      </c>
      <c r="AY101">
        <v>1</v>
      </c>
      <c r="AZ101">
        <v>0</v>
      </c>
      <c r="BA101">
        <v>116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ROUND(Y101*Source!I44,9)</f>
        <v>0</v>
      </c>
      <c r="CY101">
        <f t="shared" si="62"/>
        <v>0</v>
      </c>
      <c r="CZ101">
        <f t="shared" si="63"/>
        <v>0</v>
      </c>
      <c r="DA101">
        <f t="shared" si="64"/>
        <v>1</v>
      </c>
      <c r="DB101">
        <f t="shared" si="65"/>
        <v>0</v>
      </c>
      <c r="DC101">
        <f t="shared" si="66"/>
        <v>0</v>
      </c>
      <c r="DD101" t="s">
        <v>3</v>
      </c>
      <c r="DE101" t="s">
        <v>3</v>
      </c>
      <c r="DF101">
        <f t="shared" si="60"/>
        <v>0</v>
      </c>
      <c r="DG101">
        <f t="shared" si="43"/>
        <v>0</v>
      </c>
      <c r="DH101">
        <f t="shared" si="44"/>
        <v>0</v>
      </c>
      <c r="DI101">
        <f t="shared" si="41"/>
        <v>0</v>
      </c>
      <c r="DJ101">
        <f t="shared" si="67"/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ROW(Source!A45)</f>
        <v>45</v>
      </c>
      <c r="B102">
        <v>55917799</v>
      </c>
      <c r="C102">
        <v>55983378</v>
      </c>
      <c r="D102">
        <v>55424304</v>
      </c>
      <c r="E102">
        <v>1081</v>
      </c>
      <c r="F102">
        <v>1</v>
      </c>
      <c r="G102">
        <v>1081</v>
      </c>
      <c r="H102">
        <v>1</v>
      </c>
      <c r="I102" t="s">
        <v>339</v>
      </c>
      <c r="J102" t="s">
        <v>3</v>
      </c>
      <c r="K102" t="s">
        <v>340</v>
      </c>
      <c r="L102">
        <v>1191</v>
      </c>
      <c r="N102">
        <v>1013</v>
      </c>
      <c r="O102" t="s">
        <v>341</v>
      </c>
      <c r="P102" t="s">
        <v>341</v>
      </c>
      <c r="Q102">
        <v>1</v>
      </c>
      <c r="W102">
        <v>0</v>
      </c>
      <c r="X102">
        <v>476480486</v>
      </c>
      <c r="Y102">
        <f>((AT102*1.2)*0.3)</f>
        <v>3.5999999999999996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5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10</v>
      </c>
      <c r="AU102" t="s">
        <v>25</v>
      </c>
      <c r="AV102">
        <v>1</v>
      </c>
      <c r="AW102">
        <v>2</v>
      </c>
      <c r="AX102">
        <v>55983390</v>
      </c>
      <c r="AY102">
        <v>1</v>
      </c>
      <c r="AZ102">
        <v>0</v>
      </c>
      <c r="BA102">
        <v>117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U102">
        <f>ROUND(AT102*Source!I45*AH102*AL102,2)</f>
        <v>0</v>
      </c>
      <c r="CV102">
        <f>ROUND(Y102*Source!I45,9)</f>
        <v>3.6</v>
      </c>
      <c r="CW102">
        <v>0</v>
      </c>
      <c r="CX102">
        <f>ROUND(Y102*Source!I45,9)</f>
        <v>3.6</v>
      </c>
      <c r="CY102">
        <f>AD102</f>
        <v>0</v>
      </c>
      <c r="CZ102">
        <f>AH102</f>
        <v>0</v>
      </c>
      <c r="DA102">
        <f>AL102</f>
        <v>1</v>
      </c>
      <c r="DB102">
        <f>ROUND(((ROUND(AT102*CZ102,2)*1.2)*0.3),6)</f>
        <v>0</v>
      </c>
      <c r="DC102">
        <f>ROUND(((ROUND(AT102*AG102,2)*1.2)*0.3),6)</f>
        <v>0</v>
      </c>
      <c r="DD102" t="s">
        <v>3</v>
      </c>
      <c r="DE102" t="s">
        <v>3</v>
      </c>
      <c r="DF102">
        <f t="shared" si="60"/>
        <v>0</v>
      </c>
      <c r="DG102">
        <f t="shared" si="43"/>
        <v>0</v>
      </c>
      <c r="DH102">
        <f t="shared" si="44"/>
        <v>0</v>
      </c>
      <c r="DI102">
        <f t="shared" si="41"/>
        <v>0</v>
      </c>
      <c r="DJ102">
        <f>DI102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ROW(Source!A45)</f>
        <v>45</v>
      </c>
      <c r="B103">
        <v>55917799</v>
      </c>
      <c r="C103">
        <v>55983378</v>
      </c>
      <c r="D103">
        <v>55460508</v>
      </c>
      <c r="E103">
        <v>1</v>
      </c>
      <c r="F103">
        <v>1</v>
      </c>
      <c r="G103">
        <v>1081</v>
      </c>
      <c r="H103">
        <v>3</v>
      </c>
      <c r="I103" t="s">
        <v>342</v>
      </c>
      <c r="J103" t="s">
        <v>343</v>
      </c>
      <c r="K103" t="s">
        <v>344</v>
      </c>
      <c r="L103">
        <v>1348</v>
      </c>
      <c r="N103">
        <v>1009</v>
      </c>
      <c r="O103" t="s">
        <v>345</v>
      </c>
      <c r="P103" t="s">
        <v>345</v>
      </c>
      <c r="Q103">
        <v>1000</v>
      </c>
      <c r="W103">
        <v>0</v>
      </c>
      <c r="X103">
        <v>1896261550</v>
      </c>
      <c r="Y103">
        <f t="shared" ref="Y103:Y112" si="68">((AT103*1)*0)</f>
        <v>0</v>
      </c>
      <c r="AA103">
        <v>199670.09</v>
      </c>
      <c r="AB103">
        <v>0</v>
      </c>
      <c r="AC103">
        <v>0</v>
      </c>
      <c r="AD103">
        <v>0</v>
      </c>
      <c r="AE103">
        <v>12287.39</v>
      </c>
      <c r="AF103">
        <v>0</v>
      </c>
      <c r="AG103">
        <v>0</v>
      </c>
      <c r="AH103">
        <v>0</v>
      </c>
      <c r="AI103">
        <v>16.25</v>
      </c>
      <c r="AJ103">
        <v>1</v>
      </c>
      <c r="AK103">
        <v>1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2.0000000000000001E-4</v>
      </c>
      <c r="AU103" t="s">
        <v>24</v>
      </c>
      <c r="AV103">
        <v>0</v>
      </c>
      <c r="AW103">
        <v>2</v>
      </c>
      <c r="AX103">
        <v>55983391</v>
      </c>
      <c r="AY103">
        <v>1</v>
      </c>
      <c r="AZ103">
        <v>0</v>
      </c>
      <c r="BA103">
        <v>118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ROUND(Y103*Source!I45,9)</f>
        <v>0</v>
      </c>
      <c r="CY103">
        <f t="shared" ref="CY103:CY112" si="69">AA103</f>
        <v>199670.09</v>
      </c>
      <c r="CZ103">
        <f t="shared" ref="CZ103:CZ112" si="70">AE103</f>
        <v>12287.39</v>
      </c>
      <c r="DA103">
        <f t="shared" ref="DA103:DA112" si="71">AI103</f>
        <v>16.25</v>
      </c>
      <c r="DB103">
        <f t="shared" ref="DB103:DB112" si="72">ROUND(((ROUND(AT103*CZ103,2)*1)*0),6)</f>
        <v>0</v>
      </c>
      <c r="DC103">
        <f t="shared" ref="DC103:DC112" si="73">ROUND(((ROUND(AT103*AG103,2)*1)*0),6)</f>
        <v>0</v>
      </c>
      <c r="DD103" t="s">
        <v>3</v>
      </c>
      <c r="DE103" t="s">
        <v>3</v>
      </c>
      <c r="DF103">
        <f t="shared" ref="DF103:DF112" si="74">ROUND(ROUND(AE103*AI103,2)*CX103,2)</f>
        <v>0</v>
      </c>
      <c r="DG103">
        <f t="shared" si="43"/>
        <v>0</v>
      </c>
      <c r="DH103">
        <f t="shared" si="44"/>
        <v>0</v>
      </c>
      <c r="DI103">
        <f t="shared" si="41"/>
        <v>0</v>
      </c>
      <c r="DJ103">
        <f t="shared" ref="DJ103:DJ112" si="75">DF103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ROW(Source!A45)</f>
        <v>45</v>
      </c>
      <c r="B104">
        <v>55917799</v>
      </c>
      <c r="C104">
        <v>55983378</v>
      </c>
      <c r="D104">
        <v>55460545</v>
      </c>
      <c r="E104">
        <v>1</v>
      </c>
      <c r="F104">
        <v>1</v>
      </c>
      <c r="G104">
        <v>1081</v>
      </c>
      <c r="H104">
        <v>3</v>
      </c>
      <c r="I104" t="s">
        <v>346</v>
      </c>
      <c r="J104" t="s">
        <v>347</v>
      </c>
      <c r="K104" t="s">
        <v>348</v>
      </c>
      <c r="L104">
        <v>1348</v>
      </c>
      <c r="N104">
        <v>1009</v>
      </c>
      <c r="O104" t="s">
        <v>345</v>
      </c>
      <c r="P104" t="s">
        <v>345</v>
      </c>
      <c r="Q104">
        <v>1000</v>
      </c>
      <c r="W104">
        <v>0</v>
      </c>
      <c r="X104">
        <v>1967598333</v>
      </c>
      <c r="Y104">
        <f t="shared" si="68"/>
        <v>0</v>
      </c>
      <c r="AA104">
        <v>36101.58</v>
      </c>
      <c r="AB104">
        <v>0</v>
      </c>
      <c r="AC104">
        <v>0</v>
      </c>
      <c r="AD104">
        <v>0</v>
      </c>
      <c r="AE104">
        <v>3772.37</v>
      </c>
      <c r="AF104">
        <v>0</v>
      </c>
      <c r="AG104">
        <v>0</v>
      </c>
      <c r="AH104">
        <v>0</v>
      </c>
      <c r="AI104">
        <v>9.57</v>
      </c>
      <c r="AJ104">
        <v>1</v>
      </c>
      <c r="AK104">
        <v>1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1.0000000000000001E-5</v>
      </c>
      <c r="AU104" t="s">
        <v>24</v>
      </c>
      <c r="AV104">
        <v>0</v>
      </c>
      <c r="AW104">
        <v>2</v>
      </c>
      <c r="AX104">
        <v>55983392</v>
      </c>
      <c r="AY104">
        <v>1</v>
      </c>
      <c r="AZ104">
        <v>0</v>
      </c>
      <c r="BA104">
        <v>119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ROUND(Y104*Source!I45,9)</f>
        <v>0</v>
      </c>
      <c r="CY104">
        <f t="shared" si="69"/>
        <v>36101.58</v>
      </c>
      <c r="CZ104">
        <f t="shared" si="70"/>
        <v>3772.37</v>
      </c>
      <c r="DA104">
        <f t="shared" si="71"/>
        <v>9.57</v>
      </c>
      <c r="DB104">
        <f t="shared" si="72"/>
        <v>0</v>
      </c>
      <c r="DC104">
        <f t="shared" si="73"/>
        <v>0</v>
      </c>
      <c r="DD104" t="s">
        <v>3</v>
      </c>
      <c r="DE104" t="s">
        <v>3</v>
      </c>
      <c r="DF104">
        <f t="shared" si="74"/>
        <v>0</v>
      </c>
      <c r="DG104">
        <f t="shared" si="43"/>
        <v>0</v>
      </c>
      <c r="DH104">
        <f t="shared" si="44"/>
        <v>0</v>
      </c>
      <c r="DI104">
        <f t="shared" si="41"/>
        <v>0</v>
      </c>
      <c r="DJ104">
        <f t="shared" si="75"/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ROW(Source!A45)</f>
        <v>45</v>
      </c>
      <c r="B105">
        <v>55917799</v>
      </c>
      <c r="C105">
        <v>55983378</v>
      </c>
      <c r="D105">
        <v>55461230</v>
      </c>
      <c r="E105">
        <v>1</v>
      </c>
      <c r="F105">
        <v>1</v>
      </c>
      <c r="G105">
        <v>1081</v>
      </c>
      <c r="H105">
        <v>3</v>
      </c>
      <c r="I105" t="s">
        <v>349</v>
      </c>
      <c r="J105" t="s">
        <v>350</v>
      </c>
      <c r="K105" t="s">
        <v>351</v>
      </c>
      <c r="L105">
        <v>1346</v>
      </c>
      <c r="N105">
        <v>1009</v>
      </c>
      <c r="O105" t="s">
        <v>316</v>
      </c>
      <c r="P105" t="s">
        <v>316</v>
      </c>
      <c r="Q105">
        <v>1</v>
      </c>
      <c r="W105">
        <v>0</v>
      </c>
      <c r="X105">
        <v>1561715650</v>
      </c>
      <c r="Y105">
        <f t="shared" si="68"/>
        <v>0</v>
      </c>
      <c r="AA105">
        <v>200.81</v>
      </c>
      <c r="AB105">
        <v>0</v>
      </c>
      <c r="AC105">
        <v>0</v>
      </c>
      <c r="AD105">
        <v>0</v>
      </c>
      <c r="AE105">
        <v>15.11</v>
      </c>
      <c r="AF105">
        <v>0</v>
      </c>
      <c r="AG105">
        <v>0</v>
      </c>
      <c r="AH105">
        <v>0</v>
      </c>
      <c r="AI105">
        <v>13.29</v>
      </c>
      <c r="AJ105">
        <v>1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0.02</v>
      </c>
      <c r="AU105" t="s">
        <v>24</v>
      </c>
      <c r="AV105">
        <v>0</v>
      </c>
      <c r="AW105">
        <v>2</v>
      </c>
      <c r="AX105">
        <v>55983393</v>
      </c>
      <c r="AY105">
        <v>1</v>
      </c>
      <c r="AZ105">
        <v>0</v>
      </c>
      <c r="BA105">
        <v>120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ROUND(Y105*Source!I45,9)</f>
        <v>0</v>
      </c>
      <c r="CY105">
        <f t="shared" si="69"/>
        <v>200.81</v>
      </c>
      <c r="CZ105">
        <f t="shared" si="70"/>
        <v>15.11</v>
      </c>
      <c r="DA105">
        <f t="shared" si="71"/>
        <v>13.29</v>
      </c>
      <c r="DB105">
        <f t="shared" si="72"/>
        <v>0</v>
      </c>
      <c r="DC105">
        <f t="shared" si="73"/>
        <v>0</v>
      </c>
      <c r="DD105" t="s">
        <v>3</v>
      </c>
      <c r="DE105" t="s">
        <v>3</v>
      </c>
      <c r="DF105">
        <f t="shared" si="74"/>
        <v>0</v>
      </c>
      <c r="DG105">
        <f t="shared" si="43"/>
        <v>0</v>
      </c>
      <c r="DH105">
        <f t="shared" si="44"/>
        <v>0</v>
      </c>
      <c r="DI105">
        <f t="shared" si="41"/>
        <v>0</v>
      </c>
      <c r="DJ105">
        <f t="shared" si="75"/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ROW(Source!A45)</f>
        <v>45</v>
      </c>
      <c r="B106">
        <v>55917799</v>
      </c>
      <c r="C106">
        <v>55983378</v>
      </c>
      <c r="D106">
        <v>55461426</v>
      </c>
      <c r="E106">
        <v>1</v>
      </c>
      <c r="F106">
        <v>1</v>
      </c>
      <c r="G106">
        <v>1081</v>
      </c>
      <c r="H106">
        <v>3</v>
      </c>
      <c r="I106" t="s">
        <v>352</v>
      </c>
      <c r="J106" t="s">
        <v>353</v>
      </c>
      <c r="K106" t="s">
        <v>354</v>
      </c>
      <c r="L106">
        <v>1346</v>
      </c>
      <c r="N106">
        <v>1009</v>
      </c>
      <c r="O106" t="s">
        <v>316</v>
      </c>
      <c r="P106" t="s">
        <v>316</v>
      </c>
      <c r="Q106">
        <v>1</v>
      </c>
      <c r="W106">
        <v>0</v>
      </c>
      <c r="X106">
        <v>-1175794599</v>
      </c>
      <c r="Y106">
        <f t="shared" si="68"/>
        <v>0</v>
      </c>
      <c r="AA106">
        <v>154.1</v>
      </c>
      <c r="AB106">
        <v>0</v>
      </c>
      <c r="AC106">
        <v>0</v>
      </c>
      <c r="AD106">
        <v>0</v>
      </c>
      <c r="AE106">
        <v>35.590000000000003</v>
      </c>
      <c r="AF106">
        <v>0</v>
      </c>
      <c r="AG106">
        <v>0</v>
      </c>
      <c r="AH106">
        <v>0</v>
      </c>
      <c r="AI106">
        <v>4.33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0.5</v>
      </c>
      <c r="AU106" t="s">
        <v>24</v>
      </c>
      <c r="AV106">
        <v>0</v>
      </c>
      <c r="AW106">
        <v>2</v>
      </c>
      <c r="AX106">
        <v>55983394</v>
      </c>
      <c r="AY106">
        <v>1</v>
      </c>
      <c r="AZ106">
        <v>0</v>
      </c>
      <c r="BA106">
        <v>121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ROUND(Y106*Source!I45,9)</f>
        <v>0</v>
      </c>
      <c r="CY106">
        <f t="shared" si="69"/>
        <v>154.1</v>
      </c>
      <c r="CZ106">
        <f t="shared" si="70"/>
        <v>35.590000000000003</v>
      </c>
      <c r="DA106">
        <f t="shared" si="71"/>
        <v>4.33</v>
      </c>
      <c r="DB106">
        <f t="shared" si="72"/>
        <v>0</v>
      </c>
      <c r="DC106">
        <f t="shared" si="73"/>
        <v>0</v>
      </c>
      <c r="DD106" t="s">
        <v>3</v>
      </c>
      <c r="DE106" t="s">
        <v>3</v>
      </c>
      <c r="DF106">
        <f t="shared" si="74"/>
        <v>0</v>
      </c>
      <c r="DG106">
        <f t="shared" si="43"/>
        <v>0</v>
      </c>
      <c r="DH106">
        <f t="shared" si="44"/>
        <v>0</v>
      </c>
      <c r="DI106">
        <f t="shared" si="41"/>
        <v>0</v>
      </c>
      <c r="DJ106">
        <f t="shared" si="75"/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ROW(Source!A45)</f>
        <v>45</v>
      </c>
      <c r="B107">
        <v>55917799</v>
      </c>
      <c r="C107">
        <v>55983378</v>
      </c>
      <c r="D107">
        <v>55459400</v>
      </c>
      <c r="E107">
        <v>1</v>
      </c>
      <c r="F107">
        <v>1</v>
      </c>
      <c r="G107">
        <v>1081</v>
      </c>
      <c r="H107">
        <v>3</v>
      </c>
      <c r="I107" t="s">
        <v>355</v>
      </c>
      <c r="J107" t="s">
        <v>356</v>
      </c>
      <c r="K107" t="s">
        <v>357</v>
      </c>
      <c r="L107">
        <v>1346</v>
      </c>
      <c r="N107">
        <v>1009</v>
      </c>
      <c r="O107" t="s">
        <v>316</v>
      </c>
      <c r="P107" t="s">
        <v>316</v>
      </c>
      <c r="Q107">
        <v>1</v>
      </c>
      <c r="W107">
        <v>0</v>
      </c>
      <c r="X107">
        <v>-2129869794</v>
      </c>
      <c r="Y107">
        <f t="shared" si="68"/>
        <v>0</v>
      </c>
      <c r="AA107">
        <v>387.54</v>
      </c>
      <c r="AB107">
        <v>0</v>
      </c>
      <c r="AC107">
        <v>0</v>
      </c>
      <c r="AD107">
        <v>0</v>
      </c>
      <c r="AE107">
        <v>16.690000000000001</v>
      </c>
      <c r="AF107">
        <v>0</v>
      </c>
      <c r="AG107">
        <v>0</v>
      </c>
      <c r="AH107">
        <v>0</v>
      </c>
      <c r="AI107">
        <v>23.22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0.05</v>
      </c>
      <c r="AU107" t="s">
        <v>24</v>
      </c>
      <c r="AV107">
        <v>0</v>
      </c>
      <c r="AW107">
        <v>2</v>
      </c>
      <c r="AX107">
        <v>55983395</v>
      </c>
      <c r="AY107">
        <v>1</v>
      </c>
      <c r="AZ107">
        <v>0</v>
      </c>
      <c r="BA107">
        <v>122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ROUND(Y107*Source!I45,9)</f>
        <v>0</v>
      </c>
      <c r="CY107">
        <f t="shared" si="69"/>
        <v>387.54</v>
      </c>
      <c r="CZ107">
        <f t="shared" si="70"/>
        <v>16.690000000000001</v>
      </c>
      <c r="DA107">
        <f t="shared" si="71"/>
        <v>23.22</v>
      </c>
      <c r="DB107">
        <f t="shared" si="72"/>
        <v>0</v>
      </c>
      <c r="DC107">
        <f t="shared" si="73"/>
        <v>0</v>
      </c>
      <c r="DD107" t="s">
        <v>3</v>
      </c>
      <c r="DE107" t="s">
        <v>3</v>
      </c>
      <c r="DF107">
        <f t="shared" si="74"/>
        <v>0</v>
      </c>
      <c r="DG107">
        <f t="shared" si="43"/>
        <v>0</v>
      </c>
      <c r="DH107">
        <f t="shared" si="44"/>
        <v>0</v>
      </c>
      <c r="DI107">
        <f t="shared" si="41"/>
        <v>0</v>
      </c>
      <c r="DJ107">
        <f t="shared" si="75"/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ROW(Source!A45)</f>
        <v>45</v>
      </c>
      <c r="B108">
        <v>55917799</v>
      </c>
      <c r="C108">
        <v>55983378</v>
      </c>
      <c r="D108">
        <v>55459404</v>
      </c>
      <c r="E108">
        <v>1</v>
      </c>
      <c r="F108">
        <v>1</v>
      </c>
      <c r="G108">
        <v>1081</v>
      </c>
      <c r="H108">
        <v>3</v>
      </c>
      <c r="I108" t="s">
        <v>358</v>
      </c>
      <c r="J108" t="s">
        <v>359</v>
      </c>
      <c r="K108" t="s">
        <v>360</v>
      </c>
      <c r="L108">
        <v>1346</v>
      </c>
      <c r="N108">
        <v>1009</v>
      </c>
      <c r="O108" t="s">
        <v>316</v>
      </c>
      <c r="P108" t="s">
        <v>316</v>
      </c>
      <c r="Q108">
        <v>1</v>
      </c>
      <c r="W108">
        <v>0</v>
      </c>
      <c r="X108">
        <v>669791865</v>
      </c>
      <c r="Y108">
        <f t="shared" si="68"/>
        <v>0</v>
      </c>
      <c r="AA108">
        <v>158.82</v>
      </c>
      <c r="AB108">
        <v>0</v>
      </c>
      <c r="AC108">
        <v>0</v>
      </c>
      <c r="AD108">
        <v>0</v>
      </c>
      <c r="AE108">
        <v>73.53</v>
      </c>
      <c r="AF108">
        <v>0</v>
      </c>
      <c r="AG108">
        <v>0</v>
      </c>
      <c r="AH108">
        <v>0</v>
      </c>
      <c r="AI108">
        <v>2.16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0.2</v>
      </c>
      <c r="AU108" t="s">
        <v>24</v>
      </c>
      <c r="AV108">
        <v>0</v>
      </c>
      <c r="AW108">
        <v>2</v>
      </c>
      <c r="AX108">
        <v>55983396</v>
      </c>
      <c r="AY108">
        <v>1</v>
      </c>
      <c r="AZ108">
        <v>0</v>
      </c>
      <c r="BA108">
        <v>123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ROUND(Y108*Source!I45,9)</f>
        <v>0</v>
      </c>
      <c r="CY108">
        <f t="shared" si="69"/>
        <v>158.82</v>
      </c>
      <c r="CZ108">
        <f t="shared" si="70"/>
        <v>73.53</v>
      </c>
      <c r="DA108">
        <f t="shared" si="71"/>
        <v>2.16</v>
      </c>
      <c r="DB108">
        <f t="shared" si="72"/>
        <v>0</v>
      </c>
      <c r="DC108">
        <f t="shared" si="73"/>
        <v>0</v>
      </c>
      <c r="DD108" t="s">
        <v>3</v>
      </c>
      <c r="DE108" t="s">
        <v>3</v>
      </c>
      <c r="DF108">
        <f t="shared" si="74"/>
        <v>0</v>
      </c>
      <c r="DG108">
        <f t="shared" si="43"/>
        <v>0</v>
      </c>
      <c r="DH108">
        <f t="shared" si="44"/>
        <v>0</v>
      </c>
      <c r="DI108">
        <f t="shared" si="41"/>
        <v>0</v>
      </c>
      <c r="DJ108">
        <f t="shared" si="75"/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ROW(Source!A45)</f>
        <v>45</v>
      </c>
      <c r="B109">
        <v>55917799</v>
      </c>
      <c r="C109">
        <v>55983378</v>
      </c>
      <c r="D109">
        <v>55459793</v>
      </c>
      <c r="E109">
        <v>1</v>
      </c>
      <c r="F109">
        <v>1</v>
      </c>
      <c r="G109">
        <v>1081</v>
      </c>
      <c r="H109">
        <v>3</v>
      </c>
      <c r="I109" t="s">
        <v>361</v>
      </c>
      <c r="J109" t="s">
        <v>362</v>
      </c>
      <c r="K109" t="s">
        <v>363</v>
      </c>
      <c r="L109">
        <v>1348</v>
      </c>
      <c r="N109">
        <v>1009</v>
      </c>
      <c r="O109" t="s">
        <v>345</v>
      </c>
      <c r="P109" t="s">
        <v>345</v>
      </c>
      <c r="Q109">
        <v>1000</v>
      </c>
      <c r="W109">
        <v>0</v>
      </c>
      <c r="X109">
        <v>-761454284</v>
      </c>
      <c r="Y109">
        <f t="shared" si="68"/>
        <v>0</v>
      </c>
      <c r="AA109">
        <v>1930745.04</v>
      </c>
      <c r="AB109">
        <v>0</v>
      </c>
      <c r="AC109">
        <v>0</v>
      </c>
      <c r="AD109">
        <v>0</v>
      </c>
      <c r="AE109">
        <v>64123.05</v>
      </c>
      <c r="AF109">
        <v>0</v>
      </c>
      <c r="AG109">
        <v>0</v>
      </c>
      <c r="AH109">
        <v>0</v>
      </c>
      <c r="AI109">
        <v>30.11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2.0000000000000001E-4</v>
      </c>
      <c r="AU109" t="s">
        <v>24</v>
      </c>
      <c r="AV109">
        <v>0</v>
      </c>
      <c r="AW109">
        <v>2</v>
      </c>
      <c r="AX109">
        <v>55983397</v>
      </c>
      <c r="AY109">
        <v>1</v>
      </c>
      <c r="AZ109">
        <v>0</v>
      </c>
      <c r="BA109">
        <v>124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ROUND(Y109*Source!I45,9)</f>
        <v>0</v>
      </c>
      <c r="CY109">
        <f t="shared" si="69"/>
        <v>1930745.04</v>
      </c>
      <c r="CZ109">
        <f t="shared" si="70"/>
        <v>64123.05</v>
      </c>
      <c r="DA109">
        <f t="shared" si="71"/>
        <v>30.11</v>
      </c>
      <c r="DB109">
        <f t="shared" si="72"/>
        <v>0</v>
      </c>
      <c r="DC109">
        <f t="shared" si="73"/>
        <v>0</v>
      </c>
      <c r="DD109" t="s">
        <v>3</v>
      </c>
      <c r="DE109" t="s">
        <v>3</v>
      </c>
      <c r="DF109">
        <f t="shared" si="74"/>
        <v>0</v>
      </c>
      <c r="DG109">
        <f t="shared" ref="DG109:DG140" si="76">ROUND(ROUND(AF109,2)*CX109,2)</f>
        <v>0</v>
      </c>
      <c r="DH109">
        <f t="shared" ref="DH109:DH140" si="77">ROUND(ROUND(AG109,2)*CX109,2)</f>
        <v>0</v>
      </c>
      <c r="DI109">
        <f t="shared" si="41"/>
        <v>0</v>
      </c>
      <c r="DJ109">
        <f t="shared" si="75"/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ROW(Source!A45)</f>
        <v>45</v>
      </c>
      <c r="B110">
        <v>55917799</v>
      </c>
      <c r="C110">
        <v>55983378</v>
      </c>
      <c r="D110">
        <v>55466338</v>
      </c>
      <c r="E110">
        <v>1</v>
      </c>
      <c r="F110">
        <v>1</v>
      </c>
      <c r="G110">
        <v>1081</v>
      </c>
      <c r="H110">
        <v>3</v>
      </c>
      <c r="I110" t="s">
        <v>364</v>
      </c>
      <c r="J110" t="s">
        <v>365</v>
      </c>
      <c r="K110" t="s">
        <v>366</v>
      </c>
      <c r="L110">
        <v>1349</v>
      </c>
      <c r="N110">
        <v>1009</v>
      </c>
      <c r="O110" t="s">
        <v>367</v>
      </c>
      <c r="P110" t="s">
        <v>367</v>
      </c>
      <c r="Q110">
        <v>1E-3</v>
      </c>
      <c r="W110">
        <v>0</v>
      </c>
      <c r="X110">
        <v>-667754050</v>
      </c>
      <c r="Y110">
        <f t="shared" si="68"/>
        <v>0</v>
      </c>
      <c r="AA110">
        <v>0.44</v>
      </c>
      <c r="AB110">
        <v>0</v>
      </c>
      <c r="AC110">
        <v>0</v>
      </c>
      <c r="AD110">
        <v>0</v>
      </c>
      <c r="AE110">
        <v>7.0000000000000007E-2</v>
      </c>
      <c r="AF110">
        <v>0</v>
      </c>
      <c r="AG110">
        <v>0</v>
      </c>
      <c r="AH110">
        <v>0</v>
      </c>
      <c r="AI110">
        <v>6.29</v>
      </c>
      <c r="AJ110">
        <v>1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100</v>
      </c>
      <c r="AU110" t="s">
        <v>24</v>
      </c>
      <c r="AV110">
        <v>0</v>
      </c>
      <c r="AW110">
        <v>2</v>
      </c>
      <c r="AX110">
        <v>55983398</v>
      </c>
      <c r="AY110">
        <v>1</v>
      </c>
      <c r="AZ110">
        <v>0</v>
      </c>
      <c r="BA110">
        <v>125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ROUND(Y110*Source!I45,9)</f>
        <v>0</v>
      </c>
      <c r="CY110">
        <f t="shared" si="69"/>
        <v>0.44</v>
      </c>
      <c r="CZ110">
        <f t="shared" si="70"/>
        <v>7.0000000000000007E-2</v>
      </c>
      <c r="DA110">
        <f t="shared" si="71"/>
        <v>6.29</v>
      </c>
      <c r="DB110">
        <f t="shared" si="72"/>
        <v>0</v>
      </c>
      <c r="DC110">
        <f t="shared" si="73"/>
        <v>0</v>
      </c>
      <c r="DD110" t="s">
        <v>3</v>
      </c>
      <c r="DE110" t="s">
        <v>3</v>
      </c>
      <c r="DF110">
        <f t="shared" si="74"/>
        <v>0</v>
      </c>
      <c r="DG110">
        <f t="shared" si="76"/>
        <v>0</v>
      </c>
      <c r="DH110">
        <f t="shared" si="77"/>
        <v>0</v>
      </c>
      <c r="DI110">
        <f t="shared" si="41"/>
        <v>0</v>
      </c>
      <c r="DJ110">
        <f t="shared" si="75"/>
        <v>0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5">
      <c r="A111">
        <f>ROW(Source!A45)</f>
        <v>45</v>
      </c>
      <c r="B111">
        <v>55917799</v>
      </c>
      <c r="C111">
        <v>55983378</v>
      </c>
      <c r="D111">
        <v>55482233</v>
      </c>
      <c r="E111">
        <v>1</v>
      </c>
      <c r="F111">
        <v>1</v>
      </c>
      <c r="G111">
        <v>1081</v>
      </c>
      <c r="H111">
        <v>3</v>
      </c>
      <c r="I111" t="s">
        <v>368</v>
      </c>
      <c r="J111" t="s">
        <v>369</v>
      </c>
      <c r="K111" t="s">
        <v>370</v>
      </c>
      <c r="L111">
        <v>1346</v>
      </c>
      <c r="N111">
        <v>1009</v>
      </c>
      <c r="O111" t="s">
        <v>316</v>
      </c>
      <c r="P111" t="s">
        <v>316</v>
      </c>
      <c r="Q111">
        <v>1</v>
      </c>
      <c r="W111">
        <v>0</v>
      </c>
      <c r="X111">
        <v>1566362712</v>
      </c>
      <c r="Y111">
        <f t="shared" si="68"/>
        <v>0</v>
      </c>
      <c r="AA111">
        <v>3047.23</v>
      </c>
      <c r="AB111">
        <v>0</v>
      </c>
      <c r="AC111">
        <v>0</v>
      </c>
      <c r="AD111">
        <v>0</v>
      </c>
      <c r="AE111">
        <v>493.08</v>
      </c>
      <c r="AF111">
        <v>0</v>
      </c>
      <c r="AG111">
        <v>0</v>
      </c>
      <c r="AH111">
        <v>0</v>
      </c>
      <c r="AI111">
        <v>6.18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0.04</v>
      </c>
      <c r="AU111" t="s">
        <v>24</v>
      </c>
      <c r="AV111">
        <v>0</v>
      </c>
      <c r="AW111">
        <v>2</v>
      </c>
      <c r="AX111">
        <v>55983399</v>
      </c>
      <c r="AY111">
        <v>1</v>
      </c>
      <c r="AZ111">
        <v>0</v>
      </c>
      <c r="BA111">
        <v>126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ROUND(Y111*Source!I45,9)</f>
        <v>0</v>
      </c>
      <c r="CY111">
        <f t="shared" si="69"/>
        <v>3047.23</v>
      </c>
      <c r="CZ111">
        <f t="shared" si="70"/>
        <v>493.08</v>
      </c>
      <c r="DA111">
        <f t="shared" si="71"/>
        <v>6.18</v>
      </c>
      <c r="DB111">
        <f t="shared" si="72"/>
        <v>0</v>
      </c>
      <c r="DC111">
        <f t="shared" si="73"/>
        <v>0</v>
      </c>
      <c r="DD111" t="s">
        <v>3</v>
      </c>
      <c r="DE111" t="s">
        <v>3</v>
      </c>
      <c r="DF111">
        <f t="shared" si="74"/>
        <v>0</v>
      </c>
      <c r="DG111">
        <f t="shared" si="76"/>
        <v>0</v>
      </c>
      <c r="DH111">
        <f t="shared" si="77"/>
        <v>0</v>
      </c>
      <c r="DI111">
        <f t="shared" si="41"/>
        <v>0</v>
      </c>
      <c r="DJ111">
        <f t="shared" si="75"/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ROW(Source!A45)</f>
        <v>45</v>
      </c>
      <c r="B112">
        <v>55917799</v>
      </c>
      <c r="C112">
        <v>55983378</v>
      </c>
      <c r="D112">
        <v>55424290</v>
      </c>
      <c r="E112">
        <v>1081</v>
      </c>
      <c r="F112">
        <v>1</v>
      </c>
      <c r="G112">
        <v>1081</v>
      </c>
      <c r="H112">
        <v>3</v>
      </c>
      <c r="I112" t="s">
        <v>371</v>
      </c>
      <c r="J112" t="s">
        <v>3</v>
      </c>
      <c r="K112" t="s">
        <v>372</v>
      </c>
      <c r="L112">
        <v>1348</v>
      </c>
      <c r="N112">
        <v>1009</v>
      </c>
      <c r="O112" t="s">
        <v>345</v>
      </c>
      <c r="P112" t="s">
        <v>345</v>
      </c>
      <c r="Q112">
        <v>1000</v>
      </c>
      <c r="W112">
        <v>0</v>
      </c>
      <c r="X112">
        <v>-783086922</v>
      </c>
      <c r="Y112">
        <f t="shared" si="68"/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9.84</v>
      </c>
      <c r="AJ112">
        <v>1</v>
      </c>
      <c r="AK112">
        <v>1</v>
      </c>
      <c r="AL112">
        <v>1</v>
      </c>
      <c r="AM112">
        <v>5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1.2E-2</v>
      </c>
      <c r="AU112" t="s">
        <v>24</v>
      </c>
      <c r="AV112">
        <v>0</v>
      </c>
      <c r="AW112">
        <v>2</v>
      </c>
      <c r="AX112">
        <v>55983401</v>
      </c>
      <c r="AY112">
        <v>1</v>
      </c>
      <c r="AZ112">
        <v>0</v>
      </c>
      <c r="BA112">
        <v>128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ROUND(Y112*Source!I45,9)</f>
        <v>0</v>
      </c>
      <c r="CY112">
        <f t="shared" si="69"/>
        <v>0</v>
      </c>
      <c r="CZ112">
        <f t="shared" si="70"/>
        <v>0</v>
      </c>
      <c r="DA112">
        <f t="shared" si="71"/>
        <v>9.84</v>
      </c>
      <c r="DB112">
        <f t="shared" si="72"/>
        <v>0</v>
      </c>
      <c r="DC112">
        <f t="shared" si="73"/>
        <v>0</v>
      </c>
      <c r="DD112" t="s">
        <v>3</v>
      </c>
      <c r="DE112" t="s">
        <v>3</v>
      </c>
      <c r="DF112">
        <f t="shared" si="74"/>
        <v>0</v>
      </c>
      <c r="DG112">
        <f t="shared" si="76"/>
        <v>0</v>
      </c>
      <c r="DH112">
        <f t="shared" si="77"/>
        <v>0</v>
      </c>
      <c r="DI112">
        <f t="shared" si="41"/>
        <v>0</v>
      </c>
      <c r="DJ112">
        <f t="shared" si="75"/>
        <v>0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ROW(Source!A46)</f>
        <v>46</v>
      </c>
      <c r="B113">
        <v>55917797</v>
      </c>
      <c r="C113">
        <v>55983402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339</v>
      </c>
      <c r="J113" t="s">
        <v>3</v>
      </c>
      <c r="K113" t="s">
        <v>340</v>
      </c>
      <c r="L113">
        <v>1191</v>
      </c>
      <c r="N113">
        <v>1013</v>
      </c>
      <c r="O113" t="s">
        <v>341</v>
      </c>
      <c r="P113" t="s">
        <v>341</v>
      </c>
      <c r="Q113">
        <v>1</v>
      </c>
      <c r="W113">
        <v>0</v>
      </c>
      <c r="X113">
        <v>476480486</v>
      </c>
      <c r="Y113">
        <f>((AT113*1.2)*0.3)</f>
        <v>0.99719999999999986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2.77</v>
      </c>
      <c r="AU113" t="s">
        <v>25</v>
      </c>
      <c r="AV113">
        <v>1</v>
      </c>
      <c r="AW113">
        <v>2</v>
      </c>
      <c r="AX113">
        <v>55983405</v>
      </c>
      <c r="AY113">
        <v>1</v>
      </c>
      <c r="AZ113">
        <v>0</v>
      </c>
      <c r="BA113">
        <v>129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ROUND(AT113*Source!I46*AH113*AL113,2)</f>
        <v>0</v>
      </c>
      <c r="CV113">
        <f>ROUND(Y113*Source!I46,9)</f>
        <v>0.99719999999999998</v>
      </c>
      <c r="CW113">
        <v>0</v>
      </c>
      <c r="CX113">
        <f>ROUND(Y113*Source!I46,9)</f>
        <v>0.99719999999999998</v>
      </c>
      <c r="CY113">
        <f>AD113</f>
        <v>0</v>
      </c>
      <c r="CZ113">
        <f>AH113</f>
        <v>0</v>
      </c>
      <c r="DA113">
        <f>AL113</f>
        <v>1</v>
      </c>
      <c r="DB113">
        <f>ROUND(((ROUND(AT113*CZ113,2)*1.2)*0.3),6)</f>
        <v>0</v>
      </c>
      <c r="DC113">
        <f>ROUND(((ROUND(AT113*AG113,2)*1.2)*0.3),6)</f>
        <v>0</v>
      </c>
      <c r="DD113" t="s">
        <v>3</v>
      </c>
      <c r="DE113" t="s">
        <v>3</v>
      </c>
      <c r="DF113">
        <f>ROUND(ROUND(AE113,2)*CX113,2)</f>
        <v>0</v>
      </c>
      <c r="DG113">
        <f t="shared" si="76"/>
        <v>0</v>
      </c>
      <c r="DH113">
        <f t="shared" si="77"/>
        <v>0</v>
      </c>
      <c r="DI113">
        <f t="shared" si="41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ROW(Source!A46)</f>
        <v>46</v>
      </c>
      <c r="B114">
        <v>55917797</v>
      </c>
      <c r="C114">
        <v>55983402</v>
      </c>
      <c r="D114">
        <v>55459873</v>
      </c>
      <c r="E114">
        <v>1</v>
      </c>
      <c r="F114">
        <v>1</v>
      </c>
      <c r="G114">
        <v>1081</v>
      </c>
      <c r="H114">
        <v>3</v>
      </c>
      <c r="I114" t="s">
        <v>378</v>
      </c>
      <c r="J114" t="s">
        <v>379</v>
      </c>
      <c r="K114" t="s">
        <v>380</v>
      </c>
      <c r="L114">
        <v>1348</v>
      </c>
      <c r="N114">
        <v>1009</v>
      </c>
      <c r="O114" t="s">
        <v>345</v>
      </c>
      <c r="P114" t="s">
        <v>345</v>
      </c>
      <c r="Q114">
        <v>1000</v>
      </c>
      <c r="W114">
        <v>0</v>
      </c>
      <c r="X114">
        <v>-1448251497</v>
      </c>
      <c r="Y114">
        <f>((AT114*1)*0)</f>
        <v>0</v>
      </c>
      <c r="AA114">
        <v>18495.41</v>
      </c>
      <c r="AB114">
        <v>0</v>
      </c>
      <c r="AC114">
        <v>0</v>
      </c>
      <c r="AD114">
        <v>0</v>
      </c>
      <c r="AE114">
        <v>18495.41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1.0000000000000001E-5</v>
      </c>
      <c r="AU114" t="s">
        <v>24</v>
      </c>
      <c r="AV114">
        <v>0</v>
      </c>
      <c r="AW114">
        <v>2</v>
      </c>
      <c r="AX114">
        <v>55983406</v>
      </c>
      <c r="AY114">
        <v>1</v>
      </c>
      <c r="AZ114">
        <v>0</v>
      </c>
      <c r="BA114">
        <v>130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ROUND(Y114*Source!I46,9)</f>
        <v>0</v>
      </c>
      <c r="CY114">
        <f>AA114</f>
        <v>18495.41</v>
      </c>
      <c r="CZ114">
        <f>AE114</f>
        <v>18495.41</v>
      </c>
      <c r="DA114">
        <f>AI114</f>
        <v>1</v>
      </c>
      <c r="DB114">
        <f>ROUND(((ROUND(AT114*CZ114,2)*1)*0),6)</f>
        <v>0</v>
      </c>
      <c r="DC114">
        <f>ROUND(((ROUND(AT114*AG114,2)*1)*0),6)</f>
        <v>0</v>
      </c>
      <c r="DD114" t="s">
        <v>3</v>
      </c>
      <c r="DE114" t="s">
        <v>3</v>
      </c>
      <c r="DF114">
        <f>ROUND(ROUND(AE114,2)*CX114,2)</f>
        <v>0</v>
      </c>
      <c r="DG114">
        <f t="shared" si="76"/>
        <v>0</v>
      </c>
      <c r="DH114">
        <f t="shared" si="77"/>
        <v>0</v>
      </c>
      <c r="DI114">
        <f t="shared" si="41"/>
        <v>0</v>
      </c>
      <c r="DJ114">
        <f>DF114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ROW(Source!A47)</f>
        <v>47</v>
      </c>
      <c r="B115">
        <v>55917799</v>
      </c>
      <c r="C115">
        <v>55983402</v>
      </c>
      <c r="D115">
        <v>55424304</v>
      </c>
      <c r="E115">
        <v>1081</v>
      </c>
      <c r="F115">
        <v>1</v>
      </c>
      <c r="G115">
        <v>1081</v>
      </c>
      <c r="H115">
        <v>1</v>
      </c>
      <c r="I115" t="s">
        <v>339</v>
      </c>
      <c r="J115" t="s">
        <v>3</v>
      </c>
      <c r="K115" t="s">
        <v>340</v>
      </c>
      <c r="L115">
        <v>1191</v>
      </c>
      <c r="N115">
        <v>1013</v>
      </c>
      <c r="O115" t="s">
        <v>341</v>
      </c>
      <c r="P115" t="s">
        <v>341</v>
      </c>
      <c r="Q115">
        <v>1</v>
      </c>
      <c r="W115">
        <v>0</v>
      </c>
      <c r="X115">
        <v>476480486</v>
      </c>
      <c r="Y115">
        <f>((AT115*1.2)*0.3)</f>
        <v>0.99719999999999986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5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2.77</v>
      </c>
      <c r="AU115" t="s">
        <v>25</v>
      </c>
      <c r="AV115">
        <v>1</v>
      </c>
      <c r="AW115">
        <v>2</v>
      </c>
      <c r="AX115">
        <v>55983405</v>
      </c>
      <c r="AY115">
        <v>1</v>
      </c>
      <c r="AZ115">
        <v>0</v>
      </c>
      <c r="BA115">
        <v>131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ROUND(AT115*Source!I47*AH115*AL115,2)</f>
        <v>0</v>
      </c>
      <c r="CV115">
        <f>ROUND(Y115*Source!I47,9)</f>
        <v>0.99719999999999998</v>
      </c>
      <c r="CW115">
        <v>0</v>
      </c>
      <c r="CX115">
        <f>ROUND(Y115*Source!I47,9)</f>
        <v>0.99719999999999998</v>
      </c>
      <c r="CY115">
        <f>AD115</f>
        <v>0</v>
      </c>
      <c r="CZ115">
        <f>AH115</f>
        <v>0</v>
      </c>
      <c r="DA115">
        <f>AL115</f>
        <v>1</v>
      </c>
      <c r="DB115">
        <f>ROUND(((ROUND(AT115*CZ115,2)*1.2)*0.3),6)</f>
        <v>0</v>
      </c>
      <c r="DC115">
        <f>ROUND(((ROUND(AT115*AG115,2)*1.2)*0.3),6)</f>
        <v>0</v>
      </c>
      <c r="DD115" t="s">
        <v>3</v>
      </c>
      <c r="DE115" t="s">
        <v>3</v>
      </c>
      <c r="DF115">
        <f>ROUND(ROUND(AE115,2)*CX115,2)</f>
        <v>0</v>
      </c>
      <c r="DG115">
        <f t="shared" si="76"/>
        <v>0</v>
      </c>
      <c r="DH115">
        <f t="shared" si="77"/>
        <v>0</v>
      </c>
      <c r="DI115">
        <f t="shared" si="41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ROW(Source!A47)</f>
        <v>47</v>
      </c>
      <c r="B116">
        <v>55917799</v>
      </c>
      <c r="C116">
        <v>55983402</v>
      </c>
      <c r="D116">
        <v>55459873</v>
      </c>
      <c r="E116">
        <v>1</v>
      </c>
      <c r="F116">
        <v>1</v>
      </c>
      <c r="G116">
        <v>1081</v>
      </c>
      <c r="H116">
        <v>3</v>
      </c>
      <c r="I116" t="s">
        <v>378</v>
      </c>
      <c r="J116" t="s">
        <v>379</v>
      </c>
      <c r="K116" t="s">
        <v>380</v>
      </c>
      <c r="L116">
        <v>1348</v>
      </c>
      <c r="N116">
        <v>1009</v>
      </c>
      <c r="O116" t="s">
        <v>345</v>
      </c>
      <c r="P116" t="s">
        <v>345</v>
      </c>
      <c r="Q116">
        <v>1000</v>
      </c>
      <c r="W116">
        <v>0</v>
      </c>
      <c r="X116">
        <v>-1448251497</v>
      </c>
      <c r="Y116">
        <f>((AT116*1)*0)</f>
        <v>0</v>
      </c>
      <c r="AA116">
        <v>101169.89</v>
      </c>
      <c r="AB116">
        <v>0</v>
      </c>
      <c r="AC116">
        <v>0</v>
      </c>
      <c r="AD116">
        <v>0</v>
      </c>
      <c r="AE116">
        <v>18495.41</v>
      </c>
      <c r="AF116">
        <v>0</v>
      </c>
      <c r="AG116">
        <v>0</v>
      </c>
      <c r="AH116">
        <v>0</v>
      </c>
      <c r="AI116">
        <v>5.47</v>
      </c>
      <c r="AJ116">
        <v>1</v>
      </c>
      <c r="AK116">
        <v>1</v>
      </c>
      <c r="AL116">
        <v>1</v>
      </c>
      <c r="AM116">
        <v>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1.0000000000000001E-5</v>
      </c>
      <c r="AU116" t="s">
        <v>24</v>
      </c>
      <c r="AV116">
        <v>0</v>
      </c>
      <c r="AW116">
        <v>2</v>
      </c>
      <c r="AX116">
        <v>55983406</v>
      </c>
      <c r="AY116">
        <v>1</v>
      </c>
      <c r="AZ116">
        <v>0</v>
      </c>
      <c r="BA116">
        <v>132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ROUND(Y116*Source!I47,9)</f>
        <v>0</v>
      </c>
      <c r="CY116">
        <f>AA116</f>
        <v>101169.89</v>
      </c>
      <c r="CZ116">
        <f>AE116</f>
        <v>18495.41</v>
      </c>
      <c r="DA116">
        <f>AI116</f>
        <v>5.47</v>
      </c>
      <c r="DB116">
        <f>ROUND(((ROUND(AT116*CZ116,2)*1)*0),6)</f>
        <v>0</v>
      </c>
      <c r="DC116">
        <f>ROUND(((ROUND(AT116*AG116,2)*1)*0),6)</f>
        <v>0</v>
      </c>
      <c r="DD116" t="s">
        <v>3</v>
      </c>
      <c r="DE116" t="s">
        <v>3</v>
      </c>
      <c r="DF116">
        <f>ROUND(ROUND(AE116*AI116,2)*CX116,2)</f>
        <v>0</v>
      </c>
      <c r="DG116">
        <f t="shared" si="76"/>
        <v>0</v>
      </c>
      <c r="DH116">
        <f t="shared" si="77"/>
        <v>0</v>
      </c>
      <c r="DI116">
        <f t="shared" si="41"/>
        <v>0</v>
      </c>
      <c r="DJ116">
        <f>DF116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ROW(Source!A48)</f>
        <v>48</v>
      </c>
      <c r="B117">
        <v>55917797</v>
      </c>
      <c r="C117">
        <v>55983407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339</v>
      </c>
      <c r="J117" t="s">
        <v>3</v>
      </c>
      <c r="K117" t="s">
        <v>340</v>
      </c>
      <c r="L117">
        <v>1191</v>
      </c>
      <c r="N117">
        <v>1013</v>
      </c>
      <c r="O117" t="s">
        <v>341</v>
      </c>
      <c r="P117" t="s">
        <v>341</v>
      </c>
      <c r="Q117">
        <v>1</v>
      </c>
      <c r="W117">
        <v>0</v>
      </c>
      <c r="X117">
        <v>476480486</v>
      </c>
      <c r="Y117">
        <f>((AT117*1.2)*0.3)</f>
        <v>1.0799999999999998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3</v>
      </c>
      <c r="AU117" t="s">
        <v>25</v>
      </c>
      <c r="AV117">
        <v>1</v>
      </c>
      <c r="AW117">
        <v>2</v>
      </c>
      <c r="AX117">
        <v>55983423</v>
      </c>
      <c r="AY117">
        <v>1</v>
      </c>
      <c r="AZ117">
        <v>0</v>
      </c>
      <c r="BA117">
        <v>133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ROUND(AT117*Source!I48*AH117*AL117,2)</f>
        <v>0</v>
      </c>
      <c r="CV117">
        <f>ROUND(Y117*Source!I48,9)</f>
        <v>1.08</v>
      </c>
      <c r="CW117">
        <v>0</v>
      </c>
      <c r="CX117">
        <f>ROUND(Y117*Source!I48,9)</f>
        <v>1.08</v>
      </c>
      <c r="CY117">
        <f>AD117</f>
        <v>0</v>
      </c>
      <c r="CZ117">
        <f>AH117</f>
        <v>0</v>
      </c>
      <c r="DA117">
        <f>AL117</f>
        <v>1</v>
      </c>
      <c r="DB117">
        <f>ROUND(((ROUND(AT117*CZ117,2)*1.2)*0.3),6)</f>
        <v>0</v>
      </c>
      <c r="DC117">
        <f>ROUND(((ROUND(AT117*AG117,2)*1.2)*0.3),6)</f>
        <v>0</v>
      </c>
      <c r="DD117" t="s">
        <v>3</v>
      </c>
      <c r="DE117" t="s">
        <v>3</v>
      </c>
      <c r="DF117">
        <f t="shared" ref="DF117:DF132" si="78">ROUND(ROUND(AE117,2)*CX117,2)</f>
        <v>0</v>
      </c>
      <c r="DG117">
        <f t="shared" si="76"/>
        <v>0</v>
      </c>
      <c r="DH117">
        <f t="shared" si="77"/>
        <v>0</v>
      </c>
      <c r="DI117">
        <f t="shared" si="41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ROW(Source!A48)</f>
        <v>48</v>
      </c>
      <c r="B118">
        <v>55917797</v>
      </c>
      <c r="C118">
        <v>55983407</v>
      </c>
      <c r="D118">
        <v>55459894</v>
      </c>
      <c r="E118">
        <v>1</v>
      </c>
      <c r="F118">
        <v>1</v>
      </c>
      <c r="G118">
        <v>1081</v>
      </c>
      <c r="H118">
        <v>3</v>
      </c>
      <c r="I118" t="s">
        <v>381</v>
      </c>
      <c r="J118" t="s">
        <v>382</v>
      </c>
      <c r="K118" t="s">
        <v>383</v>
      </c>
      <c r="L118">
        <v>1348</v>
      </c>
      <c r="N118">
        <v>1009</v>
      </c>
      <c r="O118" t="s">
        <v>345</v>
      </c>
      <c r="P118" t="s">
        <v>345</v>
      </c>
      <c r="Q118">
        <v>1000</v>
      </c>
      <c r="W118">
        <v>0</v>
      </c>
      <c r="X118">
        <v>1175474266</v>
      </c>
      <c r="Y118">
        <f t="shared" ref="Y118:Y131" si="79">((AT118*1)*0)</f>
        <v>0</v>
      </c>
      <c r="AA118">
        <v>15319.65</v>
      </c>
      <c r="AB118">
        <v>0</v>
      </c>
      <c r="AC118">
        <v>0</v>
      </c>
      <c r="AD118">
        <v>0</v>
      </c>
      <c r="AE118">
        <v>15319.65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1E-3</v>
      </c>
      <c r="AU118" t="s">
        <v>24</v>
      </c>
      <c r="AV118">
        <v>0</v>
      </c>
      <c r="AW118">
        <v>2</v>
      </c>
      <c r="AX118">
        <v>55983424</v>
      </c>
      <c r="AY118">
        <v>1</v>
      </c>
      <c r="AZ118">
        <v>0</v>
      </c>
      <c r="BA118">
        <v>134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ROUND(Y118*Source!I48,9)</f>
        <v>0</v>
      </c>
      <c r="CY118">
        <f t="shared" ref="CY118:CY131" si="80">AA118</f>
        <v>15319.65</v>
      </c>
      <c r="CZ118">
        <f t="shared" ref="CZ118:CZ131" si="81">AE118</f>
        <v>15319.65</v>
      </c>
      <c r="DA118">
        <f t="shared" ref="DA118:DA131" si="82">AI118</f>
        <v>1</v>
      </c>
      <c r="DB118">
        <f t="shared" ref="DB118:DB131" si="83">ROUND(((ROUND(AT118*CZ118,2)*1)*0),6)</f>
        <v>0</v>
      </c>
      <c r="DC118">
        <f t="shared" ref="DC118:DC131" si="84">ROUND(((ROUND(AT118*AG118,2)*1)*0),6)</f>
        <v>0</v>
      </c>
      <c r="DD118" t="s">
        <v>3</v>
      </c>
      <c r="DE118" t="s">
        <v>3</v>
      </c>
      <c r="DF118">
        <f t="shared" si="78"/>
        <v>0</v>
      </c>
      <c r="DG118">
        <f t="shared" si="76"/>
        <v>0</v>
      </c>
      <c r="DH118">
        <f t="shared" si="77"/>
        <v>0</v>
      </c>
      <c r="DI118">
        <f t="shared" si="41"/>
        <v>0</v>
      </c>
      <c r="DJ118">
        <f t="shared" ref="DJ118:DJ131" si="85">DF118</f>
        <v>0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ROW(Source!A48)</f>
        <v>48</v>
      </c>
      <c r="B119">
        <v>55917797</v>
      </c>
      <c r="C119">
        <v>55983407</v>
      </c>
      <c r="D119">
        <v>55459261</v>
      </c>
      <c r="E119">
        <v>1</v>
      </c>
      <c r="F119">
        <v>1</v>
      </c>
      <c r="G119">
        <v>1081</v>
      </c>
      <c r="H119">
        <v>3</v>
      </c>
      <c r="I119" t="s">
        <v>384</v>
      </c>
      <c r="J119" t="s">
        <v>385</v>
      </c>
      <c r="K119" t="s">
        <v>386</v>
      </c>
      <c r="L119">
        <v>1348</v>
      </c>
      <c r="N119">
        <v>1009</v>
      </c>
      <c r="O119" t="s">
        <v>345</v>
      </c>
      <c r="P119" t="s">
        <v>345</v>
      </c>
      <c r="Q119">
        <v>1000</v>
      </c>
      <c r="W119">
        <v>0</v>
      </c>
      <c r="X119">
        <v>-2092697376</v>
      </c>
      <c r="Y119">
        <f t="shared" si="79"/>
        <v>0</v>
      </c>
      <c r="AA119">
        <v>1219.68</v>
      </c>
      <c r="AB119">
        <v>0</v>
      </c>
      <c r="AC119">
        <v>0</v>
      </c>
      <c r="AD119">
        <v>0</v>
      </c>
      <c r="AE119">
        <v>1219.68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5.0000000000000002E-5</v>
      </c>
      <c r="AU119" t="s">
        <v>24</v>
      </c>
      <c r="AV119">
        <v>0</v>
      </c>
      <c r="AW119">
        <v>2</v>
      </c>
      <c r="AX119">
        <v>55983425</v>
      </c>
      <c r="AY119">
        <v>1</v>
      </c>
      <c r="AZ119">
        <v>0</v>
      </c>
      <c r="BA119">
        <v>135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ROUND(Y119*Source!I48,9)</f>
        <v>0</v>
      </c>
      <c r="CY119">
        <f t="shared" si="80"/>
        <v>1219.68</v>
      </c>
      <c r="CZ119">
        <f t="shared" si="81"/>
        <v>1219.68</v>
      </c>
      <c r="DA119">
        <f t="shared" si="82"/>
        <v>1</v>
      </c>
      <c r="DB119">
        <f t="shared" si="83"/>
        <v>0</v>
      </c>
      <c r="DC119">
        <f t="shared" si="84"/>
        <v>0</v>
      </c>
      <c r="DD119" t="s">
        <v>3</v>
      </c>
      <c r="DE119" t="s">
        <v>3</v>
      </c>
      <c r="DF119">
        <f t="shared" si="78"/>
        <v>0</v>
      </c>
      <c r="DG119">
        <f t="shared" si="76"/>
        <v>0</v>
      </c>
      <c r="DH119">
        <f t="shared" si="77"/>
        <v>0</v>
      </c>
      <c r="DI119">
        <f t="shared" si="41"/>
        <v>0</v>
      </c>
      <c r="DJ119">
        <f t="shared" si="85"/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ROW(Source!A48)</f>
        <v>48</v>
      </c>
      <c r="B120">
        <v>55917797</v>
      </c>
      <c r="C120">
        <v>55983407</v>
      </c>
      <c r="D120">
        <v>55460328</v>
      </c>
      <c r="E120">
        <v>1</v>
      </c>
      <c r="F120">
        <v>1</v>
      </c>
      <c r="G120">
        <v>1081</v>
      </c>
      <c r="H120">
        <v>3</v>
      </c>
      <c r="I120" t="s">
        <v>387</v>
      </c>
      <c r="J120" t="s">
        <v>388</v>
      </c>
      <c r="K120" t="s">
        <v>389</v>
      </c>
      <c r="L120">
        <v>1301</v>
      </c>
      <c r="N120">
        <v>1003</v>
      </c>
      <c r="O120" t="s">
        <v>263</v>
      </c>
      <c r="P120" t="s">
        <v>263</v>
      </c>
      <c r="Q120">
        <v>1</v>
      </c>
      <c r="W120">
        <v>0</v>
      </c>
      <c r="X120">
        <v>-206055494</v>
      </c>
      <c r="Y120">
        <f t="shared" si="79"/>
        <v>0</v>
      </c>
      <c r="AA120">
        <v>0.39</v>
      </c>
      <c r="AB120">
        <v>0</v>
      </c>
      <c r="AC120">
        <v>0</v>
      </c>
      <c r="AD120">
        <v>0</v>
      </c>
      <c r="AE120">
        <v>0.39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5</v>
      </c>
      <c r="AU120" t="s">
        <v>24</v>
      </c>
      <c r="AV120">
        <v>0</v>
      </c>
      <c r="AW120">
        <v>2</v>
      </c>
      <c r="AX120">
        <v>55983426</v>
      </c>
      <c r="AY120">
        <v>1</v>
      </c>
      <c r="AZ120">
        <v>0</v>
      </c>
      <c r="BA120">
        <v>136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ROUND(Y120*Source!I48,9)</f>
        <v>0</v>
      </c>
      <c r="CY120">
        <f t="shared" si="80"/>
        <v>0.39</v>
      </c>
      <c r="CZ120">
        <f t="shared" si="81"/>
        <v>0.39</v>
      </c>
      <c r="DA120">
        <f t="shared" si="82"/>
        <v>1</v>
      </c>
      <c r="DB120">
        <f t="shared" si="83"/>
        <v>0</v>
      </c>
      <c r="DC120">
        <f t="shared" si="84"/>
        <v>0</v>
      </c>
      <c r="DD120" t="s">
        <v>3</v>
      </c>
      <c r="DE120" t="s">
        <v>3</v>
      </c>
      <c r="DF120">
        <f t="shared" si="78"/>
        <v>0</v>
      </c>
      <c r="DG120">
        <f t="shared" si="76"/>
        <v>0</v>
      </c>
      <c r="DH120">
        <f t="shared" si="77"/>
        <v>0</v>
      </c>
      <c r="DI120">
        <f t="shared" si="41"/>
        <v>0</v>
      </c>
      <c r="DJ120">
        <f t="shared" si="85"/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5">
      <c r="A121">
        <f>ROW(Source!A48)</f>
        <v>48</v>
      </c>
      <c r="B121">
        <v>55917797</v>
      </c>
      <c r="C121">
        <v>55983407</v>
      </c>
      <c r="D121">
        <v>55459312</v>
      </c>
      <c r="E121">
        <v>1</v>
      </c>
      <c r="F121">
        <v>1</v>
      </c>
      <c r="G121">
        <v>1081</v>
      </c>
      <c r="H121">
        <v>3</v>
      </c>
      <c r="I121" t="s">
        <v>390</v>
      </c>
      <c r="J121" t="s">
        <v>391</v>
      </c>
      <c r="K121" t="s">
        <v>392</v>
      </c>
      <c r="L121">
        <v>1339</v>
      </c>
      <c r="N121">
        <v>1007</v>
      </c>
      <c r="O121" t="s">
        <v>393</v>
      </c>
      <c r="P121" t="s">
        <v>393</v>
      </c>
      <c r="Q121">
        <v>1</v>
      </c>
      <c r="W121">
        <v>0</v>
      </c>
      <c r="X121">
        <v>-366856290</v>
      </c>
      <c r="Y121">
        <f t="shared" si="79"/>
        <v>0</v>
      </c>
      <c r="AA121">
        <v>1176.3</v>
      </c>
      <c r="AB121">
        <v>0</v>
      </c>
      <c r="AC121">
        <v>0</v>
      </c>
      <c r="AD121">
        <v>0</v>
      </c>
      <c r="AE121">
        <v>1176.3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1E-3</v>
      </c>
      <c r="AU121" t="s">
        <v>24</v>
      </c>
      <c r="AV121">
        <v>0</v>
      </c>
      <c r="AW121">
        <v>2</v>
      </c>
      <c r="AX121">
        <v>55983427</v>
      </c>
      <c r="AY121">
        <v>1</v>
      </c>
      <c r="AZ121">
        <v>0</v>
      </c>
      <c r="BA121">
        <v>137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ROUND(Y121*Source!I48,9)</f>
        <v>0</v>
      </c>
      <c r="CY121">
        <f t="shared" si="80"/>
        <v>1176.3</v>
      </c>
      <c r="CZ121">
        <f t="shared" si="81"/>
        <v>1176.3</v>
      </c>
      <c r="DA121">
        <f t="shared" si="82"/>
        <v>1</v>
      </c>
      <c r="DB121">
        <f t="shared" si="83"/>
        <v>0</v>
      </c>
      <c r="DC121">
        <f t="shared" si="84"/>
        <v>0</v>
      </c>
      <c r="DD121" t="s">
        <v>3</v>
      </c>
      <c r="DE121" t="s">
        <v>3</v>
      </c>
      <c r="DF121">
        <f t="shared" si="78"/>
        <v>0</v>
      </c>
      <c r="DG121">
        <f t="shared" si="76"/>
        <v>0</v>
      </c>
      <c r="DH121">
        <f t="shared" si="77"/>
        <v>0</v>
      </c>
      <c r="DI121">
        <f t="shared" si="41"/>
        <v>0</v>
      </c>
      <c r="DJ121">
        <f t="shared" si="85"/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ROW(Source!A48)</f>
        <v>48</v>
      </c>
      <c r="B122">
        <v>55917797</v>
      </c>
      <c r="C122">
        <v>55983407</v>
      </c>
      <c r="D122">
        <v>55461230</v>
      </c>
      <c r="E122">
        <v>1</v>
      </c>
      <c r="F122">
        <v>1</v>
      </c>
      <c r="G122">
        <v>1081</v>
      </c>
      <c r="H122">
        <v>3</v>
      </c>
      <c r="I122" t="s">
        <v>349</v>
      </c>
      <c r="J122" t="s">
        <v>350</v>
      </c>
      <c r="K122" t="s">
        <v>351</v>
      </c>
      <c r="L122">
        <v>1346</v>
      </c>
      <c r="N122">
        <v>1009</v>
      </c>
      <c r="O122" t="s">
        <v>316</v>
      </c>
      <c r="P122" t="s">
        <v>316</v>
      </c>
      <c r="Q122">
        <v>1</v>
      </c>
      <c r="W122">
        <v>0</v>
      </c>
      <c r="X122">
        <v>1561715650</v>
      </c>
      <c r="Y122">
        <f t="shared" si="79"/>
        <v>0</v>
      </c>
      <c r="AA122">
        <v>15.11</v>
      </c>
      <c r="AB122">
        <v>0</v>
      </c>
      <c r="AC122">
        <v>0</v>
      </c>
      <c r="AD122">
        <v>0</v>
      </c>
      <c r="AE122">
        <v>15.11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0.01</v>
      </c>
      <c r="AU122" t="s">
        <v>24</v>
      </c>
      <c r="AV122">
        <v>0</v>
      </c>
      <c r="AW122">
        <v>2</v>
      </c>
      <c r="AX122">
        <v>55983428</v>
      </c>
      <c r="AY122">
        <v>1</v>
      </c>
      <c r="AZ122">
        <v>0</v>
      </c>
      <c r="BA122">
        <v>138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ROUND(Y122*Source!I48,9)</f>
        <v>0</v>
      </c>
      <c r="CY122">
        <f t="shared" si="80"/>
        <v>15.11</v>
      </c>
      <c r="CZ122">
        <f t="shared" si="81"/>
        <v>15.11</v>
      </c>
      <c r="DA122">
        <f t="shared" si="82"/>
        <v>1</v>
      </c>
      <c r="DB122">
        <f t="shared" si="83"/>
        <v>0</v>
      </c>
      <c r="DC122">
        <f t="shared" si="84"/>
        <v>0</v>
      </c>
      <c r="DD122" t="s">
        <v>3</v>
      </c>
      <c r="DE122" t="s">
        <v>3</v>
      </c>
      <c r="DF122">
        <f t="shared" si="78"/>
        <v>0</v>
      </c>
      <c r="DG122">
        <f t="shared" si="76"/>
        <v>0</v>
      </c>
      <c r="DH122">
        <f t="shared" si="77"/>
        <v>0</v>
      </c>
      <c r="DI122">
        <f t="shared" si="41"/>
        <v>0</v>
      </c>
      <c r="DJ122">
        <f t="shared" si="85"/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ROW(Source!A48)</f>
        <v>48</v>
      </c>
      <c r="B123">
        <v>55917797</v>
      </c>
      <c r="C123">
        <v>55983407</v>
      </c>
      <c r="D123">
        <v>55459400</v>
      </c>
      <c r="E123">
        <v>1</v>
      </c>
      <c r="F123">
        <v>1</v>
      </c>
      <c r="G123">
        <v>1081</v>
      </c>
      <c r="H123">
        <v>3</v>
      </c>
      <c r="I123" t="s">
        <v>355</v>
      </c>
      <c r="J123" t="s">
        <v>356</v>
      </c>
      <c r="K123" t="s">
        <v>357</v>
      </c>
      <c r="L123">
        <v>1346</v>
      </c>
      <c r="N123">
        <v>1009</v>
      </c>
      <c r="O123" t="s">
        <v>316</v>
      </c>
      <c r="P123" t="s">
        <v>316</v>
      </c>
      <c r="Q123">
        <v>1</v>
      </c>
      <c r="W123">
        <v>0</v>
      </c>
      <c r="X123">
        <v>-2129869794</v>
      </c>
      <c r="Y123">
        <f t="shared" si="79"/>
        <v>0</v>
      </c>
      <c r="AA123">
        <v>16.690000000000001</v>
      </c>
      <c r="AB123">
        <v>0</v>
      </c>
      <c r="AC123">
        <v>0</v>
      </c>
      <c r="AD123">
        <v>0</v>
      </c>
      <c r="AE123">
        <v>16.690000000000001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0.01</v>
      </c>
      <c r="AU123" t="s">
        <v>24</v>
      </c>
      <c r="AV123">
        <v>0</v>
      </c>
      <c r="AW123">
        <v>2</v>
      </c>
      <c r="AX123">
        <v>55983429</v>
      </c>
      <c r="AY123">
        <v>1</v>
      </c>
      <c r="AZ123">
        <v>0</v>
      </c>
      <c r="BA123">
        <v>139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ROUND(Y123*Source!I48,9)</f>
        <v>0</v>
      </c>
      <c r="CY123">
        <f t="shared" si="80"/>
        <v>16.690000000000001</v>
      </c>
      <c r="CZ123">
        <f t="shared" si="81"/>
        <v>16.690000000000001</v>
      </c>
      <c r="DA123">
        <f t="shared" si="82"/>
        <v>1</v>
      </c>
      <c r="DB123">
        <f t="shared" si="83"/>
        <v>0</v>
      </c>
      <c r="DC123">
        <f t="shared" si="84"/>
        <v>0</v>
      </c>
      <c r="DD123" t="s">
        <v>3</v>
      </c>
      <c r="DE123" t="s">
        <v>3</v>
      </c>
      <c r="DF123">
        <f t="shared" si="78"/>
        <v>0</v>
      </c>
      <c r="DG123">
        <f t="shared" si="76"/>
        <v>0</v>
      </c>
      <c r="DH123">
        <f t="shared" si="77"/>
        <v>0</v>
      </c>
      <c r="DI123">
        <f t="shared" si="41"/>
        <v>0</v>
      </c>
      <c r="DJ123">
        <f t="shared" si="85"/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ROW(Source!A48)</f>
        <v>48</v>
      </c>
      <c r="B124">
        <v>55917797</v>
      </c>
      <c r="C124">
        <v>55983407</v>
      </c>
      <c r="D124">
        <v>55461719</v>
      </c>
      <c r="E124">
        <v>1</v>
      </c>
      <c r="F124">
        <v>1</v>
      </c>
      <c r="G124">
        <v>1081</v>
      </c>
      <c r="H124">
        <v>3</v>
      </c>
      <c r="I124" t="s">
        <v>394</v>
      </c>
      <c r="J124" t="s">
        <v>395</v>
      </c>
      <c r="K124" t="s">
        <v>396</v>
      </c>
      <c r="L124">
        <v>1348</v>
      </c>
      <c r="N124">
        <v>1009</v>
      </c>
      <c r="O124" t="s">
        <v>345</v>
      </c>
      <c r="P124" t="s">
        <v>345</v>
      </c>
      <c r="Q124">
        <v>1000</v>
      </c>
      <c r="W124">
        <v>0</v>
      </c>
      <c r="X124">
        <v>-1265888387</v>
      </c>
      <c r="Y124">
        <f t="shared" si="79"/>
        <v>0</v>
      </c>
      <c r="AA124">
        <v>10643.18</v>
      </c>
      <c r="AB124">
        <v>0</v>
      </c>
      <c r="AC124">
        <v>0</v>
      </c>
      <c r="AD124">
        <v>0</v>
      </c>
      <c r="AE124">
        <v>10643.18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1E-4</v>
      </c>
      <c r="AU124" t="s">
        <v>24</v>
      </c>
      <c r="AV124">
        <v>0</v>
      </c>
      <c r="AW124">
        <v>2</v>
      </c>
      <c r="AX124">
        <v>55983430</v>
      </c>
      <c r="AY124">
        <v>1</v>
      </c>
      <c r="AZ124">
        <v>0</v>
      </c>
      <c r="BA124">
        <v>140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ROUND(Y124*Source!I48,9)</f>
        <v>0</v>
      </c>
      <c r="CY124">
        <f t="shared" si="80"/>
        <v>10643.18</v>
      </c>
      <c r="CZ124">
        <f t="shared" si="81"/>
        <v>10643.18</v>
      </c>
      <c r="DA124">
        <f t="shared" si="82"/>
        <v>1</v>
      </c>
      <c r="DB124">
        <f t="shared" si="83"/>
        <v>0</v>
      </c>
      <c r="DC124">
        <f t="shared" si="84"/>
        <v>0</v>
      </c>
      <c r="DD124" t="s">
        <v>3</v>
      </c>
      <c r="DE124" t="s">
        <v>3</v>
      </c>
      <c r="DF124">
        <f t="shared" si="78"/>
        <v>0</v>
      </c>
      <c r="DG124">
        <f t="shared" si="76"/>
        <v>0</v>
      </c>
      <c r="DH124">
        <f t="shared" si="77"/>
        <v>0</v>
      </c>
      <c r="DI124">
        <f t="shared" si="41"/>
        <v>0</v>
      </c>
      <c r="DJ124">
        <f t="shared" si="85"/>
        <v>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5">
      <c r="A125">
        <f>ROW(Source!A48)</f>
        <v>48</v>
      </c>
      <c r="B125">
        <v>55917797</v>
      </c>
      <c r="C125">
        <v>55983407</v>
      </c>
      <c r="D125">
        <v>55466000</v>
      </c>
      <c r="E125">
        <v>1</v>
      </c>
      <c r="F125">
        <v>1</v>
      </c>
      <c r="G125">
        <v>1081</v>
      </c>
      <c r="H125">
        <v>3</v>
      </c>
      <c r="I125" t="s">
        <v>397</v>
      </c>
      <c r="J125" t="s">
        <v>398</v>
      </c>
      <c r="K125" t="s">
        <v>399</v>
      </c>
      <c r="L125">
        <v>1355</v>
      </c>
      <c r="N125">
        <v>1010</v>
      </c>
      <c r="O125" t="s">
        <v>49</v>
      </c>
      <c r="P125" t="s">
        <v>49</v>
      </c>
      <c r="Q125">
        <v>100</v>
      </c>
      <c r="W125">
        <v>0</v>
      </c>
      <c r="X125">
        <v>436393287</v>
      </c>
      <c r="Y125">
        <f t="shared" si="79"/>
        <v>0</v>
      </c>
      <c r="AA125">
        <v>120.19</v>
      </c>
      <c r="AB125">
        <v>0</v>
      </c>
      <c r="AC125">
        <v>0</v>
      </c>
      <c r="AD125">
        <v>0</v>
      </c>
      <c r="AE125">
        <v>120.19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0.01</v>
      </c>
      <c r="AU125" t="s">
        <v>24</v>
      </c>
      <c r="AV125">
        <v>0</v>
      </c>
      <c r="AW125">
        <v>2</v>
      </c>
      <c r="AX125">
        <v>55983431</v>
      </c>
      <c r="AY125">
        <v>1</v>
      </c>
      <c r="AZ125">
        <v>0</v>
      </c>
      <c r="BA125">
        <v>141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ROUND(Y125*Source!I48,9)</f>
        <v>0</v>
      </c>
      <c r="CY125">
        <f t="shared" si="80"/>
        <v>120.19</v>
      </c>
      <c r="CZ125">
        <f t="shared" si="81"/>
        <v>120.19</v>
      </c>
      <c r="DA125">
        <f t="shared" si="82"/>
        <v>1</v>
      </c>
      <c r="DB125">
        <f t="shared" si="83"/>
        <v>0</v>
      </c>
      <c r="DC125">
        <f t="shared" si="84"/>
        <v>0</v>
      </c>
      <c r="DD125" t="s">
        <v>3</v>
      </c>
      <c r="DE125" t="s">
        <v>3</v>
      </c>
      <c r="DF125">
        <f t="shared" si="78"/>
        <v>0</v>
      </c>
      <c r="DG125">
        <f t="shared" si="76"/>
        <v>0</v>
      </c>
      <c r="DH125">
        <f t="shared" si="77"/>
        <v>0</v>
      </c>
      <c r="DI125">
        <f t="shared" si="41"/>
        <v>0</v>
      </c>
      <c r="DJ125">
        <f t="shared" si="85"/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ROW(Source!A48)</f>
        <v>48</v>
      </c>
      <c r="B126">
        <v>55917797</v>
      </c>
      <c r="C126">
        <v>55983407</v>
      </c>
      <c r="D126">
        <v>55459793</v>
      </c>
      <c r="E126">
        <v>1</v>
      </c>
      <c r="F126">
        <v>1</v>
      </c>
      <c r="G126">
        <v>1081</v>
      </c>
      <c r="H126">
        <v>3</v>
      </c>
      <c r="I126" t="s">
        <v>361</v>
      </c>
      <c r="J126" t="s">
        <v>362</v>
      </c>
      <c r="K126" t="s">
        <v>363</v>
      </c>
      <c r="L126">
        <v>1348</v>
      </c>
      <c r="N126">
        <v>1009</v>
      </c>
      <c r="O126" t="s">
        <v>345</v>
      </c>
      <c r="P126" t="s">
        <v>345</v>
      </c>
      <c r="Q126">
        <v>1000</v>
      </c>
      <c r="W126">
        <v>0</v>
      </c>
      <c r="X126">
        <v>-761454284</v>
      </c>
      <c r="Y126">
        <f t="shared" si="79"/>
        <v>0</v>
      </c>
      <c r="AA126">
        <v>64123.05</v>
      </c>
      <c r="AB126">
        <v>0</v>
      </c>
      <c r="AC126">
        <v>0</v>
      </c>
      <c r="AD126">
        <v>0</v>
      </c>
      <c r="AE126">
        <v>64123.05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2.0000000000000002E-5</v>
      </c>
      <c r="AU126" t="s">
        <v>24</v>
      </c>
      <c r="AV126">
        <v>0</v>
      </c>
      <c r="AW126">
        <v>2</v>
      </c>
      <c r="AX126">
        <v>55983432</v>
      </c>
      <c r="AY126">
        <v>1</v>
      </c>
      <c r="AZ126">
        <v>0</v>
      </c>
      <c r="BA126">
        <v>142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ROUND(Y126*Source!I48,9)</f>
        <v>0</v>
      </c>
      <c r="CY126">
        <f t="shared" si="80"/>
        <v>64123.05</v>
      </c>
      <c r="CZ126">
        <f t="shared" si="81"/>
        <v>64123.05</v>
      </c>
      <c r="DA126">
        <f t="shared" si="82"/>
        <v>1</v>
      </c>
      <c r="DB126">
        <f t="shared" si="83"/>
        <v>0</v>
      </c>
      <c r="DC126">
        <f t="shared" si="84"/>
        <v>0</v>
      </c>
      <c r="DD126" t="s">
        <v>3</v>
      </c>
      <c r="DE126" t="s">
        <v>3</v>
      </c>
      <c r="DF126">
        <f t="shared" si="78"/>
        <v>0</v>
      </c>
      <c r="DG126">
        <f t="shared" si="76"/>
        <v>0</v>
      </c>
      <c r="DH126">
        <f t="shared" si="77"/>
        <v>0</v>
      </c>
      <c r="DI126">
        <f t="shared" si="41"/>
        <v>0</v>
      </c>
      <c r="DJ126">
        <f t="shared" si="85"/>
        <v>0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ROW(Source!A48)</f>
        <v>48</v>
      </c>
      <c r="B127">
        <v>55917797</v>
      </c>
      <c r="C127">
        <v>55983407</v>
      </c>
      <c r="D127">
        <v>55459810</v>
      </c>
      <c r="E127">
        <v>1</v>
      </c>
      <c r="F127">
        <v>1</v>
      </c>
      <c r="G127">
        <v>1081</v>
      </c>
      <c r="H127">
        <v>3</v>
      </c>
      <c r="I127" t="s">
        <v>400</v>
      </c>
      <c r="J127" t="s">
        <v>401</v>
      </c>
      <c r="K127" t="s">
        <v>402</v>
      </c>
      <c r="L127">
        <v>1348</v>
      </c>
      <c r="N127">
        <v>1009</v>
      </c>
      <c r="O127" t="s">
        <v>345</v>
      </c>
      <c r="P127" t="s">
        <v>345</v>
      </c>
      <c r="Q127">
        <v>1000</v>
      </c>
      <c r="W127">
        <v>0</v>
      </c>
      <c r="X127">
        <v>-98394079</v>
      </c>
      <c r="Y127">
        <f t="shared" si="79"/>
        <v>0</v>
      </c>
      <c r="AA127">
        <v>9238.1299999999992</v>
      </c>
      <c r="AB127">
        <v>0</v>
      </c>
      <c r="AC127">
        <v>0</v>
      </c>
      <c r="AD127">
        <v>0</v>
      </c>
      <c r="AE127">
        <v>9238.1299999999992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1E-4</v>
      </c>
      <c r="AU127" t="s">
        <v>24</v>
      </c>
      <c r="AV127">
        <v>0</v>
      </c>
      <c r="AW127">
        <v>2</v>
      </c>
      <c r="AX127">
        <v>55983433</v>
      </c>
      <c r="AY127">
        <v>1</v>
      </c>
      <c r="AZ127">
        <v>0</v>
      </c>
      <c r="BA127">
        <v>143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ROUND(Y127*Source!I48,9)</f>
        <v>0</v>
      </c>
      <c r="CY127">
        <f t="shared" si="80"/>
        <v>9238.1299999999992</v>
      </c>
      <c r="CZ127">
        <f t="shared" si="81"/>
        <v>9238.1299999999992</v>
      </c>
      <c r="DA127">
        <f t="shared" si="82"/>
        <v>1</v>
      </c>
      <c r="DB127">
        <f t="shared" si="83"/>
        <v>0</v>
      </c>
      <c r="DC127">
        <f t="shared" si="84"/>
        <v>0</v>
      </c>
      <c r="DD127" t="s">
        <v>3</v>
      </c>
      <c r="DE127" t="s">
        <v>3</v>
      </c>
      <c r="DF127">
        <f t="shared" si="78"/>
        <v>0</v>
      </c>
      <c r="DG127">
        <f t="shared" si="76"/>
        <v>0</v>
      </c>
      <c r="DH127">
        <f t="shared" si="77"/>
        <v>0</v>
      </c>
      <c r="DI127">
        <f t="shared" si="41"/>
        <v>0</v>
      </c>
      <c r="DJ127">
        <f t="shared" si="85"/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ROW(Source!A48)</f>
        <v>48</v>
      </c>
      <c r="B128">
        <v>55917797</v>
      </c>
      <c r="C128">
        <v>55983407</v>
      </c>
      <c r="D128">
        <v>55482166</v>
      </c>
      <c r="E128">
        <v>1</v>
      </c>
      <c r="F128">
        <v>1</v>
      </c>
      <c r="G128">
        <v>1081</v>
      </c>
      <c r="H128">
        <v>3</v>
      </c>
      <c r="I128" t="s">
        <v>403</v>
      </c>
      <c r="J128" t="s">
        <v>404</v>
      </c>
      <c r="K128" t="s">
        <v>405</v>
      </c>
      <c r="L128">
        <v>1301</v>
      </c>
      <c r="N128">
        <v>1003</v>
      </c>
      <c r="O128" t="s">
        <v>263</v>
      </c>
      <c r="P128" t="s">
        <v>263</v>
      </c>
      <c r="Q128">
        <v>1</v>
      </c>
      <c r="W128">
        <v>0</v>
      </c>
      <c r="X128">
        <v>876831867</v>
      </c>
      <c r="Y128">
        <f t="shared" si="79"/>
        <v>0</v>
      </c>
      <c r="AA128">
        <v>0.69</v>
      </c>
      <c r="AB128">
        <v>0</v>
      </c>
      <c r="AC128">
        <v>0</v>
      </c>
      <c r="AD128">
        <v>0</v>
      </c>
      <c r="AE128">
        <v>0.69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1</v>
      </c>
      <c r="AU128" t="s">
        <v>24</v>
      </c>
      <c r="AV128">
        <v>0</v>
      </c>
      <c r="AW128">
        <v>2</v>
      </c>
      <c r="AX128">
        <v>55983434</v>
      </c>
      <c r="AY128">
        <v>1</v>
      </c>
      <c r="AZ128">
        <v>0</v>
      </c>
      <c r="BA128">
        <v>144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ROUND(Y128*Source!I48,9)</f>
        <v>0</v>
      </c>
      <c r="CY128">
        <f t="shared" si="80"/>
        <v>0.69</v>
      </c>
      <c r="CZ128">
        <f t="shared" si="81"/>
        <v>0.69</v>
      </c>
      <c r="DA128">
        <f t="shared" si="82"/>
        <v>1</v>
      </c>
      <c r="DB128">
        <f t="shared" si="83"/>
        <v>0</v>
      </c>
      <c r="DC128">
        <f t="shared" si="84"/>
        <v>0</v>
      </c>
      <c r="DD128" t="s">
        <v>3</v>
      </c>
      <c r="DE128" t="s">
        <v>3</v>
      </c>
      <c r="DF128">
        <f t="shared" si="78"/>
        <v>0</v>
      </c>
      <c r="DG128">
        <f t="shared" si="76"/>
        <v>0</v>
      </c>
      <c r="DH128">
        <f t="shared" si="77"/>
        <v>0</v>
      </c>
      <c r="DI128">
        <f t="shared" si="41"/>
        <v>0</v>
      </c>
      <c r="DJ128">
        <f t="shared" si="85"/>
        <v>0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ROW(Source!A48)</f>
        <v>48</v>
      </c>
      <c r="B129">
        <v>55917797</v>
      </c>
      <c r="C129">
        <v>55983407</v>
      </c>
      <c r="D129">
        <v>55482445</v>
      </c>
      <c r="E129">
        <v>1</v>
      </c>
      <c r="F129">
        <v>1</v>
      </c>
      <c r="G129">
        <v>1081</v>
      </c>
      <c r="H129">
        <v>3</v>
      </c>
      <c r="I129" t="s">
        <v>406</v>
      </c>
      <c r="J129" t="s">
        <v>407</v>
      </c>
      <c r="K129" t="s">
        <v>408</v>
      </c>
      <c r="L129">
        <v>1356</v>
      </c>
      <c r="N129">
        <v>1010</v>
      </c>
      <c r="O129" t="s">
        <v>409</v>
      </c>
      <c r="P129" t="s">
        <v>409</v>
      </c>
      <c r="Q129">
        <v>1000</v>
      </c>
      <c r="W129">
        <v>0</v>
      </c>
      <c r="X129">
        <v>-285397556</v>
      </c>
      <c r="Y129">
        <f t="shared" si="79"/>
        <v>0</v>
      </c>
      <c r="AA129">
        <v>294.89</v>
      </c>
      <c r="AB129">
        <v>0</v>
      </c>
      <c r="AC129">
        <v>0</v>
      </c>
      <c r="AD129">
        <v>0</v>
      </c>
      <c r="AE129">
        <v>294.89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0.01</v>
      </c>
      <c r="AU129" t="s">
        <v>24</v>
      </c>
      <c r="AV129">
        <v>0</v>
      </c>
      <c r="AW129">
        <v>2</v>
      </c>
      <c r="AX129">
        <v>55983435</v>
      </c>
      <c r="AY129">
        <v>1</v>
      </c>
      <c r="AZ129">
        <v>0</v>
      </c>
      <c r="BA129">
        <v>145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ROUND(Y129*Source!I48,9)</f>
        <v>0</v>
      </c>
      <c r="CY129">
        <f t="shared" si="80"/>
        <v>294.89</v>
      </c>
      <c r="CZ129">
        <f t="shared" si="81"/>
        <v>294.89</v>
      </c>
      <c r="DA129">
        <f t="shared" si="82"/>
        <v>1</v>
      </c>
      <c r="DB129">
        <f t="shared" si="83"/>
        <v>0</v>
      </c>
      <c r="DC129">
        <f t="shared" si="84"/>
        <v>0</v>
      </c>
      <c r="DD129" t="s">
        <v>3</v>
      </c>
      <c r="DE129" t="s">
        <v>3</v>
      </c>
      <c r="DF129">
        <f t="shared" si="78"/>
        <v>0</v>
      </c>
      <c r="DG129">
        <f t="shared" si="76"/>
        <v>0</v>
      </c>
      <c r="DH129">
        <f t="shared" si="77"/>
        <v>0</v>
      </c>
      <c r="DI129">
        <f t="shared" ref="DI129:DI192" si="86">ROUND(ROUND(AH129,2)*CX129,2)</f>
        <v>0</v>
      </c>
      <c r="DJ129">
        <f t="shared" si="85"/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ROW(Source!A48)</f>
        <v>48</v>
      </c>
      <c r="B130">
        <v>55917797</v>
      </c>
      <c r="C130">
        <v>55983407</v>
      </c>
      <c r="D130">
        <v>55481518</v>
      </c>
      <c r="E130">
        <v>1</v>
      </c>
      <c r="F130">
        <v>1</v>
      </c>
      <c r="G130">
        <v>1081</v>
      </c>
      <c r="H130">
        <v>3</v>
      </c>
      <c r="I130" t="s">
        <v>410</v>
      </c>
      <c r="J130" t="s">
        <v>411</v>
      </c>
      <c r="K130" t="s">
        <v>412</v>
      </c>
      <c r="L130">
        <v>1354</v>
      </c>
      <c r="N130">
        <v>1010</v>
      </c>
      <c r="O130" t="s">
        <v>164</v>
      </c>
      <c r="P130" t="s">
        <v>164</v>
      </c>
      <c r="Q130">
        <v>1</v>
      </c>
      <c r="W130">
        <v>0</v>
      </c>
      <c r="X130">
        <v>55982921</v>
      </c>
      <c r="Y130">
        <f t="shared" si="79"/>
        <v>0</v>
      </c>
      <c r="AA130">
        <v>15.67</v>
      </c>
      <c r="AB130">
        <v>0</v>
      </c>
      <c r="AC130">
        <v>0</v>
      </c>
      <c r="AD130">
        <v>0</v>
      </c>
      <c r="AE130">
        <v>15.67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1</v>
      </c>
      <c r="AU130" t="s">
        <v>24</v>
      </c>
      <c r="AV130">
        <v>0</v>
      </c>
      <c r="AW130">
        <v>2</v>
      </c>
      <c r="AX130">
        <v>55983436</v>
      </c>
      <c r="AY130">
        <v>1</v>
      </c>
      <c r="AZ130">
        <v>0</v>
      </c>
      <c r="BA130">
        <v>146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ROUND(Y130*Source!I48,9)</f>
        <v>0</v>
      </c>
      <c r="CY130">
        <f t="shared" si="80"/>
        <v>15.67</v>
      </c>
      <c r="CZ130">
        <f t="shared" si="81"/>
        <v>15.67</v>
      </c>
      <c r="DA130">
        <f t="shared" si="82"/>
        <v>1</v>
      </c>
      <c r="DB130">
        <f t="shared" si="83"/>
        <v>0</v>
      </c>
      <c r="DC130">
        <f t="shared" si="84"/>
        <v>0</v>
      </c>
      <c r="DD130" t="s">
        <v>3</v>
      </c>
      <c r="DE130" t="s">
        <v>3</v>
      </c>
      <c r="DF130">
        <f t="shared" si="78"/>
        <v>0</v>
      </c>
      <c r="DG130">
        <f t="shared" si="76"/>
        <v>0</v>
      </c>
      <c r="DH130">
        <f t="shared" si="77"/>
        <v>0</v>
      </c>
      <c r="DI130">
        <f t="shared" si="86"/>
        <v>0</v>
      </c>
      <c r="DJ130">
        <f t="shared" si="85"/>
        <v>0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ROW(Source!A48)</f>
        <v>48</v>
      </c>
      <c r="B131">
        <v>55917797</v>
      </c>
      <c r="C131">
        <v>55983407</v>
      </c>
      <c r="D131">
        <v>55424290</v>
      </c>
      <c r="E131">
        <v>1081</v>
      </c>
      <c r="F131">
        <v>1</v>
      </c>
      <c r="G131">
        <v>1081</v>
      </c>
      <c r="H131">
        <v>3</v>
      </c>
      <c r="I131" t="s">
        <v>371</v>
      </c>
      <c r="J131" t="s">
        <v>3</v>
      </c>
      <c r="K131" t="s">
        <v>372</v>
      </c>
      <c r="L131">
        <v>1348</v>
      </c>
      <c r="N131">
        <v>1009</v>
      </c>
      <c r="O131" t="s">
        <v>345</v>
      </c>
      <c r="P131" t="s">
        <v>345</v>
      </c>
      <c r="Q131">
        <v>1000</v>
      </c>
      <c r="W131">
        <v>0</v>
      </c>
      <c r="X131">
        <v>-783086922</v>
      </c>
      <c r="Y131">
        <f t="shared" si="79"/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1E-3</v>
      </c>
      <c r="AU131" t="s">
        <v>24</v>
      </c>
      <c r="AV131">
        <v>0</v>
      </c>
      <c r="AW131">
        <v>2</v>
      </c>
      <c r="AX131">
        <v>55983439</v>
      </c>
      <c r="AY131">
        <v>1</v>
      </c>
      <c r="AZ131">
        <v>0</v>
      </c>
      <c r="BA131">
        <v>149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ROUND(Y131*Source!I48,9)</f>
        <v>0</v>
      </c>
      <c r="CY131">
        <f t="shared" si="80"/>
        <v>0</v>
      </c>
      <c r="CZ131">
        <f t="shared" si="81"/>
        <v>0</v>
      </c>
      <c r="DA131">
        <f t="shared" si="82"/>
        <v>1</v>
      </c>
      <c r="DB131">
        <f t="shared" si="83"/>
        <v>0</v>
      </c>
      <c r="DC131">
        <f t="shared" si="84"/>
        <v>0</v>
      </c>
      <c r="DD131" t="s">
        <v>3</v>
      </c>
      <c r="DE131" t="s">
        <v>3</v>
      </c>
      <c r="DF131">
        <f t="shared" si="78"/>
        <v>0</v>
      </c>
      <c r="DG131">
        <f t="shared" si="76"/>
        <v>0</v>
      </c>
      <c r="DH131">
        <f t="shared" si="77"/>
        <v>0</v>
      </c>
      <c r="DI131">
        <f t="shared" si="86"/>
        <v>0</v>
      </c>
      <c r="DJ131">
        <f t="shared" si="85"/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ROW(Source!A49)</f>
        <v>49</v>
      </c>
      <c r="B132">
        <v>55917799</v>
      </c>
      <c r="C132">
        <v>55983407</v>
      </c>
      <c r="D132">
        <v>55424304</v>
      </c>
      <c r="E132">
        <v>1081</v>
      </c>
      <c r="F132">
        <v>1</v>
      </c>
      <c r="G132">
        <v>1081</v>
      </c>
      <c r="H132">
        <v>1</v>
      </c>
      <c r="I132" t="s">
        <v>339</v>
      </c>
      <c r="J132" t="s">
        <v>3</v>
      </c>
      <c r="K132" t="s">
        <v>340</v>
      </c>
      <c r="L132">
        <v>1191</v>
      </c>
      <c r="N132">
        <v>1013</v>
      </c>
      <c r="O132" t="s">
        <v>341</v>
      </c>
      <c r="P132" t="s">
        <v>341</v>
      </c>
      <c r="Q132">
        <v>1</v>
      </c>
      <c r="W132">
        <v>0</v>
      </c>
      <c r="X132">
        <v>476480486</v>
      </c>
      <c r="Y132">
        <f>((AT132*1.2)*0.3)</f>
        <v>1.0799999999999998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5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3</v>
      </c>
      <c r="AU132" t="s">
        <v>25</v>
      </c>
      <c r="AV132">
        <v>1</v>
      </c>
      <c r="AW132">
        <v>2</v>
      </c>
      <c r="AX132">
        <v>55983423</v>
      </c>
      <c r="AY132">
        <v>1</v>
      </c>
      <c r="AZ132">
        <v>0</v>
      </c>
      <c r="BA132">
        <v>150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U132">
        <f>ROUND(AT132*Source!I49*AH132*AL132,2)</f>
        <v>0</v>
      </c>
      <c r="CV132">
        <f>ROUND(Y132*Source!I49,9)</f>
        <v>1.08</v>
      </c>
      <c r="CW132">
        <v>0</v>
      </c>
      <c r="CX132">
        <f>ROUND(Y132*Source!I49,9)</f>
        <v>1.08</v>
      </c>
      <c r="CY132">
        <f>AD132</f>
        <v>0</v>
      </c>
      <c r="CZ132">
        <f>AH132</f>
        <v>0</v>
      </c>
      <c r="DA132">
        <f>AL132</f>
        <v>1</v>
      </c>
      <c r="DB132">
        <f>ROUND(((ROUND(AT132*CZ132,2)*1.2)*0.3),6)</f>
        <v>0</v>
      </c>
      <c r="DC132">
        <f>ROUND(((ROUND(AT132*AG132,2)*1.2)*0.3),6)</f>
        <v>0</v>
      </c>
      <c r="DD132" t="s">
        <v>3</v>
      </c>
      <c r="DE132" t="s">
        <v>3</v>
      </c>
      <c r="DF132">
        <f t="shared" si="78"/>
        <v>0</v>
      </c>
      <c r="DG132">
        <f t="shared" si="76"/>
        <v>0</v>
      </c>
      <c r="DH132">
        <f t="shared" si="77"/>
        <v>0</v>
      </c>
      <c r="DI132">
        <f t="shared" si="86"/>
        <v>0</v>
      </c>
      <c r="DJ132">
        <f>DI132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ROW(Source!A49)</f>
        <v>49</v>
      </c>
      <c r="B133">
        <v>55917799</v>
      </c>
      <c r="C133">
        <v>55983407</v>
      </c>
      <c r="D133">
        <v>55459894</v>
      </c>
      <c r="E133">
        <v>1</v>
      </c>
      <c r="F133">
        <v>1</v>
      </c>
      <c r="G133">
        <v>1081</v>
      </c>
      <c r="H133">
        <v>3</v>
      </c>
      <c r="I133" t="s">
        <v>381</v>
      </c>
      <c r="J133" t="s">
        <v>382</v>
      </c>
      <c r="K133" t="s">
        <v>383</v>
      </c>
      <c r="L133">
        <v>1348</v>
      </c>
      <c r="N133">
        <v>1009</v>
      </c>
      <c r="O133" t="s">
        <v>345</v>
      </c>
      <c r="P133" t="s">
        <v>345</v>
      </c>
      <c r="Q133">
        <v>1000</v>
      </c>
      <c r="W133">
        <v>0</v>
      </c>
      <c r="X133">
        <v>1175474266</v>
      </c>
      <c r="Y133">
        <f t="shared" ref="Y133:Y146" si="87">((AT133*1)*0)</f>
        <v>0</v>
      </c>
      <c r="AA133">
        <v>75372.679999999993</v>
      </c>
      <c r="AB133">
        <v>0</v>
      </c>
      <c r="AC133">
        <v>0</v>
      </c>
      <c r="AD133">
        <v>0</v>
      </c>
      <c r="AE133">
        <v>15319.65</v>
      </c>
      <c r="AF133">
        <v>0</v>
      </c>
      <c r="AG133">
        <v>0</v>
      </c>
      <c r="AH133">
        <v>0</v>
      </c>
      <c r="AI133">
        <v>4.92</v>
      </c>
      <c r="AJ133">
        <v>1</v>
      </c>
      <c r="AK133">
        <v>1</v>
      </c>
      <c r="AL133">
        <v>1</v>
      </c>
      <c r="AM133">
        <v>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1E-3</v>
      </c>
      <c r="AU133" t="s">
        <v>24</v>
      </c>
      <c r="AV133">
        <v>0</v>
      </c>
      <c r="AW133">
        <v>2</v>
      </c>
      <c r="AX133">
        <v>55983424</v>
      </c>
      <c r="AY133">
        <v>1</v>
      </c>
      <c r="AZ133">
        <v>0</v>
      </c>
      <c r="BA133">
        <v>151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ROUND(Y133*Source!I49,9)</f>
        <v>0</v>
      </c>
      <c r="CY133">
        <f t="shared" ref="CY133:CY146" si="88">AA133</f>
        <v>75372.679999999993</v>
      </c>
      <c r="CZ133">
        <f t="shared" ref="CZ133:CZ146" si="89">AE133</f>
        <v>15319.65</v>
      </c>
      <c r="DA133">
        <f t="shared" ref="DA133:DA146" si="90">AI133</f>
        <v>4.92</v>
      </c>
      <c r="DB133">
        <f t="shared" ref="DB133:DB146" si="91">ROUND(((ROUND(AT133*CZ133,2)*1)*0),6)</f>
        <v>0</v>
      </c>
      <c r="DC133">
        <f t="shared" ref="DC133:DC146" si="92">ROUND(((ROUND(AT133*AG133,2)*1)*0),6)</f>
        <v>0</v>
      </c>
      <c r="DD133" t="s">
        <v>3</v>
      </c>
      <c r="DE133" t="s">
        <v>3</v>
      </c>
      <c r="DF133">
        <f t="shared" ref="DF133:DF146" si="93">ROUND(ROUND(AE133*AI133,2)*CX133,2)</f>
        <v>0</v>
      </c>
      <c r="DG133">
        <f t="shared" si="76"/>
        <v>0</v>
      </c>
      <c r="DH133">
        <f t="shared" si="77"/>
        <v>0</v>
      </c>
      <c r="DI133">
        <f t="shared" si="86"/>
        <v>0</v>
      </c>
      <c r="DJ133">
        <f t="shared" ref="DJ133:DJ146" si="94">DF133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ROW(Source!A49)</f>
        <v>49</v>
      </c>
      <c r="B134">
        <v>55917799</v>
      </c>
      <c r="C134">
        <v>55983407</v>
      </c>
      <c r="D134">
        <v>55459261</v>
      </c>
      <c r="E134">
        <v>1</v>
      </c>
      <c r="F134">
        <v>1</v>
      </c>
      <c r="G134">
        <v>1081</v>
      </c>
      <c r="H134">
        <v>3</v>
      </c>
      <c r="I134" t="s">
        <v>384</v>
      </c>
      <c r="J134" t="s">
        <v>385</v>
      </c>
      <c r="K134" t="s">
        <v>386</v>
      </c>
      <c r="L134">
        <v>1348</v>
      </c>
      <c r="N134">
        <v>1009</v>
      </c>
      <c r="O134" t="s">
        <v>345</v>
      </c>
      <c r="P134" t="s">
        <v>345</v>
      </c>
      <c r="Q134">
        <v>1000</v>
      </c>
      <c r="W134">
        <v>0</v>
      </c>
      <c r="X134">
        <v>-2092697376</v>
      </c>
      <c r="Y134">
        <f t="shared" si="87"/>
        <v>0</v>
      </c>
      <c r="AA134">
        <v>7305.88</v>
      </c>
      <c r="AB134">
        <v>0</v>
      </c>
      <c r="AC134">
        <v>0</v>
      </c>
      <c r="AD134">
        <v>0</v>
      </c>
      <c r="AE134">
        <v>1219.68</v>
      </c>
      <c r="AF134">
        <v>0</v>
      </c>
      <c r="AG134">
        <v>0</v>
      </c>
      <c r="AH134">
        <v>0</v>
      </c>
      <c r="AI134">
        <v>5.99</v>
      </c>
      <c r="AJ134">
        <v>1</v>
      </c>
      <c r="AK134">
        <v>1</v>
      </c>
      <c r="AL134">
        <v>1</v>
      </c>
      <c r="AM134">
        <v>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5.0000000000000002E-5</v>
      </c>
      <c r="AU134" t="s">
        <v>24</v>
      </c>
      <c r="AV134">
        <v>0</v>
      </c>
      <c r="AW134">
        <v>2</v>
      </c>
      <c r="AX134">
        <v>55983425</v>
      </c>
      <c r="AY134">
        <v>1</v>
      </c>
      <c r="AZ134">
        <v>0</v>
      </c>
      <c r="BA134">
        <v>152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ROUND(Y134*Source!I49,9)</f>
        <v>0</v>
      </c>
      <c r="CY134">
        <f t="shared" si="88"/>
        <v>7305.88</v>
      </c>
      <c r="CZ134">
        <f t="shared" si="89"/>
        <v>1219.68</v>
      </c>
      <c r="DA134">
        <f t="shared" si="90"/>
        <v>5.99</v>
      </c>
      <c r="DB134">
        <f t="shared" si="91"/>
        <v>0</v>
      </c>
      <c r="DC134">
        <f t="shared" si="92"/>
        <v>0</v>
      </c>
      <c r="DD134" t="s">
        <v>3</v>
      </c>
      <c r="DE134" t="s">
        <v>3</v>
      </c>
      <c r="DF134">
        <f t="shared" si="93"/>
        <v>0</v>
      </c>
      <c r="DG134">
        <f t="shared" si="76"/>
        <v>0</v>
      </c>
      <c r="DH134">
        <f t="shared" si="77"/>
        <v>0</v>
      </c>
      <c r="DI134">
        <f t="shared" si="86"/>
        <v>0</v>
      </c>
      <c r="DJ134">
        <f t="shared" si="94"/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ROW(Source!A49)</f>
        <v>49</v>
      </c>
      <c r="B135">
        <v>55917799</v>
      </c>
      <c r="C135">
        <v>55983407</v>
      </c>
      <c r="D135">
        <v>55460328</v>
      </c>
      <c r="E135">
        <v>1</v>
      </c>
      <c r="F135">
        <v>1</v>
      </c>
      <c r="G135">
        <v>1081</v>
      </c>
      <c r="H135">
        <v>3</v>
      </c>
      <c r="I135" t="s">
        <v>387</v>
      </c>
      <c r="J135" t="s">
        <v>388</v>
      </c>
      <c r="K135" t="s">
        <v>389</v>
      </c>
      <c r="L135">
        <v>1301</v>
      </c>
      <c r="N135">
        <v>1003</v>
      </c>
      <c r="O135" t="s">
        <v>263</v>
      </c>
      <c r="P135" t="s">
        <v>263</v>
      </c>
      <c r="Q135">
        <v>1</v>
      </c>
      <c r="W135">
        <v>0</v>
      </c>
      <c r="X135">
        <v>-206055494</v>
      </c>
      <c r="Y135">
        <f t="shared" si="87"/>
        <v>0</v>
      </c>
      <c r="AA135">
        <v>5.48</v>
      </c>
      <c r="AB135">
        <v>0</v>
      </c>
      <c r="AC135">
        <v>0</v>
      </c>
      <c r="AD135">
        <v>0</v>
      </c>
      <c r="AE135">
        <v>0.39</v>
      </c>
      <c r="AF135">
        <v>0</v>
      </c>
      <c r="AG135">
        <v>0</v>
      </c>
      <c r="AH135">
        <v>0</v>
      </c>
      <c r="AI135">
        <v>14.05</v>
      </c>
      <c r="AJ135">
        <v>1</v>
      </c>
      <c r="AK135">
        <v>1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5</v>
      </c>
      <c r="AU135" t="s">
        <v>24</v>
      </c>
      <c r="AV135">
        <v>0</v>
      </c>
      <c r="AW135">
        <v>2</v>
      </c>
      <c r="AX135">
        <v>55983426</v>
      </c>
      <c r="AY135">
        <v>1</v>
      </c>
      <c r="AZ135">
        <v>0</v>
      </c>
      <c r="BA135">
        <v>153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ROUND(Y135*Source!I49,9)</f>
        <v>0</v>
      </c>
      <c r="CY135">
        <f t="shared" si="88"/>
        <v>5.48</v>
      </c>
      <c r="CZ135">
        <f t="shared" si="89"/>
        <v>0.39</v>
      </c>
      <c r="DA135">
        <f t="shared" si="90"/>
        <v>14.05</v>
      </c>
      <c r="DB135">
        <f t="shared" si="91"/>
        <v>0</v>
      </c>
      <c r="DC135">
        <f t="shared" si="92"/>
        <v>0</v>
      </c>
      <c r="DD135" t="s">
        <v>3</v>
      </c>
      <c r="DE135" t="s">
        <v>3</v>
      </c>
      <c r="DF135">
        <f t="shared" si="93"/>
        <v>0</v>
      </c>
      <c r="DG135">
        <f t="shared" si="76"/>
        <v>0</v>
      </c>
      <c r="DH135">
        <f t="shared" si="77"/>
        <v>0</v>
      </c>
      <c r="DI135">
        <f t="shared" si="86"/>
        <v>0</v>
      </c>
      <c r="DJ135">
        <f t="shared" si="94"/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ROW(Source!A49)</f>
        <v>49</v>
      </c>
      <c r="B136">
        <v>55917799</v>
      </c>
      <c r="C136">
        <v>55983407</v>
      </c>
      <c r="D136">
        <v>55459312</v>
      </c>
      <c r="E136">
        <v>1</v>
      </c>
      <c r="F136">
        <v>1</v>
      </c>
      <c r="G136">
        <v>1081</v>
      </c>
      <c r="H136">
        <v>3</v>
      </c>
      <c r="I136" t="s">
        <v>390</v>
      </c>
      <c r="J136" t="s">
        <v>391</v>
      </c>
      <c r="K136" t="s">
        <v>392</v>
      </c>
      <c r="L136">
        <v>1339</v>
      </c>
      <c r="N136">
        <v>1007</v>
      </c>
      <c r="O136" t="s">
        <v>393</v>
      </c>
      <c r="P136" t="s">
        <v>393</v>
      </c>
      <c r="Q136">
        <v>1</v>
      </c>
      <c r="W136">
        <v>0</v>
      </c>
      <c r="X136">
        <v>-366856290</v>
      </c>
      <c r="Y136">
        <f t="shared" si="87"/>
        <v>0</v>
      </c>
      <c r="AA136">
        <v>8598.75</v>
      </c>
      <c r="AB136">
        <v>0</v>
      </c>
      <c r="AC136">
        <v>0</v>
      </c>
      <c r="AD136">
        <v>0</v>
      </c>
      <c r="AE136">
        <v>1176.3</v>
      </c>
      <c r="AF136">
        <v>0</v>
      </c>
      <c r="AG136">
        <v>0</v>
      </c>
      <c r="AH136">
        <v>0</v>
      </c>
      <c r="AI136">
        <v>7.31</v>
      </c>
      <c r="AJ136">
        <v>1</v>
      </c>
      <c r="AK136">
        <v>1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1E-3</v>
      </c>
      <c r="AU136" t="s">
        <v>24</v>
      </c>
      <c r="AV136">
        <v>0</v>
      </c>
      <c r="AW136">
        <v>2</v>
      </c>
      <c r="AX136">
        <v>55983427</v>
      </c>
      <c r="AY136">
        <v>1</v>
      </c>
      <c r="AZ136">
        <v>0</v>
      </c>
      <c r="BA136">
        <v>154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ROUND(Y136*Source!I49,9)</f>
        <v>0</v>
      </c>
      <c r="CY136">
        <f t="shared" si="88"/>
        <v>8598.75</v>
      </c>
      <c r="CZ136">
        <f t="shared" si="89"/>
        <v>1176.3</v>
      </c>
      <c r="DA136">
        <f t="shared" si="90"/>
        <v>7.31</v>
      </c>
      <c r="DB136">
        <f t="shared" si="91"/>
        <v>0</v>
      </c>
      <c r="DC136">
        <f t="shared" si="92"/>
        <v>0</v>
      </c>
      <c r="DD136" t="s">
        <v>3</v>
      </c>
      <c r="DE136" t="s">
        <v>3</v>
      </c>
      <c r="DF136">
        <f t="shared" si="93"/>
        <v>0</v>
      </c>
      <c r="DG136">
        <f t="shared" si="76"/>
        <v>0</v>
      </c>
      <c r="DH136">
        <f t="shared" si="77"/>
        <v>0</v>
      </c>
      <c r="DI136">
        <f t="shared" si="86"/>
        <v>0</v>
      </c>
      <c r="DJ136">
        <f t="shared" si="94"/>
        <v>0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ROW(Source!A49)</f>
        <v>49</v>
      </c>
      <c r="B137">
        <v>55917799</v>
      </c>
      <c r="C137">
        <v>55983407</v>
      </c>
      <c r="D137">
        <v>55461230</v>
      </c>
      <c r="E137">
        <v>1</v>
      </c>
      <c r="F137">
        <v>1</v>
      </c>
      <c r="G137">
        <v>1081</v>
      </c>
      <c r="H137">
        <v>3</v>
      </c>
      <c r="I137" t="s">
        <v>349</v>
      </c>
      <c r="J137" t="s">
        <v>350</v>
      </c>
      <c r="K137" t="s">
        <v>351</v>
      </c>
      <c r="L137">
        <v>1346</v>
      </c>
      <c r="N137">
        <v>1009</v>
      </c>
      <c r="O137" t="s">
        <v>316</v>
      </c>
      <c r="P137" t="s">
        <v>316</v>
      </c>
      <c r="Q137">
        <v>1</v>
      </c>
      <c r="W137">
        <v>0</v>
      </c>
      <c r="X137">
        <v>1561715650</v>
      </c>
      <c r="Y137">
        <f t="shared" si="87"/>
        <v>0</v>
      </c>
      <c r="AA137">
        <v>200.81</v>
      </c>
      <c r="AB137">
        <v>0</v>
      </c>
      <c r="AC137">
        <v>0</v>
      </c>
      <c r="AD137">
        <v>0</v>
      </c>
      <c r="AE137">
        <v>15.11</v>
      </c>
      <c r="AF137">
        <v>0</v>
      </c>
      <c r="AG137">
        <v>0</v>
      </c>
      <c r="AH137">
        <v>0</v>
      </c>
      <c r="AI137">
        <v>13.29</v>
      </c>
      <c r="AJ137">
        <v>1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0.01</v>
      </c>
      <c r="AU137" t="s">
        <v>24</v>
      </c>
      <c r="AV137">
        <v>0</v>
      </c>
      <c r="AW137">
        <v>2</v>
      </c>
      <c r="AX137">
        <v>55983428</v>
      </c>
      <c r="AY137">
        <v>1</v>
      </c>
      <c r="AZ137">
        <v>0</v>
      </c>
      <c r="BA137">
        <v>155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ROUND(Y137*Source!I49,9)</f>
        <v>0</v>
      </c>
      <c r="CY137">
        <f t="shared" si="88"/>
        <v>200.81</v>
      </c>
      <c r="CZ137">
        <f t="shared" si="89"/>
        <v>15.11</v>
      </c>
      <c r="DA137">
        <f t="shared" si="90"/>
        <v>13.29</v>
      </c>
      <c r="DB137">
        <f t="shared" si="91"/>
        <v>0</v>
      </c>
      <c r="DC137">
        <f t="shared" si="92"/>
        <v>0</v>
      </c>
      <c r="DD137" t="s">
        <v>3</v>
      </c>
      <c r="DE137" t="s">
        <v>3</v>
      </c>
      <c r="DF137">
        <f t="shared" si="93"/>
        <v>0</v>
      </c>
      <c r="DG137">
        <f t="shared" si="76"/>
        <v>0</v>
      </c>
      <c r="DH137">
        <f t="shared" si="77"/>
        <v>0</v>
      </c>
      <c r="DI137">
        <f t="shared" si="86"/>
        <v>0</v>
      </c>
      <c r="DJ137">
        <f t="shared" si="94"/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ROW(Source!A49)</f>
        <v>49</v>
      </c>
      <c r="B138">
        <v>55917799</v>
      </c>
      <c r="C138">
        <v>55983407</v>
      </c>
      <c r="D138">
        <v>55459400</v>
      </c>
      <c r="E138">
        <v>1</v>
      </c>
      <c r="F138">
        <v>1</v>
      </c>
      <c r="G138">
        <v>1081</v>
      </c>
      <c r="H138">
        <v>3</v>
      </c>
      <c r="I138" t="s">
        <v>355</v>
      </c>
      <c r="J138" t="s">
        <v>356</v>
      </c>
      <c r="K138" t="s">
        <v>357</v>
      </c>
      <c r="L138">
        <v>1346</v>
      </c>
      <c r="N138">
        <v>1009</v>
      </c>
      <c r="O138" t="s">
        <v>316</v>
      </c>
      <c r="P138" t="s">
        <v>316</v>
      </c>
      <c r="Q138">
        <v>1</v>
      </c>
      <c r="W138">
        <v>0</v>
      </c>
      <c r="X138">
        <v>-2129869794</v>
      </c>
      <c r="Y138">
        <f t="shared" si="87"/>
        <v>0</v>
      </c>
      <c r="AA138">
        <v>387.54</v>
      </c>
      <c r="AB138">
        <v>0</v>
      </c>
      <c r="AC138">
        <v>0</v>
      </c>
      <c r="AD138">
        <v>0</v>
      </c>
      <c r="AE138">
        <v>16.690000000000001</v>
      </c>
      <c r="AF138">
        <v>0</v>
      </c>
      <c r="AG138">
        <v>0</v>
      </c>
      <c r="AH138">
        <v>0</v>
      </c>
      <c r="AI138">
        <v>23.22</v>
      </c>
      <c r="AJ138">
        <v>1</v>
      </c>
      <c r="AK138">
        <v>1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0.01</v>
      </c>
      <c r="AU138" t="s">
        <v>24</v>
      </c>
      <c r="AV138">
        <v>0</v>
      </c>
      <c r="AW138">
        <v>2</v>
      </c>
      <c r="AX138">
        <v>55983429</v>
      </c>
      <c r="AY138">
        <v>1</v>
      </c>
      <c r="AZ138">
        <v>0</v>
      </c>
      <c r="BA138">
        <v>156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ROUND(Y138*Source!I49,9)</f>
        <v>0</v>
      </c>
      <c r="CY138">
        <f t="shared" si="88"/>
        <v>387.54</v>
      </c>
      <c r="CZ138">
        <f t="shared" si="89"/>
        <v>16.690000000000001</v>
      </c>
      <c r="DA138">
        <f t="shared" si="90"/>
        <v>23.22</v>
      </c>
      <c r="DB138">
        <f t="shared" si="91"/>
        <v>0</v>
      </c>
      <c r="DC138">
        <f t="shared" si="92"/>
        <v>0</v>
      </c>
      <c r="DD138" t="s">
        <v>3</v>
      </c>
      <c r="DE138" t="s">
        <v>3</v>
      </c>
      <c r="DF138">
        <f t="shared" si="93"/>
        <v>0</v>
      </c>
      <c r="DG138">
        <f t="shared" si="76"/>
        <v>0</v>
      </c>
      <c r="DH138">
        <f t="shared" si="77"/>
        <v>0</v>
      </c>
      <c r="DI138">
        <f t="shared" si="86"/>
        <v>0</v>
      </c>
      <c r="DJ138">
        <f t="shared" si="94"/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ROW(Source!A49)</f>
        <v>49</v>
      </c>
      <c r="B139">
        <v>55917799</v>
      </c>
      <c r="C139">
        <v>55983407</v>
      </c>
      <c r="D139">
        <v>55461719</v>
      </c>
      <c r="E139">
        <v>1</v>
      </c>
      <c r="F139">
        <v>1</v>
      </c>
      <c r="G139">
        <v>1081</v>
      </c>
      <c r="H139">
        <v>3</v>
      </c>
      <c r="I139" t="s">
        <v>394</v>
      </c>
      <c r="J139" t="s">
        <v>395</v>
      </c>
      <c r="K139" t="s">
        <v>396</v>
      </c>
      <c r="L139">
        <v>1348</v>
      </c>
      <c r="N139">
        <v>1009</v>
      </c>
      <c r="O139" t="s">
        <v>345</v>
      </c>
      <c r="P139" t="s">
        <v>345</v>
      </c>
      <c r="Q139">
        <v>1000</v>
      </c>
      <c r="W139">
        <v>0</v>
      </c>
      <c r="X139">
        <v>-1265888387</v>
      </c>
      <c r="Y139">
        <f t="shared" si="87"/>
        <v>0</v>
      </c>
      <c r="AA139">
        <v>147514.47</v>
      </c>
      <c r="AB139">
        <v>0</v>
      </c>
      <c r="AC139">
        <v>0</v>
      </c>
      <c r="AD139">
        <v>0</v>
      </c>
      <c r="AE139">
        <v>10643.18</v>
      </c>
      <c r="AF139">
        <v>0</v>
      </c>
      <c r="AG139">
        <v>0</v>
      </c>
      <c r="AH139">
        <v>0</v>
      </c>
      <c r="AI139">
        <v>13.86</v>
      </c>
      <c r="AJ139">
        <v>1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1E-4</v>
      </c>
      <c r="AU139" t="s">
        <v>24</v>
      </c>
      <c r="AV139">
        <v>0</v>
      </c>
      <c r="AW139">
        <v>2</v>
      </c>
      <c r="AX139">
        <v>55983430</v>
      </c>
      <c r="AY139">
        <v>1</v>
      </c>
      <c r="AZ139">
        <v>0</v>
      </c>
      <c r="BA139">
        <v>157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ROUND(Y139*Source!I49,9)</f>
        <v>0</v>
      </c>
      <c r="CY139">
        <f t="shared" si="88"/>
        <v>147514.47</v>
      </c>
      <c r="CZ139">
        <f t="shared" si="89"/>
        <v>10643.18</v>
      </c>
      <c r="DA139">
        <f t="shared" si="90"/>
        <v>13.86</v>
      </c>
      <c r="DB139">
        <f t="shared" si="91"/>
        <v>0</v>
      </c>
      <c r="DC139">
        <f t="shared" si="92"/>
        <v>0</v>
      </c>
      <c r="DD139" t="s">
        <v>3</v>
      </c>
      <c r="DE139" t="s">
        <v>3</v>
      </c>
      <c r="DF139">
        <f t="shared" si="93"/>
        <v>0</v>
      </c>
      <c r="DG139">
        <f t="shared" si="76"/>
        <v>0</v>
      </c>
      <c r="DH139">
        <f t="shared" si="77"/>
        <v>0</v>
      </c>
      <c r="DI139">
        <f t="shared" si="86"/>
        <v>0</v>
      </c>
      <c r="DJ139">
        <f t="shared" si="94"/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ROW(Source!A49)</f>
        <v>49</v>
      </c>
      <c r="B140">
        <v>55917799</v>
      </c>
      <c r="C140">
        <v>55983407</v>
      </c>
      <c r="D140">
        <v>55466000</v>
      </c>
      <c r="E140">
        <v>1</v>
      </c>
      <c r="F140">
        <v>1</v>
      </c>
      <c r="G140">
        <v>1081</v>
      </c>
      <c r="H140">
        <v>3</v>
      </c>
      <c r="I140" t="s">
        <v>397</v>
      </c>
      <c r="J140" t="s">
        <v>398</v>
      </c>
      <c r="K140" t="s">
        <v>399</v>
      </c>
      <c r="L140">
        <v>1355</v>
      </c>
      <c r="N140">
        <v>1010</v>
      </c>
      <c r="O140" t="s">
        <v>49</v>
      </c>
      <c r="P140" t="s">
        <v>49</v>
      </c>
      <c r="Q140">
        <v>100</v>
      </c>
      <c r="W140">
        <v>0</v>
      </c>
      <c r="X140">
        <v>436393287</v>
      </c>
      <c r="Y140">
        <f t="shared" si="87"/>
        <v>0</v>
      </c>
      <c r="AA140">
        <v>1555.26</v>
      </c>
      <c r="AB140">
        <v>0</v>
      </c>
      <c r="AC140">
        <v>0</v>
      </c>
      <c r="AD140">
        <v>0</v>
      </c>
      <c r="AE140">
        <v>120.19</v>
      </c>
      <c r="AF140">
        <v>0</v>
      </c>
      <c r="AG140">
        <v>0</v>
      </c>
      <c r="AH140">
        <v>0</v>
      </c>
      <c r="AI140">
        <v>12.94</v>
      </c>
      <c r="AJ140">
        <v>1</v>
      </c>
      <c r="AK140">
        <v>1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0.01</v>
      </c>
      <c r="AU140" t="s">
        <v>24</v>
      </c>
      <c r="AV140">
        <v>0</v>
      </c>
      <c r="AW140">
        <v>2</v>
      </c>
      <c r="AX140">
        <v>55983431</v>
      </c>
      <c r="AY140">
        <v>1</v>
      </c>
      <c r="AZ140">
        <v>0</v>
      </c>
      <c r="BA140">
        <v>158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ROUND(Y140*Source!I49,9)</f>
        <v>0</v>
      </c>
      <c r="CY140">
        <f t="shared" si="88"/>
        <v>1555.26</v>
      </c>
      <c r="CZ140">
        <f t="shared" si="89"/>
        <v>120.19</v>
      </c>
      <c r="DA140">
        <f t="shared" si="90"/>
        <v>12.94</v>
      </c>
      <c r="DB140">
        <f t="shared" si="91"/>
        <v>0</v>
      </c>
      <c r="DC140">
        <f t="shared" si="92"/>
        <v>0</v>
      </c>
      <c r="DD140" t="s">
        <v>3</v>
      </c>
      <c r="DE140" t="s">
        <v>3</v>
      </c>
      <c r="DF140">
        <f t="shared" si="93"/>
        <v>0</v>
      </c>
      <c r="DG140">
        <f t="shared" si="76"/>
        <v>0</v>
      </c>
      <c r="DH140">
        <f t="shared" si="77"/>
        <v>0</v>
      </c>
      <c r="DI140">
        <f t="shared" si="86"/>
        <v>0</v>
      </c>
      <c r="DJ140">
        <f t="shared" si="94"/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ROW(Source!A49)</f>
        <v>49</v>
      </c>
      <c r="B141">
        <v>55917799</v>
      </c>
      <c r="C141">
        <v>55983407</v>
      </c>
      <c r="D141">
        <v>55459793</v>
      </c>
      <c r="E141">
        <v>1</v>
      </c>
      <c r="F141">
        <v>1</v>
      </c>
      <c r="G141">
        <v>1081</v>
      </c>
      <c r="H141">
        <v>3</v>
      </c>
      <c r="I141" t="s">
        <v>361</v>
      </c>
      <c r="J141" t="s">
        <v>362</v>
      </c>
      <c r="K141" t="s">
        <v>363</v>
      </c>
      <c r="L141">
        <v>1348</v>
      </c>
      <c r="N141">
        <v>1009</v>
      </c>
      <c r="O141" t="s">
        <v>345</v>
      </c>
      <c r="P141" t="s">
        <v>345</v>
      </c>
      <c r="Q141">
        <v>1000</v>
      </c>
      <c r="W141">
        <v>0</v>
      </c>
      <c r="X141">
        <v>-761454284</v>
      </c>
      <c r="Y141">
        <f t="shared" si="87"/>
        <v>0</v>
      </c>
      <c r="AA141">
        <v>1930745.04</v>
      </c>
      <c r="AB141">
        <v>0</v>
      </c>
      <c r="AC141">
        <v>0</v>
      </c>
      <c r="AD141">
        <v>0</v>
      </c>
      <c r="AE141">
        <v>64123.05</v>
      </c>
      <c r="AF141">
        <v>0</v>
      </c>
      <c r="AG141">
        <v>0</v>
      </c>
      <c r="AH141">
        <v>0</v>
      </c>
      <c r="AI141">
        <v>30.11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2.0000000000000002E-5</v>
      </c>
      <c r="AU141" t="s">
        <v>24</v>
      </c>
      <c r="AV141">
        <v>0</v>
      </c>
      <c r="AW141">
        <v>2</v>
      </c>
      <c r="AX141">
        <v>55983432</v>
      </c>
      <c r="AY141">
        <v>1</v>
      </c>
      <c r="AZ141">
        <v>0</v>
      </c>
      <c r="BA141">
        <v>159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ROUND(Y141*Source!I49,9)</f>
        <v>0</v>
      </c>
      <c r="CY141">
        <f t="shared" si="88"/>
        <v>1930745.04</v>
      </c>
      <c r="CZ141">
        <f t="shared" si="89"/>
        <v>64123.05</v>
      </c>
      <c r="DA141">
        <f t="shared" si="90"/>
        <v>30.11</v>
      </c>
      <c r="DB141">
        <f t="shared" si="91"/>
        <v>0</v>
      </c>
      <c r="DC141">
        <f t="shared" si="92"/>
        <v>0</v>
      </c>
      <c r="DD141" t="s">
        <v>3</v>
      </c>
      <c r="DE141" t="s">
        <v>3</v>
      </c>
      <c r="DF141">
        <f t="shared" si="93"/>
        <v>0</v>
      </c>
      <c r="DG141">
        <f t="shared" ref="DG141:DG151" si="95">ROUND(ROUND(AF141,2)*CX141,2)</f>
        <v>0</v>
      </c>
      <c r="DH141">
        <f t="shared" ref="DH141:DH172" si="96">ROUND(ROUND(AG141,2)*CX141,2)</f>
        <v>0</v>
      </c>
      <c r="DI141">
        <f t="shared" si="86"/>
        <v>0</v>
      </c>
      <c r="DJ141">
        <f t="shared" si="94"/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ROW(Source!A49)</f>
        <v>49</v>
      </c>
      <c r="B142">
        <v>55917799</v>
      </c>
      <c r="C142">
        <v>55983407</v>
      </c>
      <c r="D142">
        <v>55459810</v>
      </c>
      <c r="E142">
        <v>1</v>
      </c>
      <c r="F142">
        <v>1</v>
      </c>
      <c r="G142">
        <v>1081</v>
      </c>
      <c r="H142">
        <v>3</v>
      </c>
      <c r="I142" t="s">
        <v>400</v>
      </c>
      <c r="J142" t="s">
        <v>401</v>
      </c>
      <c r="K142" t="s">
        <v>402</v>
      </c>
      <c r="L142">
        <v>1348</v>
      </c>
      <c r="N142">
        <v>1009</v>
      </c>
      <c r="O142" t="s">
        <v>345</v>
      </c>
      <c r="P142" t="s">
        <v>345</v>
      </c>
      <c r="Q142">
        <v>1000</v>
      </c>
      <c r="W142">
        <v>0</v>
      </c>
      <c r="X142">
        <v>-98394079</v>
      </c>
      <c r="Y142">
        <f t="shared" si="87"/>
        <v>0</v>
      </c>
      <c r="AA142">
        <v>69285.98</v>
      </c>
      <c r="AB142">
        <v>0</v>
      </c>
      <c r="AC142">
        <v>0</v>
      </c>
      <c r="AD142">
        <v>0</v>
      </c>
      <c r="AE142">
        <v>9238.1299999999992</v>
      </c>
      <c r="AF142">
        <v>0</v>
      </c>
      <c r="AG142">
        <v>0</v>
      </c>
      <c r="AH142">
        <v>0</v>
      </c>
      <c r="AI142">
        <v>7.5</v>
      </c>
      <c r="AJ142">
        <v>1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1E-4</v>
      </c>
      <c r="AU142" t="s">
        <v>24</v>
      </c>
      <c r="AV142">
        <v>0</v>
      </c>
      <c r="AW142">
        <v>2</v>
      </c>
      <c r="AX142">
        <v>55983433</v>
      </c>
      <c r="AY142">
        <v>1</v>
      </c>
      <c r="AZ142">
        <v>0</v>
      </c>
      <c r="BA142">
        <v>160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ROUND(Y142*Source!I49,9)</f>
        <v>0</v>
      </c>
      <c r="CY142">
        <f t="shared" si="88"/>
        <v>69285.98</v>
      </c>
      <c r="CZ142">
        <f t="shared" si="89"/>
        <v>9238.1299999999992</v>
      </c>
      <c r="DA142">
        <f t="shared" si="90"/>
        <v>7.5</v>
      </c>
      <c r="DB142">
        <f t="shared" si="91"/>
        <v>0</v>
      </c>
      <c r="DC142">
        <f t="shared" si="92"/>
        <v>0</v>
      </c>
      <c r="DD142" t="s">
        <v>3</v>
      </c>
      <c r="DE142" t="s">
        <v>3</v>
      </c>
      <c r="DF142">
        <f t="shared" si="93"/>
        <v>0</v>
      </c>
      <c r="DG142">
        <f t="shared" si="95"/>
        <v>0</v>
      </c>
      <c r="DH142">
        <f t="shared" si="96"/>
        <v>0</v>
      </c>
      <c r="DI142">
        <f t="shared" si="86"/>
        <v>0</v>
      </c>
      <c r="DJ142">
        <f t="shared" si="94"/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ROW(Source!A49)</f>
        <v>49</v>
      </c>
      <c r="B143">
        <v>55917799</v>
      </c>
      <c r="C143">
        <v>55983407</v>
      </c>
      <c r="D143">
        <v>55482166</v>
      </c>
      <c r="E143">
        <v>1</v>
      </c>
      <c r="F143">
        <v>1</v>
      </c>
      <c r="G143">
        <v>1081</v>
      </c>
      <c r="H143">
        <v>3</v>
      </c>
      <c r="I143" t="s">
        <v>403</v>
      </c>
      <c r="J143" t="s">
        <v>404</v>
      </c>
      <c r="K143" t="s">
        <v>405</v>
      </c>
      <c r="L143">
        <v>1301</v>
      </c>
      <c r="N143">
        <v>1003</v>
      </c>
      <c r="O143" t="s">
        <v>263</v>
      </c>
      <c r="P143" t="s">
        <v>263</v>
      </c>
      <c r="Q143">
        <v>1</v>
      </c>
      <c r="W143">
        <v>0</v>
      </c>
      <c r="X143">
        <v>876831867</v>
      </c>
      <c r="Y143">
        <f t="shared" si="87"/>
        <v>0</v>
      </c>
      <c r="AA143">
        <v>4.76</v>
      </c>
      <c r="AB143">
        <v>0</v>
      </c>
      <c r="AC143">
        <v>0</v>
      </c>
      <c r="AD143">
        <v>0</v>
      </c>
      <c r="AE143">
        <v>0.69</v>
      </c>
      <c r="AF143">
        <v>0</v>
      </c>
      <c r="AG143">
        <v>0</v>
      </c>
      <c r="AH143">
        <v>0</v>
      </c>
      <c r="AI143">
        <v>6.9</v>
      </c>
      <c r="AJ143">
        <v>1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1</v>
      </c>
      <c r="AU143" t="s">
        <v>24</v>
      </c>
      <c r="AV143">
        <v>0</v>
      </c>
      <c r="AW143">
        <v>2</v>
      </c>
      <c r="AX143">
        <v>55983434</v>
      </c>
      <c r="AY143">
        <v>1</v>
      </c>
      <c r="AZ143">
        <v>0</v>
      </c>
      <c r="BA143">
        <v>161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ROUND(Y143*Source!I49,9)</f>
        <v>0</v>
      </c>
      <c r="CY143">
        <f t="shared" si="88"/>
        <v>4.76</v>
      </c>
      <c r="CZ143">
        <f t="shared" si="89"/>
        <v>0.69</v>
      </c>
      <c r="DA143">
        <f t="shared" si="90"/>
        <v>6.9</v>
      </c>
      <c r="DB143">
        <f t="shared" si="91"/>
        <v>0</v>
      </c>
      <c r="DC143">
        <f t="shared" si="92"/>
        <v>0</v>
      </c>
      <c r="DD143" t="s">
        <v>3</v>
      </c>
      <c r="DE143" t="s">
        <v>3</v>
      </c>
      <c r="DF143">
        <f t="shared" si="93"/>
        <v>0</v>
      </c>
      <c r="DG143">
        <f t="shared" si="95"/>
        <v>0</v>
      </c>
      <c r="DH143">
        <f t="shared" si="96"/>
        <v>0</v>
      </c>
      <c r="DI143">
        <f t="shared" si="86"/>
        <v>0</v>
      </c>
      <c r="DJ143">
        <f t="shared" si="94"/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ROW(Source!A49)</f>
        <v>49</v>
      </c>
      <c r="B144">
        <v>55917799</v>
      </c>
      <c r="C144">
        <v>55983407</v>
      </c>
      <c r="D144">
        <v>55482445</v>
      </c>
      <c r="E144">
        <v>1</v>
      </c>
      <c r="F144">
        <v>1</v>
      </c>
      <c r="G144">
        <v>1081</v>
      </c>
      <c r="H144">
        <v>3</v>
      </c>
      <c r="I144" t="s">
        <v>406</v>
      </c>
      <c r="J144" t="s">
        <v>407</v>
      </c>
      <c r="K144" t="s">
        <v>408</v>
      </c>
      <c r="L144">
        <v>1356</v>
      </c>
      <c r="N144">
        <v>1010</v>
      </c>
      <c r="O144" t="s">
        <v>409</v>
      </c>
      <c r="P144" t="s">
        <v>409</v>
      </c>
      <c r="Q144">
        <v>1000</v>
      </c>
      <c r="W144">
        <v>0</v>
      </c>
      <c r="X144">
        <v>-285397556</v>
      </c>
      <c r="Y144">
        <f t="shared" si="87"/>
        <v>0</v>
      </c>
      <c r="AA144">
        <v>1040.96</v>
      </c>
      <c r="AB144">
        <v>0</v>
      </c>
      <c r="AC144">
        <v>0</v>
      </c>
      <c r="AD144">
        <v>0</v>
      </c>
      <c r="AE144">
        <v>294.89</v>
      </c>
      <c r="AF144">
        <v>0</v>
      </c>
      <c r="AG144">
        <v>0</v>
      </c>
      <c r="AH144">
        <v>0</v>
      </c>
      <c r="AI144">
        <v>3.53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0.01</v>
      </c>
      <c r="AU144" t="s">
        <v>24</v>
      </c>
      <c r="AV144">
        <v>0</v>
      </c>
      <c r="AW144">
        <v>2</v>
      </c>
      <c r="AX144">
        <v>55983435</v>
      </c>
      <c r="AY144">
        <v>1</v>
      </c>
      <c r="AZ144">
        <v>0</v>
      </c>
      <c r="BA144">
        <v>162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ROUND(Y144*Source!I49,9)</f>
        <v>0</v>
      </c>
      <c r="CY144">
        <f t="shared" si="88"/>
        <v>1040.96</v>
      </c>
      <c r="CZ144">
        <f t="shared" si="89"/>
        <v>294.89</v>
      </c>
      <c r="DA144">
        <f t="shared" si="90"/>
        <v>3.53</v>
      </c>
      <c r="DB144">
        <f t="shared" si="91"/>
        <v>0</v>
      </c>
      <c r="DC144">
        <f t="shared" si="92"/>
        <v>0</v>
      </c>
      <c r="DD144" t="s">
        <v>3</v>
      </c>
      <c r="DE144" t="s">
        <v>3</v>
      </c>
      <c r="DF144">
        <f t="shared" si="93"/>
        <v>0</v>
      </c>
      <c r="DG144">
        <f t="shared" si="95"/>
        <v>0</v>
      </c>
      <c r="DH144">
        <f t="shared" si="96"/>
        <v>0</v>
      </c>
      <c r="DI144">
        <f t="shared" si="86"/>
        <v>0</v>
      </c>
      <c r="DJ144">
        <f t="shared" si="94"/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ROW(Source!A49)</f>
        <v>49</v>
      </c>
      <c r="B145">
        <v>55917799</v>
      </c>
      <c r="C145">
        <v>55983407</v>
      </c>
      <c r="D145">
        <v>55481518</v>
      </c>
      <c r="E145">
        <v>1</v>
      </c>
      <c r="F145">
        <v>1</v>
      </c>
      <c r="G145">
        <v>1081</v>
      </c>
      <c r="H145">
        <v>3</v>
      </c>
      <c r="I145" t="s">
        <v>410</v>
      </c>
      <c r="J145" t="s">
        <v>411</v>
      </c>
      <c r="K145" t="s">
        <v>412</v>
      </c>
      <c r="L145">
        <v>1354</v>
      </c>
      <c r="N145">
        <v>1010</v>
      </c>
      <c r="O145" t="s">
        <v>164</v>
      </c>
      <c r="P145" t="s">
        <v>164</v>
      </c>
      <c r="Q145">
        <v>1</v>
      </c>
      <c r="W145">
        <v>0</v>
      </c>
      <c r="X145">
        <v>55982921</v>
      </c>
      <c r="Y145">
        <f t="shared" si="87"/>
        <v>0</v>
      </c>
      <c r="AA145">
        <v>10.66</v>
      </c>
      <c r="AB145">
        <v>0</v>
      </c>
      <c r="AC145">
        <v>0</v>
      </c>
      <c r="AD145">
        <v>0</v>
      </c>
      <c r="AE145">
        <v>15.67</v>
      </c>
      <c r="AF145">
        <v>0</v>
      </c>
      <c r="AG145">
        <v>0</v>
      </c>
      <c r="AH145">
        <v>0</v>
      </c>
      <c r="AI145">
        <v>0.68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1</v>
      </c>
      <c r="AU145" t="s">
        <v>24</v>
      </c>
      <c r="AV145">
        <v>0</v>
      </c>
      <c r="AW145">
        <v>2</v>
      </c>
      <c r="AX145">
        <v>55983436</v>
      </c>
      <c r="AY145">
        <v>1</v>
      </c>
      <c r="AZ145">
        <v>0</v>
      </c>
      <c r="BA145">
        <v>163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ROUND(Y145*Source!I49,9)</f>
        <v>0</v>
      </c>
      <c r="CY145">
        <f t="shared" si="88"/>
        <v>10.66</v>
      </c>
      <c r="CZ145">
        <f t="shared" si="89"/>
        <v>15.67</v>
      </c>
      <c r="DA145">
        <f t="shared" si="90"/>
        <v>0.68</v>
      </c>
      <c r="DB145">
        <f t="shared" si="91"/>
        <v>0</v>
      </c>
      <c r="DC145">
        <f t="shared" si="92"/>
        <v>0</v>
      </c>
      <c r="DD145" t="s">
        <v>3</v>
      </c>
      <c r="DE145" t="s">
        <v>3</v>
      </c>
      <c r="DF145">
        <f t="shared" si="93"/>
        <v>0</v>
      </c>
      <c r="DG145">
        <f t="shared" si="95"/>
        <v>0</v>
      </c>
      <c r="DH145">
        <f t="shared" si="96"/>
        <v>0</v>
      </c>
      <c r="DI145">
        <f t="shared" si="86"/>
        <v>0</v>
      </c>
      <c r="DJ145">
        <f t="shared" si="94"/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ROW(Source!A49)</f>
        <v>49</v>
      </c>
      <c r="B146">
        <v>55917799</v>
      </c>
      <c r="C146">
        <v>55983407</v>
      </c>
      <c r="D146">
        <v>55424290</v>
      </c>
      <c r="E146">
        <v>1081</v>
      </c>
      <c r="F146">
        <v>1</v>
      </c>
      <c r="G146">
        <v>1081</v>
      </c>
      <c r="H146">
        <v>3</v>
      </c>
      <c r="I146" t="s">
        <v>371</v>
      </c>
      <c r="J146" t="s">
        <v>3</v>
      </c>
      <c r="K146" t="s">
        <v>372</v>
      </c>
      <c r="L146">
        <v>1348</v>
      </c>
      <c r="N146">
        <v>1009</v>
      </c>
      <c r="O146" t="s">
        <v>345</v>
      </c>
      <c r="P146" t="s">
        <v>345</v>
      </c>
      <c r="Q146">
        <v>1000</v>
      </c>
      <c r="W146">
        <v>0</v>
      </c>
      <c r="X146">
        <v>-783086922</v>
      </c>
      <c r="Y146">
        <f t="shared" si="87"/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9.84</v>
      </c>
      <c r="AJ146">
        <v>1</v>
      </c>
      <c r="AK146">
        <v>1</v>
      </c>
      <c r="AL146">
        <v>1</v>
      </c>
      <c r="AM146">
        <v>5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1E-3</v>
      </c>
      <c r="AU146" t="s">
        <v>24</v>
      </c>
      <c r="AV146">
        <v>0</v>
      </c>
      <c r="AW146">
        <v>2</v>
      </c>
      <c r="AX146">
        <v>55983439</v>
      </c>
      <c r="AY146">
        <v>1</v>
      </c>
      <c r="AZ146">
        <v>0</v>
      </c>
      <c r="BA146">
        <v>166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ROUND(Y146*Source!I49,9)</f>
        <v>0</v>
      </c>
      <c r="CY146">
        <f t="shared" si="88"/>
        <v>0</v>
      </c>
      <c r="CZ146">
        <f t="shared" si="89"/>
        <v>0</v>
      </c>
      <c r="DA146">
        <f t="shared" si="90"/>
        <v>9.84</v>
      </c>
      <c r="DB146">
        <f t="shared" si="91"/>
        <v>0</v>
      </c>
      <c r="DC146">
        <f t="shared" si="92"/>
        <v>0</v>
      </c>
      <c r="DD146" t="s">
        <v>3</v>
      </c>
      <c r="DE146" t="s">
        <v>3</v>
      </c>
      <c r="DF146">
        <f t="shared" si="93"/>
        <v>0</v>
      </c>
      <c r="DG146">
        <f t="shared" si="95"/>
        <v>0</v>
      </c>
      <c r="DH146">
        <f t="shared" si="96"/>
        <v>0</v>
      </c>
      <c r="DI146">
        <f t="shared" si="86"/>
        <v>0</v>
      </c>
      <c r="DJ146">
        <f t="shared" si="94"/>
        <v>0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ROW(Source!A50)</f>
        <v>50</v>
      </c>
      <c r="B147">
        <v>55917797</v>
      </c>
      <c r="C147">
        <v>55983440</v>
      </c>
      <c r="D147">
        <v>55424304</v>
      </c>
      <c r="E147">
        <v>1081</v>
      </c>
      <c r="F147">
        <v>1</v>
      </c>
      <c r="G147">
        <v>1081</v>
      </c>
      <c r="H147">
        <v>1</v>
      </c>
      <c r="I147" t="s">
        <v>339</v>
      </c>
      <c r="J147" t="s">
        <v>3</v>
      </c>
      <c r="K147" t="s">
        <v>340</v>
      </c>
      <c r="L147">
        <v>1191</v>
      </c>
      <c r="N147">
        <v>1013</v>
      </c>
      <c r="O147" t="s">
        <v>341</v>
      </c>
      <c r="P147" t="s">
        <v>341</v>
      </c>
      <c r="Q147">
        <v>1</v>
      </c>
      <c r="W147">
        <v>0</v>
      </c>
      <c r="X147">
        <v>476480486</v>
      </c>
      <c r="Y147">
        <f>((AT147*1.2)*0.3)</f>
        <v>11.52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32</v>
      </c>
      <c r="AU147" t="s">
        <v>25</v>
      </c>
      <c r="AV147">
        <v>1</v>
      </c>
      <c r="AW147">
        <v>2</v>
      </c>
      <c r="AX147">
        <v>55983445</v>
      </c>
      <c r="AY147">
        <v>1</v>
      </c>
      <c r="AZ147">
        <v>0</v>
      </c>
      <c r="BA147">
        <v>167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U147">
        <f>ROUND(AT147*Source!I50*AH147*AL147,2)</f>
        <v>0</v>
      </c>
      <c r="CV147">
        <f>ROUND(Y147*Source!I50,9)</f>
        <v>9.4464000000000006E-2</v>
      </c>
      <c r="CW147">
        <v>0</v>
      </c>
      <c r="CX147">
        <f>ROUND(Y147*Source!I50,9)</f>
        <v>9.4464000000000006E-2</v>
      </c>
      <c r="CY147">
        <f>AD147</f>
        <v>0</v>
      </c>
      <c r="CZ147">
        <f>AH147</f>
        <v>0</v>
      </c>
      <c r="DA147">
        <f>AL147</f>
        <v>1</v>
      </c>
      <c r="DB147">
        <f>ROUND(((ROUND(AT147*CZ147,2)*1.2)*0.3),6)</f>
        <v>0</v>
      </c>
      <c r="DC147">
        <f>ROUND(((ROUND(AT147*AG147,2)*1.2)*0.3),6)</f>
        <v>0</v>
      </c>
      <c r="DD147" t="s">
        <v>3</v>
      </c>
      <c r="DE147" t="s">
        <v>3</v>
      </c>
      <c r="DF147">
        <f t="shared" ref="DF147:DF152" si="97">ROUND(ROUND(AE147,2)*CX147,2)</f>
        <v>0</v>
      </c>
      <c r="DG147">
        <f t="shared" si="95"/>
        <v>0</v>
      </c>
      <c r="DH147">
        <f t="shared" si="96"/>
        <v>0</v>
      </c>
      <c r="DI147">
        <f t="shared" si="86"/>
        <v>0</v>
      </c>
      <c r="DJ147">
        <f>DI147</f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ROW(Source!A50)</f>
        <v>50</v>
      </c>
      <c r="B148">
        <v>55917797</v>
      </c>
      <c r="C148">
        <v>55983440</v>
      </c>
      <c r="D148">
        <v>55489528</v>
      </c>
      <c r="E148">
        <v>1</v>
      </c>
      <c r="F148">
        <v>1</v>
      </c>
      <c r="G148">
        <v>1081</v>
      </c>
      <c r="H148">
        <v>2</v>
      </c>
      <c r="I148" t="s">
        <v>435</v>
      </c>
      <c r="J148" t="s">
        <v>436</v>
      </c>
      <c r="K148" t="s">
        <v>437</v>
      </c>
      <c r="L148">
        <v>1368</v>
      </c>
      <c r="N148">
        <v>1011</v>
      </c>
      <c r="O148" t="s">
        <v>376</v>
      </c>
      <c r="P148" t="s">
        <v>376</v>
      </c>
      <c r="Q148">
        <v>1</v>
      </c>
      <c r="W148">
        <v>0</v>
      </c>
      <c r="X148">
        <v>-1541318930</v>
      </c>
      <c r="Y148">
        <f>((AT148*1.2)*0.3)</f>
        <v>0.10439999999999999</v>
      </c>
      <c r="AA148">
        <v>0</v>
      </c>
      <c r="AB148">
        <v>7.26</v>
      </c>
      <c r="AC148">
        <v>0</v>
      </c>
      <c r="AD148">
        <v>0</v>
      </c>
      <c r="AE148">
        <v>0</v>
      </c>
      <c r="AF148">
        <v>6.68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0.28999999999999998</v>
      </c>
      <c r="AU148" t="s">
        <v>25</v>
      </c>
      <c r="AV148">
        <v>0</v>
      </c>
      <c r="AW148">
        <v>2</v>
      </c>
      <c r="AX148">
        <v>55983446</v>
      </c>
      <c r="AY148">
        <v>1</v>
      </c>
      <c r="AZ148">
        <v>0</v>
      </c>
      <c r="BA148">
        <v>168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ROUND(Y148*Source!I50*DO148,9)</f>
        <v>0</v>
      </c>
      <c r="CX148">
        <f>ROUND(Y148*Source!I50,9)</f>
        <v>8.5607999999999995E-4</v>
      </c>
      <c r="CY148">
        <f>AB148</f>
        <v>7.26</v>
      </c>
      <c r="CZ148">
        <f>AF148</f>
        <v>6.68</v>
      </c>
      <c r="DA148">
        <f>AJ148</f>
        <v>1</v>
      </c>
      <c r="DB148">
        <f>ROUND(((ROUND(AT148*CZ148,2)*1.2)*0.3),6)</f>
        <v>0.69840000000000002</v>
      </c>
      <c r="DC148">
        <f>ROUND(((ROUND(AT148*AG148,2)*1.2)*0.3),6)</f>
        <v>0</v>
      </c>
      <c r="DD148" t="s">
        <v>3</v>
      </c>
      <c r="DE148" t="s">
        <v>3</v>
      </c>
      <c r="DF148">
        <f t="shared" si="97"/>
        <v>0</v>
      </c>
      <c r="DG148">
        <f t="shared" si="95"/>
        <v>0.01</v>
      </c>
      <c r="DH148">
        <f t="shared" si="96"/>
        <v>0</v>
      </c>
      <c r="DI148">
        <f t="shared" si="86"/>
        <v>0</v>
      </c>
      <c r="DJ148">
        <f>DG148</f>
        <v>0.01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ROW(Source!A50)</f>
        <v>50</v>
      </c>
      <c r="B149">
        <v>55917797</v>
      </c>
      <c r="C149">
        <v>55983440</v>
      </c>
      <c r="D149">
        <v>55459873</v>
      </c>
      <c r="E149">
        <v>1</v>
      </c>
      <c r="F149">
        <v>1</v>
      </c>
      <c r="G149">
        <v>1081</v>
      </c>
      <c r="H149">
        <v>3</v>
      </c>
      <c r="I149" t="s">
        <v>378</v>
      </c>
      <c r="J149" t="s">
        <v>379</v>
      </c>
      <c r="K149" t="s">
        <v>380</v>
      </c>
      <c r="L149">
        <v>1348</v>
      </c>
      <c r="N149">
        <v>1009</v>
      </c>
      <c r="O149" t="s">
        <v>345</v>
      </c>
      <c r="P149" t="s">
        <v>345</v>
      </c>
      <c r="Q149">
        <v>1000</v>
      </c>
      <c r="W149">
        <v>0</v>
      </c>
      <c r="X149">
        <v>-1448251497</v>
      </c>
      <c r="Y149">
        <f>((AT149*1)*0)</f>
        <v>0</v>
      </c>
      <c r="AA149">
        <v>18495.41</v>
      </c>
      <c r="AB149">
        <v>0</v>
      </c>
      <c r="AC149">
        <v>0</v>
      </c>
      <c r="AD149">
        <v>0</v>
      </c>
      <c r="AE149">
        <v>18495.41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5.6099999999999998E-4</v>
      </c>
      <c r="AU149" t="s">
        <v>24</v>
      </c>
      <c r="AV149">
        <v>0</v>
      </c>
      <c r="AW149">
        <v>2</v>
      </c>
      <c r="AX149">
        <v>55983447</v>
      </c>
      <c r="AY149">
        <v>1</v>
      </c>
      <c r="AZ149">
        <v>0</v>
      </c>
      <c r="BA149">
        <v>169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ROUND(Y149*Source!I50,9)</f>
        <v>0</v>
      </c>
      <c r="CY149">
        <f>AA149</f>
        <v>18495.41</v>
      </c>
      <c r="CZ149">
        <f>AE149</f>
        <v>18495.41</v>
      </c>
      <c r="DA149">
        <f>AI149</f>
        <v>1</v>
      </c>
      <c r="DB149">
        <f>ROUND(((ROUND(AT149*CZ149,2)*1)*0),6)</f>
        <v>0</v>
      </c>
      <c r="DC149">
        <f>ROUND(((ROUND(AT149*AG149,2)*1)*0),6)</f>
        <v>0</v>
      </c>
      <c r="DD149" t="s">
        <v>3</v>
      </c>
      <c r="DE149" t="s">
        <v>3</v>
      </c>
      <c r="DF149">
        <f t="shared" si="97"/>
        <v>0</v>
      </c>
      <c r="DG149">
        <f t="shared" si="95"/>
        <v>0</v>
      </c>
      <c r="DH149">
        <f t="shared" si="96"/>
        <v>0</v>
      </c>
      <c r="DI149">
        <f t="shared" si="86"/>
        <v>0</v>
      </c>
      <c r="DJ149">
        <f>DF149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ROW(Source!A50)</f>
        <v>50</v>
      </c>
      <c r="B150">
        <v>55917797</v>
      </c>
      <c r="C150">
        <v>55983440</v>
      </c>
      <c r="D150">
        <v>55459206</v>
      </c>
      <c r="E150">
        <v>1</v>
      </c>
      <c r="F150">
        <v>1</v>
      </c>
      <c r="G150">
        <v>1081</v>
      </c>
      <c r="H150">
        <v>3</v>
      </c>
      <c r="I150" t="s">
        <v>438</v>
      </c>
      <c r="J150" t="s">
        <v>439</v>
      </c>
      <c r="K150" t="s">
        <v>440</v>
      </c>
      <c r="L150">
        <v>1339</v>
      </c>
      <c r="N150">
        <v>1007</v>
      </c>
      <c r="O150" t="s">
        <v>393</v>
      </c>
      <c r="P150" t="s">
        <v>393</v>
      </c>
      <c r="Q150">
        <v>1</v>
      </c>
      <c r="W150">
        <v>0</v>
      </c>
      <c r="X150">
        <v>-2102292952</v>
      </c>
      <c r="Y150">
        <f>((AT150*1)*0)</f>
        <v>0</v>
      </c>
      <c r="AA150">
        <v>2464.94</v>
      </c>
      <c r="AB150">
        <v>0</v>
      </c>
      <c r="AC150">
        <v>0</v>
      </c>
      <c r="AD150">
        <v>0</v>
      </c>
      <c r="AE150">
        <v>2464.94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0.04</v>
      </c>
      <c r="AU150" t="s">
        <v>24</v>
      </c>
      <c r="AV150">
        <v>0</v>
      </c>
      <c r="AW150">
        <v>2</v>
      </c>
      <c r="AX150">
        <v>55983448</v>
      </c>
      <c r="AY150">
        <v>1</v>
      </c>
      <c r="AZ150">
        <v>0</v>
      </c>
      <c r="BA150">
        <v>170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ROUND(Y150*Source!I50,9)</f>
        <v>0</v>
      </c>
      <c r="CY150">
        <f>AA150</f>
        <v>2464.94</v>
      </c>
      <c r="CZ150">
        <f>AE150</f>
        <v>2464.94</v>
      </c>
      <c r="DA150">
        <f>AI150</f>
        <v>1</v>
      </c>
      <c r="DB150">
        <f>ROUND(((ROUND(AT150*CZ150,2)*1)*0),6)</f>
        <v>0</v>
      </c>
      <c r="DC150">
        <f>ROUND(((ROUND(AT150*AG150,2)*1)*0),6)</f>
        <v>0</v>
      </c>
      <c r="DD150" t="s">
        <v>3</v>
      </c>
      <c r="DE150" t="s">
        <v>3</v>
      </c>
      <c r="DF150">
        <f t="shared" si="97"/>
        <v>0</v>
      </c>
      <c r="DG150">
        <f t="shared" si="95"/>
        <v>0</v>
      </c>
      <c r="DH150">
        <f t="shared" si="96"/>
        <v>0</v>
      </c>
      <c r="DI150">
        <f t="shared" si="86"/>
        <v>0</v>
      </c>
      <c r="DJ150">
        <f>DF150</f>
        <v>0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ROW(Source!A51)</f>
        <v>51</v>
      </c>
      <c r="B151">
        <v>55917799</v>
      </c>
      <c r="C151">
        <v>55983440</v>
      </c>
      <c r="D151">
        <v>55424304</v>
      </c>
      <c r="E151">
        <v>1081</v>
      </c>
      <c r="F151">
        <v>1</v>
      </c>
      <c r="G151">
        <v>1081</v>
      </c>
      <c r="H151">
        <v>1</v>
      </c>
      <c r="I151" t="s">
        <v>339</v>
      </c>
      <c r="J151" t="s">
        <v>3</v>
      </c>
      <c r="K151" t="s">
        <v>340</v>
      </c>
      <c r="L151">
        <v>1191</v>
      </c>
      <c r="N151">
        <v>1013</v>
      </c>
      <c r="O151" t="s">
        <v>341</v>
      </c>
      <c r="P151" t="s">
        <v>341</v>
      </c>
      <c r="Q151">
        <v>1</v>
      </c>
      <c r="W151">
        <v>0</v>
      </c>
      <c r="X151">
        <v>476480486</v>
      </c>
      <c r="Y151">
        <f>((AT151*1.2)*0.3)</f>
        <v>11.52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5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32</v>
      </c>
      <c r="AU151" t="s">
        <v>25</v>
      </c>
      <c r="AV151">
        <v>1</v>
      </c>
      <c r="AW151">
        <v>2</v>
      </c>
      <c r="AX151">
        <v>55983445</v>
      </c>
      <c r="AY151">
        <v>1</v>
      </c>
      <c r="AZ151">
        <v>0</v>
      </c>
      <c r="BA151">
        <v>171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U151">
        <f>ROUND(AT151*Source!I51*AH151*AL151,2)</f>
        <v>0</v>
      </c>
      <c r="CV151">
        <f>ROUND(Y151*Source!I51,9)</f>
        <v>9.4464000000000006E-2</v>
      </c>
      <c r="CW151">
        <v>0</v>
      </c>
      <c r="CX151">
        <f>ROUND(Y151*Source!I51,9)</f>
        <v>9.4464000000000006E-2</v>
      </c>
      <c r="CY151">
        <f>AD151</f>
        <v>0</v>
      </c>
      <c r="CZ151">
        <f>AH151</f>
        <v>0</v>
      </c>
      <c r="DA151">
        <f>AL151</f>
        <v>1</v>
      </c>
      <c r="DB151">
        <f>ROUND(((ROUND(AT151*CZ151,2)*1.2)*0.3),6)</f>
        <v>0</v>
      </c>
      <c r="DC151">
        <f>ROUND(((ROUND(AT151*AG151,2)*1.2)*0.3),6)</f>
        <v>0</v>
      </c>
      <c r="DD151" t="s">
        <v>3</v>
      </c>
      <c r="DE151" t="s">
        <v>3</v>
      </c>
      <c r="DF151">
        <f t="shared" si="97"/>
        <v>0</v>
      </c>
      <c r="DG151">
        <f t="shared" si="95"/>
        <v>0</v>
      </c>
      <c r="DH151">
        <f t="shared" si="96"/>
        <v>0</v>
      </c>
      <c r="DI151">
        <f t="shared" si="86"/>
        <v>0</v>
      </c>
      <c r="DJ151">
        <f>DI151</f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ROW(Source!A51)</f>
        <v>51</v>
      </c>
      <c r="B152">
        <v>55917799</v>
      </c>
      <c r="C152">
        <v>55983440</v>
      </c>
      <c r="D152">
        <v>55489528</v>
      </c>
      <c r="E152">
        <v>1</v>
      </c>
      <c r="F152">
        <v>1</v>
      </c>
      <c r="G152">
        <v>1081</v>
      </c>
      <c r="H152">
        <v>2</v>
      </c>
      <c r="I152" t="s">
        <v>435</v>
      </c>
      <c r="J152" t="s">
        <v>436</v>
      </c>
      <c r="K152" t="s">
        <v>437</v>
      </c>
      <c r="L152">
        <v>1368</v>
      </c>
      <c r="N152">
        <v>1011</v>
      </c>
      <c r="O152" t="s">
        <v>376</v>
      </c>
      <c r="P152" t="s">
        <v>376</v>
      </c>
      <c r="Q152">
        <v>1</v>
      </c>
      <c r="W152">
        <v>0</v>
      </c>
      <c r="X152">
        <v>-1541318930</v>
      </c>
      <c r="Y152">
        <f>((AT152*1.2)*0.3)</f>
        <v>0.10439999999999999</v>
      </c>
      <c r="AA152">
        <v>0</v>
      </c>
      <c r="AB152">
        <v>72.540000000000006</v>
      </c>
      <c r="AC152">
        <v>0</v>
      </c>
      <c r="AD152">
        <v>0</v>
      </c>
      <c r="AE152">
        <v>0</v>
      </c>
      <c r="AF152">
        <v>6.68</v>
      </c>
      <c r="AG152">
        <v>0</v>
      </c>
      <c r="AH152">
        <v>0</v>
      </c>
      <c r="AI152">
        <v>1</v>
      </c>
      <c r="AJ152">
        <v>9.99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0.28999999999999998</v>
      </c>
      <c r="AU152" t="s">
        <v>25</v>
      </c>
      <c r="AV152">
        <v>0</v>
      </c>
      <c r="AW152">
        <v>2</v>
      </c>
      <c r="AX152">
        <v>55983446</v>
      </c>
      <c r="AY152">
        <v>1</v>
      </c>
      <c r="AZ152">
        <v>0</v>
      </c>
      <c r="BA152">
        <v>172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ROUND(Y152*Source!I51*DO152,9)</f>
        <v>0</v>
      </c>
      <c r="CX152">
        <f>ROUND(Y152*Source!I51,9)</f>
        <v>8.5607999999999995E-4</v>
      </c>
      <c r="CY152">
        <f>AB152</f>
        <v>72.540000000000006</v>
      </c>
      <c r="CZ152">
        <f>AF152</f>
        <v>6.68</v>
      </c>
      <c r="DA152">
        <f>AJ152</f>
        <v>9.99</v>
      </c>
      <c r="DB152">
        <f>ROUND(((ROUND(AT152*CZ152,2)*1.2)*0.3),6)</f>
        <v>0.69840000000000002</v>
      </c>
      <c r="DC152">
        <f>ROUND(((ROUND(AT152*AG152,2)*1.2)*0.3),6)</f>
        <v>0</v>
      </c>
      <c r="DD152" t="s">
        <v>3</v>
      </c>
      <c r="DE152" t="s">
        <v>3</v>
      </c>
      <c r="DF152">
        <f t="shared" si="97"/>
        <v>0</v>
      </c>
      <c r="DG152">
        <f>ROUND(ROUND(AF152*AJ152,2)*CX152,2)</f>
        <v>0.06</v>
      </c>
      <c r="DH152">
        <f t="shared" si="96"/>
        <v>0</v>
      </c>
      <c r="DI152">
        <f t="shared" si="86"/>
        <v>0</v>
      </c>
      <c r="DJ152">
        <f>DG152</f>
        <v>0.06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ROW(Source!A51)</f>
        <v>51</v>
      </c>
      <c r="B153">
        <v>55917799</v>
      </c>
      <c r="C153">
        <v>55983440</v>
      </c>
      <c r="D153">
        <v>55459873</v>
      </c>
      <c r="E153">
        <v>1</v>
      </c>
      <c r="F153">
        <v>1</v>
      </c>
      <c r="G153">
        <v>1081</v>
      </c>
      <c r="H153">
        <v>3</v>
      </c>
      <c r="I153" t="s">
        <v>378</v>
      </c>
      <c r="J153" t="s">
        <v>379</v>
      </c>
      <c r="K153" t="s">
        <v>380</v>
      </c>
      <c r="L153">
        <v>1348</v>
      </c>
      <c r="N153">
        <v>1009</v>
      </c>
      <c r="O153" t="s">
        <v>345</v>
      </c>
      <c r="P153" t="s">
        <v>345</v>
      </c>
      <c r="Q153">
        <v>1000</v>
      </c>
      <c r="W153">
        <v>0</v>
      </c>
      <c r="X153">
        <v>-1448251497</v>
      </c>
      <c r="Y153">
        <f>((AT153*1)*0)</f>
        <v>0</v>
      </c>
      <c r="AA153">
        <v>101169.89</v>
      </c>
      <c r="AB153">
        <v>0</v>
      </c>
      <c r="AC153">
        <v>0</v>
      </c>
      <c r="AD153">
        <v>0</v>
      </c>
      <c r="AE153">
        <v>18495.41</v>
      </c>
      <c r="AF153">
        <v>0</v>
      </c>
      <c r="AG153">
        <v>0</v>
      </c>
      <c r="AH153">
        <v>0</v>
      </c>
      <c r="AI153">
        <v>5.47</v>
      </c>
      <c r="AJ153">
        <v>1</v>
      </c>
      <c r="AK153">
        <v>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5.6099999999999998E-4</v>
      </c>
      <c r="AU153" t="s">
        <v>24</v>
      </c>
      <c r="AV153">
        <v>0</v>
      </c>
      <c r="AW153">
        <v>2</v>
      </c>
      <c r="AX153">
        <v>55983447</v>
      </c>
      <c r="AY153">
        <v>1</v>
      </c>
      <c r="AZ153">
        <v>0</v>
      </c>
      <c r="BA153">
        <v>173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ROUND(Y153*Source!I51,9)</f>
        <v>0</v>
      </c>
      <c r="CY153">
        <f>AA153</f>
        <v>101169.89</v>
      </c>
      <c r="CZ153">
        <f>AE153</f>
        <v>18495.41</v>
      </c>
      <c r="DA153">
        <f>AI153</f>
        <v>5.47</v>
      </c>
      <c r="DB153">
        <f>ROUND(((ROUND(AT153*CZ153,2)*1)*0),6)</f>
        <v>0</v>
      </c>
      <c r="DC153">
        <f>ROUND(((ROUND(AT153*AG153,2)*1)*0),6)</f>
        <v>0</v>
      </c>
      <c r="DD153" t="s">
        <v>3</v>
      </c>
      <c r="DE153" t="s">
        <v>3</v>
      </c>
      <c r="DF153">
        <f>ROUND(ROUND(AE153*AI153,2)*CX153,2)</f>
        <v>0</v>
      </c>
      <c r="DG153">
        <f t="shared" ref="DG153:DG181" si="98">ROUND(ROUND(AF153,2)*CX153,2)</f>
        <v>0</v>
      </c>
      <c r="DH153">
        <f t="shared" si="96"/>
        <v>0</v>
      </c>
      <c r="DI153">
        <f t="shared" si="86"/>
        <v>0</v>
      </c>
      <c r="DJ153">
        <f>DF153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ROW(Source!A51)</f>
        <v>51</v>
      </c>
      <c r="B154">
        <v>55917799</v>
      </c>
      <c r="C154">
        <v>55983440</v>
      </c>
      <c r="D154">
        <v>55459206</v>
      </c>
      <c r="E154">
        <v>1</v>
      </c>
      <c r="F154">
        <v>1</v>
      </c>
      <c r="G154">
        <v>1081</v>
      </c>
      <c r="H154">
        <v>3</v>
      </c>
      <c r="I154" t="s">
        <v>438</v>
      </c>
      <c r="J154" t="s">
        <v>439</v>
      </c>
      <c r="K154" t="s">
        <v>440</v>
      </c>
      <c r="L154">
        <v>1339</v>
      </c>
      <c r="N154">
        <v>1007</v>
      </c>
      <c r="O154" t="s">
        <v>393</v>
      </c>
      <c r="P154" t="s">
        <v>393</v>
      </c>
      <c r="Q154">
        <v>1</v>
      </c>
      <c r="W154">
        <v>0</v>
      </c>
      <c r="X154">
        <v>-2102292952</v>
      </c>
      <c r="Y154">
        <f>((AT154*1)*0)</f>
        <v>0</v>
      </c>
      <c r="AA154">
        <v>10722.49</v>
      </c>
      <c r="AB154">
        <v>0</v>
      </c>
      <c r="AC154">
        <v>0</v>
      </c>
      <c r="AD154">
        <v>0</v>
      </c>
      <c r="AE154">
        <v>2464.94</v>
      </c>
      <c r="AF154">
        <v>0</v>
      </c>
      <c r="AG154">
        <v>0</v>
      </c>
      <c r="AH154">
        <v>0</v>
      </c>
      <c r="AI154">
        <v>4.3499999999999996</v>
      </c>
      <c r="AJ154">
        <v>1</v>
      </c>
      <c r="AK154">
        <v>1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0.04</v>
      </c>
      <c r="AU154" t="s">
        <v>24</v>
      </c>
      <c r="AV154">
        <v>0</v>
      </c>
      <c r="AW154">
        <v>2</v>
      </c>
      <c r="AX154">
        <v>55983448</v>
      </c>
      <c r="AY154">
        <v>1</v>
      </c>
      <c r="AZ154">
        <v>0</v>
      </c>
      <c r="BA154">
        <v>174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ROUND(Y154*Source!I51,9)</f>
        <v>0</v>
      </c>
      <c r="CY154">
        <f>AA154</f>
        <v>10722.49</v>
      </c>
      <c r="CZ154">
        <f>AE154</f>
        <v>2464.94</v>
      </c>
      <c r="DA154">
        <f>AI154</f>
        <v>4.3499999999999996</v>
      </c>
      <c r="DB154">
        <f>ROUND(((ROUND(AT154*CZ154,2)*1)*0),6)</f>
        <v>0</v>
      </c>
      <c r="DC154">
        <f>ROUND(((ROUND(AT154*AG154,2)*1)*0),6)</f>
        <v>0</v>
      </c>
      <c r="DD154" t="s">
        <v>3</v>
      </c>
      <c r="DE154" t="s">
        <v>3</v>
      </c>
      <c r="DF154">
        <f>ROUND(ROUND(AE154*AI154,2)*CX154,2)</f>
        <v>0</v>
      </c>
      <c r="DG154">
        <f t="shared" si="98"/>
        <v>0</v>
      </c>
      <c r="DH154">
        <f t="shared" si="96"/>
        <v>0</v>
      </c>
      <c r="DI154">
        <f t="shared" si="86"/>
        <v>0</v>
      </c>
      <c r="DJ154">
        <f>DF154</f>
        <v>0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ROW(Source!A52)</f>
        <v>52</v>
      </c>
      <c r="B155">
        <v>55917797</v>
      </c>
      <c r="C155">
        <v>55983449</v>
      </c>
      <c r="D155">
        <v>55424304</v>
      </c>
      <c r="E155">
        <v>1081</v>
      </c>
      <c r="F155">
        <v>1</v>
      </c>
      <c r="G155">
        <v>1081</v>
      </c>
      <c r="H155">
        <v>1</v>
      </c>
      <c r="I155" t="s">
        <v>339</v>
      </c>
      <c r="J155" t="s">
        <v>3</v>
      </c>
      <c r="K155" t="s">
        <v>340</v>
      </c>
      <c r="L155">
        <v>1191</v>
      </c>
      <c r="N155">
        <v>1013</v>
      </c>
      <c r="O155" t="s">
        <v>341</v>
      </c>
      <c r="P155" t="s">
        <v>341</v>
      </c>
      <c r="Q155">
        <v>1</v>
      </c>
      <c r="W155">
        <v>0</v>
      </c>
      <c r="X155">
        <v>476480486</v>
      </c>
      <c r="Y155">
        <f>(AT155*1.2)</f>
        <v>11.568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9.64</v>
      </c>
      <c r="AU155" t="s">
        <v>56</v>
      </c>
      <c r="AV155">
        <v>1</v>
      </c>
      <c r="AW155">
        <v>2</v>
      </c>
      <c r="AX155">
        <v>55983451</v>
      </c>
      <c r="AY155">
        <v>1</v>
      </c>
      <c r="AZ155">
        <v>0</v>
      </c>
      <c r="BA155">
        <v>175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U155">
        <f>ROUND(AT155*Source!I52*AH155*AL155,2)</f>
        <v>0</v>
      </c>
      <c r="CV155">
        <f>ROUND(Y155*Source!I52,9)</f>
        <v>56.104799999999997</v>
      </c>
      <c r="CW155">
        <v>0</v>
      </c>
      <c r="CX155">
        <f>ROUND(Y155*Source!I52,9)</f>
        <v>56.104799999999997</v>
      </c>
      <c r="CY155">
        <f>AD155</f>
        <v>0</v>
      </c>
      <c r="CZ155">
        <f>AH155</f>
        <v>0</v>
      </c>
      <c r="DA155">
        <f>AL155</f>
        <v>1</v>
      </c>
      <c r="DB155">
        <f>ROUND((ROUND(AT155*CZ155,2)*1.2),6)</f>
        <v>0</v>
      </c>
      <c r="DC155">
        <f>ROUND((ROUND(AT155*AG155,2)*1.2),6)</f>
        <v>0</v>
      </c>
      <c r="DD155" t="s">
        <v>3</v>
      </c>
      <c r="DE155" t="s">
        <v>3</v>
      </c>
      <c r="DF155">
        <f t="shared" ref="DF155:DF168" si="99">ROUND(ROUND(AE155,2)*CX155,2)</f>
        <v>0</v>
      </c>
      <c r="DG155">
        <f t="shared" si="98"/>
        <v>0</v>
      </c>
      <c r="DH155">
        <f t="shared" si="96"/>
        <v>0</v>
      </c>
      <c r="DI155">
        <f t="shared" si="86"/>
        <v>0</v>
      </c>
      <c r="DJ155">
        <f>DI155</f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ROW(Source!A53)</f>
        <v>53</v>
      </c>
      <c r="B156">
        <v>55917799</v>
      </c>
      <c r="C156">
        <v>55983449</v>
      </c>
      <c r="D156">
        <v>55424304</v>
      </c>
      <c r="E156">
        <v>1081</v>
      </c>
      <c r="F156">
        <v>1</v>
      </c>
      <c r="G156">
        <v>1081</v>
      </c>
      <c r="H156">
        <v>1</v>
      </c>
      <c r="I156" t="s">
        <v>339</v>
      </c>
      <c r="J156" t="s">
        <v>3</v>
      </c>
      <c r="K156" t="s">
        <v>340</v>
      </c>
      <c r="L156">
        <v>1191</v>
      </c>
      <c r="N156">
        <v>1013</v>
      </c>
      <c r="O156" t="s">
        <v>341</v>
      </c>
      <c r="P156" t="s">
        <v>341</v>
      </c>
      <c r="Q156">
        <v>1</v>
      </c>
      <c r="W156">
        <v>0</v>
      </c>
      <c r="X156">
        <v>476480486</v>
      </c>
      <c r="Y156">
        <f>(AT156*1.2)</f>
        <v>11.568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5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9.64</v>
      </c>
      <c r="AU156" t="s">
        <v>56</v>
      </c>
      <c r="AV156">
        <v>1</v>
      </c>
      <c r="AW156">
        <v>2</v>
      </c>
      <c r="AX156">
        <v>55983451</v>
      </c>
      <c r="AY156">
        <v>1</v>
      </c>
      <c r="AZ156">
        <v>0</v>
      </c>
      <c r="BA156">
        <v>176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U156">
        <f>ROUND(AT156*Source!I53*AH156*AL156,2)</f>
        <v>0</v>
      </c>
      <c r="CV156">
        <f>ROUND(Y156*Source!I53,9)</f>
        <v>56.104799999999997</v>
      </c>
      <c r="CW156">
        <v>0</v>
      </c>
      <c r="CX156">
        <f>ROUND(Y156*Source!I53,9)</f>
        <v>56.104799999999997</v>
      </c>
      <c r="CY156">
        <f>AD156</f>
        <v>0</v>
      </c>
      <c r="CZ156">
        <f>AH156</f>
        <v>0</v>
      </c>
      <c r="DA156">
        <f>AL156</f>
        <v>1</v>
      </c>
      <c r="DB156">
        <f>ROUND((ROUND(AT156*CZ156,2)*1.2),6)</f>
        <v>0</v>
      </c>
      <c r="DC156">
        <f>ROUND((ROUND(AT156*AG156,2)*1.2),6)</f>
        <v>0</v>
      </c>
      <c r="DD156" t="s">
        <v>3</v>
      </c>
      <c r="DE156" t="s">
        <v>3</v>
      </c>
      <c r="DF156">
        <f t="shared" si="99"/>
        <v>0</v>
      </c>
      <c r="DG156">
        <f t="shared" si="98"/>
        <v>0</v>
      </c>
      <c r="DH156">
        <f t="shared" si="96"/>
        <v>0</v>
      </c>
      <c r="DI156">
        <f t="shared" si="86"/>
        <v>0</v>
      </c>
      <c r="DJ156">
        <f>DI156</f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ROW(Source!A89)</f>
        <v>89</v>
      </c>
      <c r="B157">
        <v>55917797</v>
      </c>
      <c r="C157">
        <v>55917979</v>
      </c>
      <c r="D157">
        <v>55424304</v>
      </c>
      <c r="E157">
        <v>1081</v>
      </c>
      <c r="F157">
        <v>1</v>
      </c>
      <c r="G157">
        <v>1081</v>
      </c>
      <c r="H157">
        <v>1</v>
      </c>
      <c r="I157" t="s">
        <v>339</v>
      </c>
      <c r="J157" t="s">
        <v>3</v>
      </c>
      <c r="K157" t="s">
        <v>340</v>
      </c>
      <c r="L157">
        <v>1191</v>
      </c>
      <c r="N157">
        <v>1013</v>
      </c>
      <c r="O157" t="s">
        <v>341</v>
      </c>
      <c r="P157" t="s">
        <v>341</v>
      </c>
      <c r="Q157">
        <v>1</v>
      </c>
      <c r="W157">
        <v>0</v>
      </c>
      <c r="X157">
        <v>476480486</v>
      </c>
      <c r="Y157">
        <f>(AT157*1.2)</f>
        <v>12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10</v>
      </c>
      <c r="AU157" t="s">
        <v>56</v>
      </c>
      <c r="AV157">
        <v>1</v>
      </c>
      <c r="AW157">
        <v>2</v>
      </c>
      <c r="AX157">
        <v>55917980</v>
      </c>
      <c r="AY157">
        <v>1</v>
      </c>
      <c r="AZ157">
        <v>0</v>
      </c>
      <c r="BA157">
        <v>177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U157">
        <f>ROUND(AT157*Source!I89*AH157*AL157,2)</f>
        <v>0</v>
      </c>
      <c r="CV157">
        <f>ROUND(Y157*Source!I89,9)</f>
        <v>12</v>
      </c>
      <c r="CW157">
        <v>0</v>
      </c>
      <c r="CX157">
        <f>ROUND(Y157*Source!I89,9)</f>
        <v>12</v>
      </c>
      <c r="CY157">
        <f>AD157</f>
        <v>0</v>
      </c>
      <c r="CZ157">
        <f>AH157</f>
        <v>0</v>
      </c>
      <c r="DA157">
        <f>AL157</f>
        <v>1</v>
      </c>
      <c r="DB157">
        <f>ROUND((ROUND(AT157*CZ157,2)*1.2),6)</f>
        <v>0</v>
      </c>
      <c r="DC157">
        <f>ROUND((ROUND(AT157*AG157,2)*1.2),6)</f>
        <v>0</v>
      </c>
      <c r="DD157" t="s">
        <v>3</v>
      </c>
      <c r="DE157" t="s">
        <v>3</v>
      </c>
      <c r="DF157">
        <f t="shared" si="99"/>
        <v>0</v>
      </c>
      <c r="DG157">
        <f t="shared" si="98"/>
        <v>0</v>
      </c>
      <c r="DH157">
        <f t="shared" si="96"/>
        <v>0</v>
      </c>
      <c r="DI157">
        <f t="shared" si="86"/>
        <v>0</v>
      </c>
      <c r="DJ157">
        <f>DI157</f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ROW(Source!A89)</f>
        <v>89</v>
      </c>
      <c r="B158">
        <v>55917797</v>
      </c>
      <c r="C158">
        <v>55917979</v>
      </c>
      <c r="D158">
        <v>55460508</v>
      </c>
      <c r="E158">
        <v>1</v>
      </c>
      <c r="F158">
        <v>1</v>
      </c>
      <c r="G158">
        <v>1081</v>
      </c>
      <c r="H158">
        <v>3</v>
      </c>
      <c r="I158" t="s">
        <v>342</v>
      </c>
      <c r="J158" t="s">
        <v>343</v>
      </c>
      <c r="K158" t="s">
        <v>344</v>
      </c>
      <c r="L158">
        <v>1348</v>
      </c>
      <c r="N158">
        <v>1009</v>
      </c>
      <c r="O158" t="s">
        <v>345</v>
      </c>
      <c r="P158" t="s">
        <v>345</v>
      </c>
      <c r="Q158">
        <v>1000</v>
      </c>
      <c r="W158">
        <v>0</v>
      </c>
      <c r="X158">
        <v>1896261550</v>
      </c>
      <c r="Y158">
        <f t="shared" ref="Y158:Y167" si="100">(AT158*1)</f>
        <v>2.0000000000000001E-4</v>
      </c>
      <c r="AA158">
        <v>12287.39</v>
      </c>
      <c r="AB158">
        <v>0</v>
      </c>
      <c r="AC158">
        <v>0</v>
      </c>
      <c r="AD158">
        <v>0</v>
      </c>
      <c r="AE158">
        <v>12287.39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2.0000000000000001E-4</v>
      </c>
      <c r="AU158" t="s">
        <v>55</v>
      </c>
      <c r="AV158">
        <v>0</v>
      </c>
      <c r="AW158">
        <v>2</v>
      </c>
      <c r="AX158">
        <v>55917981</v>
      </c>
      <c r="AY158">
        <v>1</v>
      </c>
      <c r="AZ158">
        <v>0</v>
      </c>
      <c r="BA158">
        <v>178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ROUND(Y158*Source!I89,9)</f>
        <v>2.0000000000000001E-4</v>
      </c>
      <c r="CY158">
        <f t="shared" ref="CY158:CY167" si="101">AA158</f>
        <v>12287.39</v>
      </c>
      <c r="CZ158">
        <f t="shared" ref="CZ158:CZ167" si="102">AE158</f>
        <v>12287.39</v>
      </c>
      <c r="DA158">
        <f t="shared" ref="DA158:DA167" si="103">AI158</f>
        <v>1</v>
      </c>
      <c r="DB158">
        <f t="shared" ref="DB158:DB167" si="104">ROUND((ROUND(AT158*CZ158,2)*1),6)</f>
        <v>2.46</v>
      </c>
      <c r="DC158">
        <f t="shared" ref="DC158:DC167" si="105">ROUND((ROUND(AT158*AG158,2)*1),6)</f>
        <v>0</v>
      </c>
      <c r="DD158" t="s">
        <v>3</v>
      </c>
      <c r="DE158" t="s">
        <v>3</v>
      </c>
      <c r="DF158">
        <f t="shared" si="99"/>
        <v>2.46</v>
      </c>
      <c r="DG158">
        <f t="shared" si="98"/>
        <v>0</v>
      </c>
      <c r="DH158">
        <f t="shared" si="96"/>
        <v>0</v>
      </c>
      <c r="DI158">
        <f t="shared" si="86"/>
        <v>0</v>
      </c>
      <c r="DJ158">
        <f t="shared" ref="DJ158:DJ167" si="106">DF158</f>
        <v>2.46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ROW(Source!A89)</f>
        <v>89</v>
      </c>
      <c r="B159">
        <v>55917797</v>
      </c>
      <c r="C159">
        <v>55917979</v>
      </c>
      <c r="D159">
        <v>55460545</v>
      </c>
      <c r="E159">
        <v>1</v>
      </c>
      <c r="F159">
        <v>1</v>
      </c>
      <c r="G159">
        <v>1081</v>
      </c>
      <c r="H159">
        <v>3</v>
      </c>
      <c r="I159" t="s">
        <v>346</v>
      </c>
      <c r="J159" t="s">
        <v>347</v>
      </c>
      <c r="K159" t="s">
        <v>348</v>
      </c>
      <c r="L159">
        <v>1348</v>
      </c>
      <c r="N159">
        <v>1009</v>
      </c>
      <c r="O159" t="s">
        <v>345</v>
      </c>
      <c r="P159" t="s">
        <v>345</v>
      </c>
      <c r="Q159">
        <v>1000</v>
      </c>
      <c r="W159">
        <v>0</v>
      </c>
      <c r="X159">
        <v>1967598333</v>
      </c>
      <c r="Y159">
        <f t="shared" si="100"/>
        <v>1.0000000000000001E-5</v>
      </c>
      <c r="AA159">
        <v>3772.37</v>
      </c>
      <c r="AB159">
        <v>0</v>
      </c>
      <c r="AC159">
        <v>0</v>
      </c>
      <c r="AD159">
        <v>0</v>
      </c>
      <c r="AE159">
        <v>3772.37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1.0000000000000001E-5</v>
      </c>
      <c r="AU159" t="s">
        <v>55</v>
      </c>
      <c r="AV159">
        <v>0</v>
      </c>
      <c r="AW159">
        <v>2</v>
      </c>
      <c r="AX159">
        <v>55917982</v>
      </c>
      <c r="AY159">
        <v>1</v>
      </c>
      <c r="AZ159">
        <v>0</v>
      </c>
      <c r="BA159">
        <v>179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ROUND(Y159*Source!I89,9)</f>
        <v>1.0000000000000001E-5</v>
      </c>
      <c r="CY159">
        <f t="shared" si="101"/>
        <v>3772.37</v>
      </c>
      <c r="CZ159">
        <f t="shared" si="102"/>
        <v>3772.37</v>
      </c>
      <c r="DA159">
        <f t="shared" si="103"/>
        <v>1</v>
      </c>
      <c r="DB159">
        <f t="shared" si="104"/>
        <v>0.04</v>
      </c>
      <c r="DC159">
        <f t="shared" si="105"/>
        <v>0</v>
      </c>
      <c r="DD159" t="s">
        <v>3</v>
      </c>
      <c r="DE159" t="s">
        <v>3</v>
      </c>
      <c r="DF159">
        <f t="shared" si="99"/>
        <v>0.04</v>
      </c>
      <c r="DG159">
        <f t="shared" si="98"/>
        <v>0</v>
      </c>
      <c r="DH159">
        <f t="shared" si="96"/>
        <v>0</v>
      </c>
      <c r="DI159">
        <f t="shared" si="86"/>
        <v>0</v>
      </c>
      <c r="DJ159">
        <f t="shared" si="106"/>
        <v>0.04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ROW(Source!A89)</f>
        <v>89</v>
      </c>
      <c r="B160">
        <v>55917797</v>
      </c>
      <c r="C160">
        <v>55917979</v>
      </c>
      <c r="D160">
        <v>55461230</v>
      </c>
      <c r="E160">
        <v>1</v>
      </c>
      <c r="F160">
        <v>1</v>
      </c>
      <c r="G160">
        <v>1081</v>
      </c>
      <c r="H160">
        <v>3</v>
      </c>
      <c r="I160" t="s">
        <v>349</v>
      </c>
      <c r="J160" t="s">
        <v>350</v>
      </c>
      <c r="K160" t="s">
        <v>351</v>
      </c>
      <c r="L160">
        <v>1346</v>
      </c>
      <c r="N160">
        <v>1009</v>
      </c>
      <c r="O160" t="s">
        <v>316</v>
      </c>
      <c r="P160" t="s">
        <v>316</v>
      </c>
      <c r="Q160">
        <v>1</v>
      </c>
      <c r="W160">
        <v>0</v>
      </c>
      <c r="X160">
        <v>1561715650</v>
      </c>
      <c r="Y160">
        <f t="shared" si="100"/>
        <v>0.02</v>
      </c>
      <c r="AA160">
        <v>15.11</v>
      </c>
      <c r="AB160">
        <v>0</v>
      </c>
      <c r="AC160">
        <v>0</v>
      </c>
      <c r="AD160">
        <v>0</v>
      </c>
      <c r="AE160">
        <v>15.11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0.02</v>
      </c>
      <c r="AU160" t="s">
        <v>55</v>
      </c>
      <c r="AV160">
        <v>0</v>
      </c>
      <c r="AW160">
        <v>2</v>
      </c>
      <c r="AX160">
        <v>55917983</v>
      </c>
      <c r="AY160">
        <v>1</v>
      </c>
      <c r="AZ160">
        <v>0</v>
      </c>
      <c r="BA160">
        <v>180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ROUND(Y160*Source!I89,9)</f>
        <v>0.02</v>
      </c>
      <c r="CY160">
        <f t="shared" si="101"/>
        <v>15.11</v>
      </c>
      <c r="CZ160">
        <f t="shared" si="102"/>
        <v>15.11</v>
      </c>
      <c r="DA160">
        <f t="shared" si="103"/>
        <v>1</v>
      </c>
      <c r="DB160">
        <f t="shared" si="104"/>
        <v>0.3</v>
      </c>
      <c r="DC160">
        <f t="shared" si="105"/>
        <v>0</v>
      </c>
      <c r="DD160" t="s">
        <v>3</v>
      </c>
      <c r="DE160" t="s">
        <v>3</v>
      </c>
      <c r="DF160">
        <f t="shared" si="99"/>
        <v>0.3</v>
      </c>
      <c r="DG160">
        <f t="shared" si="98"/>
        <v>0</v>
      </c>
      <c r="DH160">
        <f t="shared" si="96"/>
        <v>0</v>
      </c>
      <c r="DI160">
        <f t="shared" si="86"/>
        <v>0</v>
      </c>
      <c r="DJ160">
        <f t="shared" si="106"/>
        <v>0.3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ROW(Source!A89)</f>
        <v>89</v>
      </c>
      <c r="B161">
        <v>55917797</v>
      </c>
      <c r="C161">
        <v>55917979</v>
      </c>
      <c r="D161">
        <v>55461426</v>
      </c>
      <c r="E161">
        <v>1</v>
      </c>
      <c r="F161">
        <v>1</v>
      </c>
      <c r="G161">
        <v>1081</v>
      </c>
      <c r="H161">
        <v>3</v>
      </c>
      <c r="I161" t="s">
        <v>352</v>
      </c>
      <c r="J161" t="s">
        <v>353</v>
      </c>
      <c r="K161" t="s">
        <v>354</v>
      </c>
      <c r="L161">
        <v>1346</v>
      </c>
      <c r="N161">
        <v>1009</v>
      </c>
      <c r="O161" t="s">
        <v>316</v>
      </c>
      <c r="P161" t="s">
        <v>316</v>
      </c>
      <c r="Q161">
        <v>1</v>
      </c>
      <c r="W161">
        <v>0</v>
      </c>
      <c r="X161">
        <v>-1175794599</v>
      </c>
      <c r="Y161">
        <f t="shared" si="100"/>
        <v>0.5</v>
      </c>
      <c r="AA161">
        <v>35.590000000000003</v>
      </c>
      <c r="AB161">
        <v>0</v>
      </c>
      <c r="AC161">
        <v>0</v>
      </c>
      <c r="AD161">
        <v>0</v>
      </c>
      <c r="AE161">
        <v>35.590000000000003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0.5</v>
      </c>
      <c r="AU161" t="s">
        <v>55</v>
      </c>
      <c r="AV161">
        <v>0</v>
      </c>
      <c r="AW161">
        <v>2</v>
      </c>
      <c r="AX161">
        <v>55917984</v>
      </c>
      <c r="AY161">
        <v>1</v>
      </c>
      <c r="AZ161">
        <v>0</v>
      </c>
      <c r="BA161">
        <v>181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ROUND(Y161*Source!I89,9)</f>
        <v>0.5</v>
      </c>
      <c r="CY161">
        <f t="shared" si="101"/>
        <v>35.590000000000003</v>
      </c>
      <c r="CZ161">
        <f t="shared" si="102"/>
        <v>35.590000000000003</v>
      </c>
      <c r="DA161">
        <f t="shared" si="103"/>
        <v>1</v>
      </c>
      <c r="DB161">
        <f t="shared" si="104"/>
        <v>17.8</v>
      </c>
      <c r="DC161">
        <f t="shared" si="105"/>
        <v>0</v>
      </c>
      <c r="DD161" t="s">
        <v>3</v>
      </c>
      <c r="DE161" t="s">
        <v>3</v>
      </c>
      <c r="DF161">
        <f t="shared" si="99"/>
        <v>17.8</v>
      </c>
      <c r="DG161">
        <f t="shared" si="98"/>
        <v>0</v>
      </c>
      <c r="DH161">
        <f t="shared" si="96"/>
        <v>0</v>
      </c>
      <c r="DI161">
        <f t="shared" si="86"/>
        <v>0</v>
      </c>
      <c r="DJ161">
        <f t="shared" si="106"/>
        <v>17.8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ROW(Source!A89)</f>
        <v>89</v>
      </c>
      <c r="B162">
        <v>55917797</v>
      </c>
      <c r="C162">
        <v>55917979</v>
      </c>
      <c r="D162">
        <v>55459400</v>
      </c>
      <c r="E162">
        <v>1</v>
      </c>
      <c r="F162">
        <v>1</v>
      </c>
      <c r="G162">
        <v>1081</v>
      </c>
      <c r="H162">
        <v>3</v>
      </c>
      <c r="I162" t="s">
        <v>355</v>
      </c>
      <c r="J162" t="s">
        <v>356</v>
      </c>
      <c r="K162" t="s">
        <v>357</v>
      </c>
      <c r="L162">
        <v>1346</v>
      </c>
      <c r="N162">
        <v>1009</v>
      </c>
      <c r="O162" t="s">
        <v>316</v>
      </c>
      <c r="P162" t="s">
        <v>316</v>
      </c>
      <c r="Q162">
        <v>1</v>
      </c>
      <c r="W162">
        <v>0</v>
      </c>
      <c r="X162">
        <v>-2129869794</v>
      </c>
      <c r="Y162">
        <f t="shared" si="100"/>
        <v>0.05</v>
      </c>
      <c r="AA162">
        <v>16.690000000000001</v>
      </c>
      <c r="AB162">
        <v>0</v>
      </c>
      <c r="AC162">
        <v>0</v>
      </c>
      <c r="AD162">
        <v>0</v>
      </c>
      <c r="AE162">
        <v>16.690000000000001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0.05</v>
      </c>
      <c r="AU162" t="s">
        <v>55</v>
      </c>
      <c r="AV162">
        <v>0</v>
      </c>
      <c r="AW162">
        <v>2</v>
      </c>
      <c r="AX162">
        <v>55917985</v>
      </c>
      <c r="AY162">
        <v>1</v>
      </c>
      <c r="AZ162">
        <v>0</v>
      </c>
      <c r="BA162">
        <v>182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ROUND(Y162*Source!I89,9)</f>
        <v>0.05</v>
      </c>
      <c r="CY162">
        <f t="shared" si="101"/>
        <v>16.690000000000001</v>
      </c>
      <c r="CZ162">
        <f t="shared" si="102"/>
        <v>16.690000000000001</v>
      </c>
      <c r="DA162">
        <f t="shared" si="103"/>
        <v>1</v>
      </c>
      <c r="DB162">
        <f t="shared" si="104"/>
        <v>0.83</v>
      </c>
      <c r="DC162">
        <f t="shared" si="105"/>
        <v>0</v>
      </c>
      <c r="DD162" t="s">
        <v>3</v>
      </c>
      <c r="DE162" t="s">
        <v>3</v>
      </c>
      <c r="DF162">
        <f t="shared" si="99"/>
        <v>0.83</v>
      </c>
      <c r="DG162">
        <f t="shared" si="98"/>
        <v>0</v>
      </c>
      <c r="DH162">
        <f t="shared" si="96"/>
        <v>0</v>
      </c>
      <c r="DI162">
        <f t="shared" si="86"/>
        <v>0</v>
      </c>
      <c r="DJ162">
        <f t="shared" si="106"/>
        <v>0.83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ROW(Source!A89)</f>
        <v>89</v>
      </c>
      <c r="B163">
        <v>55917797</v>
      </c>
      <c r="C163">
        <v>55917979</v>
      </c>
      <c r="D163">
        <v>55459404</v>
      </c>
      <c r="E163">
        <v>1</v>
      </c>
      <c r="F163">
        <v>1</v>
      </c>
      <c r="G163">
        <v>1081</v>
      </c>
      <c r="H163">
        <v>3</v>
      </c>
      <c r="I163" t="s">
        <v>358</v>
      </c>
      <c r="J163" t="s">
        <v>359</v>
      </c>
      <c r="K163" t="s">
        <v>360</v>
      </c>
      <c r="L163">
        <v>1346</v>
      </c>
      <c r="N163">
        <v>1009</v>
      </c>
      <c r="O163" t="s">
        <v>316</v>
      </c>
      <c r="P163" t="s">
        <v>316</v>
      </c>
      <c r="Q163">
        <v>1</v>
      </c>
      <c r="W163">
        <v>0</v>
      </c>
      <c r="X163">
        <v>669791865</v>
      </c>
      <c r="Y163">
        <f t="shared" si="100"/>
        <v>0.2</v>
      </c>
      <c r="AA163">
        <v>73.53</v>
      </c>
      <c r="AB163">
        <v>0</v>
      </c>
      <c r="AC163">
        <v>0</v>
      </c>
      <c r="AD163">
        <v>0</v>
      </c>
      <c r="AE163">
        <v>73.53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0.2</v>
      </c>
      <c r="AU163" t="s">
        <v>55</v>
      </c>
      <c r="AV163">
        <v>0</v>
      </c>
      <c r="AW163">
        <v>2</v>
      </c>
      <c r="AX163">
        <v>55917986</v>
      </c>
      <c r="AY163">
        <v>1</v>
      </c>
      <c r="AZ163">
        <v>0</v>
      </c>
      <c r="BA163">
        <v>183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ROUND(Y163*Source!I89,9)</f>
        <v>0.2</v>
      </c>
      <c r="CY163">
        <f t="shared" si="101"/>
        <v>73.53</v>
      </c>
      <c r="CZ163">
        <f t="shared" si="102"/>
        <v>73.53</v>
      </c>
      <c r="DA163">
        <f t="shared" si="103"/>
        <v>1</v>
      </c>
      <c r="DB163">
        <f t="shared" si="104"/>
        <v>14.71</v>
      </c>
      <c r="DC163">
        <f t="shared" si="105"/>
        <v>0</v>
      </c>
      <c r="DD163" t="s">
        <v>3</v>
      </c>
      <c r="DE163" t="s">
        <v>3</v>
      </c>
      <c r="DF163">
        <f t="shared" si="99"/>
        <v>14.71</v>
      </c>
      <c r="DG163">
        <f t="shared" si="98"/>
        <v>0</v>
      </c>
      <c r="DH163">
        <f t="shared" si="96"/>
        <v>0</v>
      </c>
      <c r="DI163">
        <f t="shared" si="86"/>
        <v>0</v>
      </c>
      <c r="DJ163">
        <f t="shared" si="106"/>
        <v>14.71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ROW(Source!A89)</f>
        <v>89</v>
      </c>
      <c r="B164">
        <v>55917797</v>
      </c>
      <c r="C164">
        <v>55917979</v>
      </c>
      <c r="D164">
        <v>55459793</v>
      </c>
      <c r="E164">
        <v>1</v>
      </c>
      <c r="F164">
        <v>1</v>
      </c>
      <c r="G164">
        <v>1081</v>
      </c>
      <c r="H164">
        <v>3</v>
      </c>
      <c r="I164" t="s">
        <v>361</v>
      </c>
      <c r="J164" t="s">
        <v>362</v>
      </c>
      <c r="K164" t="s">
        <v>363</v>
      </c>
      <c r="L164">
        <v>1348</v>
      </c>
      <c r="N164">
        <v>1009</v>
      </c>
      <c r="O164" t="s">
        <v>345</v>
      </c>
      <c r="P164" t="s">
        <v>345</v>
      </c>
      <c r="Q164">
        <v>1000</v>
      </c>
      <c r="W164">
        <v>0</v>
      </c>
      <c r="X164">
        <v>-761454284</v>
      </c>
      <c r="Y164">
        <f t="shared" si="100"/>
        <v>2.0000000000000001E-4</v>
      </c>
      <c r="AA164">
        <v>64123.05</v>
      </c>
      <c r="AB164">
        <v>0</v>
      </c>
      <c r="AC164">
        <v>0</v>
      </c>
      <c r="AD164">
        <v>0</v>
      </c>
      <c r="AE164">
        <v>64123.05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2.0000000000000001E-4</v>
      </c>
      <c r="AU164" t="s">
        <v>55</v>
      </c>
      <c r="AV164">
        <v>0</v>
      </c>
      <c r="AW164">
        <v>2</v>
      </c>
      <c r="AX164">
        <v>55917987</v>
      </c>
      <c r="AY164">
        <v>1</v>
      </c>
      <c r="AZ164">
        <v>0</v>
      </c>
      <c r="BA164">
        <v>184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ROUND(Y164*Source!I89,9)</f>
        <v>2.0000000000000001E-4</v>
      </c>
      <c r="CY164">
        <f t="shared" si="101"/>
        <v>64123.05</v>
      </c>
      <c r="CZ164">
        <f t="shared" si="102"/>
        <v>64123.05</v>
      </c>
      <c r="DA164">
        <f t="shared" si="103"/>
        <v>1</v>
      </c>
      <c r="DB164">
        <f t="shared" si="104"/>
        <v>12.82</v>
      </c>
      <c r="DC164">
        <f t="shared" si="105"/>
        <v>0</v>
      </c>
      <c r="DD164" t="s">
        <v>3</v>
      </c>
      <c r="DE164" t="s">
        <v>3</v>
      </c>
      <c r="DF164">
        <f t="shared" si="99"/>
        <v>12.82</v>
      </c>
      <c r="DG164">
        <f t="shared" si="98"/>
        <v>0</v>
      </c>
      <c r="DH164">
        <f t="shared" si="96"/>
        <v>0</v>
      </c>
      <c r="DI164">
        <f t="shared" si="86"/>
        <v>0</v>
      </c>
      <c r="DJ164">
        <f t="shared" si="106"/>
        <v>12.82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5">
      <c r="A165">
        <f>ROW(Source!A89)</f>
        <v>89</v>
      </c>
      <c r="B165">
        <v>55917797</v>
      </c>
      <c r="C165">
        <v>55917979</v>
      </c>
      <c r="D165">
        <v>55466338</v>
      </c>
      <c r="E165">
        <v>1</v>
      </c>
      <c r="F165">
        <v>1</v>
      </c>
      <c r="G165">
        <v>1081</v>
      </c>
      <c r="H165">
        <v>3</v>
      </c>
      <c r="I165" t="s">
        <v>364</v>
      </c>
      <c r="J165" t="s">
        <v>365</v>
      </c>
      <c r="K165" t="s">
        <v>366</v>
      </c>
      <c r="L165">
        <v>1349</v>
      </c>
      <c r="N165">
        <v>1009</v>
      </c>
      <c r="O165" t="s">
        <v>367</v>
      </c>
      <c r="P165" t="s">
        <v>367</v>
      </c>
      <c r="Q165">
        <v>1E-3</v>
      </c>
      <c r="W165">
        <v>0</v>
      </c>
      <c r="X165">
        <v>-667754050</v>
      </c>
      <c r="Y165">
        <f t="shared" si="100"/>
        <v>100</v>
      </c>
      <c r="AA165">
        <v>7.0000000000000007E-2</v>
      </c>
      <c r="AB165">
        <v>0</v>
      </c>
      <c r="AC165">
        <v>0</v>
      </c>
      <c r="AD165">
        <v>0</v>
      </c>
      <c r="AE165">
        <v>7.0000000000000007E-2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100</v>
      </c>
      <c r="AU165" t="s">
        <v>55</v>
      </c>
      <c r="AV165">
        <v>0</v>
      </c>
      <c r="AW165">
        <v>2</v>
      </c>
      <c r="AX165">
        <v>55917988</v>
      </c>
      <c r="AY165">
        <v>1</v>
      </c>
      <c r="AZ165">
        <v>0</v>
      </c>
      <c r="BA165">
        <v>185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ROUND(Y165*Source!I89,9)</f>
        <v>100</v>
      </c>
      <c r="CY165">
        <f t="shared" si="101"/>
        <v>7.0000000000000007E-2</v>
      </c>
      <c r="CZ165">
        <f t="shared" si="102"/>
        <v>7.0000000000000007E-2</v>
      </c>
      <c r="DA165">
        <f t="shared" si="103"/>
        <v>1</v>
      </c>
      <c r="DB165">
        <f t="shared" si="104"/>
        <v>7</v>
      </c>
      <c r="DC165">
        <f t="shared" si="105"/>
        <v>0</v>
      </c>
      <c r="DD165" t="s">
        <v>3</v>
      </c>
      <c r="DE165" t="s">
        <v>3</v>
      </c>
      <c r="DF165">
        <f t="shared" si="99"/>
        <v>7</v>
      </c>
      <c r="DG165">
        <f t="shared" si="98"/>
        <v>0</v>
      </c>
      <c r="DH165">
        <f t="shared" si="96"/>
        <v>0</v>
      </c>
      <c r="DI165">
        <f t="shared" si="86"/>
        <v>0</v>
      </c>
      <c r="DJ165">
        <f t="shared" si="106"/>
        <v>7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ROW(Source!A89)</f>
        <v>89</v>
      </c>
      <c r="B166">
        <v>55917797</v>
      </c>
      <c r="C166">
        <v>55917979</v>
      </c>
      <c r="D166">
        <v>55482233</v>
      </c>
      <c r="E166">
        <v>1</v>
      </c>
      <c r="F166">
        <v>1</v>
      </c>
      <c r="G166">
        <v>1081</v>
      </c>
      <c r="H166">
        <v>3</v>
      </c>
      <c r="I166" t="s">
        <v>368</v>
      </c>
      <c r="J166" t="s">
        <v>369</v>
      </c>
      <c r="K166" t="s">
        <v>370</v>
      </c>
      <c r="L166">
        <v>1346</v>
      </c>
      <c r="N166">
        <v>1009</v>
      </c>
      <c r="O166" t="s">
        <v>316</v>
      </c>
      <c r="P166" t="s">
        <v>316</v>
      </c>
      <c r="Q166">
        <v>1</v>
      </c>
      <c r="W166">
        <v>0</v>
      </c>
      <c r="X166">
        <v>1566362712</v>
      </c>
      <c r="Y166">
        <f t="shared" si="100"/>
        <v>0.04</v>
      </c>
      <c r="AA166">
        <v>493.08</v>
      </c>
      <c r="AB166">
        <v>0</v>
      </c>
      <c r="AC166">
        <v>0</v>
      </c>
      <c r="AD166">
        <v>0</v>
      </c>
      <c r="AE166">
        <v>493.08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0.04</v>
      </c>
      <c r="AU166" t="s">
        <v>55</v>
      </c>
      <c r="AV166">
        <v>0</v>
      </c>
      <c r="AW166">
        <v>2</v>
      </c>
      <c r="AX166">
        <v>55917989</v>
      </c>
      <c r="AY166">
        <v>1</v>
      </c>
      <c r="AZ166">
        <v>0</v>
      </c>
      <c r="BA166">
        <v>186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ROUND(Y166*Source!I89,9)</f>
        <v>0.04</v>
      </c>
      <c r="CY166">
        <f t="shared" si="101"/>
        <v>493.08</v>
      </c>
      <c r="CZ166">
        <f t="shared" si="102"/>
        <v>493.08</v>
      </c>
      <c r="DA166">
        <f t="shared" si="103"/>
        <v>1</v>
      </c>
      <c r="DB166">
        <f t="shared" si="104"/>
        <v>19.72</v>
      </c>
      <c r="DC166">
        <f t="shared" si="105"/>
        <v>0</v>
      </c>
      <c r="DD166" t="s">
        <v>3</v>
      </c>
      <c r="DE166" t="s">
        <v>3</v>
      </c>
      <c r="DF166">
        <f t="shared" si="99"/>
        <v>19.72</v>
      </c>
      <c r="DG166">
        <f t="shared" si="98"/>
        <v>0</v>
      </c>
      <c r="DH166">
        <f t="shared" si="96"/>
        <v>0</v>
      </c>
      <c r="DI166">
        <f t="shared" si="86"/>
        <v>0</v>
      </c>
      <c r="DJ166">
        <f t="shared" si="106"/>
        <v>19.72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ROW(Source!A89)</f>
        <v>89</v>
      </c>
      <c r="B167">
        <v>55917797</v>
      </c>
      <c r="C167">
        <v>55917979</v>
      </c>
      <c r="D167">
        <v>55424290</v>
      </c>
      <c r="E167">
        <v>1081</v>
      </c>
      <c r="F167">
        <v>1</v>
      </c>
      <c r="G167">
        <v>1081</v>
      </c>
      <c r="H167">
        <v>3</v>
      </c>
      <c r="I167" t="s">
        <v>371</v>
      </c>
      <c r="J167" t="s">
        <v>3</v>
      </c>
      <c r="K167" t="s">
        <v>372</v>
      </c>
      <c r="L167">
        <v>1348</v>
      </c>
      <c r="N167">
        <v>1009</v>
      </c>
      <c r="O167" t="s">
        <v>345</v>
      </c>
      <c r="P167" t="s">
        <v>345</v>
      </c>
      <c r="Q167">
        <v>1000</v>
      </c>
      <c r="W167">
        <v>0</v>
      </c>
      <c r="X167">
        <v>-783086922</v>
      </c>
      <c r="Y167">
        <f t="shared" si="100"/>
        <v>1.2E-2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1.2E-2</v>
      </c>
      <c r="AU167" t="s">
        <v>55</v>
      </c>
      <c r="AV167">
        <v>0</v>
      </c>
      <c r="AW167">
        <v>2</v>
      </c>
      <c r="AX167">
        <v>55917991</v>
      </c>
      <c r="AY167">
        <v>1</v>
      </c>
      <c r="AZ167">
        <v>0</v>
      </c>
      <c r="BA167">
        <v>188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ROUND(Y167*Source!I89,9)</f>
        <v>1.2E-2</v>
      </c>
      <c r="CY167">
        <f t="shared" si="101"/>
        <v>0</v>
      </c>
      <c r="CZ167">
        <f t="shared" si="102"/>
        <v>0</v>
      </c>
      <c r="DA167">
        <f t="shared" si="103"/>
        <v>1</v>
      </c>
      <c r="DB167">
        <f t="shared" si="104"/>
        <v>0</v>
      </c>
      <c r="DC167">
        <f t="shared" si="105"/>
        <v>0</v>
      </c>
      <c r="DD167" t="s">
        <v>3</v>
      </c>
      <c r="DE167" t="s">
        <v>3</v>
      </c>
      <c r="DF167">
        <f t="shared" si="99"/>
        <v>0</v>
      </c>
      <c r="DG167">
        <f t="shared" si="98"/>
        <v>0</v>
      </c>
      <c r="DH167">
        <f t="shared" si="96"/>
        <v>0</v>
      </c>
      <c r="DI167">
        <f t="shared" si="86"/>
        <v>0</v>
      </c>
      <c r="DJ167">
        <f t="shared" si="106"/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ROW(Source!A90)</f>
        <v>90</v>
      </c>
      <c r="B168">
        <v>55917799</v>
      </c>
      <c r="C168">
        <v>55917979</v>
      </c>
      <c r="D168">
        <v>55424304</v>
      </c>
      <c r="E168">
        <v>1081</v>
      </c>
      <c r="F168">
        <v>1</v>
      </c>
      <c r="G168">
        <v>1081</v>
      </c>
      <c r="H168">
        <v>1</v>
      </c>
      <c r="I168" t="s">
        <v>339</v>
      </c>
      <c r="J168" t="s">
        <v>3</v>
      </c>
      <c r="K168" t="s">
        <v>340</v>
      </c>
      <c r="L168">
        <v>1191</v>
      </c>
      <c r="N168">
        <v>1013</v>
      </c>
      <c r="O168" t="s">
        <v>341</v>
      </c>
      <c r="P168" t="s">
        <v>341</v>
      </c>
      <c r="Q168">
        <v>1</v>
      </c>
      <c r="W168">
        <v>0</v>
      </c>
      <c r="X168">
        <v>476480486</v>
      </c>
      <c r="Y168">
        <f>(AT168*1.2)</f>
        <v>12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5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10</v>
      </c>
      <c r="AU168" t="s">
        <v>56</v>
      </c>
      <c r="AV168">
        <v>1</v>
      </c>
      <c r="AW168">
        <v>2</v>
      </c>
      <c r="AX168">
        <v>55917980</v>
      </c>
      <c r="AY168">
        <v>1</v>
      </c>
      <c r="AZ168">
        <v>0</v>
      </c>
      <c r="BA168">
        <v>189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U168">
        <f>ROUND(AT168*Source!I90*AH168*AL168,2)</f>
        <v>0</v>
      </c>
      <c r="CV168">
        <f>ROUND(Y168*Source!I90,9)</f>
        <v>12</v>
      </c>
      <c r="CW168">
        <v>0</v>
      </c>
      <c r="CX168">
        <f>ROUND(Y168*Source!I90,9)</f>
        <v>12</v>
      </c>
      <c r="CY168">
        <f>AD168</f>
        <v>0</v>
      </c>
      <c r="CZ168">
        <f>AH168</f>
        <v>0</v>
      </c>
      <c r="DA168">
        <f>AL168</f>
        <v>1</v>
      </c>
      <c r="DB168">
        <f>ROUND((ROUND(AT168*CZ168,2)*1.2),6)</f>
        <v>0</v>
      </c>
      <c r="DC168">
        <f>ROUND((ROUND(AT168*AG168,2)*1.2),6)</f>
        <v>0</v>
      </c>
      <c r="DD168" t="s">
        <v>3</v>
      </c>
      <c r="DE168" t="s">
        <v>3</v>
      </c>
      <c r="DF168">
        <f t="shared" si="99"/>
        <v>0</v>
      </c>
      <c r="DG168">
        <f t="shared" si="98"/>
        <v>0</v>
      </c>
      <c r="DH168">
        <f t="shared" si="96"/>
        <v>0</v>
      </c>
      <c r="DI168">
        <f t="shared" si="86"/>
        <v>0</v>
      </c>
      <c r="DJ168">
        <f>DI168</f>
        <v>0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ROW(Source!A90)</f>
        <v>90</v>
      </c>
      <c r="B169">
        <v>55917799</v>
      </c>
      <c r="C169">
        <v>55917979</v>
      </c>
      <c r="D169">
        <v>55460508</v>
      </c>
      <c r="E169">
        <v>1</v>
      </c>
      <c r="F169">
        <v>1</v>
      </c>
      <c r="G169">
        <v>1081</v>
      </c>
      <c r="H169">
        <v>3</v>
      </c>
      <c r="I169" t="s">
        <v>342</v>
      </c>
      <c r="J169" t="s">
        <v>343</v>
      </c>
      <c r="K169" t="s">
        <v>344</v>
      </c>
      <c r="L169">
        <v>1348</v>
      </c>
      <c r="N169">
        <v>1009</v>
      </c>
      <c r="O169" t="s">
        <v>345</v>
      </c>
      <c r="P169" t="s">
        <v>345</v>
      </c>
      <c r="Q169">
        <v>1000</v>
      </c>
      <c r="W169">
        <v>0</v>
      </c>
      <c r="X169">
        <v>1896261550</v>
      </c>
      <c r="Y169">
        <f t="shared" ref="Y169:Y178" si="107">(AT169*1)</f>
        <v>2.0000000000000001E-4</v>
      </c>
      <c r="AA169">
        <v>199670.09</v>
      </c>
      <c r="AB169">
        <v>0</v>
      </c>
      <c r="AC169">
        <v>0</v>
      </c>
      <c r="AD169">
        <v>0</v>
      </c>
      <c r="AE169">
        <v>12287.39</v>
      </c>
      <c r="AF169">
        <v>0</v>
      </c>
      <c r="AG169">
        <v>0</v>
      </c>
      <c r="AH169">
        <v>0</v>
      </c>
      <c r="AI169">
        <v>16.25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2.0000000000000001E-4</v>
      </c>
      <c r="AU169" t="s">
        <v>55</v>
      </c>
      <c r="AV169">
        <v>0</v>
      </c>
      <c r="AW169">
        <v>2</v>
      </c>
      <c r="AX169">
        <v>55917981</v>
      </c>
      <c r="AY169">
        <v>1</v>
      </c>
      <c r="AZ169">
        <v>0</v>
      </c>
      <c r="BA169">
        <v>190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ROUND(Y169*Source!I90,9)</f>
        <v>2.0000000000000001E-4</v>
      </c>
      <c r="CY169">
        <f t="shared" ref="CY169:CY178" si="108">AA169</f>
        <v>199670.09</v>
      </c>
      <c r="CZ169">
        <f t="shared" ref="CZ169:CZ178" si="109">AE169</f>
        <v>12287.39</v>
      </c>
      <c r="DA169">
        <f t="shared" ref="DA169:DA178" si="110">AI169</f>
        <v>16.25</v>
      </c>
      <c r="DB169">
        <f t="shared" ref="DB169:DB178" si="111">ROUND((ROUND(AT169*CZ169,2)*1),6)</f>
        <v>2.46</v>
      </c>
      <c r="DC169">
        <f t="shared" ref="DC169:DC178" si="112">ROUND((ROUND(AT169*AG169,2)*1),6)</f>
        <v>0</v>
      </c>
      <c r="DD169" t="s">
        <v>3</v>
      </c>
      <c r="DE169" t="s">
        <v>3</v>
      </c>
      <c r="DF169">
        <f t="shared" ref="DF169:DF178" si="113">ROUND(ROUND(AE169*AI169,2)*CX169,2)</f>
        <v>39.93</v>
      </c>
      <c r="DG169">
        <f t="shared" si="98"/>
        <v>0</v>
      </c>
      <c r="DH169">
        <f t="shared" si="96"/>
        <v>0</v>
      </c>
      <c r="DI169">
        <f t="shared" si="86"/>
        <v>0</v>
      </c>
      <c r="DJ169">
        <f t="shared" ref="DJ169:DJ178" si="114">DF169</f>
        <v>39.93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ROW(Source!A90)</f>
        <v>90</v>
      </c>
      <c r="B170">
        <v>55917799</v>
      </c>
      <c r="C170">
        <v>55917979</v>
      </c>
      <c r="D170">
        <v>55460545</v>
      </c>
      <c r="E170">
        <v>1</v>
      </c>
      <c r="F170">
        <v>1</v>
      </c>
      <c r="G170">
        <v>1081</v>
      </c>
      <c r="H170">
        <v>3</v>
      </c>
      <c r="I170" t="s">
        <v>346</v>
      </c>
      <c r="J170" t="s">
        <v>347</v>
      </c>
      <c r="K170" t="s">
        <v>348</v>
      </c>
      <c r="L170">
        <v>1348</v>
      </c>
      <c r="N170">
        <v>1009</v>
      </c>
      <c r="O170" t="s">
        <v>345</v>
      </c>
      <c r="P170" t="s">
        <v>345</v>
      </c>
      <c r="Q170">
        <v>1000</v>
      </c>
      <c r="W170">
        <v>0</v>
      </c>
      <c r="X170">
        <v>1967598333</v>
      </c>
      <c r="Y170">
        <f t="shared" si="107"/>
        <v>1.0000000000000001E-5</v>
      </c>
      <c r="AA170">
        <v>36101.58</v>
      </c>
      <c r="AB170">
        <v>0</v>
      </c>
      <c r="AC170">
        <v>0</v>
      </c>
      <c r="AD170">
        <v>0</v>
      </c>
      <c r="AE170">
        <v>3772.37</v>
      </c>
      <c r="AF170">
        <v>0</v>
      </c>
      <c r="AG170">
        <v>0</v>
      </c>
      <c r="AH170">
        <v>0</v>
      </c>
      <c r="AI170">
        <v>9.57</v>
      </c>
      <c r="AJ170">
        <v>1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1.0000000000000001E-5</v>
      </c>
      <c r="AU170" t="s">
        <v>55</v>
      </c>
      <c r="AV170">
        <v>0</v>
      </c>
      <c r="AW170">
        <v>2</v>
      </c>
      <c r="AX170">
        <v>55917982</v>
      </c>
      <c r="AY170">
        <v>1</v>
      </c>
      <c r="AZ170">
        <v>0</v>
      </c>
      <c r="BA170">
        <v>191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ROUND(Y170*Source!I90,9)</f>
        <v>1.0000000000000001E-5</v>
      </c>
      <c r="CY170">
        <f t="shared" si="108"/>
        <v>36101.58</v>
      </c>
      <c r="CZ170">
        <f t="shared" si="109"/>
        <v>3772.37</v>
      </c>
      <c r="DA170">
        <f t="shared" si="110"/>
        <v>9.57</v>
      </c>
      <c r="DB170">
        <f t="shared" si="111"/>
        <v>0.04</v>
      </c>
      <c r="DC170">
        <f t="shared" si="112"/>
        <v>0</v>
      </c>
      <c r="DD170" t="s">
        <v>3</v>
      </c>
      <c r="DE170" t="s">
        <v>3</v>
      </c>
      <c r="DF170">
        <f t="shared" si="113"/>
        <v>0.36</v>
      </c>
      <c r="DG170">
        <f t="shared" si="98"/>
        <v>0</v>
      </c>
      <c r="DH170">
        <f t="shared" si="96"/>
        <v>0</v>
      </c>
      <c r="DI170">
        <f t="shared" si="86"/>
        <v>0</v>
      </c>
      <c r="DJ170">
        <f t="shared" si="114"/>
        <v>0.36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ROW(Source!A90)</f>
        <v>90</v>
      </c>
      <c r="B171">
        <v>55917799</v>
      </c>
      <c r="C171">
        <v>55917979</v>
      </c>
      <c r="D171">
        <v>55461230</v>
      </c>
      <c r="E171">
        <v>1</v>
      </c>
      <c r="F171">
        <v>1</v>
      </c>
      <c r="G171">
        <v>1081</v>
      </c>
      <c r="H171">
        <v>3</v>
      </c>
      <c r="I171" t="s">
        <v>349</v>
      </c>
      <c r="J171" t="s">
        <v>350</v>
      </c>
      <c r="K171" t="s">
        <v>351</v>
      </c>
      <c r="L171">
        <v>1346</v>
      </c>
      <c r="N171">
        <v>1009</v>
      </c>
      <c r="O171" t="s">
        <v>316</v>
      </c>
      <c r="P171" t="s">
        <v>316</v>
      </c>
      <c r="Q171">
        <v>1</v>
      </c>
      <c r="W171">
        <v>0</v>
      </c>
      <c r="X171">
        <v>1561715650</v>
      </c>
      <c r="Y171">
        <f t="shared" si="107"/>
        <v>0.02</v>
      </c>
      <c r="AA171">
        <v>200.81</v>
      </c>
      <c r="AB171">
        <v>0</v>
      </c>
      <c r="AC171">
        <v>0</v>
      </c>
      <c r="AD171">
        <v>0</v>
      </c>
      <c r="AE171">
        <v>15.11</v>
      </c>
      <c r="AF171">
        <v>0</v>
      </c>
      <c r="AG171">
        <v>0</v>
      </c>
      <c r="AH171">
        <v>0</v>
      </c>
      <c r="AI171">
        <v>13.29</v>
      </c>
      <c r="AJ171">
        <v>1</v>
      </c>
      <c r="AK171">
        <v>1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0.02</v>
      </c>
      <c r="AU171" t="s">
        <v>55</v>
      </c>
      <c r="AV171">
        <v>0</v>
      </c>
      <c r="AW171">
        <v>2</v>
      </c>
      <c r="AX171">
        <v>55917983</v>
      </c>
      <c r="AY171">
        <v>1</v>
      </c>
      <c r="AZ171">
        <v>0</v>
      </c>
      <c r="BA171">
        <v>192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ROUND(Y171*Source!I90,9)</f>
        <v>0.02</v>
      </c>
      <c r="CY171">
        <f t="shared" si="108"/>
        <v>200.81</v>
      </c>
      <c r="CZ171">
        <f t="shared" si="109"/>
        <v>15.11</v>
      </c>
      <c r="DA171">
        <f t="shared" si="110"/>
        <v>13.29</v>
      </c>
      <c r="DB171">
        <f t="shared" si="111"/>
        <v>0.3</v>
      </c>
      <c r="DC171">
        <f t="shared" si="112"/>
        <v>0</v>
      </c>
      <c r="DD171" t="s">
        <v>3</v>
      </c>
      <c r="DE171" t="s">
        <v>3</v>
      </c>
      <c r="DF171">
        <f t="shared" si="113"/>
        <v>4.0199999999999996</v>
      </c>
      <c r="DG171">
        <f t="shared" si="98"/>
        <v>0</v>
      </c>
      <c r="DH171">
        <f t="shared" si="96"/>
        <v>0</v>
      </c>
      <c r="DI171">
        <f t="shared" si="86"/>
        <v>0</v>
      </c>
      <c r="DJ171">
        <f t="shared" si="114"/>
        <v>4.0199999999999996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ROW(Source!A90)</f>
        <v>90</v>
      </c>
      <c r="B172">
        <v>55917799</v>
      </c>
      <c r="C172">
        <v>55917979</v>
      </c>
      <c r="D172">
        <v>55461426</v>
      </c>
      <c r="E172">
        <v>1</v>
      </c>
      <c r="F172">
        <v>1</v>
      </c>
      <c r="G172">
        <v>1081</v>
      </c>
      <c r="H172">
        <v>3</v>
      </c>
      <c r="I172" t="s">
        <v>352</v>
      </c>
      <c r="J172" t="s">
        <v>353</v>
      </c>
      <c r="K172" t="s">
        <v>354</v>
      </c>
      <c r="L172">
        <v>1346</v>
      </c>
      <c r="N172">
        <v>1009</v>
      </c>
      <c r="O172" t="s">
        <v>316</v>
      </c>
      <c r="P172" t="s">
        <v>316</v>
      </c>
      <c r="Q172">
        <v>1</v>
      </c>
      <c r="W172">
        <v>0</v>
      </c>
      <c r="X172">
        <v>-1175794599</v>
      </c>
      <c r="Y172">
        <f t="shared" si="107"/>
        <v>0.5</v>
      </c>
      <c r="AA172">
        <v>154.1</v>
      </c>
      <c r="AB172">
        <v>0</v>
      </c>
      <c r="AC172">
        <v>0</v>
      </c>
      <c r="AD172">
        <v>0</v>
      </c>
      <c r="AE172">
        <v>35.590000000000003</v>
      </c>
      <c r="AF172">
        <v>0</v>
      </c>
      <c r="AG172">
        <v>0</v>
      </c>
      <c r="AH172">
        <v>0</v>
      </c>
      <c r="AI172">
        <v>4.33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0.5</v>
      </c>
      <c r="AU172" t="s">
        <v>55</v>
      </c>
      <c r="AV172">
        <v>0</v>
      </c>
      <c r="AW172">
        <v>2</v>
      </c>
      <c r="AX172">
        <v>55917984</v>
      </c>
      <c r="AY172">
        <v>1</v>
      </c>
      <c r="AZ172">
        <v>0</v>
      </c>
      <c r="BA172">
        <v>193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ROUND(Y172*Source!I90,9)</f>
        <v>0.5</v>
      </c>
      <c r="CY172">
        <f t="shared" si="108"/>
        <v>154.1</v>
      </c>
      <c r="CZ172">
        <f t="shared" si="109"/>
        <v>35.590000000000003</v>
      </c>
      <c r="DA172">
        <f t="shared" si="110"/>
        <v>4.33</v>
      </c>
      <c r="DB172">
        <f t="shared" si="111"/>
        <v>17.8</v>
      </c>
      <c r="DC172">
        <f t="shared" si="112"/>
        <v>0</v>
      </c>
      <c r="DD172" t="s">
        <v>3</v>
      </c>
      <c r="DE172" t="s">
        <v>3</v>
      </c>
      <c r="DF172">
        <f t="shared" si="113"/>
        <v>77.05</v>
      </c>
      <c r="DG172">
        <f t="shared" si="98"/>
        <v>0</v>
      </c>
      <c r="DH172">
        <f t="shared" si="96"/>
        <v>0</v>
      </c>
      <c r="DI172">
        <f t="shared" si="86"/>
        <v>0</v>
      </c>
      <c r="DJ172">
        <f t="shared" si="114"/>
        <v>77.05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ROW(Source!A90)</f>
        <v>90</v>
      </c>
      <c r="B173">
        <v>55917799</v>
      </c>
      <c r="C173">
        <v>55917979</v>
      </c>
      <c r="D173">
        <v>55459400</v>
      </c>
      <c r="E173">
        <v>1</v>
      </c>
      <c r="F173">
        <v>1</v>
      </c>
      <c r="G173">
        <v>1081</v>
      </c>
      <c r="H173">
        <v>3</v>
      </c>
      <c r="I173" t="s">
        <v>355</v>
      </c>
      <c r="J173" t="s">
        <v>356</v>
      </c>
      <c r="K173" t="s">
        <v>357</v>
      </c>
      <c r="L173">
        <v>1346</v>
      </c>
      <c r="N173">
        <v>1009</v>
      </c>
      <c r="O173" t="s">
        <v>316</v>
      </c>
      <c r="P173" t="s">
        <v>316</v>
      </c>
      <c r="Q173">
        <v>1</v>
      </c>
      <c r="W173">
        <v>0</v>
      </c>
      <c r="X173">
        <v>-2129869794</v>
      </c>
      <c r="Y173">
        <f t="shared" si="107"/>
        <v>0.05</v>
      </c>
      <c r="AA173">
        <v>387.54</v>
      </c>
      <c r="AB173">
        <v>0</v>
      </c>
      <c r="AC173">
        <v>0</v>
      </c>
      <c r="AD173">
        <v>0</v>
      </c>
      <c r="AE173">
        <v>16.690000000000001</v>
      </c>
      <c r="AF173">
        <v>0</v>
      </c>
      <c r="AG173">
        <v>0</v>
      </c>
      <c r="AH173">
        <v>0</v>
      </c>
      <c r="AI173">
        <v>23.22</v>
      </c>
      <c r="AJ173">
        <v>1</v>
      </c>
      <c r="AK173">
        <v>1</v>
      </c>
      <c r="AL173">
        <v>1</v>
      </c>
      <c r="AM173">
        <v>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0.05</v>
      </c>
      <c r="AU173" t="s">
        <v>55</v>
      </c>
      <c r="AV173">
        <v>0</v>
      </c>
      <c r="AW173">
        <v>2</v>
      </c>
      <c r="AX173">
        <v>55917985</v>
      </c>
      <c r="AY173">
        <v>1</v>
      </c>
      <c r="AZ173">
        <v>0</v>
      </c>
      <c r="BA173">
        <v>194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ROUND(Y173*Source!I90,9)</f>
        <v>0.05</v>
      </c>
      <c r="CY173">
        <f t="shared" si="108"/>
        <v>387.54</v>
      </c>
      <c r="CZ173">
        <f t="shared" si="109"/>
        <v>16.690000000000001</v>
      </c>
      <c r="DA173">
        <f t="shared" si="110"/>
        <v>23.22</v>
      </c>
      <c r="DB173">
        <f t="shared" si="111"/>
        <v>0.83</v>
      </c>
      <c r="DC173">
        <f t="shared" si="112"/>
        <v>0</v>
      </c>
      <c r="DD173" t="s">
        <v>3</v>
      </c>
      <c r="DE173" t="s">
        <v>3</v>
      </c>
      <c r="DF173">
        <f t="shared" si="113"/>
        <v>19.38</v>
      </c>
      <c r="DG173">
        <f t="shared" si="98"/>
        <v>0</v>
      </c>
      <c r="DH173">
        <f t="shared" ref="DH173:DH181" si="115">ROUND(ROUND(AG173,2)*CX173,2)</f>
        <v>0</v>
      </c>
      <c r="DI173">
        <f t="shared" si="86"/>
        <v>0</v>
      </c>
      <c r="DJ173">
        <f t="shared" si="114"/>
        <v>19.38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ROW(Source!A90)</f>
        <v>90</v>
      </c>
      <c r="B174">
        <v>55917799</v>
      </c>
      <c r="C174">
        <v>55917979</v>
      </c>
      <c r="D174">
        <v>55459404</v>
      </c>
      <c r="E174">
        <v>1</v>
      </c>
      <c r="F174">
        <v>1</v>
      </c>
      <c r="G174">
        <v>1081</v>
      </c>
      <c r="H174">
        <v>3</v>
      </c>
      <c r="I174" t="s">
        <v>358</v>
      </c>
      <c r="J174" t="s">
        <v>359</v>
      </c>
      <c r="K174" t="s">
        <v>360</v>
      </c>
      <c r="L174">
        <v>1346</v>
      </c>
      <c r="N174">
        <v>1009</v>
      </c>
      <c r="O174" t="s">
        <v>316</v>
      </c>
      <c r="P174" t="s">
        <v>316</v>
      </c>
      <c r="Q174">
        <v>1</v>
      </c>
      <c r="W174">
        <v>0</v>
      </c>
      <c r="X174">
        <v>669791865</v>
      </c>
      <c r="Y174">
        <f t="shared" si="107"/>
        <v>0.2</v>
      </c>
      <c r="AA174">
        <v>158.82</v>
      </c>
      <c r="AB174">
        <v>0</v>
      </c>
      <c r="AC174">
        <v>0</v>
      </c>
      <c r="AD174">
        <v>0</v>
      </c>
      <c r="AE174">
        <v>73.53</v>
      </c>
      <c r="AF174">
        <v>0</v>
      </c>
      <c r="AG174">
        <v>0</v>
      </c>
      <c r="AH174">
        <v>0</v>
      </c>
      <c r="AI174">
        <v>2.16</v>
      </c>
      <c r="AJ174">
        <v>1</v>
      </c>
      <c r="AK174">
        <v>1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0.2</v>
      </c>
      <c r="AU174" t="s">
        <v>55</v>
      </c>
      <c r="AV174">
        <v>0</v>
      </c>
      <c r="AW174">
        <v>2</v>
      </c>
      <c r="AX174">
        <v>55917986</v>
      </c>
      <c r="AY174">
        <v>1</v>
      </c>
      <c r="AZ174">
        <v>0</v>
      </c>
      <c r="BA174">
        <v>195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ROUND(Y174*Source!I90,9)</f>
        <v>0.2</v>
      </c>
      <c r="CY174">
        <f t="shared" si="108"/>
        <v>158.82</v>
      </c>
      <c r="CZ174">
        <f t="shared" si="109"/>
        <v>73.53</v>
      </c>
      <c r="DA174">
        <f t="shared" si="110"/>
        <v>2.16</v>
      </c>
      <c r="DB174">
        <f t="shared" si="111"/>
        <v>14.71</v>
      </c>
      <c r="DC174">
        <f t="shared" si="112"/>
        <v>0</v>
      </c>
      <c r="DD174" t="s">
        <v>3</v>
      </c>
      <c r="DE174" t="s">
        <v>3</v>
      </c>
      <c r="DF174">
        <f t="shared" si="113"/>
        <v>31.76</v>
      </c>
      <c r="DG174">
        <f t="shared" si="98"/>
        <v>0</v>
      </c>
      <c r="DH174">
        <f t="shared" si="115"/>
        <v>0</v>
      </c>
      <c r="DI174">
        <f t="shared" si="86"/>
        <v>0</v>
      </c>
      <c r="DJ174">
        <f t="shared" si="114"/>
        <v>31.76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ROW(Source!A90)</f>
        <v>90</v>
      </c>
      <c r="B175">
        <v>55917799</v>
      </c>
      <c r="C175">
        <v>55917979</v>
      </c>
      <c r="D175">
        <v>55459793</v>
      </c>
      <c r="E175">
        <v>1</v>
      </c>
      <c r="F175">
        <v>1</v>
      </c>
      <c r="G175">
        <v>1081</v>
      </c>
      <c r="H175">
        <v>3</v>
      </c>
      <c r="I175" t="s">
        <v>361</v>
      </c>
      <c r="J175" t="s">
        <v>362</v>
      </c>
      <c r="K175" t="s">
        <v>363</v>
      </c>
      <c r="L175">
        <v>1348</v>
      </c>
      <c r="N175">
        <v>1009</v>
      </c>
      <c r="O175" t="s">
        <v>345</v>
      </c>
      <c r="P175" t="s">
        <v>345</v>
      </c>
      <c r="Q175">
        <v>1000</v>
      </c>
      <c r="W175">
        <v>0</v>
      </c>
      <c r="X175">
        <v>-761454284</v>
      </c>
      <c r="Y175">
        <f t="shared" si="107"/>
        <v>2.0000000000000001E-4</v>
      </c>
      <c r="AA175">
        <v>1930745.04</v>
      </c>
      <c r="AB175">
        <v>0</v>
      </c>
      <c r="AC175">
        <v>0</v>
      </c>
      <c r="AD175">
        <v>0</v>
      </c>
      <c r="AE175">
        <v>64123.05</v>
      </c>
      <c r="AF175">
        <v>0</v>
      </c>
      <c r="AG175">
        <v>0</v>
      </c>
      <c r="AH175">
        <v>0</v>
      </c>
      <c r="AI175">
        <v>30.11</v>
      </c>
      <c r="AJ175">
        <v>1</v>
      </c>
      <c r="AK175">
        <v>1</v>
      </c>
      <c r="AL175">
        <v>1</v>
      </c>
      <c r="AM175">
        <v>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2.0000000000000001E-4</v>
      </c>
      <c r="AU175" t="s">
        <v>55</v>
      </c>
      <c r="AV175">
        <v>0</v>
      </c>
      <c r="AW175">
        <v>2</v>
      </c>
      <c r="AX175">
        <v>55917987</v>
      </c>
      <c r="AY175">
        <v>1</v>
      </c>
      <c r="AZ175">
        <v>0</v>
      </c>
      <c r="BA175">
        <v>196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ROUND(Y175*Source!I90,9)</f>
        <v>2.0000000000000001E-4</v>
      </c>
      <c r="CY175">
        <f t="shared" si="108"/>
        <v>1930745.04</v>
      </c>
      <c r="CZ175">
        <f t="shared" si="109"/>
        <v>64123.05</v>
      </c>
      <c r="DA175">
        <f t="shared" si="110"/>
        <v>30.11</v>
      </c>
      <c r="DB175">
        <f t="shared" si="111"/>
        <v>12.82</v>
      </c>
      <c r="DC175">
        <f t="shared" si="112"/>
        <v>0</v>
      </c>
      <c r="DD175" t="s">
        <v>3</v>
      </c>
      <c r="DE175" t="s">
        <v>3</v>
      </c>
      <c r="DF175">
        <f t="shared" si="113"/>
        <v>386.15</v>
      </c>
      <c r="DG175">
        <f t="shared" si="98"/>
        <v>0</v>
      </c>
      <c r="DH175">
        <f t="shared" si="115"/>
        <v>0</v>
      </c>
      <c r="DI175">
        <f t="shared" si="86"/>
        <v>0</v>
      </c>
      <c r="DJ175">
        <f t="shared" si="114"/>
        <v>386.15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ROW(Source!A90)</f>
        <v>90</v>
      </c>
      <c r="B176">
        <v>55917799</v>
      </c>
      <c r="C176">
        <v>55917979</v>
      </c>
      <c r="D176">
        <v>55466338</v>
      </c>
      <c r="E176">
        <v>1</v>
      </c>
      <c r="F176">
        <v>1</v>
      </c>
      <c r="G176">
        <v>1081</v>
      </c>
      <c r="H176">
        <v>3</v>
      </c>
      <c r="I176" t="s">
        <v>364</v>
      </c>
      <c r="J176" t="s">
        <v>365</v>
      </c>
      <c r="K176" t="s">
        <v>366</v>
      </c>
      <c r="L176">
        <v>1349</v>
      </c>
      <c r="N176">
        <v>1009</v>
      </c>
      <c r="O176" t="s">
        <v>367</v>
      </c>
      <c r="P176" t="s">
        <v>367</v>
      </c>
      <c r="Q176">
        <v>1E-3</v>
      </c>
      <c r="W176">
        <v>0</v>
      </c>
      <c r="X176">
        <v>-667754050</v>
      </c>
      <c r="Y176">
        <f t="shared" si="107"/>
        <v>100</v>
      </c>
      <c r="AA176">
        <v>0.44</v>
      </c>
      <c r="AB176">
        <v>0</v>
      </c>
      <c r="AC176">
        <v>0</v>
      </c>
      <c r="AD176">
        <v>0</v>
      </c>
      <c r="AE176">
        <v>7.0000000000000007E-2</v>
      </c>
      <c r="AF176">
        <v>0</v>
      </c>
      <c r="AG176">
        <v>0</v>
      </c>
      <c r="AH176">
        <v>0</v>
      </c>
      <c r="AI176">
        <v>6.29</v>
      </c>
      <c r="AJ176">
        <v>1</v>
      </c>
      <c r="AK176">
        <v>1</v>
      </c>
      <c r="AL176">
        <v>1</v>
      </c>
      <c r="AM176">
        <v>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100</v>
      </c>
      <c r="AU176" t="s">
        <v>55</v>
      </c>
      <c r="AV176">
        <v>0</v>
      </c>
      <c r="AW176">
        <v>2</v>
      </c>
      <c r="AX176">
        <v>55917988</v>
      </c>
      <c r="AY176">
        <v>1</v>
      </c>
      <c r="AZ176">
        <v>0</v>
      </c>
      <c r="BA176">
        <v>197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ROUND(Y176*Source!I90,9)</f>
        <v>100</v>
      </c>
      <c r="CY176">
        <f t="shared" si="108"/>
        <v>0.44</v>
      </c>
      <c r="CZ176">
        <f t="shared" si="109"/>
        <v>7.0000000000000007E-2</v>
      </c>
      <c r="DA176">
        <f t="shared" si="110"/>
        <v>6.29</v>
      </c>
      <c r="DB176">
        <f t="shared" si="111"/>
        <v>7</v>
      </c>
      <c r="DC176">
        <f t="shared" si="112"/>
        <v>0</v>
      </c>
      <c r="DD176" t="s">
        <v>3</v>
      </c>
      <c r="DE176" t="s">
        <v>3</v>
      </c>
      <c r="DF176">
        <f t="shared" si="113"/>
        <v>44</v>
      </c>
      <c r="DG176">
        <f t="shared" si="98"/>
        <v>0</v>
      </c>
      <c r="DH176">
        <f t="shared" si="115"/>
        <v>0</v>
      </c>
      <c r="DI176">
        <f t="shared" si="86"/>
        <v>0</v>
      </c>
      <c r="DJ176">
        <f t="shared" si="114"/>
        <v>44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ROW(Source!A90)</f>
        <v>90</v>
      </c>
      <c r="B177">
        <v>55917799</v>
      </c>
      <c r="C177">
        <v>55917979</v>
      </c>
      <c r="D177">
        <v>55482233</v>
      </c>
      <c r="E177">
        <v>1</v>
      </c>
      <c r="F177">
        <v>1</v>
      </c>
      <c r="G177">
        <v>1081</v>
      </c>
      <c r="H177">
        <v>3</v>
      </c>
      <c r="I177" t="s">
        <v>368</v>
      </c>
      <c r="J177" t="s">
        <v>369</v>
      </c>
      <c r="K177" t="s">
        <v>370</v>
      </c>
      <c r="L177">
        <v>1346</v>
      </c>
      <c r="N177">
        <v>1009</v>
      </c>
      <c r="O177" t="s">
        <v>316</v>
      </c>
      <c r="P177" t="s">
        <v>316</v>
      </c>
      <c r="Q177">
        <v>1</v>
      </c>
      <c r="W177">
        <v>0</v>
      </c>
      <c r="X177">
        <v>1566362712</v>
      </c>
      <c r="Y177">
        <f t="shared" si="107"/>
        <v>0.04</v>
      </c>
      <c r="AA177">
        <v>3047.23</v>
      </c>
      <c r="AB177">
        <v>0</v>
      </c>
      <c r="AC177">
        <v>0</v>
      </c>
      <c r="AD177">
        <v>0</v>
      </c>
      <c r="AE177">
        <v>493.08</v>
      </c>
      <c r="AF177">
        <v>0</v>
      </c>
      <c r="AG177">
        <v>0</v>
      </c>
      <c r="AH177">
        <v>0</v>
      </c>
      <c r="AI177">
        <v>6.18</v>
      </c>
      <c r="AJ177">
        <v>1</v>
      </c>
      <c r="AK177">
        <v>1</v>
      </c>
      <c r="AL177">
        <v>1</v>
      </c>
      <c r="AM177">
        <v>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0.04</v>
      </c>
      <c r="AU177" t="s">
        <v>55</v>
      </c>
      <c r="AV177">
        <v>0</v>
      </c>
      <c r="AW177">
        <v>2</v>
      </c>
      <c r="AX177">
        <v>55917989</v>
      </c>
      <c r="AY177">
        <v>1</v>
      </c>
      <c r="AZ177">
        <v>0</v>
      </c>
      <c r="BA177">
        <v>198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ROUND(Y177*Source!I90,9)</f>
        <v>0.04</v>
      </c>
      <c r="CY177">
        <f t="shared" si="108"/>
        <v>3047.23</v>
      </c>
      <c r="CZ177">
        <f t="shared" si="109"/>
        <v>493.08</v>
      </c>
      <c r="DA177">
        <f t="shared" si="110"/>
        <v>6.18</v>
      </c>
      <c r="DB177">
        <f t="shared" si="111"/>
        <v>19.72</v>
      </c>
      <c r="DC177">
        <f t="shared" si="112"/>
        <v>0</v>
      </c>
      <c r="DD177" t="s">
        <v>3</v>
      </c>
      <c r="DE177" t="s">
        <v>3</v>
      </c>
      <c r="DF177">
        <f t="shared" si="113"/>
        <v>121.89</v>
      </c>
      <c r="DG177">
        <f t="shared" si="98"/>
        <v>0</v>
      </c>
      <c r="DH177">
        <f t="shared" si="115"/>
        <v>0</v>
      </c>
      <c r="DI177">
        <f t="shared" si="86"/>
        <v>0</v>
      </c>
      <c r="DJ177">
        <f t="shared" si="114"/>
        <v>121.89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ROW(Source!A90)</f>
        <v>90</v>
      </c>
      <c r="B178">
        <v>55917799</v>
      </c>
      <c r="C178">
        <v>55917979</v>
      </c>
      <c r="D178">
        <v>55424290</v>
      </c>
      <c r="E178">
        <v>1081</v>
      </c>
      <c r="F178">
        <v>1</v>
      </c>
      <c r="G178">
        <v>1081</v>
      </c>
      <c r="H178">
        <v>3</v>
      </c>
      <c r="I178" t="s">
        <v>371</v>
      </c>
      <c r="J178" t="s">
        <v>3</v>
      </c>
      <c r="K178" t="s">
        <v>372</v>
      </c>
      <c r="L178">
        <v>1348</v>
      </c>
      <c r="N178">
        <v>1009</v>
      </c>
      <c r="O178" t="s">
        <v>345</v>
      </c>
      <c r="P178" t="s">
        <v>345</v>
      </c>
      <c r="Q178">
        <v>1000</v>
      </c>
      <c r="W178">
        <v>0</v>
      </c>
      <c r="X178">
        <v>-783086922</v>
      </c>
      <c r="Y178">
        <f t="shared" si="107"/>
        <v>1.2E-2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9.84</v>
      </c>
      <c r="AJ178">
        <v>1</v>
      </c>
      <c r="AK178">
        <v>1</v>
      </c>
      <c r="AL178">
        <v>1</v>
      </c>
      <c r="AM178">
        <v>5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1.2E-2</v>
      </c>
      <c r="AU178" t="s">
        <v>55</v>
      </c>
      <c r="AV178">
        <v>0</v>
      </c>
      <c r="AW178">
        <v>2</v>
      </c>
      <c r="AX178">
        <v>55917991</v>
      </c>
      <c r="AY178">
        <v>1</v>
      </c>
      <c r="AZ178">
        <v>0</v>
      </c>
      <c r="BA178">
        <v>200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ROUND(Y178*Source!I90,9)</f>
        <v>1.2E-2</v>
      </c>
      <c r="CY178">
        <f t="shared" si="108"/>
        <v>0</v>
      </c>
      <c r="CZ178">
        <f t="shared" si="109"/>
        <v>0</v>
      </c>
      <c r="DA178">
        <f t="shared" si="110"/>
        <v>9.84</v>
      </c>
      <c r="DB178">
        <f t="shared" si="111"/>
        <v>0</v>
      </c>
      <c r="DC178">
        <f t="shared" si="112"/>
        <v>0</v>
      </c>
      <c r="DD178" t="s">
        <v>3</v>
      </c>
      <c r="DE178" t="s">
        <v>3</v>
      </c>
      <c r="DF178">
        <f t="shared" si="113"/>
        <v>0</v>
      </c>
      <c r="DG178">
        <f t="shared" si="98"/>
        <v>0</v>
      </c>
      <c r="DH178">
        <f t="shared" si="115"/>
        <v>0</v>
      </c>
      <c r="DI178">
        <f t="shared" si="86"/>
        <v>0</v>
      </c>
      <c r="DJ178">
        <f t="shared" si="114"/>
        <v>0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ROW(Source!A93)</f>
        <v>93</v>
      </c>
      <c r="B179">
        <v>55917797</v>
      </c>
      <c r="C179">
        <v>55918070</v>
      </c>
      <c r="D179">
        <v>55424304</v>
      </c>
      <c r="E179">
        <v>1081</v>
      </c>
      <c r="F179">
        <v>1</v>
      </c>
      <c r="G179">
        <v>1081</v>
      </c>
      <c r="H179">
        <v>1</v>
      </c>
      <c r="I179" t="s">
        <v>339</v>
      </c>
      <c r="J179" t="s">
        <v>3</v>
      </c>
      <c r="K179" t="s">
        <v>340</v>
      </c>
      <c r="L179">
        <v>1191</v>
      </c>
      <c r="N179">
        <v>1013</v>
      </c>
      <c r="O179" t="s">
        <v>341</v>
      </c>
      <c r="P179" t="s">
        <v>341</v>
      </c>
      <c r="Q179">
        <v>1</v>
      </c>
      <c r="W179">
        <v>0</v>
      </c>
      <c r="X179">
        <v>476480486</v>
      </c>
      <c r="Y179">
        <f>(AT179*1.2)</f>
        <v>2.52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2.1</v>
      </c>
      <c r="AU179" t="s">
        <v>56</v>
      </c>
      <c r="AV179">
        <v>1</v>
      </c>
      <c r="AW179">
        <v>2</v>
      </c>
      <c r="AX179">
        <v>55918071</v>
      </c>
      <c r="AY179">
        <v>1</v>
      </c>
      <c r="AZ179">
        <v>0</v>
      </c>
      <c r="BA179">
        <v>201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U179">
        <f>ROUND(AT179*Source!I93*AH179*AL179,2)</f>
        <v>0</v>
      </c>
      <c r="CV179">
        <f>ROUND(Y179*Source!I93,9)</f>
        <v>2.52</v>
      </c>
      <c r="CW179">
        <v>0</v>
      </c>
      <c r="CX179">
        <f>ROUND(Y179*Source!I93,9)</f>
        <v>2.52</v>
      </c>
      <c r="CY179">
        <f>AD179</f>
        <v>0</v>
      </c>
      <c r="CZ179">
        <f>AH179</f>
        <v>0</v>
      </c>
      <c r="DA179">
        <f>AL179</f>
        <v>1</v>
      </c>
      <c r="DB179">
        <f>ROUND((ROUND(AT179*CZ179,2)*1.2),6)</f>
        <v>0</v>
      </c>
      <c r="DC179">
        <f>ROUND((ROUND(AT179*AG179,2)*1.2),6)</f>
        <v>0</v>
      </c>
      <c r="DD179" t="s">
        <v>3</v>
      </c>
      <c r="DE179" t="s">
        <v>3</v>
      </c>
      <c r="DF179">
        <f t="shared" ref="DF179:DF185" si="116">ROUND(ROUND(AE179,2)*CX179,2)</f>
        <v>0</v>
      </c>
      <c r="DG179">
        <f t="shared" si="98"/>
        <v>0</v>
      </c>
      <c r="DH179">
        <f t="shared" si="115"/>
        <v>0</v>
      </c>
      <c r="DI179">
        <f t="shared" si="86"/>
        <v>0</v>
      </c>
      <c r="DJ179">
        <f>DI179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ROW(Source!A93)</f>
        <v>93</v>
      </c>
      <c r="B180">
        <v>55917797</v>
      </c>
      <c r="C180">
        <v>55918070</v>
      </c>
      <c r="D180">
        <v>55489513</v>
      </c>
      <c r="E180">
        <v>1</v>
      </c>
      <c r="F180">
        <v>1</v>
      </c>
      <c r="G180">
        <v>1081</v>
      </c>
      <c r="H180">
        <v>2</v>
      </c>
      <c r="I180" t="s">
        <v>373</v>
      </c>
      <c r="J180" t="s">
        <v>374</v>
      </c>
      <c r="K180" t="s">
        <v>375</v>
      </c>
      <c r="L180">
        <v>1368</v>
      </c>
      <c r="N180">
        <v>1011</v>
      </c>
      <c r="O180" t="s">
        <v>376</v>
      </c>
      <c r="P180" t="s">
        <v>376</v>
      </c>
      <c r="Q180">
        <v>1</v>
      </c>
      <c r="W180">
        <v>0</v>
      </c>
      <c r="X180">
        <v>-1520980008</v>
      </c>
      <c r="Y180">
        <f>(AT180*1.2)</f>
        <v>9.6000000000000002E-2</v>
      </c>
      <c r="AA180">
        <v>0</v>
      </c>
      <c r="AB180">
        <v>120.23</v>
      </c>
      <c r="AC180">
        <v>13.21</v>
      </c>
      <c r="AD180">
        <v>0</v>
      </c>
      <c r="AE180">
        <v>0</v>
      </c>
      <c r="AF180">
        <v>114.83</v>
      </c>
      <c r="AG180">
        <v>12.62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0.08</v>
      </c>
      <c r="AU180" t="s">
        <v>56</v>
      </c>
      <c r="AV180">
        <v>0</v>
      </c>
      <c r="AW180">
        <v>2</v>
      </c>
      <c r="AX180">
        <v>55918072</v>
      </c>
      <c r="AY180">
        <v>1</v>
      </c>
      <c r="AZ180">
        <v>0</v>
      </c>
      <c r="BA180">
        <v>202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f>ROUND(Y180*Source!I93*DO180,9)</f>
        <v>1.2115199999999999</v>
      </c>
      <c r="CX180">
        <f>ROUND(Y180*Source!I93,9)</f>
        <v>9.6000000000000002E-2</v>
      </c>
      <c r="CY180">
        <f>AB180</f>
        <v>120.23</v>
      </c>
      <c r="CZ180">
        <f>AF180</f>
        <v>114.83</v>
      </c>
      <c r="DA180">
        <f>AJ180</f>
        <v>1</v>
      </c>
      <c r="DB180">
        <f>ROUND((ROUND(AT180*CZ180,2)*1.2),6)</f>
        <v>11.028</v>
      </c>
      <c r="DC180">
        <f>ROUND((ROUND(AT180*AG180,2)*1.2),6)</f>
        <v>1.212</v>
      </c>
      <c r="DD180" t="s">
        <v>3</v>
      </c>
      <c r="DE180" t="s">
        <v>3</v>
      </c>
      <c r="DF180">
        <f t="shared" si="116"/>
        <v>0</v>
      </c>
      <c r="DG180">
        <f t="shared" si="98"/>
        <v>11.02</v>
      </c>
      <c r="DH180">
        <f t="shared" si="115"/>
        <v>1.21</v>
      </c>
      <c r="DI180">
        <f t="shared" si="86"/>
        <v>0</v>
      </c>
      <c r="DJ180">
        <f>DG180</f>
        <v>11.02</v>
      </c>
      <c r="DK180">
        <v>0</v>
      </c>
      <c r="DL180" t="s">
        <v>377</v>
      </c>
      <c r="DM180">
        <v>0</v>
      </c>
      <c r="DN180" t="s">
        <v>341</v>
      </c>
      <c r="DO180">
        <v>12.62</v>
      </c>
    </row>
    <row r="181" spans="1:119" x14ac:dyDescent="0.25">
      <c r="A181">
        <f>ROW(Source!A94)</f>
        <v>94</v>
      </c>
      <c r="B181">
        <v>55917799</v>
      </c>
      <c r="C181">
        <v>55918070</v>
      </c>
      <c r="D181">
        <v>55424304</v>
      </c>
      <c r="E181">
        <v>1081</v>
      </c>
      <c r="F181">
        <v>1</v>
      </c>
      <c r="G181">
        <v>1081</v>
      </c>
      <c r="H181">
        <v>1</v>
      </c>
      <c r="I181" t="s">
        <v>339</v>
      </c>
      <c r="J181" t="s">
        <v>3</v>
      </c>
      <c r="K181" t="s">
        <v>340</v>
      </c>
      <c r="L181">
        <v>1191</v>
      </c>
      <c r="N181">
        <v>1013</v>
      </c>
      <c r="O181" t="s">
        <v>341</v>
      </c>
      <c r="P181" t="s">
        <v>341</v>
      </c>
      <c r="Q181">
        <v>1</v>
      </c>
      <c r="W181">
        <v>0</v>
      </c>
      <c r="X181">
        <v>476480486</v>
      </c>
      <c r="Y181">
        <f>(AT181*1.2)</f>
        <v>2.52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5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2.1</v>
      </c>
      <c r="AU181" t="s">
        <v>56</v>
      </c>
      <c r="AV181">
        <v>1</v>
      </c>
      <c r="AW181">
        <v>2</v>
      </c>
      <c r="AX181">
        <v>55918071</v>
      </c>
      <c r="AY181">
        <v>1</v>
      </c>
      <c r="AZ181">
        <v>0</v>
      </c>
      <c r="BA181">
        <v>204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U181">
        <f>ROUND(AT181*Source!I94*AH181*AL181,2)</f>
        <v>0</v>
      </c>
      <c r="CV181">
        <f>ROUND(Y181*Source!I94,9)</f>
        <v>2.52</v>
      </c>
      <c r="CW181">
        <v>0</v>
      </c>
      <c r="CX181">
        <f>ROUND(Y181*Source!I94,9)</f>
        <v>2.52</v>
      </c>
      <c r="CY181">
        <f>AD181</f>
        <v>0</v>
      </c>
      <c r="CZ181">
        <f>AH181</f>
        <v>0</v>
      </c>
      <c r="DA181">
        <f>AL181</f>
        <v>1</v>
      </c>
      <c r="DB181">
        <f>ROUND((ROUND(AT181*CZ181,2)*1.2),6)</f>
        <v>0</v>
      </c>
      <c r="DC181">
        <f>ROUND((ROUND(AT181*AG181,2)*1.2),6)</f>
        <v>0</v>
      </c>
      <c r="DD181" t="s">
        <v>3</v>
      </c>
      <c r="DE181" t="s">
        <v>3</v>
      </c>
      <c r="DF181">
        <f t="shared" si="116"/>
        <v>0</v>
      </c>
      <c r="DG181">
        <f t="shared" si="98"/>
        <v>0</v>
      </c>
      <c r="DH181">
        <f t="shared" si="115"/>
        <v>0</v>
      </c>
      <c r="DI181">
        <f t="shared" si="86"/>
        <v>0</v>
      </c>
      <c r="DJ181">
        <f>DI181</f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ROW(Source!A94)</f>
        <v>94</v>
      </c>
      <c r="B182">
        <v>55917799</v>
      </c>
      <c r="C182">
        <v>55918070</v>
      </c>
      <c r="D182">
        <v>55489513</v>
      </c>
      <c r="E182">
        <v>1</v>
      </c>
      <c r="F182">
        <v>1</v>
      </c>
      <c r="G182">
        <v>1081</v>
      </c>
      <c r="H182">
        <v>2</v>
      </c>
      <c r="I182" t="s">
        <v>373</v>
      </c>
      <c r="J182" t="s">
        <v>374</v>
      </c>
      <c r="K182" t="s">
        <v>375</v>
      </c>
      <c r="L182">
        <v>1368</v>
      </c>
      <c r="N182">
        <v>1011</v>
      </c>
      <c r="O182" t="s">
        <v>376</v>
      </c>
      <c r="P182" t="s">
        <v>376</v>
      </c>
      <c r="Q182">
        <v>1</v>
      </c>
      <c r="W182">
        <v>0</v>
      </c>
      <c r="X182">
        <v>-1520980008</v>
      </c>
      <c r="Y182">
        <f>(AT182*1.2)</f>
        <v>9.6000000000000002E-2</v>
      </c>
      <c r="AA182">
        <v>0</v>
      </c>
      <c r="AB182">
        <v>1942.87</v>
      </c>
      <c r="AC182">
        <v>744.56</v>
      </c>
      <c r="AD182">
        <v>0</v>
      </c>
      <c r="AE182">
        <v>0</v>
      </c>
      <c r="AF182">
        <v>114.83</v>
      </c>
      <c r="AG182">
        <v>12.62</v>
      </c>
      <c r="AH182">
        <v>0</v>
      </c>
      <c r="AI182">
        <v>1</v>
      </c>
      <c r="AJ182">
        <v>16.16</v>
      </c>
      <c r="AK182">
        <v>56.35</v>
      </c>
      <c r="AL182">
        <v>1</v>
      </c>
      <c r="AM182">
        <v>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0.08</v>
      </c>
      <c r="AU182" t="s">
        <v>56</v>
      </c>
      <c r="AV182">
        <v>0</v>
      </c>
      <c r="AW182">
        <v>2</v>
      </c>
      <c r="AX182">
        <v>55918072</v>
      </c>
      <c r="AY182">
        <v>1</v>
      </c>
      <c r="AZ182">
        <v>0</v>
      </c>
      <c r="BA182">
        <v>205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f>ROUND(Y182*Source!I94*DO182,9)</f>
        <v>1.2115199999999999</v>
      </c>
      <c r="CX182">
        <f>ROUND(Y182*Source!I94,9)</f>
        <v>9.6000000000000002E-2</v>
      </c>
      <c r="CY182">
        <f>AB182</f>
        <v>1942.87</v>
      </c>
      <c r="CZ182">
        <f>AF182</f>
        <v>114.83</v>
      </c>
      <c r="DA182">
        <f>AJ182</f>
        <v>16.16</v>
      </c>
      <c r="DB182">
        <f>ROUND((ROUND(AT182*CZ182,2)*1.2),6)</f>
        <v>11.028</v>
      </c>
      <c r="DC182">
        <f>ROUND((ROUND(AT182*AG182,2)*1.2),6)</f>
        <v>1.212</v>
      </c>
      <c r="DD182" t="s">
        <v>3</v>
      </c>
      <c r="DE182" t="s">
        <v>3</v>
      </c>
      <c r="DF182">
        <f t="shared" si="116"/>
        <v>0</v>
      </c>
      <c r="DG182">
        <f>ROUND(ROUND(AF182*AJ182,2)*CX182,2)</f>
        <v>178.14</v>
      </c>
      <c r="DH182">
        <f>ROUND(ROUND(AG182*AK182,2)*CX182,2)</f>
        <v>68.27</v>
      </c>
      <c r="DI182">
        <f t="shared" si="86"/>
        <v>0</v>
      </c>
      <c r="DJ182">
        <f>DG182</f>
        <v>178.14</v>
      </c>
      <c r="DK182">
        <v>0</v>
      </c>
      <c r="DL182" t="s">
        <v>377</v>
      </c>
      <c r="DM182">
        <v>0</v>
      </c>
      <c r="DN182" t="s">
        <v>341</v>
      </c>
      <c r="DO182">
        <v>12.62</v>
      </c>
    </row>
    <row r="183" spans="1:119" x14ac:dyDescent="0.25">
      <c r="A183">
        <f>ROW(Source!A97)</f>
        <v>97</v>
      </c>
      <c r="B183">
        <v>55917797</v>
      </c>
      <c r="C183">
        <v>55918010</v>
      </c>
      <c r="D183">
        <v>55424304</v>
      </c>
      <c r="E183">
        <v>1081</v>
      </c>
      <c r="F183">
        <v>1</v>
      </c>
      <c r="G183">
        <v>1081</v>
      </c>
      <c r="H183">
        <v>1</v>
      </c>
      <c r="I183" t="s">
        <v>339</v>
      </c>
      <c r="J183" t="s">
        <v>3</v>
      </c>
      <c r="K183" t="s">
        <v>340</v>
      </c>
      <c r="L183">
        <v>1191</v>
      </c>
      <c r="N183">
        <v>1013</v>
      </c>
      <c r="O183" t="s">
        <v>341</v>
      </c>
      <c r="P183" t="s">
        <v>341</v>
      </c>
      <c r="Q183">
        <v>1</v>
      </c>
      <c r="W183">
        <v>0</v>
      </c>
      <c r="X183">
        <v>476480486</v>
      </c>
      <c r="Y183">
        <f>(AT183*1.2)</f>
        <v>6.444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5.37</v>
      </c>
      <c r="AU183" t="s">
        <v>56</v>
      </c>
      <c r="AV183">
        <v>1</v>
      </c>
      <c r="AW183">
        <v>2</v>
      </c>
      <c r="AX183">
        <v>55918011</v>
      </c>
      <c r="AY183">
        <v>1</v>
      </c>
      <c r="AZ183">
        <v>0</v>
      </c>
      <c r="BA183">
        <v>207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ROUND(AT183*Source!I97*AH183*AL183,2)</f>
        <v>0</v>
      </c>
      <c r="CV183">
        <f>ROUND(Y183*Source!I97,9)</f>
        <v>6.444</v>
      </c>
      <c r="CW183">
        <v>0</v>
      </c>
      <c r="CX183">
        <f>ROUND(Y183*Source!I97,9)</f>
        <v>6.444</v>
      </c>
      <c r="CY183">
        <f>AD183</f>
        <v>0</v>
      </c>
      <c r="CZ183">
        <f>AH183</f>
        <v>0</v>
      </c>
      <c r="DA183">
        <f>AL183</f>
        <v>1</v>
      </c>
      <c r="DB183">
        <f>ROUND((ROUND(AT183*CZ183,2)*1.2),6)</f>
        <v>0</v>
      </c>
      <c r="DC183">
        <f>ROUND((ROUND(AT183*AG183,2)*1.2),6)</f>
        <v>0</v>
      </c>
      <c r="DD183" t="s">
        <v>3</v>
      </c>
      <c r="DE183" t="s">
        <v>3</v>
      </c>
      <c r="DF183">
        <f t="shared" si="116"/>
        <v>0</v>
      </c>
      <c r="DG183">
        <f t="shared" ref="DG183:DG214" si="117">ROUND(ROUND(AF183,2)*CX183,2)</f>
        <v>0</v>
      </c>
      <c r="DH183">
        <f t="shared" ref="DH183:DH214" si="118">ROUND(ROUND(AG183,2)*CX183,2)</f>
        <v>0</v>
      </c>
      <c r="DI183">
        <f t="shared" si="86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ROW(Source!A97)</f>
        <v>97</v>
      </c>
      <c r="B184">
        <v>55917797</v>
      </c>
      <c r="C184">
        <v>55918010</v>
      </c>
      <c r="D184">
        <v>55459873</v>
      </c>
      <c r="E184">
        <v>1</v>
      </c>
      <c r="F184">
        <v>1</v>
      </c>
      <c r="G184">
        <v>1081</v>
      </c>
      <c r="H184">
        <v>3</v>
      </c>
      <c r="I184" t="s">
        <v>378</v>
      </c>
      <c r="J184" t="s">
        <v>379</v>
      </c>
      <c r="K184" t="s">
        <v>380</v>
      </c>
      <c r="L184">
        <v>1348</v>
      </c>
      <c r="N184">
        <v>1009</v>
      </c>
      <c r="O184" t="s">
        <v>345</v>
      </c>
      <c r="P184" t="s">
        <v>345</v>
      </c>
      <c r="Q184">
        <v>1000</v>
      </c>
      <c r="W184">
        <v>0</v>
      </c>
      <c r="X184">
        <v>-1448251497</v>
      </c>
      <c r="Y184">
        <f>(AT184*1)</f>
        <v>2.0000000000000002E-5</v>
      </c>
      <c r="AA184">
        <v>18495.41</v>
      </c>
      <c r="AB184">
        <v>0</v>
      </c>
      <c r="AC184">
        <v>0</v>
      </c>
      <c r="AD184">
        <v>0</v>
      </c>
      <c r="AE184">
        <v>18495.41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2.0000000000000002E-5</v>
      </c>
      <c r="AU184" t="s">
        <v>55</v>
      </c>
      <c r="AV184">
        <v>0</v>
      </c>
      <c r="AW184">
        <v>2</v>
      </c>
      <c r="AX184">
        <v>55918012</v>
      </c>
      <c r="AY184">
        <v>1</v>
      </c>
      <c r="AZ184">
        <v>0</v>
      </c>
      <c r="BA184">
        <v>208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ROUND(Y184*Source!I97,9)</f>
        <v>2.0000000000000002E-5</v>
      </c>
      <c r="CY184">
        <f>AA184</f>
        <v>18495.41</v>
      </c>
      <c r="CZ184">
        <f>AE184</f>
        <v>18495.41</v>
      </c>
      <c r="DA184">
        <f>AI184</f>
        <v>1</v>
      </c>
      <c r="DB184">
        <f>ROUND((ROUND(AT184*CZ184,2)*1),6)</f>
        <v>0.37</v>
      </c>
      <c r="DC184">
        <f>ROUND((ROUND(AT184*AG184,2)*1),6)</f>
        <v>0</v>
      </c>
      <c r="DD184" t="s">
        <v>3</v>
      </c>
      <c r="DE184" t="s">
        <v>3</v>
      </c>
      <c r="DF184">
        <f t="shared" si="116"/>
        <v>0.37</v>
      </c>
      <c r="DG184">
        <f t="shared" si="117"/>
        <v>0</v>
      </c>
      <c r="DH184">
        <f t="shared" si="118"/>
        <v>0</v>
      </c>
      <c r="DI184">
        <f t="shared" si="86"/>
        <v>0</v>
      </c>
      <c r="DJ184">
        <f>DF184</f>
        <v>0.37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ROW(Source!A98)</f>
        <v>98</v>
      </c>
      <c r="B185">
        <v>55917799</v>
      </c>
      <c r="C185">
        <v>55918010</v>
      </c>
      <c r="D185">
        <v>55424304</v>
      </c>
      <c r="E185">
        <v>1081</v>
      </c>
      <c r="F185">
        <v>1</v>
      </c>
      <c r="G185">
        <v>1081</v>
      </c>
      <c r="H185">
        <v>1</v>
      </c>
      <c r="I185" t="s">
        <v>339</v>
      </c>
      <c r="J185" t="s">
        <v>3</v>
      </c>
      <c r="K185" t="s">
        <v>340</v>
      </c>
      <c r="L185">
        <v>1191</v>
      </c>
      <c r="N185">
        <v>1013</v>
      </c>
      <c r="O185" t="s">
        <v>341</v>
      </c>
      <c r="P185" t="s">
        <v>341</v>
      </c>
      <c r="Q185">
        <v>1</v>
      </c>
      <c r="W185">
        <v>0</v>
      </c>
      <c r="X185">
        <v>476480486</v>
      </c>
      <c r="Y185">
        <f>(AT185*1.2)</f>
        <v>6.444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5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5.37</v>
      </c>
      <c r="AU185" t="s">
        <v>56</v>
      </c>
      <c r="AV185">
        <v>1</v>
      </c>
      <c r="AW185">
        <v>2</v>
      </c>
      <c r="AX185">
        <v>55918011</v>
      </c>
      <c r="AY185">
        <v>1</v>
      </c>
      <c r="AZ185">
        <v>0</v>
      </c>
      <c r="BA185">
        <v>209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U185">
        <f>ROUND(AT185*Source!I98*AH185*AL185,2)</f>
        <v>0</v>
      </c>
      <c r="CV185">
        <f>ROUND(Y185*Source!I98,9)</f>
        <v>6.444</v>
      </c>
      <c r="CW185">
        <v>0</v>
      </c>
      <c r="CX185">
        <f>ROUND(Y185*Source!I98,9)</f>
        <v>6.444</v>
      </c>
      <c r="CY185">
        <f>AD185</f>
        <v>0</v>
      </c>
      <c r="CZ185">
        <f>AH185</f>
        <v>0</v>
      </c>
      <c r="DA185">
        <f>AL185</f>
        <v>1</v>
      </c>
      <c r="DB185">
        <f>ROUND((ROUND(AT185*CZ185,2)*1.2),6)</f>
        <v>0</v>
      </c>
      <c r="DC185">
        <f>ROUND((ROUND(AT185*AG185,2)*1.2),6)</f>
        <v>0</v>
      </c>
      <c r="DD185" t="s">
        <v>3</v>
      </c>
      <c r="DE185" t="s">
        <v>3</v>
      </c>
      <c r="DF185">
        <f t="shared" si="116"/>
        <v>0</v>
      </c>
      <c r="DG185">
        <f t="shared" si="117"/>
        <v>0</v>
      </c>
      <c r="DH185">
        <f t="shared" si="118"/>
        <v>0</v>
      </c>
      <c r="DI185">
        <f t="shared" si="86"/>
        <v>0</v>
      </c>
      <c r="DJ185">
        <f>DI185</f>
        <v>0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ROW(Source!A98)</f>
        <v>98</v>
      </c>
      <c r="B186">
        <v>55917799</v>
      </c>
      <c r="C186">
        <v>55918010</v>
      </c>
      <c r="D186">
        <v>55459873</v>
      </c>
      <c r="E186">
        <v>1</v>
      </c>
      <c r="F186">
        <v>1</v>
      </c>
      <c r="G186">
        <v>1081</v>
      </c>
      <c r="H186">
        <v>3</v>
      </c>
      <c r="I186" t="s">
        <v>378</v>
      </c>
      <c r="J186" t="s">
        <v>379</v>
      </c>
      <c r="K186" t="s">
        <v>380</v>
      </c>
      <c r="L186">
        <v>1348</v>
      </c>
      <c r="N186">
        <v>1009</v>
      </c>
      <c r="O186" t="s">
        <v>345</v>
      </c>
      <c r="P186" t="s">
        <v>345</v>
      </c>
      <c r="Q186">
        <v>1000</v>
      </c>
      <c r="W186">
        <v>0</v>
      </c>
      <c r="X186">
        <v>-1448251497</v>
      </c>
      <c r="Y186">
        <f>(AT186*1)</f>
        <v>2.0000000000000002E-5</v>
      </c>
      <c r="AA186">
        <v>101169.89</v>
      </c>
      <c r="AB186">
        <v>0</v>
      </c>
      <c r="AC186">
        <v>0</v>
      </c>
      <c r="AD186">
        <v>0</v>
      </c>
      <c r="AE186">
        <v>18495.41</v>
      </c>
      <c r="AF186">
        <v>0</v>
      </c>
      <c r="AG186">
        <v>0</v>
      </c>
      <c r="AH186">
        <v>0</v>
      </c>
      <c r="AI186">
        <v>5.47</v>
      </c>
      <c r="AJ186">
        <v>1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2.0000000000000002E-5</v>
      </c>
      <c r="AU186" t="s">
        <v>55</v>
      </c>
      <c r="AV186">
        <v>0</v>
      </c>
      <c r="AW186">
        <v>2</v>
      </c>
      <c r="AX186">
        <v>55918012</v>
      </c>
      <c r="AY186">
        <v>1</v>
      </c>
      <c r="AZ186">
        <v>0</v>
      </c>
      <c r="BA186">
        <v>210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ROUND(Y186*Source!I98,9)</f>
        <v>2.0000000000000002E-5</v>
      </c>
      <c r="CY186">
        <f>AA186</f>
        <v>101169.89</v>
      </c>
      <c r="CZ186">
        <f>AE186</f>
        <v>18495.41</v>
      </c>
      <c r="DA186">
        <f>AI186</f>
        <v>5.47</v>
      </c>
      <c r="DB186">
        <f>ROUND((ROUND(AT186*CZ186,2)*1),6)</f>
        <v>0.37</v>
      </c>
      <c r="DC186">
        <f>ROUND((ROUND(AT186*AG186,2)*1),6)</f>
        <v>0</v>
      </c>
      <c r="DD186" t="s">
        <v>3</v>
      </c>
      <c r="DE186" t="s">
        <v>3</v>
      </c>
      <c r="DF186">
        <f>ROUND(ROUND(AE186*AI186,2)*CX186,2)</f>
        <v>2.02</v>
      </c>
      <c r="DG186">
        <f t="shared" si="117"/>
        <v>0</v>
      </c>
      <c r="DH186">
        <f t="shared" si="118"/>
        <v>0</v>
      </c>
      <c r="DI186">
        <f t="shared" si="86"/>
        <v>0</v>
      </c>
      <c r="DJ186">
        <f>DF186</f>
        <v>2.02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ROW(Source!A101)</f>
        <v>101</v>
      </c>
      <c r="B187">
        <v>55917797</v>
      </c>
      <c r="C187">
        <v>55918017</v>
      </c>
      <c r="D187">
        <v>55424304</v>
      </c>
      <c r="E187">
        <v>1081</v>
      </c>
      <c r="F187">
        <v>1</v>
      </c>
      <c r="G187">
        <v>1081</v>
      </c>
      <c r="H187">
        <v>1</v>
      </c>
      <c r="I187" t="s">
        <v>339</v>
      </c>
      <c r="J187" t="s">
        <v>3</v>
      </c>
      <c r="K187" t="s">
        <v>340</v>
      </c>
      <c r="L187">
        <v>1191</v>
      </c>
      <c r="N187">
        <v>1013</v>
      </c>
      <c r="O187" t="s">
        <v>341</v>
      </c>
      <c r="P187" t="s">
        <v>341</v>
      </c>
      <c r="Q187">
        <v>1</v>
      </c>
      <c r="W187">
        <v>0</v>
      </c>
      <c r="X187">
        <v>476480486</v>
      </c>
      <c r="Y187">
        <f>(AT187*1.2)</f>
        <v>3.5999999999999996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3</v>
      </c>
      <c r="AU187" t="s">
        <v>56</v>
      </c>
      <c r="AV187">
        <v>1</v>
      </c>
      <c r="AW187">
        <v>2</v>
      </c>
      <c r="AX187">
        <v>55918018</v>
      </c>
      <c r="AY187">
        <v>1</v>
      </c>
      <c r="AZ187">
        <v>0</v>
      </c>
      <c r="BA187">
        <v>211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ROUND(AT187*Source!I101*AH187*AL187,2)</f>
        <v>0</v>
      </c>
      <c r="CV187">
        <f>ROUND(Y187*Source!I101,9)</f>
        <v>3.6</v>
      </c>
      <c r="CW187">
        <v>0</v>
      </c>
      <c r="CX187">
        <f>ROUND(Y187*Source!I101,9)</f>
        <v>3.6</v>
      </c>
      <c r="CY187">
        <f>AD187</f>
        <v>0</v>
      </c>
      <c r="CZ187">
        <f>AH187</f>
        <v>0</v>
      </c>
      <c r="DA187">
        <f>AL187</f>
        <v>1</v>
      </c>
      <c r="DB187">
        <f>ROUND((ROUND(AT187*CZ187,2)*1.2),6)</f>
        <v>0</v>
      </c>
      <c r="DC187">
        <f>ROUND((ROUND(AT187*AG187,2)*1.2),6)</f>
        <v>0</v>
      </c>
      <c r="DD187" t="s">
        <v>3</v>
      </c>
      <c r="DE187" t="s">
        <v>3</v>
      </c>
      <c r="DF187">
        <f t="shared" ref="DF187:DF202" si="119">ROUND(ROUND(AE187,2)*CX187,2)</f>
        <v>0</v>
      </c>
      <c r="DG187">
        <f t="shared" si="117"/>
        <v>0</v>
      </c>
      <c r="DH187">
        <f t="shared" si="118"/>
        <v>0</v>
      </c>
      <c r="DI187">
        <f t="shared" si="86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ROW(Source!A101)</f>
        <v>101</v>
      </c>
      <c r="B188">
        <v>55917797</v>
      </c>
      <c r="C188">
        <v>55918017</v>
      </c>
      <c r="D188">
        <v>55459894</v>
      </c>
      <c r="E188">
        <v>1</v>
      </c>
      <c r="F188">
        <v>1</v>
      </c>
      <c r="G188">
        <v>1081</v>
      </c>
      <c r="H188">
        <v>3</v>
      </c>
      <c r="I188" t="s">
        <v>381</v>
      </c>
      <c r="J188" t="s">
        <v>382</v>
      </c>
      <c r="K188" t="s">
        <v>383</v>
      </c>
      <c r="L188">
        <v>1348</v>
      </c>
      <c r="N188">
        <v>1009</v>
      </c>
      <c r="O188" t="s">
        <v>345</v>
      </c>
      <c r="P188" t="s">
        <v>345</v>
      </c>
      <c r="Q188">
        <v>1000</v>
      </c>
      <c r="W188">
        <v>0</v>
      </c>
      <c r="X188">
        <v>1175474266</v>
      </c>
      <c r="Y188">
        <f t="shared" ref="Y188:Y201" si="120">(AT188*1)</f>
        <v>1E-3</v>
      </c>
      <c r="AA188">
        <v>15319.65</v>
      </c>
      <c r="AB188">
        <v>0</v>
      </c>
      <c r="AC188">
        <v>0</v>
      </c>
      <c r="AD188">
        <v>0</v>
      </c>
      <c r="AE188">
        <v>15319.65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1E-3</v>
      </c>
      <c r="AU188" t="s">
        <v>55</v>
      </c>
      <c r="AV188">
        <v>0</v>
      </c>
      <c r="AW188">
        <v>2</v>
      </c>
      <c r="AX188">
        <v>55918019</v>
      </c>
      <c r="AY188">
        <v>1</v>
      </c>
      <c r="AZ188">
        <v>0</v>
      </c>
      <c r="BA188">
        <v>212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ROUND(Y188*Source!I101,9)</f>
        <v>1E-3</v>
      </c>
      <c r="CY188">
        <f t="shared" ref="CY188:CY201" si="121">AA188</f>
        <v>15319.65</v>
      </c>
      <c r="CZ188">
        <f t="shared" ref="CZ188:CZ201" si="122">AE188</f>
        <v>15319.65</v>
      </c>
      <c r="DA188">
        <f t="shared" ref="DA188:DA201" si="123">AI188</f>
        <v>1</v>
      </c>
      <c r="DB188">
        <f t="shared" ref="DB188:DB201" si="124">ROUND((ROUND(AT188*CZ188,2)*1),6)</f>
        <v>15.32</v>
      </c>
      <c r="DC188">
        <f t="shared" ref="DC188:DC201" si="125">ROUND((ROUND(AT188*AG188,2)*1),6)</f>
        <v>0</v>
      </c>
      <c r="DD188" t="s">
        <v>3</v>
      </c>
      <c r="DE188" t="s">
        <v>3</v>
      </c>
      <c r="DF188">
        <f t="shared" si="119"/>
        <v>15.32</v>
      </c>
      <c r="DG188">
        <f t="shared" si="117"/>
        <v>0</v>
      </c>
      <c r="DH188">
        <f t="shared" si="118"/>
        <v>0</v>
      </c>
      <c r="DI188">
        <f t="shared" si="86"/>
        <v>0</v>
      </c>
      <c r="DJ188">
        <f t="shared" ref="DJ188:DJ201" si="126">DF188</f>
        <v>15.32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ROW(Source!A101)</f>
        <v>101</v>
      </c>
      <c r="B189">
        <v>55917797</v>
      </c>
      <c r="C189">
        <v>55918017</v>
      </c>
      <c r="D189">
        <v>55459261</v>
      </c>
      <c r="E189">
        <v>1</v>
      </c>
      <c r="F189">
        <v>1</v>
      </c>
      <c r="G189">
        <v>1081</v>
      </c>
      <c r="H189">
        <v>3</v>
      </c>
      <c r="I189" t="s">
        <v>384</v>
      </c>
      <c r="J189" t="s">
        <v>385</v>
      </c>
      <c r="K189" t="s">
        <v>386</v>
      </c>
      <c r="L189">
        <v>1348</v>
      </c>
      <c r="N189">
        <v>1009</v>
      </c>
      <c r="O189" t="s">
        <v>345</v>
      </c>
      <c r="P189" t="s">
        <v>345</v>
      </c>
      <c r="Q189">
        <v>1000</v>
      </c>
      <c r="W189">
        <v>0</v>
      </c>
      <c r="X189">
        <v>-2092697376</v>
      </c>
      <c r="Y189">
        <f t="shared" si="120"/>
        <v>5.0000000000000002E-5</v>
      </c>
      <c r="AA189">
        <v>1219.68</v>
      </c>
      <c r="AB189">
        <v>0</v>
      </c>
      <c r="AC189">
        <v>0</v>
      </c>
      <c r="AD189">
        <v>0</v>
      </c>
      <c r="AE189">
        <v>1219.68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5.0000000000000002E-5</v>
      </c>
      <c r="AU189" t="s">
        <v>55</v>
      </c>
      <c r="AV189">
        <v>0</v>
      </c>
      <c r="AW189">
        <v>2</v>
      </c>
      <c r="AX189">
        <v>55918020</v>
      </c>
      <c r="AY189">
        <v>1</v>
      </c>
      <c r="AZ189">
        <v>0</v>
      </c>
      <c r="BA189">
        <v>213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ROUND(Y189*Source!I101,9)</f>
        <v>5.0000000000000002E-5</v>
      </c>
      <c r="CY189">
        <f t="shared" si="121"/>
        <v>1219.68</v>
      </c>
      <c r="CZ189">
        <f t="shared" si="122"/>
        <v>1219.68</v>
      </c>
      <c r="DA189">
        <f t="shared" si="123"/>
        <v>1</v>
      </c>
      <c r="DB189">
        <f t="shared" si="124"/>
        <v>0.06</v>
      </c>
      <c r="DC189">
        <f t="shared" si="125"/>
        <v>0</v>
      </c>
      <c r="DD189" t="s">
        <v>3</v>
      </c>
      <c r="DE189" t="s">
        <v>3</v>
      </c>
      <c r="DF189">
        <f t="shared" si="119"/>
        <v>0.06</v>
      </c>
      <c r="DG189">
        <f t="shared" si="117"/>
        <v>0</v>
      </c>
      <c r="DH189">
        <f t="shared" si="118"/>
        <v>0</v>
      </c>
      <c r="DI189">
        <f t="shared" si="86"/>
        <v>0</v>
      </c>
      <c r="DJ189">
        <f t="shared" si="126"/>
        <v>0.06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ROW(Source!A101)</f>
        <v>101</v>
      </c>
      <c r="B190">
        <v>55917797</v>
      </c>
      <c r="C190">
        <v>55918017</v>
      </c>
      <c r="D190">
        <v>55460328</v>
      </c>
      <c r="E190">
        <v>1</v>
      </c>
      <c r="F190">
        <v>1</v>
      </c>
      <c r="G190">
        <v>1081</v>
      </c>
      <c r="H190">
        <v>3</v>
      </c>
      <c r="I190" t="s">
        <v>387</v>
      </c>
      <c r="J190" t="s">
        <v>388</v>
      </c>
      <c r="K190" t="s">
        <v>389</v>
      </c>
      <c r="L190">
        <v>1301</v>
      </c>
      <c r="N190">
        <v>1003</v>
      </c>
      <c r="O190" t="s">
        <v>263</v>
      </c>
      <c r="P190" t="s">
        <v>263</v>
      </c>
      <c r="Q190">
        <v>1</v>
      </c>
      <c r="W190">
        <v>0</v>
      </c>
      <c r="X190">
        <v>-206055494</v>
      </c>
      <c r="Y190">
        <f t="shared" si="120"/>
        <v>5</v>
      </c>
      <c r="AA190">
        <v>0.39</v>
      </c>
      <c r="AB190">
        <v>0</v>
      </c>
      <c r="AC190">
        <v>0</v>
      </c>
      <c r="AD190">
        <v>0</v>
      </c>
      <c r="AE190">
        <v>0.39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5</v>
      </c>
      <c r="AU190" t="s">
        <v>55</v>
      </c>
      <c r="AV190">
        <v>0</v>
      </c>
      <c r="AW190">
        <v>2</v>
      </c>
      <c r="AX190">
        <v>55918021</v>
      </c>
      <c r="AY190">
        <v>1</v>
      </c>
      <c r="AZ190">
        <v>0</v>
      </c>
      <c r="BA190">
        <v>214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ROUND(Y190*Source!I101,9)</f>
        <v>5</v>
      </c>
      <c r="CY190">
        <f t="shared" si="121"/>
        <v>0.39</v>
      </c>
      <c r="CZ190">
        <f t="shared" si="122"/>
        <v>0.39</v>
      </c>
      <c r="DA190">
        <f t="shared" si="123"/>
        <v>1</v>
      </c>
      <c r="DB190">
        <f t="shared" si="124"/>
        <v>1.95</v>
      </c>
      <c r="DC190">
        <f t="shared" si="125"/>
        <v>0</v>
      </c>
      <c r="DD190" t="s">
        <v>3</v>
      </c>
      <c r="DE190" t="s">
        <v>3</v>
      </c>
      <c r="DF190">
        <f t="shared" si="119"/>
        <v>1.95</v>
      </c>
      <c r="DG190">
        <f t="shared" si="117"/>
        <v>0</v>
      </c>
      <c r="DH190">
        <f t="shared" si="118"/>
        <v>0</v>
      </c>
      <c r="DI190">
        <f t="shared" si="86"/>
        <v>0</v>
      </c>
      <c r="DJ190">
        <f t="shared" si="126"/>
        <v>1.95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ROW(Source!A101)</f>
        <v>101</v>
      </c>
      <c r="B191">
        <v>55917797</v>
      </c>
      <c r="C191">
        <v>55918017</v>
      </c>
      <c r="D191">
        <v>55459312</v>
      </c>
      <c r="E191">
        <v>1</v>
      </c>
      <c r="F191">
        <v>1</v>
      </c>
      <c r="G191">
        <v>1081</v>
      </c>
      <c r="H191">
        <v>3</v>
      </c>
      <c r="I191" t="s">
        <v>390</v>
      </c>
      <c r="J191" t="s">
        <v>391</v>
      </c>
      <c r="K191" t="s">
        <v>392</v>
      </c>
      <c r="L191">
        <v>1339</v>
      </c>
      <c r="N191">
        <v>1007</v>
      </c>
      <c r="O191" t="s">
        <v>393</v>
      </c>
      <c r="P191" t="s">
        <v>393</v>
      </c>
      <c r="Q191">
        <v>1</v>
      </c>
      <c r="W191">
        <v>0</v>
      </c>
      <c r="X191">
        <v>-366856290</v>
      </c>
      <c r="Y191">
        <f t="shared" si="120"/>
        <v>1E-3</v>
      </c>
      <c r="AA191">
        <v>1176.3</v>
      </c>
      <c r="AB191">
        <v>0</v>
      </c>
      <c r="AC191">
        <v>0</v>
      </c>
      <c r="AD191">
        <v>0</v>
      </c>
      <c r="AE191">
        <v>1176.3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1E-3</v>
      </c>
      <c r="AU191" t="s">
        <v>55</v>
      </c>
      <c r="AV191">
        <v>0</v>
      </c>
      <c r="AW191">
        <v>2</v>
      </c>
      <c r="AX191">
        <v>55918022</v>
      </c>
      <c r="AY191">
        <v>1</v>
      </c>
      <c r="AZ191">
        <v>0</v>
      </c>
      <c r="BA191">
        <v>215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ROUND(Y191*Source!I101,9)</f>
        <v>1E-3</v>
      </c>
      <c r="CY191">
        <f t="shared" si="121"/>
        <v>1176.3</v>
      </c>
      <c r="CZ191">
        <f t="shared" si="122"/>
        <v>1176.3</v>
      </c>
      <c r="DA191">
        <f t="shared" si="123"/>
        <v>1</v>
      </c>
      <c r="DB191">
        <f t="shared" si="124"/>
        <v>1.18</v>
      </c>
      <c r="DC191">
        <f t="shared" si="125"/>
        <v>0</v>
      </c>
      <c r="DD191" t="s">
        <v>3</v>
      </c>
      <c r="DE191" t="s">
        <v>3</v>
      </c>
      <c r="DF191">
        <f t="shared" si="119"/>
        <v>1.18</v>
      </c>
      <c r="DG191">
        <f t="shared" si="117"/>
        <v>0</v>
      </c>
      <c r="DH191">
        <f t="shared" si="118"/>
        <v>0</v>
      </c>
      <c r="DI191">
        <f t="shared" si="86"/>
        <v>0</v>
      </c>
      <c r="DJ191">
        <f t="shared" si="126"/>
        <v>1.18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ROW(Source!A101)</f>
        <v>101</v>
      </c>
      <c r="B192">
        <v>55917797</v>
      </c>
      <c r="C192">
        <v>55918017</v>
      </c>
      <c r="D192">
        <v>55461230</v>
      </c>
      <c r="E192">
        <v>1</v>
      </c>
      <c r="F192">
        <v>1</v>
      </c>
      <c r="G192">
        <v>1081</v>
      </c>
      <c r="H192">
        <v>3</v>
      </c>
      <c r="I192" t="s">
        <v>349</v>
      </c>
      <c r="J192" t="s">
        <v>350</v>
      </c>
      <c r="K192" t="s">
        <v>351</v>
      </c>
      <c r="L192">
        <v>1346</v>
      </c>
      <c r="N192">
        <v>1009</v>
      </c>
      <c r="O192" t="s">
        <v>316</v>
      </c>
      <c r="P192" t="s">
        <v>316</v>
      </c>
      <c r="Q192">
        <v>1</v>
      </c>
      <c r="W192">
        <v>0</v>
      </c>
      <c r="X192">
        <v>1561715650</v>
      </c>
      <c r="Y192">
        <f t="shared" si="120"/>
        <v>0.01</v>
      </c>
      <c r="AA192">
        <v>15.11</v>
      </c>
      <c r="AB192">
        <v>0</v>
      </c>
      <c r="AC192">
        <v>0</v>
      </c>
      <c r="AD192">
        <v>0</v>
      </c>
      <c r="AE192">
        <v>15.11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0.01</v>
      </c>
      <c r="AU192" t="s">
        <v>55</v>
      </c>
      <c r="AV192">
        <v>0</v>
      </c>
      <c r="AW192">
        <v>2</v>
      </c>
      <c r="AX192">
        <v>55918023</v>
      </c>
      <c r="AY192">
        <v>1</v>
      </c>
      <c r="AZ192">
        <v>0</v>
      </c>
      <c r="BA192">
        <v>216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ROUND(Y192*Source!I101,9)</f>
        <v>0.01</v>
      </c>
      <c r="CY192">
        <f t="shared" si="121"/>
        <v>15.11</v>
      </c>
      <c r="CZ192">
        <f t="shared" si="122"/>
        <v>15.11</v>
      </c>
      <c r="DA192">
        <f t="shared" si="123"/>
        <v>1</v>
      </c>
      <c r="DB192">
        <f t="shared" si="124"/>
        <v>0.15</v>
      </c>
      <c r="DC192">
        <f t="shared" si="125"/>
        <v>0</v>
      </c>
      <c r="DD192" t="s">
        <v>3</v>
      </c>
      <c r="DE192" t="s">
        <v>3</v>
      </c>
      <c r="DF192">
        <f t="shared" si="119"/>
        <v>0.15</v>
      </c>
      <c r="DG192">
        <f t="shared" si="117"/>
        <v>0</v>
      </c>
      <c r="DH192">
        <f t="shared" si="118"/>
        <v>0</v>
      </c>
      <c r="DI192">
        <f t="shared" si="86"/>
        <v>0</v>
      </c>
      <c r="DJ192">
        <f t="shared" si="126"/>
        <v>0.15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ROW(Source!A101)</f>
        <v>101</v>
      </c>
      <c r="B193">
        <v>55917797</v>
      </c>
      <c r="C193">
        <v>55918017</v>
      </c>
      <c r="D193">
        <v>55459400</v>
      </c>
      <c r="E193">
        <v>1</v>
      </c>
      <c r="F193">
        <v>1</v>
      </c>
      <c r="G193">
        <v>1081</v>
      </c>
      <c r="H193">
        <v>3</v>
      </c>
      <c r="I193" t="s">
        <v>355</v>
      </c>
      <c r="J193" t="s">
        <v>356</v>
      </c>
      <c r="K193" t="s">
        <v>357</v>
      </c>
      <c r="L193">
        <v>1346</v>
      </c>
      <c r="N193">
        <v>1009</v>
      </c>
      <c r="O193" t="s">
        <v>316</v>
      </c>
      <c r="P193" t="s">
        <v>316</v>
      </c>
      <c r="Q193">
        <v>1</v>
      </c>
      <c r="W193">
        <v>0</v>
      </c>
      <c r="X193">
        <v>-2129869794</v>
      </c>
      <c r="Y193">
        <f t="shared" si="120"/>
        <v>0.01</v>
      </c>
      <c r="AA193">
        <v>16.690000000000001</v>
      </c>
      <c r="AB193">
        <v>0</v>
      </c>
      <c r="AC193">
        <v>0</v>
      </c>
      <c r="AD193">
        <v>0</v>
      </c>
      <c r="AE193">
        <v>16.690000000000001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0.01</v>
      </c>
      <c r="AU193" t="s">
        <v>55</v>
      </c>
      <c r="AV193">
        <v>0</v>
      </c>
      <c r="AW193">
        <v>2</v>
      </c>
      <c r="AX193">
        <v>55918024</v>
      </c>
      <c r="AY193">
        <v>1</v>
      </c>
      <c r="AZ193">
        <v>0</v>
      </c>
      <c r="BA193">
        <v>217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ROUND(Y193*Source!I101,9)</f>
        <v>0.01</v>
      </c>
      <c r="CY193">
        <f t="shared" si="121"/>
        <v>16.690000000000001</v>
      </c>
      <c r="CZ193">
        <f t="shared" si="122"/>
        <v>16.690000000000001</v>
      </c>
      <c r="DA193">
        <f t="shared" si="123"/>
        <v>1</v>
      </c>
      <c r="DB193">
        <f t="shared" si="124"/>
        <v>0.17</v>
      </c>
      <c r="DC193">
        <f t="shared" si="125"/>
        <v>0</v>
      </c>
      <c r="DD193" t="s">
        <v>3</v>
      </c>
      <c r="DE193" t="s">
        <v>3</v>
      </c>
      <c r="DF193">
        <f t="shared" si="119"/>
        <v>0.17</v>
      </c>
      <c r="DG193">
        <f t="shared" si="117"/>
        <v>0</v>
      </c>
      <c r="DH193">
        <f t="shared" si="118"/>
        <v>0</v>
      </c>
      <c r="DI193">
        <f t="shared" ref="DI193:DI256" si="127">ROUND(ROUND(AH193,2)*CX193,2)</f>
        <v>0</v>
      </c>
      <c r="DJ193">
        <f t="shared" si="126"/>
        <v>0.17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ROW(Source!A101)</f>
        <v>101</v>
      </c>
      <c r="B194">
        <v>55917797</v>
      </c>
      <c r="C194">
        <v>55918017</v>
      </c>
      <c r="D194">
        <v>55461719</v>
      </c>
      <c r="E194">
        <v>1</v>
      </c>
      <c r="F194">
        <v>1</v>
      </c>
      <c r="G194">
        <v>1081</v>
      </c>
      <c r="H194">
        <v>3</v>
      </c>
      <c r="I194" t="s">
        <v>394</v>
      </c>
      <c r="J194" t="s">
        <v>395</v>
      </c>
      <c r="K194" t="s">
        <v>396</v>
      </c>
      <c r="L194">
        <v>1348</v>
      </c>
      <c r="N194">
        <v>1009</v>
      </c>
      <c r="O194" t="s">
        <v>345</v>
      </c>
      <c r="P194" t="s">
        <v>345</v>
      </c>
      <c r="Q194">
        <v>1000</v>
      </c>
      <c r="W194">
        <v>0</v>
      </c>
      <c r="X194">
        <v>-1265888387</v>
      </c>
      <c r="Y194">
        <f t="shared" si="120"/>
        <v>1E-4</v>
      </c>
      <c r="AA194">
        <v>10643.18</v>
      </c>
      <c r="AB194">
        <v>0</v>
      </c>
      <c r="AC194">
        <v>0</v>
      </c>
      <c r="AD194">
        <v>0</v>
      </c>
      <c r="AE194">
        <v>10643.18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1E-4</v>
      </c>
      <c r="AU194" t="s">
        <v>55</v>
      </c>
      <c r="AV194">
        <v>0</v>
      </c>
      <c r="AW194">
        <v>2</v>
      </c>
      <c r="AX194">
        <v>55918025</v>
      </c>
      <c r="AY194">
        <v>1</v>
      </c>
      <c r="AZ194">
        <v>0</v>
      </c>
      <c r="BA194">
        <v>218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ROUND(Y194*Source!I101,9)</f>
        <v>1E-4</v>
      </c>
      <c r="CY194">
        <f t="shared" si="121"/>
        <v>10643.18</v>
      </c>
      <c r="CZ194">
        <f t="shared" si="122"/>
        <v>10643.18</v>
      </c>
      <c r="DA194">
        <f t="shared" si="123"/>
        <v>1</v>
      </c>
      <c r="DB194">
        <f t="shared" si="124"/>
        <v>1.06</v>
      </c>
      <c r="DC194">
        <f t="shared" si="125"/>
        <v>0</v>
      </c>
      <c r="DD194" t="s">
        <v>3</v>
      </c>
      <c r="DE194" t="s">
        <v>3</v>
      </c>
      <c r="DF194">
        <f t="shared" si="119"/>
        <v>1.06</v>
      </c>
      <c r="DG194">
        <f t="shared" si="117"/>
        <v>0</v>
      </c>
      <c r="DH194">
        <f t="shared" si="118"/>
        <v>0</v>
      </c>
      <c r="DI194">
        <f t="shared" si="127"/>
        <v>0</v>
      </c>
      <c r="DJ194">
        <f t="shared" si="126"/>
        <v>1.06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ROW(Source!A101)</f>
        <v>101</v>
      </c>
      <c r="B195">
        <v>55917797</v>
      </c>
      <c r="C195">
        <v>55918017</v>
      </c>
      <c r="D195">
        <v>55466000</v>
      </c>
      <c r="E195">
        <v>1</v>
      </c>
      <c r="F195">
        <v>1</v>
      </c>
      <c r="G195">
        <v>1081</v>
      </c>
      <c r="H195">
        <v>3</v>
      </c>
      <c r="I195" t="s">
        <v>397</v>
      </c>
      <c r="J195" t="s">
        <v>398</v>
      </c>
      <c r="K195" t="s">
        <v>399</v>
      </c>
      <c r="L195">
        <v>1355</v>
      </c>
      <c r="N195">
        <v>1010</v>
      </c>
      <c r="O195" t="s">
        <v>49</v>
      </c>
      <c r="P195" t="s">
        <v>49</v>
      </c>
      <c r="Q195">
        <v>100</v>
      </c>
      <c r="W195">
        <v>0</v>
      </c>
      <c r="X195">
        <v>436393287</v>
      </c>
      <c r="Y195">
        <f t="shared" si="120"/>
        <v>0.01</v>
      </c>
      <c r="AA195">
        <v>120.19</v>
      </c>
      <c r="AB195">
        <v>0</v>
      </c>
      <c r="AC195">
        <v>0</v>
      </c>
      <c r="AD195">
        <v>0</v>
      </c>
      <c r="AE195">
        <v>120.19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0.01</v>
      </c>
      <c r="AU195" t="s">
        <v>55</v>
      </c>
      <c r="AV195">
        <v>0</v>
      </c>
      <c r="AW195">
        <v>2</v>
      </c>
      <c r="AX195">
        <v>55918026</v>
      </c>
      <c r="AY195">
        <v>1</v>
      </c>
      <c r="AZ195">
        <v>0</v>
      </c>
      <c r="BA195">
        <v>219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ROUND(Y195*Source!I101,9)</f>
        <v>0.01</v>
      </c>
      <c r="CY195">
        <f t="shared" si="121"/>
        <v>120.19</v>
      </c>
      <c r="CZ195">
        <f t="shared" si="122"/>
        <v>120.19</v>
      </c>
      <c r="DA195">
        <f t="shared" si="123"/>
        <v>1</v>
      </c>
      <c r="DB195">
        <f t="shared" si="124"/>
        <v>1.2</v>
      </c>
      <c r="DC195">
        <f t="shared" si="125"/>
        <v>0</v>
      </c>
      <c r="DD195" t="s">
        <v>3</v>
      </c>
      <c r="DE195" t="s">
        <v>3</v>
      </c>
      <c r="DF195">
        <f t="shared" si="119"/>
        <v>1.2</v>
      </c>
      <c r="DG195">
        <f t="shared" si="117"/>
        <v>0</v>
      </c>
      <c r="DH195">
        <f t="shared" si="118"/>
        <v>0</v>
      </c>
      <c r="DI195">
        <f t="shared" si="127"/>
        <v>0</v>
      </c>
      <c r="DJ195">
        <f t="shared" si="126"/>
        <v>1.2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ROW(Source!A101)</f>
        <v>101</v>
      </c>
      <c r="B196">
        <v>55917797</v>
      </c>
      <c r="C196">
        <v>55918017</v>
      </c>
      <c r="D196">
        <v>55459793</v>
      </c>
      <c r="E196">
        <v>1</v>
      </c>
      <c r="F196">
        <v>1</v>
      </c>
      <c r="G196">
        <v>1081</v>
      </c>
      <c r="H196">
        <v>3</v>
      </c>
      <c r="I196" t="s">
        <v>361</v>
      </c>
      <c r="J196" t="s">
        <v>362</v>
      </c>
      <c r="K196" t="s">
        <v>363</v>
      </c>
      <c r="L196">
        <v>1348</v>
      </c>
      <c r="N196">
        <v>1009</v>
      </c>
      <c r="O196" t="s">
        <v>345</v>
      </c>
      <c r="P196" t="s">
        <v>345</v>
      </c>
      <c r="Q196">
        <v>1000</v>
      </c>
      <c r="W196">
        <v>0</v>
      </c>
      <c r="X196">
        <v>-761454284</v>
      </c>
      <c r="Y196">
        <f t="shared" si="120"/>
        <v>2.0000000000000002E-5</v>
      </c>
      <c r="AA196">
        <v>64123.05</v>
      </c>
      <c r="AB196">
        <v>0</v>
      </c>
      <c r="AC196">
        <v>0</v>
      </c>
      <c r="AD196">
        <v>0</v>
      </c>
      <c r="AE196">
        <v>64123.05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2.0000000000000002E-5</v>
      </c>
      <c r="AU196" t="s">
        <v>55</v>
      </c>
      <c r="AV196">
        <v>0</v>
      </c>
      <c r="AW196">
        <v>2</v>
      </c>
      <c r="AX196">
        <v>55918027</v>
      </c>
      <c r="AY196">
        <v>1</v>
      </c>
      <c r="AZ196">
        <v>0</v>
      </c>
      <c r="BA196">
        <v>220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ROUND(Y196*Source!I101,9)</f>
        <v>2.0000000000000002E-5</v>
      </c>
      <c r="CY196">
        <f t="shared" si="121"/>
        <v>64123.05</v>
      </c>
      <c r="CZ196">
        <f t="shared" si="122"/>
        <v>64123.05</v>
      </c>
      <c r="DA196">
        <f t="shared" si="123"/>
        <v>1</v>
      </c>
      <c r="DB196">
        <f t="shared" si="124"/>
        <v>1.28</v>
      </c>
      <c r="DC196">
        <f t="shared" si="125"/>
        <v>0</v>
      </c>
      <c r="DD196" t="s">
        <v>3</v>
      </c>
      <c r="DE196" t="s">
        <v>3</v>
      </c>
      <c r="DF196">
        <f t="shared" si="119"/>
        <v>1.28</v>
      </c>
      <c r="DG196">
        <f t="shared" si="117"/>
        <v>0</v>
      </c>
      <c r="DH196">
        <f t="shared" si="118"/>
        <v>0</v>
      </c>
      <c r="DI196">
        <f t="shared" si="127"/>
        <v>0</v>
      </c>
      <c r="DJ196">
        <f t="shared" si="126"/>
        <v>1.28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ROW(Source!A101)</f>
        <v>101</v>
      </c>
      <c r="B197">
        <v>55917797</v>
      </c>
      <c r="C197">
        <v>55918017</v>
      </c>
      <c r="D197">
        <v>55459810</v>
      </c>
      <c r="E197">
        <v>1</v>
      </c>
      <c r="F197">
        <v>1</v>
      </c>
      <c r="G197">
        <v>1081</v>
      </c>
      <c r="H197">
        <v>3</v>
      </c>
      <c r="I197" t="s">
        <v>400</v>
      </c>
      <c r="J197" t="s">
        <v>401</v>
      </c>
      <c r="K197" t="s">
        <v>402</v>
      </c>
      <c r="L197">
        <v>1348</v>
      </c>
      <c r="N197">
        <v>1009</v>
      </c>
      <c r="O197" t="s">
        <v>345</v>
      </c>
      <c r="P197" t="s">
        <v>345</v>
      </c>
      <c r="Q197">
        <v>1000</v>
      </c>
      <c r="W197">
        <v>0</v>
      </c>
      <c r="X197">
        <v>-98394079</v>
      </c>
      <c r="Y197">
        <f t="shared" si="120"/>
        <v>1E-4</v>
      </c>
      <c r="AA197">
        <v>9238.1299999999992</v>
      </c>
      <c r="AB197">
        <v>0</v>
      </c>
      <c r="AC197">
        <v>0</v>
      </c>
      <c r="AD197">
        <v>0</v>
      </c>
      <c r="AE197">
        <v>9238.1299999999992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1E-4</v>
      </c>
      <c r="AU197" t="s">
        <v>55</v>
      </c>
      <c r="AV197">
        <v>0</v>
      </c>
      <c r="AW197">
        <v>2</v>
      </c>
      <c r="AX197">
        <v>55918028</v>
      </c>
      <c r="AY197">
        <v>1</v>
      </c>
      <c r="AZ197">
        <v>0</v>
      </c>
      <c r="BA197">
        <v>221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ROUND(Y197*Source!I101,9)</f>
        <v>1E-4</v>
      </c>
      <c r="CY197">
        <f t="shared" si="121"/>
        <v>9238.1299999999992</v>
      </c>
      <c r="CZ197">
        <f t="shared" si="122"/>
        <v>9238.1299999999992</v>
      </c>
      <c r="DA197">
        <f t="shared" si="123"/>
        <v>1</v>
      </c>
      <c r="DB197">
        <f t="shared" si="124"/>
        <v>0.92</v>
      </c>
      <c r="DC197">
        <f t="shared" si="125"/>
        <v>0</v>
      </c>
      <c r="DD197" t="s">
        <v>3</v>
      </c>
      <c r="DE197" t="s">
        <v>3</v>
      </c>
      <c r="DF197">
        <f t="shared" si="119"/>
        <v>0.92</v>
      </c>
      <c r="DG197">
        <f t="shared" si="117"/>
        <v>0</v>
      </c>
      <c r="DH197">
        <f t="shared" si="118"/>
        <v>0</v>
      </c>
      <c r="DI197">
        <f t="shared" si="127"/>
        <v>0</v>
      </c>
      <c r="DJ197">
        <f t="shared" si="126"/>
        <v>0.92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ROW(Source!A101)</f>
        <v>101</v>
      </c>
      <c r="B198">
        <v>55917797</v>
      </c>
      <c r="C198">
        <v>55918017</v>
      </c>
      <c r="D198">
        <v>55482166</v>
      </c>
      <c r="E198">
        <v>1</v>
      </c>
      <c r="F198">
        <v>1</v>
      </c>
      <c r="G198">
        <v>1081</v>
      </c>
      <c r="H198">
        <v>3</v>
      </c>
      <c r="I198" t="s">
        <v>403</v>
      </c>
      <c r="J198" t="s">
        <v>404</v>
      </c>
      <c r="K198" t="s">
        <v>405</v>
      </c>
      <c r="L198">
        <v>1301</v>
      </c>
      <c r="N198">
        <v>1003</v>
      </c>
      <c r="O198" t="s">
        <v>263</v>
      </c>
      <c r="P198" t="s">
        <v>263</v>
      </c>
      <c r="Q198">
        <v>1</v>
      </c>
      <c r="W198">
        <v>0</v>
      </c>
      <c r="X198">
        <v>876831867</v>
      </c>
      <c r="Y198">
        <f t="shared" si="120"/>
        <v>1</v>
      </c>
      <c r="AA198">
        <v>0.69</v>
      </c>
      <c r="AB198">
        <v>0</v>
      </c>
      <c r="AC198">
        <v>0</v>
      </c>
      <c r="AD198">
        <v>0</v>
      </c>
      <c r="AE198">
        <v>0.69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1</v>
      </c>
      <c r="AU198" t="s">
        <v>55</v>
      </c>
      <c r="AV198">
        <v>0</v>
      </c>
      <c r="AW198">
        <v>2</v>
      </c>
      <c r="AX198">
        <v>55918029</v>
      </c>
      <c r="AY198">
        <v>1</v>
      </c>
      <c r="AZ198">
        <v>0</v>
      </c>
      <c r="BA198">
        <v>222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ROUND(Y198*Source!I101,9)</f>
        <v>1</v>
      </c>
      <c r="CY198">
        <f t="shared" si="121"/>
        <v>0.69</v>
      </c>
      <c r="CZ198">
        <f t="shared" si="122"/>
        <v>0.69</v>
      </c>
      <c r="DA198">
        <f t="shared" si="123"/>
        <v>1</v>
      </c>
      <c r="DB198">
        <f t="shared" si="124"/>
        <v>0.69</v>
      </c>
      <c r="DC198">
        <f t="shared" si="125"/>
        <v>0</v>
      </c>
      <c r="DD198" t="s">
        <v>3</v>
      </c>
      <c r="DE198" t="s">
        <v>3</v>
      </c>
      <c r="DF198">
        <f t="shared" si="119"/>
        <v>0.69</v>
      </c>
      <c r="DG198">
        <f t="shared" si="117"/>
        <v>0</v>
      </c>
      <c r="DH198">
        <f t="shared" si="118"/>
        <v>0</v>
      </c>
      <c r="DI198">
        <f t="shared" si="127"/>
        <v>0</v>
      </c>
      <c r="DJ198">
        <f t="shared" si="126"/>
        <v>0.69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ROW(Source!A101)</f>
        <v>101</v>
      </c>
      <c r="B199">
        <v>55917797</v>
      </c>
      <c r="C199">
        <v>55918017</v>
      </c>
      <c r="D199">
        <v>55482445</v>
      </c>
      <c r="E199">
        <v>1</v>
      </c>
      <c r="F199">
        <v>1</v>
      </c>
      <c r="G199">
        <v>1081</v>
      </c>
      <c r="H199">
        <v>3</v>
      </c>
      <c r="I199" t="s">
        <v>406</v>
      </c>
      <c r="J199" t="s">
        <v>407</v>
      </c>
      <c r="K199" t="s">
        <v>408</v>
      </c>
      <c r="L199">
        <v>1356</v>
      </c>
      <c r="N199">
        <v>1010</v>
      </c>
      <c r="O199" t="s">
        <v>409</v>
      </c>
      <c r="P199" t="s">
        <v>409</v>
      </c>
      <c r="Q199">
        <v>1000</v>
      </c>
      <c r="W199">
        <v>0</v>
      </c>
      <c r="X199">
        <v>-285397556</v>
      </c>
      <c r="Y199">
        <f t="shared" si="120"/>
        <v>0.01</v>
      </c>
      <c r="AA199">
        <v>294.89</v>
      </c>
      <c r="AB199">
        <v>0</v>
      </c>
      <c r="AC199">
        <v>0</v>
      </c>
      <c r="AD199">
        <v>0</v>
      </c>
      <c r="AE199">
        <v>294.89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0.01</v>
      </c>
      <c r="AU199" t="s">
        <v>55</v>
      </c>
      <c r="AV199">
        <v>0</v>
      </c>
      <c r="AW199">
        <v>2</v>
      </c>
      <c r="AX199">
        <v>55918030</v>
      </c>
      <c r="AY199">
        <v>1</v>
      </c>
      <c r="AZ199">
        <v>0</v>
      </c>
      <c r="BA199">
        <v>223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ROUND(Y199*Source!I101,9)</f>
        <v>0.01</v>
      </c>
      <c r="CY199">
        <f t="shared" si="121"/>
        <v>294.89</v>
      </c>
      <c r="CZ199">
        <f t="shared" si="122"/>
        <v>294.89</v>
      </c>
      <c r="DA199">
        <f t="shared" si="123"/>
        <v>1</v>
      </c>
      <c r="DB199">
        <f t="shared" si="124"/>
        <v>2.95</v>
      </c>
      <c r="DC199">
        <f t="shared" si="125"/>
        <v>0</v>
      </c>
      <c r="DD199" t="s">
        <v>3</v>
      </c>
      <c r="DE199" t="s">
        <v>3</v>
      </c>
      <c r="DF199">
        <f t="shared" si="119"/>
        <v>2.95</v>
      </c>
      <c r="DG199">
        <f t="shared" si="117"/>
        <v>0</v>
      </c>
      <c r="DH199">
        <f t="shared" si="118"/>
        <v>0</v>
      </c>
      <c r="DI199">
        <f t="shared" si="127"/>
        <v>0</v>
      </c>
      <c r="DJ199">
        <f t="shared" si="126"/>
        <v>2.95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ROW(Source!A101)</f>
        <v>101</v>
      </c>
      <c r="B200">
        <v>55917797</v>
      </c>
      <c r="C200">
        <v>55918017</v>
      </c>
      <c r="D200">
        <v>55481518</v>
      </c>
      <c r="E200">
        <v>1</v>
      </c>
      <c r="F200">
        <v>1</v>
      </c>
      <c r="G200">
        <v>1081</v>
      </c>
      <c r="H200">
        <v>3</v>
      </c>
      <c r="I200" t="s">
        <v>410</v>
      </c>
      <c r="J200" t="s">
        <v>411</v>
      </c>
      <c r="K200" t="s">
        <v>412</v>
      </c>
      <c r="L200">
        <v>1354</v>
      </c>
      <c r="N200">
        <v>1010</v>
      </c>
      <c r="O200" t="s">
        <v>164</v>
      </c>
      <c r="P200" t="s">
        <v>164</v>
      </c>
      <c r="Q200">
        <v>1</v>
      </c>
      <c r="W200">
        <v>0</v>
      </c>
      <c r="X200">
        <v>55982921</v>
      </c>
      <c r="Y200">
        <f t="shared" si="120"/>
        <v>1</v>
      </c>
      <c r="AA200">
        <v>15.67</v>
      </c>
      <c r="AB200">
        <v>0</v>
      </c>
      <c r="AC200">
        <v>0</v>
      </c>
      <c r="AD200">
        <v>0</v>
      </c>
      <c r="AE200">
        <v>15.67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1</v>
      </c>
      <c r="AU200" t="s">
        <v>55</v>
      </c>
      <c r="AV200">
        <v>0</v>
      </c>
      <c r="AW200">
        <v>2</v>
      </c>
      <c r="AX200">
        <v>55918031</v>
      </c>
      <c r="AY200">
        <v>1</v>
      </c>
      <c r="AZ200">
        <v>0</v>
      </c>
      <c r="BA200">
        <v>224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ROUND(Y200*Source!I101,9)</f>
        <v>1</v>
      </c>
      <c r="CY200">
        <f t="shared" si="121"/>
        <v>15.67</v>
      </c>
      <c r="CZ200">
        <f t="shared" si="122"/>
        <v>15.67</v>
      </c>
      <c r="DA200">
        <f t="shared" si="123"/>
        <v>1</v>
      </c>
      <c r="DB200">
        <f t="shared" si="124"/>
        <v>15.67</v>
      </c>
      <c r="DC200">
        <f t="shared" si="125"/>
        <v>0</v>
      </c>
      <c r="DD200" t="s">
        <v>3</v>
      </c>
      <c r="DE200" t="s">
        <v>3</v>
      </c>
      <c r="DF200">
        <f t="shared" si="119"/>
        <v>15.67</v>
      </c>
      <c r="DG200">
        <f t="shared" si="117"/>
        <v>0</v>
      </c>
      <c r="DH200">
        <f t="shared" si="118"/>
        <v>0</v>
      </c>
      <c r="DI200">
        <f t="shared" si="127"/>
        <v>0</v>
      </c>
      <c r="DJ200">
        <f t="shared" si="126"/>
        <v>15.67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ROW(Source!A101)</f>
        <v>101</v>
      </c>
      <c r="B201">
        <v>55917797</v>
      </c>
      <c r="C201">
        <v>55918017</v>
      </c>
      <c r="D201">
        <v>55424290</v>
      </c>
      <c r="E201">
        <v>1081</v>
      </c>
      <c r="F201">
        <v>1</v>
      </c>
      <c r="G201">
        <v>1081</v>
      </c>
      <c r="H201">
        <v>3</v>
      </c>
      <c r="I201" t="s">
        <v>371</v>
      </c>
      <c r="J201" t="s">
        <v>3</v>
      </c>
      <c r="K201" t="s">
        <v>372</v>
      </c>
      <c r="L201">
        <v>1348</v>
      </c>
      <c r="N201">
        <v>1009</v>
      </c>
      <c r="O201" t="s">
        <v>345</v>
      </c>
      <c r="P201" t="s">
        <v>345</v>
      </c>
      <c r="Q201">
        <v>1000</v>
      </c>
      <c r="W201">
        <v>0</v>
      </c>
      <c r="X201">
        <v>-783086922</v>
      </c>
      <c r="Y201">
        <f t="shared" si="120"/>
        <v>1E-3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1E-3</v>
      </c>
      <c r="AU201" t="s">
        <v>55</v>
      </c>
      <c r="AV201">
        <v>0</v>
      </c>
      <c r="AW201">
        <v>2</v>
      </c>
      <c r="AX201">
        <v>55918034</v>
      </c>
      <c r="AY201">
        <v>1</v>
      </c>
      <c r="AZ201">
        <v>0</v>
      </c>
      <c r="BA201">
        <v>227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ROUND(Y201*Source!I101,9)</f>
        <v>1E-3</v>
      </c>
      <c r="CY201">
        <f t="shared" si="121"/>
        <v>0</v>
      </c>
      <c r="CZ201">
        <f t="shared" si="122"/>
        <v>0</v>
      </c>
      <c r="DA201">
        <f t="shared" si="123"/>
        <v>1</v>
      </c>
      <c r="DB201">
        <f t="shared" si="124"/>
        <v>0</v>
      </c>
      <c r="DC201">
        <f t="shared" si="125"/>
        <v>0</v>
      </c>
      <c r="DD201" t="s">
        <v>3</v>
      </c>
      <c r="DE201" t="s">
        <v>3</v>
      </c>
      <c r="DF201">
        <f t="shared" si="119"/>
        <v>0</v>
      </c>
      <c r="DG201">
        <f t="shared" si="117"/>
        <v>0</v>
      </c>
      <c r="DH201">
        <f t="shared" si="118"/>
        <v>0</v>
      </c>
      <c r="DI201">
        <f t="shared" si="127"/>
        <v>0</v>
      </c>
      <c r="DJ201">
        <f t="shared" si="126"/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ROW(Source!A102)</f>
        <v>102</v>
      </c>
      <c r="B202">
        <v>55917799</v>
      </c>
      <c r="C202">
        <v>55918017</v>
      </c>
      <c r="D202">
        <v>55424304</v>
      </c>
      <c r="E202">
        <v>1081</v>
      </c>
      <c r="F202">
        <v>1</v>
      </c>
      <c r="G202">
        <v>1081</v>
      </c>
      <c r="H202">
        <v>1</v>
      </c>
      <c r="I202" t="s">
        <v>339</v>
      </c>
      <c r="J202" t="s">
        <v>3</v>
      </c>
      <c r="K202" t="s">
        <v>340</v>
      </c>
      <c r="L202">
        <v>1191</v>
      </c>
      <c r="N202">
        <v>1013</v>
      </c>
      <c r="O202" t="s">
        <v>341</v>
      </c>
      <c r="P202" t="s">
        <v>341</v>
      </c>
      <c r="Q202">
        <v>1</v>
      </c>
      <c r="W202">
        <v>0</v>
      </c>
      <c r="X202">
        <v>476480486</v>
      </c>
      <c r="Y202">
        <f>(AT202*1.2)</f>
        <v>3.5999999999999996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5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3</v>
      </c>
      <c r="AU202" t="s">
        <v>56</v>
      </c>
      <c r="AV202">
        <v>1</v>
      </c>
      <c r="AW202">
        <v>2</v>
      </c>
      <c r="AX202">
        <v>55918018</v>
      </c>
      <c r="AY202">
        <v>1</v>
      </c>
      <c r="AZ202">
        <v>0</v>
      </c>
      <c r="BA202">
        <v>228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U202">
        <f>ROUND(AT202*Source!I102*AH202*AL202,2)</f>
        <v>0</v>
      </c>
      <c r="CV202">
        <f>ROUND(Y202*Source!I102,9)</f>
        <v>3.6</v>
      </c>
      <c r="CW202">
        <v>0</v>
      </c>
      <c r="CX202">
        <f>ROUND(Y202*Source!I102,9)</f>
        <v>3.6</v>
      </c>
      <c r="CY202">
        <f>AD202</f>
        <v>0</v>
      </c>
      <c r="CZ202">
        <f>AH202</f>
        <v>0</v>
      </c>
      <c r="DA202">
        <f>AL202</f>
        <v>1</v>
      </c>
      <c r="DB202">
        <f>ROUND((ROUND(AT202*CZ202,2)*1.2),6)</f>
        <v>0</v>
      </c>
      <c r="DC202">
        <f>ROUND((ROUND(AT202*AG202,2)*1.2),6)</f>
        <v>0</v>
      </c>
      <c r="DD202" t="s">
        <v>3</v>
      </c>
      <c r="DE202" t="s">
        <v>3</v>
      </c>
      <c r="DF202">
        <f t="shared" si="119"/>
        <v>0</v>
      </c>
      <c r="DG202">
        <f t="shared" si="117"/>
        <v>0</v>
      </c>
      <c r="DH202">
        <f t="shared" si="118"/>
        <v>0</v>
      </c>
      <c r="DI202">
        <f t="shared" si="127"/>
        <v>0</v>
      </c>
      <c r="DJ202">
        <f>DI202</f>
        <v>0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ROW(Source!A102)</f>
        <v>102</v>
      </c>
      <c r="B203">
        <v>55917799</v>
      </c>
      <c r="C203">
        <v>55918017</v>
      </c>
      <c r="D203">
        <v>55459894</v>
      </c>
      <c r="E203">
        <v>1</v>
      </c>
      <c r="F203">
        <v>1</v>
      </c>
      <c r="G203">
        <v>1081</v>
      </c>
      <c r="H203">
        <v>3</v>
      </c>
      <c r="I203" t="s">
        <v>381</v>
      </c>
      <c r="J203" t="s">
        <v>382</v>
      </c>
      <c r="K203" t="s">
        <v>383</v>
      </c>
      <c r="L203">
        <v>1348</v>
      </c>
      <c r="N203">
        <v>1009</v>
      </c>
      <c r="O203" t="s">
        <v>345</v>
      </c>
      <c r="P203" t="s">
        <v>345</v>
      </c>
      <c r="Q203">
        <v>1000</v>
      </c>
      <c r="W203">
        <v>0</v>
      </c>
      <c r="X203">
        <v>1175474266</v>
      </c>
      <c r="Y203">
        <f t="shared" ref="Y203:Y216" si="128">(AT203*1)</f>
        <v>1E-3</v>
      </c>
      <c r="AA203">
        <v>75372.679999999993</v>
      </c>
      <c r="AB203">
        <v>0</v>
      </c>
      <c r="AC203">
        <v>0</v>
      </c>
      <c r="AD203">
        <v>0</v>
      </c>
      <c r="AE203">
        <v>15319.65</v>
      </c>
      <c r="AF203">
        <v>0</v>
      </c>
      <c r="AG203">
        <v>0</v>
      </c>
      <c r="AH203">
        <v>0</v>
      </c>
      <c r="AI203">
        <v>4.92</v>
      </c>
      <c r="AJ203">
        <v>1</v>
      </c>
      <c r="AK203">
        <v>1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1E-3</v>
      </c>
      <c r="AU203" t="s">
        <v>55</v>
      </c>
      <c r="AV203">
        <v>0</v>
      </c>
      <c r="AW203">
        <v>2</v>
      </c>
      <c r="AX203">
        <v>55918019</v>
      </c>
      <c r="AY203">
        <v>1</v>
      </c>
      <c r="AZ203">
        <v>0</v>
      </c>
      <c r="BA203">
        <v>229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ROUND(Y203*Source!I102,9)</f>
        <v>1E-3</v>
      </c>
      <c r="CY203">
        <f t="shared" ref="CY203:CY216" si="129">AA203</f>
        <v>75372.679999999993</v>
      </c>
      <c r="CZ203">
        <f t="shared" ref="CZ203:CZ216" si="130">AE203</f>
        <v>15319.65</v>
      </c>
      <c r="DA203">
        <f t="shared" ref="DA203:DA216" si="131">AI203</f>
        <v>4.92</v>
      </c>
      <c r="DB203">
        <f t="shared" ref="DB203:DB216" si="132">ROUND((ROUND(AT203*CZ203,2)*1),6)</f>
        <v>15.32</v>
      </c>
      <c r="DC203">
        <f t="shared" ref="DC203:DC216" si="133">ROUND((ROUND(AT203*AG203,2)*1),6)</f>
        <v>0</v>
      </c>
      <c r="DD203" t="s">
        <v>3</v>
      </c>
      <c r="DE203" t="s">
        <v>3</v>
      </c>
      <c r="DF203">
        <f t="shared" ref="DF203:DF216" si="134">ROUND(ROUND(AE203*AI203,2)*CX203,2)</f>
        <v>75.37</v>
      </c>
      <c r="DG203">
        <f t="shared" si="117"/>
        <v>0</v>
      </c>
      <c r="DH203">
        <f t="shared" si="118"/>
        <v>0</v>
      </c>
      <c r="DI203">
        <f t="shared" si="127"/>
        <v>0</v>
      </c>
      <c r="DJ203">
        <f t="shared" ref="DJ203:DJ216" si="135">DF203</f>
        <v>75.37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ROW(Source!A102)</f>
        <v>102</v>
      </c>
      <c r="B204">
        <v>55917799</v>
      </c>
      <c r="C204">
        <v>55918017</v>
      </c>
      <c r="D204">
        <v>55459261</v>
      </c>
      <c r="E204">
        <v>1</v>
      </c>
      <c r="F204">
        <v>1</v>
      </c>
      <c r="G204">
        <v>1081</v>
      </c>
      <c r="H204">
        <v>3</v>
      </c>
      <c r="I204" t="s">
        <v>384</v>
      </c>
      <c r="J204" t="s">
        <v>385</v>
      </c>
      <c r="K204" t="s">
        <v>386</v>
      </c>
      <c r="L204">
        <v>1348</v>
      </c>
      <c r="N204">
        <v>1009</v>
      </c>
      <c r="O204" t="s">
        <v>345</v>
      </c>
      <c r="P204" t="s">
        <v>345</v>
      </c>
      <c r="Q204">
        <v>1000</v>
      </c>
      <c r="W204">
        <v>0</v>
      </c>
      <c r="X204">
        <v>-2092697376</v>
      </c>
      <c r="Y204">
        <f t="shared" si="128"/>
        <v>5.0000000000000002E-5</v>
      </c>
      <c r="AA204">
        <v>7305.88</v>
      </c>
      <c r="AB204">
        <v>0</v>
      </c>
      <c r="AC204">
        <v>0</v>
      </c>
      <c r="AD204">
        <v>0</v>
      </c>
      <c r="AE204">
        <v>1219.68</v>
      </c>
      <c r="AF204">
        <v>0</v>
      </c>
      <c r="AG204">
        <v>0</v>
      </c>
      <c r="AH204">
        <v>0</v>
      </c>
      <c r="AI204">
        <v>5.99</v>
      </c>
      <c r="AJ204">
        <v>1</v>
      </c>
      <c r="AK204">
        <v>1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5.0000000000000002E-5</v>
      </c>
      <c r="AU204" t="s">
        <v>55</v>
      </c>
      <c r="AV204">
        <v>0</v>
      </c>
      <c r="AW204">
        <v>2</v>
      </c>
      <c r="AX204">
        <v>55918020</v>
      </c>
      <c r="AY204">
        <v>1</v>
      </c>
      <c r="AZ204">
        <v>0</v>
      </c>
      <c r="BA204">
        <v>230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ROUND(Y204*Source!I102,9)</f>
        <v>5.0000000000000002E-5</v>
      </c>
      <c r="CY204">
        <f t="shared" si="129"/>
        <v>7305.88</v>
      </c>
      <c r="CZ204">
        <f t="shared" si="130"/>
        <v>1219.68</v>
      </c>
      <c r="DA204">
        <f t="shared" si="131"/>
        <v>5.99</v>
      </c>
      <c r="DB204">
        <f t="shared" si="132"/>
        <v>0.06</v>
      </c>
      <c r="DC204">
        <f t="shared" si="133"/>
        <v>0</v>
      </c>
      <c r="DD204" t="s">
        <v>3</v>
      </c>
      <c r="DE204" t="s">
        <v>3</v>
      </c>
      <c r="DF204">
        <f t="shared" si="134"/>
        <v>0.37</v>
      </c>
      <c r="DG204">
        <f t="shared" si="117"/>
        <v>0</v>
      </c>
      <c r="DH204">
        <f t="shared" si="118"/>
        <v>0</v>
      </c>
      <c r="DI204">
        <f t="shared" si="127"/>
        <v>0</v>
      </c>
      <c r="DJ204">
        <f t="shared" si="135"/>
        <v>0.37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ROW(Source!A102)</f>
        <v>102</v>
      </c>
      <c r="B205">
        <v>55917799</v>
      </c>
      <c r="C205">
        <v>55918017</v>
      </c>
      <c r="D205">
        <v>55460328</v>
      </c>
      <c r="E205">
        <v>1</v>
      </c>
      <c r="F205">
        <v>1</v>
      </c>
      <c r="G205">
        <v>1081</v>
      </c>
      <c r="H205">
        <v>3</v>
      </c>
      <c r="I205" t="s">
        <v>387</v>
      </c>
      <c r="J205" t="s">
        <v>388</v>
      </c>
      <c r="K205" t="s">
        <v>389</v>
      </c>
      <c r="L205">
        <v>1301</v>
      </c>
      <c r="N205">
        <v>1003</v>
      </c>
      <c r="O205" t="s">
        <v>263</v>
      </c>
      <c r="P205" t="s">
        <v>263</v>
      </c>
      <c r="Q205">
        <v>1</v>
      </c>
      <c r="W205">
        <v>0</v>
      </c>
      <c r="X205">
        <v>-206055494</v>
      </c>
      <c r="Y205">
        <f t="shared" si="128"/>
        <v>5</v>
      </c>
      <c r="AA205">
        <v>5.48</v>
      </c>
      <c r="AB205">
        <v>0</v>
      </c>
      <c r="AC205">
        <v>0</v>
      </c>
      <c r="AD205">
        <v>0</v>
      </c>
      <c r="AE205">
        <v>0.39</v>
      </c>
      <c r="AF205">
        <v>0</v>
      </c>
      <c r="AG205">
        <v>0</v>
      </c>
      <c r="AH205">
        <v>0</v>
      </c>
      <c r="AI205">
        <v>14.05</v>
      </c>
      <c r="AJ205">
        <v>1</v>
      </c>
      <c r="AK205">
        <v>1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5</v>
      </c>
      <c r="AU205" t="s">
        <v>55</v>
      </c>
      <c r="AV205">
        <v>0</v>
      </c>
      <c r="AW205">
        <v>2</v>
      </c>
      <c r="AX205">
        <v>55918021</v>
      </c>
      <c r="AY205">
        <v>1</v>
      </c>
      <c r="AZ205">
        <v>0</v>
      </c>
      <c r="BA205">
        <v>231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ROUND(Y205*Source!I102,9)</f>
        <v>5</v>
      </c>
      <c r="CY205">
        <f t="shared" si="129"/>
        <v>5.48</v>
      </c>
      <c r="CZ205">
        <f t="shared" si="130"/>
        <v>0.39</v>
      </c>
      <c r="DA205">
        <f t="shared" si="131"/>
        <v>14.05</v>
      </c>
      <c r="DB205">
        <f t="shared" si="132"/>
        <v>1.95</v>
      </c>
      <c r="DC205">
        <f t="shared" si="133"/>
        <v>0</v>
      </c>
      <c r="DD205" t="s">
        <v>3</v>
      </c>
      <c r="DE205" t="s">
        <v>3</v>
      </c>
      <c r="DF205">
        <f t="shared" si="134"/>
        <v>27.4</v>
      </c>
      <c r="DG205">
        <f t="shared" si="117"/>
        <v>0</v>
      </c>
      <c r="DH205">
        <f t="shared" si="118"/>
        <v>0</v>
      </c>
      <c r="DI205">
        <f t="shared" si="127"/>
        <v>0</v>
      </c>
      <c r="DJ205">
        <f t="shared" si="135"/>
        <v>27.4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ROW(Source!A102)</f>
        <v>102</v>
      </c>
      <c r="B206">
        <v>55917799</v>
      </c>
      <c r="C206">
        <v>55918017</v>
      </c>
      <c r="D206">
        <v>55459312</v>
      </c>
      <c r="E206">
        <v>1</v>
      </c>
      <c r="F206">
        <v>1</v>
      </c>
      <c r="G206">
        <v>1081</v>
      </c>
      <c r="H206">
        <v>3</v>
      </c>
      <c r="I206" t="s">
        <v>390</v>
      </c>
      <c r="J206" t="s">
        <v>391</v>
      </c>
      <c r="K206" t="s">
        <v>392</v>
      </c>
      <c r="L206">
        <v>1339</v>
      </c>
      <c r="N206">
        <v>1007</v>
      </c>
      <c r="O206" t="s">
        <v>393</v>
      </c>
      <c r="P206" t="s">
        <v>393</v>
      </c>
      <c r="Q206">
        <v>1</v>
      </c>
      <c r="W206">
        <v>0</v>
      </c>
      <c r="X206">
        <v>-366856290</v>
      </c>
      <c r="Y206">
        <f t="shared" si="128"/>
        <v>1E-3</v>
      </c>
      <c r="AA206">
        <v>8598.75</v>
      </c>
      <c r="AB206">
        <v>0</v>
      </c>
      <c r="AC206">
        <v>0</v>
      </c>
      <c r="AD206">
        <v>0</v>
      </c>
      <c r="AE206">
        <v>1176.3</v>
      </c>
      <c r="AF206">
        <v>0</v>
      </c>
      <c r="AG206">
        <v>0</v>
      </c>
      <c r="AH206">
        <v>0</v>
      </c>
      <c r="AI206">
        <v>7.31</v>
      </c>
      <c r="AJ206">
        <v>1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1E-3</v>
      </c>
      <c r="AU206" t="s">
        <v>55</v>
      </c>
      <c r="AV206">
        <v>0</v>
      </c>
      <c r="AW206">
        <v>2</v>
      </c>
      <c r="AX206">
        <v>55918022</v>
      </c>
      <c r="AY206">
        <v>1</v>
      </c>
      <c r="AZ206">
        <v>0</v>
      </c>
      <c r="BA206">
        <v>232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ROUND(Y206*Source!I102,9)</f>
        <v>1E-3</v>
      </c>
      <c r="CY206">
        <f t="shared" si="129"/>
        <v>8598.75</v>
      </c>
      <c r="CZ206">
        <f t="shared" si="130"/>
        <v>1176.3</v>
      </c>
      <c r="DA206">
        <f t="shared" si="131"/>
        <v>7.31</v>
      </c>
      <c r="DB206">
        <f t="shared" si="132"/>
        <v>1.18</v>
      </c>
      <c r="DC206">
        <f t="shared" si="133"/>
        <v>0</v>
      </c>
      <c r="DD206" t="s">
        <v>3</v>
      </c>
      <c r="DE206" t="s">
        <v>3</v>
      </c>
      <c r="DF206">
        <f t="shared" si="134"/>
        <v>8.6</v>
      </c>
      <c r="DG206">
        <f t="shared" si="117"/>
        <v>0</v>
      </c>
      <c r="DH206">
        <f t="shared" si="118"/>
        <v>0</v>
      </c>
      <c r="DI206">
        <f t="shared" si="127"/>
        <v>0</v>
      </c>
      <c r="DJ206">
        <f t="shared" si="135"/>
        <v>8.6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ROW(Source!A102)</f>
        <v>102</v>
      </c>
      <c r="B207">
        <v>55917799</v>
      </c>
      <c r="C207">
        <v>55918017</v>
      </c>
      <c r="D207">
        <v>55461230</v>
      </c>
      <c r="E207">
        <v>1</v>
      </c>
      <c r="F207">
        <v>1</v>
      </c>
      <c r="G207">
        <v>1081</v>
      </c>
      <c r="H207">
        <v>3</v>
      </c>
      <c r="I207" t="s">
        <v>349</v>
      </c>
      <c r="J207" t="s">
        <v>350</v>
      </c>
      <c r="K207" t="s">
        <v>351</v>
      </c>
      <c r="L207">
        <v>1346</v>
      </c>
      <c r="N207">
        <v>1009</v>
      </c>
      <c r="O207" t="s">
        <v>316</v>
      </c>
      <c r="P207" t="s">
        <v>316</v>
      </c>
      <c r="Q207">
        <v>1</v>
      </c>
      <c r="W207">
        <v>0</v>
      </c>
      <c r="X207">
        <v>1561715650</v>
      </c>
      <c r="Y207">
        <f t="shared" si="128"/>
        <v>0.01</v>
      </c>
      <c r="AA207">
        <v>200.81</v>
      </c>
      <c r="AB207">
        <v>0</v>
      </c>
      <c r="AC207">
        <v>0</v>
      </c>
      <c r="AD207">
        <v>0</v>
      </c>
      <c r="AE207">
        <v>15.11</v>
      </c>
      <c r="AF207">
        <v>0</v>
      </c>
      <c r="AG207">
        <v>0</v>
      </c>
      <c r="AH207">
        <v>0</v>
      </c>
      <c r="AI207">
        <v>13.29</v>
      </c>
      <c r="AJ207">
        <v>1</v>
      </c>
      <c r="AK207">
        <v>1</v>
      </c>
      <c r="AL207">
        <v>1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0.01</v>
      </c>
      <c r="AU207" t="s">
        <v>55</v>
      </c>
      <c r="AV207">
        <v>0</v>
      </c>
      <c r="AW207">
        <v>2</v>
      </c>
      <c r="AX207">
        <v>55918023</v>
      </c>
      <c r="AY207">
        <v>1</v>
      </c>
      <c r="AZ207">
        <v>0</v>
      </c>
      <c r="BA207">
        <v>233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ROUND(Y207*Source!I102,9)</f>
        <v>0.01</v>
      </c>
      <c r="CY207">
        <f t="shared" si="129"/>
        <v>200.81</v>
      </c>
      <c r="CZ207">
        <f t="shared" si="130"/>
        <v>15.11</v>
      </c>
      <c r="DA207">
        <f t="shared" si="131"/>
        <v>13.29</v>
      </c>
      <c r="DB207">
        <f t="shared" si="132"/>
        <v>0.15</v>
      </c>
      <c r="DC207">
        <f t="shared" si="133"/>
        <v>0</v>
      </c>
      <c r="DD207" t="s">
        <v>3</v>
      </c>
      <c r="DE207" t="s">
        <v>3</v>
      </c>
      <c r="DF207">
        <f t="shared" si="134"/>
        <v>2.0099999999999998</v>
      </c>
      <c r="DG207">
        <f t="shared" si="117"/>
        <v>0</v>
      </c>
      <c r="DH207">
        <f t="shared" si="118"/>
        <v>0</v>
      </c>
      <c r="DI207">
        <f t="shared" si="127"/>
        <v>0</v>
      </c>
      <c r="DJ207">
        <f t="shared" si="135"/>
        <v>2.0099999999999998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ROW(Source!A102)</f>
        <v>102</v>
      </c>
      <c r="B208">
        <v>55917799</v>
      </c>
      <c r="C208">
        <v>55918017</v>
      </c>
      <c r="D208">
        <v>55459400</v>
      </c>
      <c r="E208">
        <v>1</v>
      </c>
      <c r="F208">
        <v>1</v>
      </c>
      <c r="G208">
        <v>1081</v>
      </c>
      <c r="H208">
        <v>3</v>
      </c>
      <c r="I208" t="s">
        <v>355</v>
      </c>
      <c r="J208" t="s">
        <v>356</v>
      </c>
      <c r="K208" t="s">
        <v>357</v>
      </c>
      <c r="L208">
        <v>1346</v>
      </c>
      <c r="N208">
        <v>1009</v>
      </c>
      <c r="O208" t="s">
        <v>316</v>
      </c>
      <c r="P208" t="s">
        <v>316</v>
      </c>
      <c r="Q208">
        <v>1</v>
      </c>
      <c r="W208">
        <v>0</v>
      </c>
      <c r="X208">
        <v>-2129869794</v>
      </c>
      <c r="Y208">
        <f t="shared" si="128"/>
        <v>0.01</v>
      </c>
      <c r="AA208">
        <v>387.54</v>
      </c>
      <c r="AB208">
        <v>0</v>
      </c>
      <c r="AC208">
        <v>0</v>
      </c>
      <c r="AD208">
        <v>0</v>
      </c>
      <c r="AE208">
        <v>16.690000000000001</v>
      </c>
      <c r="AF208">
        <v>0</v>
      </c>
      <c r="AG208">
        <v>0</v>
      </c>
      <c r="AH208">
        <v>0</v>
      </c>
      <c r="AI208">
        <v>23.22</v>
      </c>
      <c r="AJ208">
        <v>1</v>
      </c>
      <c r="AK208">
        <v>1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0.01</v>
      </c>
      <c r="AU208" t="s">
        <v>55</v>
      </c>
      <c r="AV208">
        <v>0</v>
      </c>
      <c r="AW208">
        <v>2</v>
      </c>
      <c r="AX208">
        <v>55918024</v>
      </c>
      <c r="AY208">
        <v>1</v>
      </c>
      <c r="AZ208">
        <v>0</v>
      </c>
      <c r="BA208">
        <v>234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ROUND(Y208*Source!I102,9)</f>
        <v>0.01</v>
      </c>
      <c r="CY208">
        <f t="shared" si="129"/>
        <v>387.54</v>
      </c>
      <c r="CZ208">
        <f t="shared" si="130"/>
        <v>16.690000000000001</v>
      </c>
      <c r="DA208">
        <f t="shared" si="131"/>
        <v>23.22</v>
      </c>
      <c r="DB208">
        <f t="shared" si="132"/>
        <v>0.17</v>
      </c>
      <c r="DC208">
        <f t="shared" si="133"/>
        <v>0</v>
      </c>
      <c r="DD208" t="s">
        <v>3</v>
      </c>
      <c r="DE208" t="s">
        <v>3</v>
      </c>
      <c r="DF208">
        <f t="shared" si="134"/>
        <v>3.88</v>
      </c>
      <c r="DG208">
        <f t="shared" si="117"/>
        <v>0</v>
      </c>
      <c r="DH208">
        <f t="shared" si="118"/>
        <v>0</v>
      </c>
      <c r="DI208">
        <f t="shared" si="127"/>
        <v>0</v>
      </c>
      <c r="DJ208">
        <f t="shared" si="135"/>
        <v>3.88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ROW(Source!A102)</f>
        <v>102</v>
      </c>
      <c r="B209">
        <v>55917799</v>
      </c>
      <c r="C209">
        <v>55918017</v>
      </c>
      <c r="D209">
        <v>55461719</v>
      </c>
      <c r="E209">
        <v>1</v>
      </c>
      <c r="F209">
        <v>1</v>
      </c>
      <c r="G209">
        <v>1081</v>
      </c>
      <c r="H209">
        <v>3</v>
      </c>
      <c r="I209" t="s">
        <v>394</v>
      </c>
      <c r="J209" t="s">
        <v>395</v>
      </c>
      <c r="K209" t="s">
        <v>396</v>
      </c>
      <c r="L209">
        <v>1348</v>
      </c>
      <c r="N209">
        <v>1009</v>
      </c>
      <c r="O209" t="s">
        <v>345</v>
      </c>
      <c r="P209" t="s">
        <v>345</v>
      </c>
      <c r="Q209">
        <v>1000</v>
      </c>
      <c r="W209">
        <v>0</v>
      </c>
      <c r="X209">
        <v>-1265888387</v>
      </c>
      <c r="Y209">
        <f t="shared" si="128"/>
        <v>1E-4</v>
      </c>
      <c r="AA209">
        <v>147514.47</v>
      </c>
      <c r="AB209">
        <v>0</v>
      </c>
      <c r="AC209">
        <v>0</v>
      </c>
      <c r="AD209">
        <v>0</v>
      </c>
      <c r="AE209">
        <v>10643.18</v>
      </c>
      <c r="AF209">
        <v>0</v>
      </c>
      <c r="AG209">
        <v>0</v>
      </c>
      <c r="AH209">
        <v>0</v>
      </c>
      <c r="AI209">
        <v>13.86</v>
      </c>
      <c r="AJ209">
        <v>1</v>
      </c>
      <c r="AK209">
        <v>1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1E-4</v>
      </c>
      <c r="AU209" t="s">
        <v>55</v>
      </c>
      <c r="AV209">
        <v>0</v>
      </c>
      <c r="AW209">
        <v>2</v>
      </c>
      <c r="AX209">
        <v>55918025</v>
      </c>
      <c r="AY209">
        <v>1</v>
      </c>
      <c r="AZ209">
        <v>0</v>
      </c>
      <c r="BA209">
        <v>235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ROUND(Y209*Source!I102,9)</f>
        <v>1E-4</v>
      </c>
      <c r="CY209">
        <f t="shared" si="129"/>
        <v>147514.47</v>
      </c>
      <c r="CZ209">
        <f t="shared" si="130"/>
        <v>10643.18</v>
      </c>
      <c r="DA209">
        <f t="shared" si="131"/>
        <v>13.86</v>
      </c>
      <c r="DB209">
        <f t="shared" si="132"/>
        <v>1.06</v>
      </c>
      <c r="DC209">
        <f t="shared" si="133"/>
        <v>0</v>
      </c>
      <c r="DD209" t="s">
        <v>3</v>
      </c>
      <c r="DE209" t="s">
        <v>3</v>
      </c>
      <c r="DF209">
        <f t="shared" si="134"/>
        <v>14.75</v>
      </c>
      <c r="DG209">
        <f t="shared" si="117"/>
        <v>0</v>
      </c>
      <c r="DH209">
        <f t="shared" si="118"/>
        <v>0</v>
      </c>
      <c r="DI209">
        <f t="shared" si="127"/>
        <v>0</v>
      </c>
      <c r="DJ209">
        <f t="shared" si="135"/>
        <v>14.75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ROW(Source!A102)</f>
        <v>102</v>
      </c>
      <c r="B210">
        <v>55917799</v>
      </c>
      <c r="C210">
        <v>55918017</v>
      </c>
      <c r="D210">
        <v>55466000</v>
      </c>
      <c r="E210">
        <v>1</v>
      </c>
      <c r="F210">
        <v>1</v>
      </c>
      <c r="G210">
        <v>1081</v>
      </c>
      <c r="H210">
        <v>3</v>
      </c>
      <c r="I210" t="s">
        <v>397</v>
      </c>
      <c r="J210" t="s">
        <v>398</v>
      </c>
      <c r="K210" t="s">
        <v>399</v>
      </c>
      <c r="L210">
        <v>1355</v>
      </c>
      <c r="N210">
        <v>1010</v>
      </c>
      <c r="O210" t="s">
        <v>49</v>
      </c>
      <c r="P210" t="s">
        <v>49</v>
      </c>
      <c r="Q210">
        <v>100</v>
      </c>
      <c r="W210">
        <v>0</v>
      </c>
      <c r="X210">
        <v>436393287</v>
      </c>
      <c r="Y210">
        <f t="shared" si="128"/>
        <v>0.01</v>
      </c>
      <c r="AA210">
        <v>1555.26</v>
      </c>
      <c r="AB210">
        <v>0</v>
      </c>
      <c r="AC210">
        <v>0</v>
      </c>
      <c r="AD210">
        <v>0</v>
      </c>
      <c r="AE210">
        <v>120.19</v>
      </c>
      <c r="AF210">
        <v>0</v>
      </c>
      <c r="AG210">
        <v>0</v>
      </c>
      <c r="AH210">
        <v>0</v>
      </c>
      <c r="AI210">
        <v>12.94</v>
      </c>
      <c r="AJ210">
        <v>1</v>
      </c>
      <c r="AK210">
        <v>1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0.01</v>
      </c>
      <c r="AU210" t="s">
        <v>55</v>
      </c>
      <c r="AV210">
        <v>0</v>
      </c>
      <c r="AW210">
        <v>2</v>
      </c>
      <c r="AX210">
        <v>55918026</v>
      </c>
      <c r="AY210">
        <v>1</v>
      </c>
      <c r="AZ210">
        <v>0</v>
      </c>
      <c r="BA210">
        <v>236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ROUND(Y210*Source!I102,9)</f>
        <v>0.01</v>
      </c>
      <c r="CY210">
        <f t="shared" si="129"/>
        <v>1555.26</v>
      </c>
      <c r="CZ210">
        <f t="shared" si="130"/>
        <v>120.19</v>
      </c>
      <c r="DA210">
        <f t="shared" si="131"/>
        <v>12.94</v>
      </c>
      <c r="DB210">
        <f t="shared" si="132"/>
        <v>1.2</v>
      </c>
      <c r="DC210">
        <f t="shared" si="133"/>
        <v>0</v>
      </c>
      <c r="DD210" t="s">
        <v>3</v>
      </c>
      <c r="DE210" t="s">
        <v>3</v>
      </c>
      <c r="DF210">
        <f t="shared" si="134"/>
        <v>15.55</v>
      </c>
      <c r="DG210">
        <f t="shared" si="117"/>
        <v>0</v>
      </c>
      <c r="DH210">
        <f t="shared" si="118"/>
        <v>0</v>
      </c>
      <c r="DI210">
        <f t="shared" si="127"/>
        <v>0</v>
      </c>
      <c r="DJ210">
        <f t="shared" si="135"/>
        <v>15.55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ROW(Source!A102)</f>
        <v>102</v>
      </c>
      <c r="B211">
        <v>55917799</v>
      </c>
      <c r="C211">
        <v>55918017</v>
      </c>
      <c r="D211">
        <v>55459793</v>
      </c>
      <c r="E211">
        <v>1</v>
      </c>
      <c r="F211">
        <v>1</v>
      </c>
      <c r="G211">
        <v>1081</v>
      </c>
      <c r="H211">
        <v>3</v>
      </c>
      <c r="I211" t="s">
        <v>361</v>
      </c>
      <c r="J211" t="s">
        <v>362</v>
      </c>
      <c r="K211" t="s">
        <v>363</v>
      </c>
      <c r="L211">
        <v>1348</v>
      </c>
      <c r="N211">
        <v>1009</v>
      </c>
      <c r="O211" t="s">
        <v>345</v>
      </c>
      <c r="P211" t="s">
        <v>345</v>
      </c>
      <c r="Q211">
        <v>1000</v>
      </c>
      <c r="W211">
        <v>0</v>
      </c>
      <c r="X211">
        <v>-761454284</v>
      </c>
      <c r="Y211">
        <f t="shared" si="128"/>
        <v>2.0000000000000002E-5</v>
      </c>
      <c r="AA211">
        <v>1930745.04</v>
      </c>
      <c r="AB211">
        <v>0</v>
      </c>
      <c r="AC211">
        <v>0</v>
      </c>
      <c r="AD211">
        <v>0</v>
      </c>
      <c r="AE211">
        <v>64123.05</v>
      </c>
      <c r="AF211">
        <v>0</v>
      </c>
      <c r="AG211">
        <v>0</v>
      </c>
      <c r="AH211">
        <v>0</v>
      </c>
      <c r="AI211">
        <v>30.11</v>
      </c>
      <c r="AJ211">
        <v>1</v>
      </c>
      <c r="AK211">
        <v>1</v>
      </c>
      <c r="AL211">
        <v>1</v>
      </c>
      <c r="AM211">
        <v>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2.0000000000000002E-5</v>
      </c>
      <c r="AU211" t="s">
        <v>55</v>
      </c>
      <c r="AV211">
        <v>0</v>
      </c>
      <c r="AW211">
        <v>2</v>
      </c>
      <c r="AX211">
        <v>55918027</v>
      </c>
      <c r="AY211">
        <v>1</v>
      </c>
      <c r="AZ211">
        <v>0</v>
      </c>
      <c r="BA211">
        <v>237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ROUND(Y211*Source!I102,9)</f>
        <v>2.0000000000000002E-5</v>
      </c>
      <c r="CY211">
        <f t="shared" si="129"/>
        <v>1930745.04</v>
      </c>
      <c r="CZ211">
        <f t="shared" si="130"/>
        <v>64123.05</v>
      </c>
      <c r="DA211">
        <f t="shared" si="131"/>
        <v>30.11</v>
      </c>
      <c r="DB211">
        <f t="shared" si="132"/>
        <v>1.28</v>
      </c>
      <c r="DC211">
        <f t="shared" si="133"/>
        <v>0</v>
      </c>
      <c r="DD211" t="s">
        <v>3</v>
      </c>
      <c r="DE211" t="s">
        <v>3</v>
      </c>
      <c r="DF211">
        <f t="shared" si="134"/>
        <v>38.61</v>
      </c>
      <c r="DG211">
        <f t="shared" si="117"/>
        <v>0</v>
      </c>
      <c r="DH211">
        <f t="shared" si="118"/>
        <v>0</v>
      </c>
      <c r="DI211">
        <f t="shared" si="127"/>
        <v>0</v>
      </c>
      <c r="DJ211">
        <f t="shared" si="135"/>
        <v>38.61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ROW(Source!A102)</f>
        <v>102</v>
      </c>
      <c r="B212">
        <v>55917799</v>
      </c>
      <c r="C212">
        <v>55918017</v>
      </c>
      <c r="D212">
        <v>55459810</v>
      </c>
      <c r="E212">
        <v>1</v>
      </c>
      <c r="F212">
        <v>1</v>
      </c>
      <c r="G212">
        <v>1081</v>
      </c>
      <c r="H212">
        <v>3</v>
      </c>
      <c r="I212" t="s">
        <v>400</v>
      </c>
      <c r="J212" t="s">
        <v>401</v>
      </c>
      <c r="K212" t="s">
        <v>402</v>
      </c>
      <c r="L212">
        <v>1348</v>
      </c>
      <c r="N212">
        <v>1009</v>
      </c>
      <c r="O212" t="s">
        <v>345</v>
      </c>
      <c r="P212" t="s">
        <v>345</v>
      </c>
      <c r="Q212">
        <v>1000</v>
      </c>
      <c r="W212">
        <v>0</v>
      </c>
      <c r="X212">
        <v>-98394079</v>
      </c>
      <c r="Y212">
        <f t="shared" si="128"/>
        <v>1E-4</v>
      </c>
      <c r="AA212">
        <v>69285.98</v>
      </c>
      <c r="AB212">
        <v>0</v>
      </c>
      <c r="AC212">
        <v>0</v>
      </c>
      <c r="AD212">
        <v>0</v>
      </c>
      <c r="AE212">
        <v>9238.1299999999992</v>
      </c>
      <c r="AF212">
        <v>0</v>
      </c>
      <c r="AG212">
        <v>0</v>
      </c>
      <c r="AH212">
        <v>0</v>
      </c>
      <c r="AI212">
        <v>7.5</v>
      </c>
      <c r="AJ212">
        <v>1</v>
      </c>
      <c r="AK212">
        <v>1</v>
      </c>
      <c r="AL212">
        <v>1</v>
      </c>
      <c r="AM212">
        <v>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1E-4</v>
      </c>
      <c r="AU212" t="s">
        <v>55</v>
      </c>
      <c r="AV212">
        <v>0</v>
      </c>
      <c r="AW212">
        <v>2</v>
      </c>
      <c r="AX212">
        <v>55918028</v>
      </c>
      <c r="AY212">
        <v>1</v>
      </c>
      <c r="AZ212">
        <v>0</v>
      </c>
      <c r="BA212">
        <v>238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ROUND(Y212*Source!I102,9)</f>
        <v>1E-4</v>
      </c>
      <c r="CY212">
        <f t="shared" si="129"/>
        <v>69285.98</v>
      </c>
      <c r="CZ212">
        <f t="shared" si="130"/>
        <v>9238.1299999999992</v>
      </c>
      <c r="DA212">
        <f t="shared" si="131"/>
        <v>7.5</v>
      </c>
      <c r="DB212">
        <f t="shared" si="132"/>
        <v>0.92</v>
      </c>
      <c r="DC212">
        <f t="shared" si="133"/>
        <v>0</v>
      </c>
      <c r="DD212" t="s">
        <v>3</v>
      </c>
      <c r="DE212" t="s">
        <v>3</v>
      </c>
      <c r="DF212">
        <f t="shared" si="134"/>
        <v>6.93</v>
      </c>
      <c r="DG212">
        <f t="shared" si="117"/>
        <v>0</v>
      </c>
      <c r="DH212">
        <f t="shared" si="118"/>
        <v>0</v>
      </c>
      <c r="DI212">
        <f t="shared" si="127"/>
        <v>0</v>
      </c>
      <c r="DJ212">
        <f t="shared" si="135"/>
        <v>6.93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ROW(Source!A102)</f>
        <v>102</v>
      </c>
      <c r="B213">
        <v>55917799</v>
      </c>
      <c r="C213">
        <v>55918017</v>
      </c>
      <c r="D213">
        <v>55482166</v>
      </c>
      <c r="E213">
        <v>1</v>
      </c>
      <c r="F213">
        <v>1</v>
      </c>
      <c r="G213">
        <v>1081</v>
      </c>
      <c r="H213">
        <v>3</v>
      </c>
      <c r="I213" t="s">
        <v>403</v>
      </c>
      <c r="J213" t="s">
        <v>404</v>
      </c>
      <c r="K213" t="s">
        <v>405</v>
      </c>
      <c r="L213">
        <v>1301</v>
      </c>
      <c r="N213">
        <v>1003</v>
      </c>
      <c r="O213" t="s">
        <v>263</v>
      </c>
      <c r="P213" t="s">
        <v>263</v>
      </c>
      <c r="Q213">
        <v>1</v>
      </c>
      <c r="W213">
        <v>0</v>
      </c>
      <c r="X213">
        <v>876831867</v>
      </c>
      <c r="Y213">
        <f t="shared" si="128"/>
        <v>1</v>
      </c>
      <c r="AA213">
        <v>4.76</v>
      </c>
      <c r="AB213">
        <v>0</v>
      </c>
      <c r="AC213">
        <v>0</v>
      </c>
      <c r="AD213">
        <v>0</v>
      </c>
      <c r="AE213">
        <v>0.69</v>
      </c>
      <c r="AF213">
        <v>0</v>
      </c>
      <c r="AG213">
        <v>0</v>
      </c>
      <c r="AH213">
        <v>0</v>
      </c>
      <c r="AI213">
        <v>6.9</v>
      </c>
      <c r="AJ213">
        <v>1</v>
      </c>
      <c r="AK213">
        <v>1</v>
      </c>
      <c r="AL213">
        <v>1</v>
      </c>
      <c r="AM213">
        <v>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1</v>
      </c>
      <c r="AU213" t="s">
        <v>55</v>
      </c>
      <c r="AV213">
        <v>0</v>
      </c>
      <c r="AW213">
        <v>2</v>
      </c>
      <c r="AX213">
        <v>55918029</v>
      </c>
      <c r="AY213">
        <v>1</v>
      </c>
      <c r="AZ213">
        <v>0</v>
      </c>
      <c r="BA213">
        <v>239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ROUND(Y213*Source!I102,9)</f>
        <v>1</v>
      </c>
      <c r="CY213">
        <f t="shared" si="129"/>
        <v>4.76</v>
      </c>
      <c r="CZ213">
        <f t="shared" si="130"/>
        <v>0.69</v>
      </c>
      <c r="DA213">
        <f t="shared" si="131"/>
        <v>6.9</v>
      </c>
      <c r="DB213">
        <f t="shared" si="132"/>
        <v>0.69</v>
      </c>
      <c r="DC213">
        <f t="shared" si="133"/>
        <v>0</v>
      </c>
      <c r="DD213" t="s">
        <v>3</v>
      </c>
      <c r="DE213" t="s">
        <v>3</v>
      </c>
      <c r="DF213">
        <f t="shared" si="134"/>
        <v>4.76</v>
      </c>
      <c r="DG213">
        <f t="shared" si="117"/>
        <v>0</v>
      </c>
      <c r="DH213">
        <f t="shared" si="118"/>
        <v>0</v>
      </c>
      <c r="DI213">
        <f t="shared" si="127"/>
        <v>0</v>
      </c>
      <c r="DJ213">
        <f t="shared" si="135"/>
        <v>4.76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ROW(Source!A102)</f>
        <v>102</v>
      </c>
      <c r="B214">
        <v>55917799</v>
      </c>
      <c r="C214">
        <v>55918017</v>
      </c>
      <c r="D214">
        <v>55482445</v>
      </c>
      <c r="E214">
        <v>1</v>
      </c>
      <c r="F214">
        <v>1</v>
      </c>
      <c r="G214">
        <v>1081</v>
      </c>
      <c r="H214">
        <v>3</v>
      </c>
      <c r="I214" t="s">
        <v>406</v>
      </c>
      <c r="J214" t="s">
        <v>407</v>
      </c>
      <c r="K214" t="s">
        <v>408</v>
      </c>
      <c r="L214">
        <v>1356</v>
      </c>
      <c r="N214">
        <v>1010</v>
      </c>
      <c r="O214" t="s">
        <v>409</v>
      </c>
      <c r="P214" t="s">
        <v>409</v>
      </c>
      <c r="Q214">
        <v>1000</v>
      </c>
      <c r="W214">
        <v>0</v>
      </c>
      <c r="X214">
        <v>-285397556</v>
      </c>
      <c r="Y214">
        <f t="shared" si="128"/>
        <v>0.01</v>
      </c>
      <c r="AA214">
        <v>1040.96</v>
      </c>
      <c r="AB214">
        <v>0</v>
      </c>
      <c r="AC214">
        <v>0</v>
      </c>
      <c r="AD214">
        <v>0</v>
      </c>
      <c r="AE214">
        <v>294.89</v>
      </c>
      <c r="AF214">
        <v>0</v>
      </c>
      <c r="AG214">
        <v>0</v>
      </c>
      <c r="AH214">
        <v>0</v>
      </c>
      <c r="AI214">
        <v>3.53</v>
      </c>
      <c r="AJ214">
        <v>1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0.01</v>
      </c>
      <c r="AU214" t="s">
        <v>55</v>
      </c>
      <c r="AV214">
        <v>0</v>
      </c>
      <c r="AW214">
        <v>2</v>
      </c>
      <c r="AX214">
        <v>55918030</v>
      </c>
      <c r="AY214">
        <v>1</v>
      </c>
      <c r="AZ214">
        <v>0</v>
      </c>
      <c r="BA214">
        <v>240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ROUND(Y214*Source!I102,9)</f>
        <v>0.01</v>
      </c>
      <c r="CY214">
        <f t="shared" si="129"/>
        <v>1040.96</v>
      </c>
      <c r="CZ214">
        <f t="shared" si="130"/>
        <v>294.89</v>
      </c>
      <c r="DA214">
        <f t="shared" si="131"/>
        <v>3.53</v>
      </c>
      <c r="DB214">
        <f t="shared" si="132"/>
        <v>2.95</v>
      </c>
      <c r="DC214">
        <f t="shared" si="133"/>
        <v>0</v>
      </c>
      <c r="DD214" t="s">
        <v>3</v>
      </c>
      <c r="DE214" t="s">
        <v>3</v>
      </c>
      <c r="DF214">
        <f t="shared" si="134"/>
        <v>10.41</v>
      </c>
      <c r="DG214">
        <f t="shared" si="117"/>
        <v>0</v>
      </c>
      <c r="DH214">
        <f t="shared" si="118"/>
        <v>0</v>
      </c>
      <c r="DI214">
        <f t="shared" si="127"/>
        <v>0</v>
      </c>
      <c r="DJ214">
        <f t="shared" si="135"/>
        <v>10.41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ROW(Source!A102)</f>
        <v>102</v>
      </c>
      <c r="B215">
        <v>55917799</v>
      </c>
      <c r="C215">
        <v>55918017</v>
      </c>
      <c r="D215">
        <v>55481518</v>
      </c>
      <c r="E215">
        <v>1</v>
      </c>
      <c r="F215">
        <v>1</v>
      </c>
      <c r="G215">
        <v>1081</v>
      </c>
      <c r="H215">
        <v>3</v>
      </c>
      <c r="I215" t="s">
        <v>410</v>
      </c>
      <c r="J215" t="s">
        <v>411</v>
      </c>
      <c r="K215" t="s">
        <v>412</v>
      </c>
      <c r="L215">
        <v>1354</v>
      </c>
      <c r="N215">
        <v>1010</v>
      </c>
      <c r="O215" t="s">
        <v>164</v>
      </c>
      <c r="P215" t="s">
        <v>164</v>
      </c>
      <c r="Q215">
        <v>1</v>
      </c>
      <c r="W215">
        <v>0</v>
      </c>
      <c r="X215">
        <v>55982921</v>
      </c>
      <c r="Y215">
        <f t="shared" si="128"/>
        <v>1</v>
      </c>
      <c r="AA215">
        <v>10.66</v>
      </c>
      <c r="AB215">
        <v>0</v>
      </c>
      <c r="AC215">
        <v>0</v>
      </c>
      <c r="AD215">
        <v>0</v>
      </c>
      <c r="AE215">
        <v>15.67</v>
      </c>
      <c r="AF215">
        <v>0</v>
      </c>
      <c r="AG215">
        <v>0</v>
      </c>
      <c r="AH215">
        <v>0</v>
      </c>
      <c r="AI215">
        <v>0.68</v>
      </c>
      <c r="AJ215">
        <v>1</v>
      </c>
      <c r="AK215">
        <v>1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1</v>
      </c>
      <c r="AU215" t="s">
        <v>55</v>
      </c>
      <c r="AV215">
        <v>0</v>
      </c>
      <c r="AW215">
        <v>2</v>
      </c>
      <c r="AX215">
        <v>55918031</v>
      </c>
      <c r="AY215">
        <v>1</v>
      </c>
      <c r="AZ215">
        <v>0</v>
      </c>
      <c r="BA215">
        <v>241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ROUND(Y215*Source!I102,9)</f>
        <v>1</v>
      </c>
      <c r="CY215">
        <f t="shared" si="129"/>
        <v>10.66</v>
      </c>
      <c r="CZ215">
        <f t="shared" si="130"/>
        <v>15.67</v>
      </c>
      <c r="DA215">
        <f t="shared" si="131"/>
        <v>0.68</v>
      </c>
      <c r="DB215">
        <f t="shared" si="132"/>
        <v>15.67</v>
      </c>
      <c r="DC215">
        <f t="shared" si="133"/>
        <v>0</v>
      </c>
      <c r="DD215" t="s">
        <v>3</v>
      </c>
      <c r="DE215" t="s">
        <v>3</v>
      </c>
      <c r="DF215">
        <f t="shared" si="134"/>
        <v>10.66</v>
      </c>
      <c r="DG215">
        <f t="shared" ref="DG215:DG232" si="136">ROUND(ROUND(AF215,2)*CX215,2)</f>
        <v>0</v>
      </c>
      <c r="DH215">
        <f t="shared" ref="DH215:DH232" si="137">ROUND(ROUND(AG215,2)*CX215,2)</f>
        <v>0</v>
      </c>
      <c r="DI215">
        <f t="shared" si="127"/>
        <v>0</v>
      </c>
      <c r="DJ215">
        <f t="shared" si="135"/>
        <v>10.66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5">
      <c r="A216">
        <f>ROW(Source!A102)</f>
        <v>102</v>
      </c>
      <c r="B216">
        <v>55917799</v>
      </c>
      <c r="C216">
        <v>55918017</v>
      </c>
      <c r="D216">
        <v>55424290</v>
      </c>
      <c r="E216">
        <v>1081</v>
      </c>
      <c r="F216">
        <v>1</v>
      </c>
      <c r="G216">
        <v>1081</v>
      </c>
      <c r="H216">
        <v>3</v>
      </c>
      <c r="I216" t="s">
        <v>371</v>
      </c>
      <c r="J216" t="s">
        <v>3</v>
      </c>
      <c r="K216" t="s">
        <v>372</v>
      </c>
      <c r="L216">
        <v>1348</v>
      </c>
      <c r="N216">
        <v>1009</v>
      </c>
      <c r="O216" t="s">
        <v>345</v>
      </c>
      <c r="P216" t="s">
        <v>345</v>
      </c>
      <c r="Q216">
        <v>1000</v>
      </c>
      <c r="W216">
        <v>0</v>
      </c>
      <c r="X216">
        <v>-783086922</v>
      </c>
      <c r="Y216">
        <f t="shared" si="128"/>
        <v>1E-3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9.84</v>
      </c>
      <c r="AJ216">
        <v>1</v>
      </c>
      <c r="AK216">
        <v>1</v>
      </c>
      <c r="AL216">
        <v>1</v>
      </c>
      <c r="AM216">
        <v>5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1E-3</v>
      </c>
      <c r="AU216" t="s">
        <v>55</v>
      </c>
      <c r="AV216">
        <v>0</v>
      </c>
      <c r="AW216">
        <v>2</v>
      </c>
      <c r="AX216">
        <v>55918034</v>
      </c>
      <c r="AY216">
        <v>1</v>
      </c>
      <c r="AZ216">
        <v>0</v>
      </c>
      <c r="BA216">
        <v>244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ROUND(Y216*Source!I102,9)</f>
        <v>1E-3</v>
      </c>
      <c r="CY216">
        <f t="shared" si="129"/>
        <v>0</v>
      </c>
      <c r="CZ216">
        <f t="shared" si="130"/>
        <v>0</v>
      </c>
      <c r="DA216">
        <f t="shared" si="131"/>
        <v>9.84</v>
      </c>
      <c r="DB216">
        <f t="shared" si="132"/>
        <v>0</v>
      </c>
      <c r="DC216">
        <f t="shared" si="133"/>
        <v>0</v>
      </c>
      <c r="DD216" t="s">
        <v>3</v>
      </c>
      <c r="DE216" t="s">
        <v>3</v>
      </c>
      <c r="DF216">
        <f t="shared" si="134"/>
        <v>0</v>
      </c>
      <c r="DG216">
        <f t="shared" si="136"/>
        <v>0</v>
      </c>
      <c r="DH216">
        <f t="shared" si="137"/>
        <v>0</v>
      </c>
      <c r="DI216">
        <f t="shared" si="127"/>
        <v>0</v>
      </c>
      <c r="DJ216">
        <f t="shared" si="135"/>
        <v>0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5">
      <c r="A217">
        <f>ROW(Source!A107)</f>
        <v>107</v>
      </c>
      <c r="B217">
        <v>55917797</v>
      </c>
      <c r="C217">
        <v>55918048</v>
      </c>
      <c r="D217">
        <v>55424304</v>
      </c>
      <c r="E217">
        <v>1081</v>
      </c>
      <c r="F217">
        <v>1</v>
      </c>
      <c r="G217">
        <v>1081</v>
      </c>
      <c r="H217">
        <v>1</v>
      </c>
      <c r="I217" t="s">
        <v>339</v>
      </c>
      <c r="J217" t="s">
        <v>3</v>
      </c>
      <c r="K217" t="s">
        <v>340</v>
      </c>
      <c r="L217">
        <v>1191</v>
      </c>
      <c r="N217">
        <v>1013</v>
      </c>
      <c r="O217" t="s">
        <v>341</v>
      </c>
      <c r="P217" t="s">
        <v>341</v>
      </c>
      <c r="Q217">
        <v>1</v>
      </c>
      <c r="W217">
        <v>0</v>
      </c>
      <c r="X217">
        <v>476480486</v>
      </c>
      <c r="Y217">
        <f>(AT217*1.2)</f>
        <v>28.799999999999997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24</v>
      </c>
      <c r="AU217" t="s">
        <v>56</v>
      </c>
      <c r="AV217">
        <v>1</v>
      </c>
      <c r="AW217">
        <v>2</v>
      </c>
      <c r="AX217">
        <v>55918049</v>
      </c>
      <c r="AY217">
        <v>1</v>
      </c>
      <c r="AZ217">
        <v>0</v>
      </c>
      <c r="BA217">
        <v>245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U217">
        <f>ROUND(AT217*Source!I107*AH217*AL217,2)</f>
        <v>0</v>
      </c>
      <c r="CV217">
        <f>ROUND(Y217*Source!I107,9)</f>
        <v>2.016</v>
      </c>
      <c r="CW217">
        <v>0</v>
      </c>
      <c r="CX217">
        <f>ROUND(Y217*Source!I107,9)</f>
        <v>2.016</v>
      </c>
      <c r="CY217">
        <f>AD217</f>
        <v>0</v>
      </c>
      <c r="CZ217">
        <f>AH217</f>
        <v>0</v>
      </c>
      <c r="DA217">
        <f>AL217</f>
        <v>1</v>
      </c>
      <c r="DB217">
        <f>ROUND((ROUND(AT217*CZ217,2)*1.2),6)</f>
        <v>0</v>
      </c>
      <c r="DC217">
        <f>ROUND((ROUND(AT217*AG217,2)*1.2),6)</f>
        <v>0</v>
      </c>
      <c r="DD217" t="s">
        <v>3</v>
      </c>
      <c r="DE217" t="s">
        <v>3</v>
      </c>
      <c r="DF217">
        <f t="shared" ref="DF217:DF223" si="138">ROUND(ROUND(AE217,2)*CX217,2)</f>
        <v>0</v>
      </c>
      <c r="DG217">
        <f t="shared" si="136"/>
        <v>0</v>
      </c>
      <c r="DH217">
        <f t="shared" si="137"/>
        <v>0</v>
      </c>
      <c r="DI217">
        <f t="shared" si="127"/>
        <v>0</v>
      </c>
      <c r="DJ217">
        <f>DI217</f>
        <v>0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ROW(Source!A107)</f>
        <v>107</v>
      </c>
      <c r="B218">
        <v>55917797</v>
      </c>
      <c r="C218">
        <v>55918048</v>
      </c>
      <c r="D218">
        <v>55459907</v>
      </c>
      <c r="E218">
        <v>1</v>
      </c>
      <c r="F218">
        <v>1</v>
      </c>
      <c r="G218">
        <v>1081</v>
      </c>
      <c r="H218">
        <v>3</v>
      </c>
      <c r="I218" t="s">
        <v>413</v>
      </c>
      <c r="J218" t="s">
        <v>414</v>
      </c>
      <c r="K218" t="s">
        <v>415</v>
      </c>
      <c r="L218">
        <v>1348</v>
      </c>
      <c r="N218">
        <v>1009</v>
      </c>
      <c r="O218" t="s">
        <v>345</v>
      </c>
      <c r="P218" t="s">
        <v>345</v>
      </c>
      <c r="Q218">
        <v>1000</v>
      </c>
      <c r="W218">
        <v>0</v>
      </c>
      <c r="X218">
        <v>-921548447</v>
      </c>
      <c r="Y218">
        <f>(AT218*1)</f>
        <v>6.0000000000000001E-3</v>
      </c>
      <c r="AA218">
        <v>7246.05</v>
      </c>
      <c r="AB218">
        <v>0</v>
      </c>
      <c r="AC218">
        <v>0</v>
      </c>
      <c r="AD218">
        <v>0</v>
      </c>
      <c r="AE218">
        <v>7246.05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-2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6.0000000000000001E-3</v>
      </c>
      <c r="AU218" t="s">
        <v>55</v>
      </c>
      <c r="AV218">
        <v>0</v>
      </c>
      <c r="AW218">
        <v>2</v>
      </c>
      <c r="AX218">
        <v>55918050</v>
      </c>
      <c r="AY218">
        <v>1</v>
      </c>
      <c r="AZ218">
        <v>0</v>
      </c>
      <c r="BA218">
        <v>246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ROUND(Y218*Source!I107,9)</f>
        <v>4.2000000000000002E-4</v>
      </c>
      <c r="CY218">
        <f>AA218</f>
        <v>7246.05</v>
      </c>
      <c r="CZ218">
        <f>AE218</f>
        <v>7246.05</v>
      </c>
      <c r="DA218">
        <f>AI218</f>
        <v>1</v>
      </c>
      <c r="DB218">
        <f>ROUND((ROUND(AT218*CZ218,2)*1),6)</f>
        <v>43.48</v>
      </c>
      <c r="DC218">
        <f>ROUND((ROUND(AT218*AG218,2)*1),6)</f>
        <v>0</v>
      </c>
      <c r="DD218" t="s">
        <v>3</v>
      </c>
      <c r="DE218" t="s">
        <v>3</v>
      </c>
      <c r="DF218">
        <f t="shared" si="138"/>
        <v>3.04</v>
      </c>
      <c r="DG218">
        <f t="shared" si="136"/>
        <v>0</v>
      </c>
      <c r="DH218">
        <f t="shared" si="137"/>
        <v>0</v>
      </c>
      <c r="DI218">
        <f t="shared" si="127"/>
        <v>0</v>
      </c>
      <c r="DJ218">
        <f>DF218</f>
        <v>3.04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ROW(Source!A107)</f>
        <v>107</v>
      </c>
      <c r="B219">
        <v>55917797</v>
      </c>
      <c r="C219">
        <v>55918048</v>
      </c>
      <c r="D219">
        <v>55460316</v>
      </c>
      <c r="E219">
        <v>1</v>
      </c>
      <c r="F219">
        <v>1</v>
      </c>
      <c r="G219">
        <v>1081</v>
      </c>
      <c r="H219">
        <v>3</v>
      </c>
      <c r="I219" t="s">
        <v>416</v>
      </c>
      <c r="J219" t="s">
        <v>417</v>
      </c>
      <c r="K219" t="s">
        <v>418</v>
      </c>
      <c r="L219">
        <v>1346</v>
      </c>
      <c r="N219">
        <v>1009</v>
      </c>
      <c r="O219" t="s">
        <v>316</v>
      </c>
      <c r="P219" t="s">
        <v>316</v>
      </c>
      <c r="Q219">
        <v>1</v>
      </c>
      <c r="W219">
        <v>0</v>
      </c>
      <c r="X219">
        <v>-1613042688</v>
      </c>
      <c r="Y219">
        <f>(AT219*1)</f>
        <v>0.2</v>
      </c>
      <c r="AA219">
        <v>104.63</v>
      </c>
      <c r="AB219">
        <v>0</v>
      </c>
      <c r="AC219">
        <v>0</v>
      </c>
      <c r="AD219">
        <v>0</v>
      </c>
      <c r="AE219">
        <v>104.63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0.2</v>
      </c>
      <c r="AU219" t="s">
        <v>55</v>
      </c>
      <c r="AV219">
        <v>0</v>
      </c>
      <c r="AW219">
        <v>2</v>
      </c>
      <c r="AX219">
        <v>55918051</v>
      </c>
      <c r="AY219">
        <v>1</v>
      </c>
      <c r="AZ219">
        <v>0</v>
      </c>
      <c r="BA219">
        <v>247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ROUND(Y219*Source!I107,9)</f>
        <v>1.4E-2</v>
      </c>
      <c r="CY219">
        <f>AA219</f>
        <v>104.63</v>
      </c>
      <c r="CZ219">
        <f>AE219</f>
        <v>104.63</v>
      </c>
      <c r="DA219">
        <f>AI219</f>
        <v>1</v>
      </c>
      <c r="DB219">
        <f>ROUND((ROUND(AT219*CZ219,2)*1),6)</f>
        <v>20.93</v>
      </c>
      <c r="DC219">
        <f>ROUND((ROUND(AT219*AG219,2)*1),6)</f>
        <v>0</v>
      </c>
      <c r="DD219" t="s">
        <v>3</v>
      </c>
      <c r="DE219" t="s">
        <v>3</v>
      </c>
      <c r="DF219">
        <f t="shared" si="138"/>
        <v>1.46</v>
      </c>
      <c r="DG219">
        <f t="shared" si="136"/>
        <v>0</v>
      </c>
      <c r="DH219">
        <f t="shared" si="137"/>
        <v>0</v>
      </c>
      <c r="DI219">
        <f t="shared" si="127"/>
        <v>0</v>
      </c>
      <c r="DJ219">
        <f>DF219</f>
        <v>1.46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ROW(Source!A107)</f>
        <v>107</v>
      </c>
      <c r="B220">
        <v>55917797</v>
      </c>
      <c r="C220">
        <v>55918048</v>
      </c>
      <c r="D220">
        <v>55461791</v>
      </c>
      <c r="E220">
        <v>1</v>
      </c>
      <c r="F220">
        <v>1</v>
      </c>
      <c r="G220">
        <v>1081</v>
      </c>
      <c r="H220">
        <v>3</v>
      </c>
      <c r="I220" t="s">
        <v>419</v>
      </c>
      <c r="J220" t="s">
        <v>420</v>
      </c>
      <c r="K220" t="s">
        <v>421</v>
      </c>
      <c r="L220">
        <v>1355</v>
      </c>
      <c r="N220">
        <v>1010</v>
      </c>
      <c r="O220" t="s">
        <v>49</v>
      </c>
      <c r="P220" t="s">
        <v>49</v>
      </c>
      <c r="Q220">
        <v>100</v>
      </c>
      <c r="W220">
        <v>0</v>
      </c>
      <c r="X220">
        <v>-429645653</v>
      </c>
      <c r="Y220">
        <f>(AT220*1)</f>
        <v>2</v>
      </c>
      <c r="AA220">
        <v>10.6</v>
      </c>
      <c r="AB220">
        <v>0</v>
      </c>
      <c r="AC220">
        <v>0</v>
      </c>
      <c r="AD220">
        <v>0</v>
      </c>
      <c r="AE220">
        <v>10.6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-2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2</v>
      </c>
      <c r="AU220" t="s">
        <v>55</v>
      </c>
      <c r="AV220">
        <v>0</v>
      </c>
      <c r="AW220">
        <v>2</v>
      </c>
      <c r="AX220">
        <v>55918052</v>
      </c>
      <c r="AY220">
        <v>1</v>
      </c>
      <c r="AZ220">
        <v>0</v>
      </c>
      <c r="BA220">
        <v>248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ROUND(Y220*Source!I107,9)</f>
        <v>0.14000000000000001</v>
      </c>
      <c r="CY220">
        <f>AA220</f>
        <v>10.6</v>
      </c>
      <c r="CZ220">
        <f>AE220</f>
        <v>10.6</v>
      </c>
      <c r="DA220">
        <f>AI220</f>
        <v>1</v>
      </c>
      <c r="DB220">
        <f>ROUND((ROUND(AT220*CZ220,2)*1),6)</f>
        <v>21.2</v>
      </c>
      <c r="DC220">
        <f>ROUND((ROUND(AT220*AG220,2)*1),6)</f>
        <v>0</v>
      </c>
      <c r="DD220" t="s">
        <v>3</v>
      </c>
      <c r="DE220" t="s">
        <v>3</v>
      </c>
      <c r="DF220">
        <f t="shared" si="138"/>
        <v>1.48</v>
      </c>
      <c r="DG220">
        <f t="shared" si="136"/>
        <v>0</v>
      </c>
      <c r="DH220">
        <f t="shared" si="137"/>
        <v>0</v>
      </c>
      <c r="DI220">
        <f t="shared" si="127"/>
        <v>0</v>
      </c>
      <c r="DJ220">
        <f>DF220</f>
        <v>1.48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ROW(Source!A107)</f>
        <v>107</v>
      </c>
      <c r="B221">
        <v>55917797</v>
      </c>
      <c r="C221">
        <v>55918048</v>
      </c>
      <c r="D221">
        <v>55477372</v>
      </c>
      <c r="E221">
        <v>1</v>
      </c>
      <c r="F221">
        <v>1</v>
      </c>
      <c r="G221">
        <v>1081</v>
      </c>
      <c r="H221">
        <v>3</v>
      </c>
      <c r="I221" t="s">
        <v>185</v>
      </c>
      <c r="J221" t="s">
        <v>187</v>
      </c>
      <c r="K221" t="s">
        <v>186</v>
      </c>
      <c r="L221">
        <v>1354</v>
      </c>
      <c r="N221">
        <v>1010</v>
      </c>
      <c r="O221" t="s">
        <v>164</v>
      </c>
      <c r="P221" t="s">
        <v>164</v>
      </c>
      <c r="Q221">
        <v>1</v>
      </c>
      <c r="W221">
        <v>0</v>
      </c>
      <c r="X221">
        <v>-957217489</v>
      </c>
      <c r="Y221">
        <f>(AT221*1)</f>
        <v>100</v>
      </c>
      <c r="AA221">
        <v>29.6</v>
      </c>
      <c r="AB221">
        <v>0</v>
      </c>
      <c r="AC221">
        <v>0</v>
      </c>
      <c r="AD221">
        <v>0</v>
      </c>
      <c r="AE221">
        <v>29.6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 t="s">
        <v>3</v>
      </c>
      <c r="AT221">
        <v>100</v>
      </c>
      <c r="AU221" t="s">
        <v>55</v>
      </c>
      <c r="AV221">
        <v>0</v>
      </c>
      <c r="AW221">
        <v>1</v>
      </c>
      <c r="AX221">
        <v>-1</v>
      </c>
      <c r="AY221">
        <v>0</v>
      </c>
      <c r="AZ221">
        <v>0</v>
      </c>
      <c r="BA221" t="s">
        <v>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ROUND(Y221*Source!I107,9)</f>
        <v>7</v>
      </c>
      <c r="CY221">
        <f>AA221</f>
        <v>29.6</v>
      </c>
      <c r="CZ221">
        <f>AE221</f>
        <v>29.6</v>
      </c>
      <c r="DA221">
        <f>AI221</f>
        <v>1</v>
      </c>
      <c r="DB221">
        <f>ROUND((ROUND(AT221*CZ221,2)*1),6)</f>
        <v>2960</v>
      </c>
      <c r="DC221">
        <f>ROUND((ROUND(AT221*AG221,2)*1),6)</f>
        <v>0</v>
      </c>
      <c r="DD221" t="s">
        <v>3</v>
      </c>
      <c r="DE221" t="s">
        <v>3</v>
      </c>
      <c r="DF221">
        <f t="shared" si="138"/>
        <v>207.2</v>
      </c>
      <c r="DG221">
        <f t="shared" si="136"/>
        <v>0</v>
      </c>
      <c r="DH221">
        <f t="shared" si="137"/>
        <v>0</v>
      </c>
      <c r="DI221">
        <f t="shared" si="127"/>
        <v>0</v>
      </c>
      <c r="DJ221">
        <f>DF221</f>
        <v>207.2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ROW(Source!A107)</f>
        <v>107</v>
      </c>
      <c r="B222">
        <v>55917797</v>
      </c>
      <c r="C222">
        <v>55918048</v>
      </c>
      <c r="D222">
        <v>55424290</v>
      </c>
      <c r="E222">
        <v>1081</v>
      </c>
      <c r="F222">
        <v>1</v>
      </c>
      <c r="G222">
        <v>1081</v>
      </c>
      <c r="H222">
        <v>3</v>
      </c>
      <c r="I222" t="s">
        <v>371</v>
      </c>
      <c r="J222" t="s">
        <v>3</v>
      </c>
      <c r="K222" t="s">
        <v>372</v>
      </c>
      <c r="L222">
        <v>1348</v>
      </c>
      <c r="N222">
        <v>1009</v>
      </c>
      <c r="O222" t="s">
        <v>345</v>
      </c>
      <c r="P222" t="s">
        <v>345</v>
      </c>
      <c r="Q222">
        <v>1000</v>
      </c>
      <c r="W222">
        <v>0</v>
      </c>
      <c r="X222">
        <v>-783086922</v>
      </c>
      <c r="Y222">
        <f>(AT222*1)</f>
        <v>0.03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0.03</v>
      </c>
      <c r="AU222" t="s">
        <v>55</v>
      </c>
      <c r="AV222">
        <v>0</v>
      </c>
      <c r="AW222">
        <v>2</v>
      </c>
      <c r="AX222">
        <v>55918054</v>
      </c>
      <c r="AY222">
        <v>1</v>
      </c>
      <c r="AZ222">
        <v>0</v>
      </c>
      <c r="BA222">
        <v>250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ROUND(Y222*Source!I107,9)</f>
        <v>2.0999999999999999E-3</v>
      </c>
      <c r="CY222">
        <f>AA222</f>
        <v>0</v>
      </c>
      <c r="CZ222">
        <f>AE222</f>
        <v>0</v>
      </c>
      <c r="DA222">
        <f>AI222</f>
        <v>1</v>
      </c>
      <c r="DB222">
        <f>ROUND((ROUND(AT222*CZ222,2)*1),6)</f>
        <v>0</v>
      </c>
      <c r="DC222">
        <f>ROUND((ROUND(AT222*AG222,2)*1),6)</f>
        <v>0</v>
      </c>
      <c r="DD222" t="s">
        <v>3</v>
      </c>
      <c r="DE222" t="s">
        <v>3</v>
      </c>
      <c r="DF222">
        <f t="shared" si="138"/>
        <v>0</v>
      </c>
      <c r="DG222">
        <f t="shared" si="136"/>
        <v>0</v>
      </c>
      <c r="DH222">
        <f t="shared" si="137"/>
        <v>0</v>
      </c>
      <c r="DI222">
        <f t="shared" si="127"/>
        <v>0</v>
      </c>
      <c r="DJ222">
        <f>DF222</f>
        <v>0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ROW(Source!A108)</f>
        <v>108</v>
      </c>
      <c r="B223">
        <v>55917799</v>
      </c>
      <c r="C223">
        <v>55918048</v>
      </c>
      <c r="D223">
        <v>55424304</v>
      </c>
      <c r="E223">
        <v>1081</v>
      </c>
      <c r="F223">
        <v>1</v>
      </c>
      <c r="G223">
        <v>1081</v>
      </c>
      <c r="H223">
        <v>1</v>
      </c>
      <c r="I223" t="s">
        <v>339</v>
      </c>
      <c r="J223" t="s">
        <v>3</v>
      </c>
      <c r="K223" t="s">
        <v>340</v>
      </c>
      <c r="L223">
        <v>1191</v>
      </c>
      <c r="N223">
        <v>1013</v>
      </c>
      <c r="O223" t="s">
        <v>341</v>
      </c>
      <c r="P223" t="s">
        <v>341</v>
      </c>
      <c r="Q223">
        <v>1</v>
      </c>
      <c r="W223">
        <v>0</v>
      </c>
      <c r="X223">
        <v>476480486</v>
      </c>
      <c r="Y223">
        <f>(AT223*1.2)</f>
        <v>28.799999999999997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5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24</v>
      </c>
      <c r="AU223" t="s">
        <v>56</v>
      </c>
      <c r="AV223">
        <v>1</v>
      </c>
      <c r="AW223">
        <v>2</v>
      </c>
      <c r="AX223">
        <v>55918049</v>
      </c>
      <c r="AY223">
        <v>1</v>
      </c>
      <c r="AZ223">
        <v>0</v>
      </c>
      <c r="BA223">
        <v>251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U223">
        <f>ROUND(AT223*Source!I108*AH223*AL223,2)</f>
        <v>0</v>
      </c>
      <c r="CV223">
        <f>ROUND(Y223*Source!I108,9)</f>
        <v>2.016</v>
      </c>
      <c r="CW223">
        <v>0</v>
      </c>
      <c r="CX223">
        <f>ROUND(Y223*Source!I108,9)</f>
        <v>2.016</v>
      </c>
      <c r="CY223">
        <f>AD223</f>
        <v>0</v>
      </c>
      <c r="CZ223">
        <f>AH223</f>
        <v>0</v>
      </c>
      <c r="DA223">
        <f>AL223</f>
        <v>1</v>
      </c>
      <c r="DB223">
        <f>ROUND((ROUND(AT223*CZ223,2)*1.2),6)</f>
        <v>0</v>
      </c>
      <c r="DC223">
        <f>ROUND((ROUND(AT223*AG223,2)*1.2),6)</f>
        <v>0</v>
      </c>
      <c r="DD223" t="s">
        <v>3</v>
      </c>
      <c r="DE223" t="s">
        <v>3</v>
      </c>
      <c r="DF223">
        <f t="shared" si="138"/>
        <v>0</v>
      </c>
      <c r="DG223">
        <f t="shared" si="136"/>
        <v>0</v>
      </c>
      <c r="DH223">
        <f t="shared" si="137"/>
        <v>0</v>
      </c>
      <c r="DI223">
        <f t="shared" si="127"/>
        <v>0</v>
      </c>
      <c r="DJ223">
        <f>DI223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ROW(Source!A108)</f>
        <v>108</v>
      </c>
      <c r="B224">
        <v>55917799</v>
      </c>
      <c r="C224">
        <v>55918048</v>
      </c>
      <c r="D224">
        <v>55459907</v>
      </c>
      <c r="E224">
        <v>1</v>
      </c>
      <c r="F224">
        <v>1</v>
      </c>
      <c r="G224">
        <v>1081</v>
      </c>
      <c r="H224">
        <v>3</v>
      </c>
      <c r="I224" t="s">
        <v>413</v>
      </c>
      <c r="J224" t="s">
        <v>414</v>
      </c>
      <c r="K224" t="s">
        <v>415</v>
      </c>
      <c r="L224">
        <v>1348</v>
      </c>
      <c r="N224">
        <v>1009</v>
      </c>
      <c r="O224" t="s">
        <v>345</v>
      </c>
      <c r="P224" t="s">
        <v>345</v>
      </c>
      <c r="Q224">
        <v>1000</v>
      </c>
      <c r="W224">
        <v>0</v>
      </c>
      <c r="X224">
        <v>-921548447</v>
      </c>
      <c r="Y224">
        <f>(AT224*1)</f>
        <v>6.0000000000000001E-3</v>
      </c>
      <c r="AA224">
        <v>60649.440000000002</v>
      </c>
      <c r="AB224">
        <v>0</v>
      </c>
      <c r="AC224">
        <v>0</v>
      </c>
      <c r="AD224">
        <v>0</v>
      </c>
      <c r="AE224">
        <v>7246.05</v>
      </c>
      <c r="AF224">
        <v>0</v>
      </c>
      <c r="AG224">
        <v>0</v>
      </c>
      <c r="AH224">
        <v>0</v>
      </c>
      <c r="AI224">
        <v>8.3699999999999992</v>
      </c>
      <c r="AJ224">
        <v>1</v>
      </c>
      <c r="AK224">
        <v>1</v>
      </c>
      <c r="AL224">
        <v>1</v>
      </c>
      <c r="AM224">
        <v>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6.0000000000000001E-3</v>
      </c>
      <c r="AU224" t="s">
        <v>55</v>
      </c>
      <c r="AV224">
        <v>0</v>
      </c>
      <c r="AW224">
        <v>2</v>
      </c>
      <c r="AX224">
        <v>55918050</v>
      </c>
      <c r="AY224">
        <v>1</v>
      </c>
      <c r="AZ224">
        <v>0</v>
      </c>
      <c r="BA224">
        <v>252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ROUND(Y224*Source!I108,9)</f>
        <v>4.2000000000000002E-4</v>
      </c>
      <c r="CY224">
        <f>AA224</f>
        <v>60649.440000000002</v>
      </c>
      <c r="CZ224">
        <f>AE224</f>
        <v>7246.05</v>
      </c>
      <c r="DA224">
        <f>AI224</f>
        <v>8.3699999999999992</v>
      </c>
      <c r="DB224">
        <f>ROUND((ROUND(AT224*CZ224,2)*1),6)</f>
        <v>43.48</v>
      </c>
      <c r="DC224">
        <f>ROUND((ROUND(AT224*AG224,2)*1),6)</f>
        <v>0</v>
      </c>
      <c r="DD224" t="s">
        <v>3</v>
      </c>
      <c r="DE224" t="s">
        <v>3</v>
      </c>
      <c r="DF224">
        <f>ROUND(ROUND(AE224*AI224,2)*CX224,2)</f>
        <v>25.47</v>
      </c>
      <c r="DG224">
        <f t="shared" si="136"/>
        <v>0</v>
      </c>
      <c r="DH224">
        <f t="shared" si="137"/>
        <v>0</v>
      </c>
      <c r="DI224">
        <f t="shared" si="127"/>
        <v>0</v>
      </c>
      <c r="DJ224">
        <f>DF224</f>
        <v>25.47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ROW(Source!A108)</f>
        <v>108</v>
      </c>
      <c r="B225">
        <v>55917799</v>
      </c>
      <c r="C225">
        <v>55918048</v>
      </c>
      <c r="D225">
        <v>55460316</v>
      </c>
      <c r="E225">
        <v>1</v>
      </c>
      <c r="F225">
        <v>1</v>
      </c>
      <c r="G225">
        <v>1081</v>
      </c>
      <c r="H225">
        <v>3</v>
      </c>
      <c r="I225" t="s">
        <v>416</v>
      </c>
      <c r="J225" t="s">
        <v>417</v>
      </c>
      <c r="K225" t="s">
        <v>418</v>
      </c>
      <c r="L225">
        <v>1346</v>
      </c>
      <c r="N225">
        <v>1009</v>
      </c>
      <c r="O225" t="s">
        <v>316</v>
      </c>
      <c r="P225" t="s">
        <v>316</v>
      </c>
      <c r="Q225">
        <v>1</v>
      </c>
      <c r="W225">
        <v>0</v>
      </c>
      <c r="X225">
        <v>-1613042688</v>
      </c>
      <c r="Y225">
        <f>(AT225*1)</f>
        <v>0.2</v>
      </c>
      <c r="AA225">
        <v>183.1</v>
      </c>
      <c r="AB225">
        <v>0</v>
      </c>
      <c r="AC225">
        <v>0</v>
      </c>
      <c r="AD225">
        <v>0</v>
      </c>
      <c r="AE225">
        <v>104.63</v>
      </c>
      <c r="AF225">
        <v>0</v>
      </c>
      <c r="AG225">
        <v>0</v>
      </c>
      <c r="AH225">
        <v>0</v>
      </c>
      <c r="AI225">
        <v>1.75</v>
      </c>
      <c r="AJ225">
        <v>1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0.2</v>
      </c>
      <c r="AU225" t="s">
        <v>55</v>
      </c>
      <c r="AV225">
        <v>0</v>
      </c>
      <c r="AW225">
        <v>2</v>
      </c>
      <c r="AX225">
        <v>55918051</v>
      </c>
      <c r="AY225">
        <v>1</v>
      </c>
      <c r="AZ225">
        <v>0</v>
      </c>
      <c r="BA225">
        <v>253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ROUND(Y225*Source!I108,9)</f>
        <v>1.4E-2</v>
      </c>
      <c r="CY225">
        <f>AA225</f>
        <v>183.1</v>
      </c>
      <c r="CZ225">
        <f>AE225</f>
        <v>104.63</v>
      </c>
      <c r="DA225">
        <f>AI225</f>
        <v>1.75</v>
      </c>
      <c r="DB225">
        <f>ROUND((ROUND(AT225*CZ225,2)*1),6)</f>
        <v>20.93</v>
      </c>
      <c r="DC225">
        <f>ROUND((ROUND(AT225*AG225,2)*1),6)</f>
        <v>0</v>
      </c>
      <c r="DD225" t="s">
        <v>3</v>
      </c>
      <c r="DE225" t="s">
        <v>3</v>
      </c>
      <c r="DF225">
        <f>ROUND(ROUND(AE225*AI225,2)*CX225,2)</f>
        <v>2.56</v>
      </c>
      <c r="DG225">
        <f t="shared" si="136"/>
        <v>0</v>
      </c>
      <c r="DH225">
        <f t="shared" si="137"/>
        <v>0</v>
      </c>
      <c r="DI225">
        <f t="shared" si="127"/>
        <v>0</v>
      </c>
      <c r="DJ225">
        <f>DF225</f>
        <v>2.56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ROW(Source!A108)</f>
        <v>108</v>
      </c>
      <c r="B226">
        <v>55917799</v>
      </c>
      <c r="C226">
        <v>55918048</v>
      </c>
      <c r="D226">
        <v>55461791</v>
      </c>
      <c r="E226">
        <v>1</v>
      </c>
      <c r="F226">
        <v>1</v>
      </c>
      <c r="G226">
        <v>1081</v>
      </c>
      <c r="H226">
        <v>3</v>
      </c>
      <c r="I226" t="s">
        <v>419</v>
      </c>
      <c r="J226" t="s">
        <v>420</v>
      </c>
      <c r="K226" t="s">
        <v>421</v>
      </c>
      <c r="L226">
        <v>1355</v>
      </c>
      <c r="N226">
        <v>1010</v>
      </c>
      <c r="O226" t="s">
        <v>49</v>
      </c>
      <c r="P226" t="s">
        <v>49</v>
      </c>
      <c r="Q226">
        <v>100</v>
      </c>
      <c r="W226">
        <v>0</v>
      </c>
      <c r="X226">
        <v>-429645653</v>
      </c>
      <c r="Y226">
        <f>(AT226*1)</f>
        <v>2</v>
      </c>
      <c r="AA226">
        <v>16.43</v>
      </c>
      <c r="AB226">
        <v>0</v>
      </c>
      <c r="AC226">
        <v>0</v>
      </c>
      <c r="AD226">
        <v>0</v>
      </c>
      <c r="AE226">
        <v>10.6</v>
      </c>
      <c r="AF226">
        <v>0</v>
      </c>
      <c r="AG226">
        <v>0</v>
      </c>
      <c r="AH226">
        <v>0</v>
      </c>
      <c r="AI226">
        <v>1.55</v>
      </c>
      <c r="AJ226">
        <v>1</v>
      </c>
      <c r="AK226">
        <v>1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2</v>
      </c>
      <c r="AU226" t="s">
        <v>55</v>
      </c>
      <c r="AV226">
        <v>0</v>
      </c>
      <c r="AW226">
        <v>2</v>
      </c>
      <c r="AX226">
        <v>55918052</v>
      </c>
      <c r="AY226">
        <v>1</v>
      </c>
      <c r="AZ226">
        <v>0</v>
      </c>
      <c r="BA226">
        <v>254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ROUND(Y226*Source!I108,9)</f>
        <v>0.14000000000000001</v>
      </c>
      <c r="CY226">
        <f>AA226</f>
        <v>16.43</v>
      </c>
      <c r="CZ226">
        <f>AE226</f>
        <v>10.6</v>
      </c>
      <c r="DA226">
        <f>AI226</f>
        <v>1.55</v>
      </c>
      <c r="DB226">
        <f>ROUND((ROUND(AT226*CZ226,2)*1),6)</f>
        <v>21.2</v>
      </c>
      <c r="DC226">
        <f>ROUND((ROUND(AT226*AG226,2)*1),6)</f>
        <v>0</v>
      </c>
      <c r="DD226" t="s">
        <v>3</v>
      </c>
      <c r="DE226" t="s">
        <v>3</v>
      </c>
      <c r="DF226">
        <f>ROUND(ROUND(AE226*AI226,2)*CX226,2)</f>
        <v>2.2999999999999998</v>
      </c>
      <c r="DG226">
        <f t="shared" si="136"/>
        <v>0</v>
      </c>
      <c r="DH226">
        <f t="shared" si="137"/>
        <v>0</v>
      </c>
      <c r="DI226">
        <f t="shared" si="127"/>
        <v>0</v>
      </c>
      <c r="DJ226">
        <f>DF226</f>
        <v>2.2999999999999998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ROW(Source!A108)</f>
        <v>108</v>
      </c>
      <c r="B227">
        <v>55917799</v>
      </c>
      <c r="C227">
        <v>55918048</v>
      </c>
      <c r="D227">
        <v>55477372</v>
      </c>
      <c r="E227">
        <v>1</v>
      </c>
      <c r="F227">
        <v>1</v>
      </c>
      <c r="G227">
        <v>1081</v>
      </c>
      <c r="H227">
        <v>3</v>
      </c>
      <c r="I227" t="s">
        <v>185</v>
      </c>
      <c r="J227" t="s">
        <v>187</v>
      </c>
      <c r="K227" t="s">
        <v>186</v>
      </c>
      <c r="L227">
        <v>1354</v>
      </c>
      <c r="N227">
        <v>1010</v>
      </c>
      <c r="O227" t="s">
        <v>164</v>
      </c>
      <c r="P227" t="s">
        <v>164</v>
      </c>
      <c r="Q227">
        <v>1</v>
      </c>
      <c r="W227">
        <v>0</v>
      </c>
      <c r="X227">
        <v>-957217489</v>
      </c>
      <c r="Y227">
        <f>(AT227*1)</f>
        <v>100</v>
      </c>
      <c r="AA227">
        <v>182.63</v>
      </c>
      <c r="AB227">
        <v>0</v>
      </c>
      <c r="AC227">
        <v>0</v>
      </c>
      <c r="AD227">
        <v>0</v>
      </c>
      <c r="AE227">
        <v>29.6</v>
      </c>
      <c r="AF227">
        <v>0</v>
      </c>
      <c r="AG227">
        <v>0</v>
      </c>
      <c r="AH227">
        <v>0</v>
      </c>
      <c r="AI227">
        <v>6.17</v>
      </c>
      <c r="AJ227">
        <v>1</v>
      </c>
      <c r="AK227">
        <v>1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 t="s">
        <v>3</v>
      </c>
      <c r="AT227">
        <v>100</v>
      </c>
      <c r="AU227" t="s">
        <v>55</v>
      </c>
      <c r="AV227">
        <v>0</v>
      </c>
      <c r="AW227">
        <v>1</v>
      </c>
      <c r="AX227">
        <v>-1</v>
      </c>
      <c r="AY227">
        <v>0</v>
      </c>
      <c r="AZ227">
        <v>0</v>
      </c>
      <c r="BA227" t="s">
        <v>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ROUND(Y227*Source!I108,9)</f>
        <v>7</v>
      </c>
      <c r="CY227">
        <f>AA227</f>
        <v>182.63</v>
      </c>
      <c r="CZ227">
        <f>AE227</f>
        <v>29.6</v>
      </c>
      <c r="DA227">
        <f>AI227</f>
        <v>6.17</v>
      </c>
      <c r="DB227">
        <f>ROUND((ROUND(AT227*CZ227,2)*1),6)</f>
        <v>2960</v>
      </c>
      <c r="DC227">
        <f>ROUND((ROUND(AT227*AG227,2)*1),6)</f>
        <v>0</v>
      </c>
      <c r="DD227" t="s">
        <v>3</v>
      </c>
      <c r="DE227" t="s">
        <v>3</v>
      </c>
      <c r="DF227">
        <f>ROUND(ROUND(AE227*AI227,2)*CX227,2)</f>
        <v>1278.4100000000001</v>
      </c>
      <c r="DG227">
        <f t="shared" si="136"/>
        <v>0</v>
      </c>
      <c r="DH227">
        <f t="shared" si="137"/>
        <v>0</v>
      </c>
      <c r="DI227">
        <f t="shared" si="127"/>
        <v>0</v>
      </c>
      <c r="DJ227">
        <f>DF227</f>
        <v>1278.4100000000001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ROW(Source!A108)</f>
        <v>108</v>
      </c>
      <c r="B228">
        <v>55917799</v>
      </c>
      <c r="C228">
        <v>55918048</v>
      </c>
      <c r="D228">
        <v>55424290</v>
      </c>
      <c r="E228">
        <v>1081</v>
      </c>
      <c r="F228">
        <v>1</v>
      </c>
      <c r="G228">
        <v>1081</v>
      </c>
      <c r="H228">
        <v>3</v>
      </c>
      <c r="I228" t="s">
        <v>371</v>
      </c>
      <c r="J228" t="s">
        <v>3</v>
      </c>
      <c r="K228" t="s">
        <v>372</v>
      </c>
      <c r="L228">
        <v>1348</v>
      </c>
      <c r="N228">
        <v>1009</v>
      </c>
      <c r="O228" t="s">
        <v>345</v>
      </c>
      <c r="P228" t="s">
        <v>345</v>
      </c>
      <c r="Q228">
        <v>1000</v>
      </c>
      <c r="W228">
        <v>0</v>
      </c>
      <c r="X228">
        <v>-783086922</v>
      </c>
      <c r="Y228">
        <f>(AT228*1)</f>
        <v>0.03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9.84</v>
      </c>
      <c r="AJ228">
        <v>1</v>
      </c>
      <c r="AK228">
        <v>1</v>
      </c>
      <c r="AL228">
        <v>1</v>
      </c>
      <c r="AM228">
        <v>5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0.03</v>
      </c>
      <c r="AU228" t="s">
        <v>55</v>
      </c>
      <c r="AV228">
        <v>0</v>
      </c>
      <c r="AW228">
        <v>2</v>
      </c>
      <c r="AX228">
        <v>55918054</v>
      </c>
      <c r="AY228">
        <v>1</v>
      </c>
      <c r="AZ228">
        <v>0</v>
      </c>
      <c r="BA228">
        <v>256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ROUND(Y228*Source!I108,9)</f>
        <v>2.0999999999999999E-3</v>
      </c>
      <c r="CY228">
        <f>AA228</f>
        <v>0</v>
      </c>
      <c r="CZ228">
        <f>AE228</f>
        <v>0</v>
      </c>
      <c r="DA228">
        <f>AI228</f>
        <v>9.84</v>
      </c>
      <c r="DB228">
        <f>ROUND((ROUND(AT228*CZ228,2)*1),6)</f>
        <v>0</v>
      </c>
      <c r="DC228">
        <f>ROUND((ROUND(AT228*AG228,2)*1),6)</f>
        <v>0</v>
      </c>
      <c r="DD228" t="s">
        <v>3</v>
      </c>
      <c r="DE228" t="s">
        <v>3</v>
      </c>
      <c r="DF228">
        <f>ROUND(ROUND(AE228*AI228,2)*CX228,2)</f>
        <v>0</v>
      </c>
      <c r="DG228">
        <f t="shared" si="136"/>
        <v>0</v>
      </c>
      <c r="DH228">
        <f t="shared" si="137"/>
        <v>0</v>
      </c>
      <c r="DI228">
        <f t="shared" si="127"/>
        <v>0</v>
      </c>
      <c r="DJ228">
        <f>DF228</f>
        <v>0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ROW(Source!A111)</f>
        <v>111</v>
      </c>
      <c r="B229">
        <v>55917797</v>
      </c>
      <c r="C229">
        <v>55918056</v>
      </c>
      <c r="D229">
        <v>55424304</v>
      </c>
      <c r="E229">
        <v>1081</v>
      </c>
      <c r="F229">
        <v>1</v>
      </c>
      <c r="G229">
        <v>1081</v>
      </c>
      <c r="H229">
        <v>1</v>
      </c>
      <c r="I229" t="s">
        <v>339</v>
      </c>
      <c r="J229" t="s">
        <v>3</v>
      </c>
      <c r="K229" t="s">
        <v>340</v>
      </c>
      <c r="L229">
        <v>1191</v>
      </c>
      <c r="N229">
        <v>1013</v>
      </c>
      <c r="O229" t="s">
        <v>341</v>
      </c>
      <c r="P229" t="s">
        <v>341</v>
      </c>
      <c r="Q229">
        <v>1</v>
      </c>
      <c r="W229">
        <v>0</v>
      </c>
      <c r="X229">
        <v>476480486</v>
      </c>
      <c r="Y229">
        <f>(AT229*1.2)</f>
        <v>22.608000000000001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18.84</v>
      </c>
      <c r="AU229" t="s">
        <v>56</v>
      </c>
      <c r="AV229">
        <v>1</v>
      </c>
      <c r="AW229">
        <v>2</v>
      </c>
      <c r="AX229">
        <v>55918057</v>
      </c>
      <c r="AY229">
        <v>1</v>
      </c>
      <c r="AZ229">
        <v>0</v>
      </c>
      <c r="BA229">
        <v>257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U229">
        <f>ROUND(AT229*Source!I111*AH229*AL229,2)</f>
        <v>0</v>
      </c>
      <c r="CV229">
        <f>ROUND(Y229*Source!I111,9)</f>
        <v>1.3564799999999999</v>
      </c>
      <c r="CW229">
        <v>0</v>
      </c>
      <c r="CX229">
        <f>ROUND(Y229*Source!I111,9)</f>
        <v>1.3564799999999999</v>
      </c>
      <c r="CY229">
        <f>AD229</f>
        <v>0</v>
      </c>
      <c r="CZ229">
        <f>AH229</f>
        <v>0</v>
      </c>
      <c r="DA229">
        <f>AL229</f>
        <v>1</v>
      </c>
      <c r="DB229">
        <f>ROUND((ROUND(AT229*CZ229,2)*1.2),6)</f>
        <v>0</v>
      </c>
      <c r="DC229">
        <f>ROUND((ROUND(AT229*AG229,2)*1.2),6)</f>
        <v>0</v>
      </c>
      <c r="DD229" t="s">
        <v>3</v>
      </c>
      <c r="DE229" t="s">
        <v>3</v>
      </c>
      <c r="DF229">
        <f>ROUND(ROUND(AE229,2)*CX229,2)</f>
        <v>0</v>
      </c>
      <c r="DG229">
        <f t="shared" si="136"/>
        <v>0</v>
      </c>
      <c r="DH229">
        <f t="shared" si="137"/>
        <v>0</v>
      </c>
      <c r="DI229">
        <f t="shared" si="127"/>
        <v>0</v>
      </c>
      <c r="DJ229">
        <f>DI229</f>
        <v>0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ROW(Source!A111)</f>
        <v>111</v>
      </c>
      <c r="B230">
        <v>55917797</v>
      </c>
      <c r="C230">
        <v>55918056</v>
      </c>
      <c r="D230">
        <v>55490209</v>
      </c>
      <c r="E230">
        <v>1</v>
      </c>
      <c r="F230">
        <v>1</v>
      </c>
      <c r="G230">
        <v>1081</v>
      </c>
      <c r="H230">
        <v>2</v>
      </c>
      <c r="I230" t="s">
        <v>422</v>
      </c>
      <c r="J230" t="s">
        <v>423</v>
      </c>
      <c r="K230" t="s">
        <v>424</v>
      </c>
      <c r="L230">
        <v>1368</v>
      </c>
      <c r="N230">
        <v>1011</v>
      </c>
      <c r="O230" t="s">
        <v>376</v>
      </c>
      <c r="P230" t="s">
        <v>376</v>
      </c>
      <c r="Q230">
        <v>1</v>
      </c>
      <c r="W230">
        <v>0</v>
      </c>
      <c r="X230">
        <v>874612079</v>
      </c>
      <c r="Y230">
        <f>(AT230*1.2)</f>
        <v>1.2E-2</v>
      </c>
      <c r="AA230">
        <v>0</v>
      </c>
      <c r="AB230">
        <v>87.01</v>
      </c>
      <c r="AC230">
        <v>13.21</v>
      </c>
      <c r="AD230">
        <v>0</v>
      </c>
      <c r="AE230">
        <v>0</v>
      </c>
      <c r="AF230">
        <v>83.1</v>
      </c>
      <c r="AG230">
        <v>12.62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0.01</v>
      </c>
      <c r="AU230" t="s">
        <v>56</v>
      </c>
      <c r="AV230">
        <v>0</v>
      </c>
      <c r="AW230">
        <v>2</v>
      </c>
      <c r="AX230">
        <v>55918058</v>
      </c>
      <c r="AY230">
        <v>1</v>
      </c>
      <c r="AZ230">
        <v>0</v>
      </c>
      <c r="BA230">
        <v>258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f>ROUND(Y230*Source!I111*DO230,9)</f>
        <v>9.0863999999999997E-3</v>
      </c>
      <c r="CX230">
        <f>ROUND(Y230*Source!I111,9)</f>
        <v>7.2000000000000005E-4</v>
      </c>
      <c r="CY230">
        <f>AB230</f>
        <v>87.01</v>
      </c>
      <c r="CZ230">
        <f>AF230</f>
        <v>83.1</v>
      </c>
      <c r="DA230">
        <f>AJ230</f>
        <v>1</v>
      </c>
      <c r="DB230">
        <f>ROUND((ROUND(AT230*CZ230,2)*1.2),6)</f>
        <v>0.996</v>
      </c>
      <c r="DC230">
        <f>ROUND((ROUND(AT230*AG230,2)*1.2),6)</f>
        <v>0.156</v>
      </c>
      <c r="DD230" t="s">
        <v>3</v>
      </c>
      <c r="DE230" t="s">
        <v>3</v>
      </c>
      <c r="DF230">
        <f>ROUND(ROUND(AE230,2)*CX230,2)</f>
        <v>0</v>
      </c>
      <c r="DG230">
        <f t="shared" si="136"/>
        <v>0.06</v>
      </c>
      <c r="DH230">
        <f t="shared" si="137"/>
        <v>0.01</v>
      </c>
      <c r="DI230">
        <f t="shared" si="127"/>
        <v>0</v>
      </c>
      <c r="DJ230">
        <f>DG230</f>
        <v>0.06</v>
      </c>
      <c r="DK230">
        <v>0</v>
      </c>
      <c r="DL230" t="s">
        <v>377</v>
      </c>
      <c r="DM230">
        <v>0</v>
      </c>
      <c r="DN230" t="s">
        <v>341</v>
      </c>
      <c r="DO230">
        <v>12.62</v>
      </c>
    </row>
    <row r="231" spans="1:119" x14ac:dyDescent="0.25">
      <c r="A231">
        <f>ROW(Source!A111)</f>
        <v>111</v>
      </c>
      <c r="B231">
        <v>55917797</v>
      </c>
      <c r="C231">
        <v>55918056</v>
      </c>
      <c r="D231">
        <v>55477376</v>
      </c>
      <c r="E231">
        <v>1</v>
      </c>
      <c r="F231">
        <v>1</v>
      </c>
      <c r="G231">
        <v>1081</v>
      </c>
      <c r="H231">
        <v>3</v>
      </c>
      <c r="I231" t="s">
        <v>195</v>
      </c>
      <c r="J231" t="s">
        <v>197</v>
      </c>
      <c r="K231" t="s">
        <v>196</v>
      </c>
      <c r="L231">
        <v>1354</v>
      </c>
      <c r="N231">
        <v>1010</v>
      </c>
      <c r="O231" t="s">
        <v>164</v>
      </c>
      <c r="P231" t="s">
        <v>164</v>
      </c>
      <c r="Q231">
        <v>1</v>
      </c>
      <c r="W231">
        <v>0</v>
      </c>
      <c r="X231">
        <v>249460735</v>
      </c>
      <c r="Y231">
        <f>(AT231*1)</f>
        <v>102</v>
      </c>
      <c r="AA231">
        <v>3.16</v>
      </c>
      <c r="AB231">
        <v>0</v>
      </c>
      <c r="AC231">
        <v>0</v>
      </c>
      <c r="AD231">
        <v>0</v>
      </c>
      <c r="AE231">
        <v>3.16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 t="s">
        <v>3</v>
      </c>
      <c r="AT231">
        <v>102</v>
      </c>
      <c r="AU231" t="s">
        <v>55</v>
      </c>
      <c r="AV231">
        <v>0</v>
      </c>
      <c r="AW231">
        <v>1</v>
      </c>
      <c r="AX231">
        <v>-1</v>
      </c>
      <c r="AY231">
        <v>0</v>
      </c>
      <c r="AZ231">
        <v>0</v>
      </c>
      <c r="BA231" t="s">
        <v>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ROUND(Y231*Source!I111,9)</f>
        <v>6.12</v>
      </c>
      <c r="CY231">
        <f>AA231</f>
        <v>3.16</v>
      </c>
      <c r="CZ231">
        <f>AE231</f>
        <v>3.16</v>
      </c>
      <c r="DA231">
        <f>AI231</f>
        <v>1</v>
      </c>
      <c r="DB231">
        <f>ROUND((ROUND(AT231*CZ231,2)*1),6)</f>
        <v>322.32</v>
      </c>
      <c r="DC231">
        <f>ROUND((ROUND(AT231*AG231,2)*1),6)</f>
        <v>0</v>
      </c>
      <c r="DD231" t="s">
        <v>3</v>
      </c>
      <c r="DE231" t="s">
        <v>3</v>
      </c>
      <c r="DF231">
        <f>ROUND(ROUND(AE231,2)*CX231,2)</f>
        <v>19.34</v>
      </c>
      <c r="DG231">
        <f t="shared" si="136"/>
        <v>0</v>
      </c>
      <c r="DH231">
        <f t="shared" si="137"/>
        <v>0</v>
      </c>
      <c r="DI231">
        <f t="shared" si="127"/>
        <v>0</v>
      </c>
      <c r="DJ231">
        <f>DF231</f>
        <v>19.34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ROW(Source!A112)</f>
        <v>112</v>
      </c>
      <c r="B232">
        <v>55917799</v>
      </c>
      <c r="C232">
        <v>55918056</v>
      </c>
      <c r="D232">
        <v>55424304</v>
      </c>
      <c r="E232">
        <v>1081</v>
      </c>
      <c r="F232">
        <v>1</v>
      </c>
      <c r="G232">
        <v>1081</v>
      </c>
      <c r="H232">
        <v>1</v>
      </c>
      <c r="I232" t="s">
        <v>339</v>
      </c>
      <c r="J232" t="s">
        <v>3</v>
      </c>
      <c r="K232" t="s">
        <v>340</v>
      </c>
      <c r="L232">
        <v>1191</v>
      </c>
      <c r="N232">
        <v>1013</v>
      </c>
      <c r="O232" t="s">
        <v>341</v>
      </c>
      <c r="P232" t="s">
        <v>341</v>
      </c>
      <c r="Q232">
        <v>1</v>
      </c>
      <c r="W232">
        <v>0</v>
      </c>
      <c r="X232">
        <v>476480486</v>
      </c>
      <c r="Y232">
        <f>(AT232*1.2)</f>
        <v>22.608000000000001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5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18.84</v>
      </c>
      <c r="AU232" t="s">
        <v>56</v>
      </c>
      <c r="AV232">
        <v>1</v>
      </c>
      <c r="AW232">
        <v>2</v>
      </c>
      <c r="AX232">
        <v>55918057</v>
      </c>
      <c r="AY232">
        <v>1</v>
      </c>
      <c r="AZ232">
        <v>0</v>
      </c>
      <c r="BA232">
        <v>260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U232">
        <f>ROUND(AT232*Source!I112*AH232*AL232,2)</f>
        <v>0</v>
      </c>
      <c r="CV232">
        <f>ROUND(Y232*Source!I112,9)</f>
        <v>1.3564799999999999</v>
      </c>
      <c r="CW232">
        <v>0</v>
      </c>
      <c r="CX232">
        <f>ROUND(Y232*Source!I112,9)</f>
        <v>1.3564799999999999</v>
      </c>
      <c r="CY232">
        <f>AD232</f>
        <v>0</v>
      </c>
      <c r="CZ232">
        <f>AH232</f>
        <v>0</v>
      </c>
      <c r="DA232">
        <f>AL232</f>
        <v>1</v>
      </c>
      <c r="DB232">
        <f>ROUND((ROUND(AT232*CZ232,2)*1.2),6)</f>
        <v>0</v>
      </c>
      <c r="DC232">
        <f>ROUND((ROUND(AT232*AG232,2)*1.2),6)</f>
        <v>0</v>
      </c>
      <c r="DD232" t="s">
        <v>3</v>
      </c>
      <c r="DE232" t="s">
        <v>3</v>
      </c>
      <c r="DF232">
        <f>ROUND(ROUND(AE232,2)*CX232,2)</f>
        <v>0</v>
      </c>
      <c r="DG232">
        <f t="shared" si="136"/>
        <v>0</v>
      </c>
      <c r="DH232">
        <f t="shared" si="137"/>
        <v>0</v>
      </c>
      <c r="DI232">
        <f t="shared" si="127"/>
        <v>0</v>
      </c>
      <c r="DJ232">
        <f>DI232</f>
        <v>0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ROW(Source!A112)</f>
        <v>112</v>
      </c>
      <c r="B233">
        <v>55917799</v>
      </c>
      <c r="C233">
        <v>55918056</v>
      </c>
      <c r="D233">
        <v>55490209</v>
      </c>
      <c r="E233">
        <v>1</v>
      </c>
      <c r="F233">
        <v>1</v>
      </c>
      <c r="G233">
        <v>1081</v>
      </c>
      <c r="H233">
        <v>2</v>
      </c>
      <c r="I233" t="s">
        <v>422</v>
      </c>
      <c r="J233" t="s">
        <v>423</v>
      </c>
      <c r="K233" t="s">
        <v>424</v>
      </c>
      <c r="L233">
        <v>1368</v>
      </c>
      <c r="N233">
        <v>1011</v>
      </c>
      <c r="O233" t="s">
        <v>376</v>
      </c>
      <c r="P233" t="s">
        <v>376</v>
      </c>
      <c r="Q233">
        <v>1</v>
      </c>
      <c r="W233">
        <v>0</v>
      </c>
      <c r="X233">
        <v>874612079</v>
      </c>
      <c r="Y233">
        <f>(AT233*1.2)</f>
        <v>1.2E-2</v>
      </c>
      <c r="AA233">
        <v>0</v>
      </c>
      <c r="AB233">
        <v>1485.19</v>
      </c>
      <c r="AC233">
        <v>744.56</v>
      </c>
      <c r="AD233">
        <v>0</v>
      </c>
      <c r="AE233">
        <v>0</v>
      </c>
      <c r="AF233">
        <v>83.1</v>
      </c>
      <c r="AG233">
        <v>12.62</v>
      </c>
      <c r="AH233">
        <v>0</v>
      </c>
      <c r="AI233">
        <v>1</v>
      </c>
      <c r="AJ233">
        <v>17.07</v>
      </c>
      <c r="AK233">
        <v>56.35</v>
      </c>
      <c r="AL233">
        <v>1</v>
      </c>
      <c r="AM233">
        <v>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0.01</v>
      </c>
      <c r="AU233" t="s">
        <v>56</v>
      </c>
      <c r="AV233">
        <v>0</v>
      </c>
      <c r="AW233">
        <v>2</v>
      </c>
      <c r="AX233">
        <v>55918058</v>
      </c>
      <c r="AY233">
        <v>1</v>
      </c>
      <c r="AZ233">
        <v>0</v>
      </c>
      <c r="BA233">
        <v>261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f>ROUND(Y233*Source!I112*DO233,9)</f>
        <v>9.0863999999999997E-3</v>
      </c>
      <c r="CX233">
        <f>ROUND(Y233*Source!I112,9)</f>
        <v>7.2000000000000005E-4</v>
      </c>
      <c r="CY233">
        <f>AB233</f>
        <v>1485.19</v>
      </c>
      <c r="CZ233">
        <f>AF233</f>
        <v>83.1</v>
      </c>
      <c r="DA233">
        <f>AJ233</f>
        <v>17.07</v>
      </c>
      <c r="DB233">
        <f>ROUND((ROUND(AT233*CZ233,2)*1.2),6)</f>
        <v>0.996</v>
      </c>
      <c r="DC233">
        <f>ROUND((ROUND(AT233*AG233,2)*1.2),6)</f>
        <v>0.156</v>
      </c>
      <c r="DD233" t="s">
        <v>3</v>
      </c>
      <c r="DE233" t="s">
        <v>3</v>
      </c>
      <c r="DF233">
        <f>ROUND(ROUND(AE233,2)*CX233,2)</f>
        <v>0</v>
      </c>
      <c r="DG233">
        <f>ROUND(ROUND(AF233*AJ233,2)*CX233,2)</f>
        <v>1.02</v>
      </c>
      <c r="DH233">
        <f>ROUND(ROUND(AG233*AK233,2)*CX233,2)</f>
        <v>0.51</v>
      </c>
      <c r="DI233">
        <f t="shared" si="127"/>
        <v>0</v>
      </c>
      <c r="DJ233">
        <f>DG233</f>
        <v>1.02</v>
      </c>
      <c r="DK233">
        <v>0</v>
      </c>
      <c r="DL233" t="s">
        <v>377</v>
      </c>
      <c r="DM233">
        <v>0</v>
      </c>
      <c r="DN233" t="s">
        <v>341</v>
      </c>
      <c r="DO233">
        <v>12.62</v>
      </c>
    </row>
    <row r="234" spans="1:119" x14ac:dyDescent="0.25">
      <c r="A234">
        <f>ROW(Source!A112)</f>
        <v>112</v>
      </c>
      <c r="B234">
        <v>55917799</v>
      </c>
      <c r="C234">
        <v>55918056</v>
      </c>
      <c r="D234">
        <v>55477376</v>
      </c>
      <c r="E234">
        <v>1</v>
      </c>
      <c r="F234">
        <v>1</v>
      </c>
      <c r="G234">
        <v>1081</v>
      </c>
      <c r="H234">
        <v>3</v>
      </c>
      <c r="I234" t="s">
        <v>195</v>
      </c>
      <c r="J234" t="s">
        <v>197</v>
      </c>
      <c r="K234" t="s">
        <v>196</v>
      </c>
      <c r="L234">
        <v>1354</v>
      </c>
      <c r="N234">
        <v>1010</v>
      </c>
      <c r="O234" t="s">
        <v>164</v>
      </c>
      <c r="P234" t="s">
        <v>164</v>
      </c>
      <c r="Q234">
        <v>1</v>
      </c>
      <c r="W234">
        <v>0</v>
      </c>
      <c r="X234">
        <v>249460735</v>
      </c>
      <c r="Y234">
        <f>(AT234*1)</f>
        <v>102</v>
      </c>
      <c r="AA234">
        <v>89.36</v>
      </c>
      <c r="AB234">
        <v>0</v>
      </c>
      <c r="AC234">
        <v>0</v>
      </c>
      <c r="AD234">
        <v>0</v>
      </c>
      <c r="AE234">
        <v>3.16</v>
      </c>
      <c r="AF234">
        <v>0</v>
      </c>
      <c r="AG234">
        <v>0</v>
      </c>
      <c r="AH234">
        <v>0</v>
      </c>
      <c r="AI234">
        <v>28.28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 t="s">
        <v>3</v>
      </c>
      <c r="AT234">
        <v>102</v>
      </c>
      <c r="AU234" t="s">
        <v>55</v>
      </c>
      <c r="AV234">
        <v>0</v>
      </c>
      <c r="AW234">
        <v>1</v>
      </c>
      <c r="AX234">
        <v>-1</v>
      </c>
      <c r="AY234">
        <v>0</v>
      </c>
      <c r="AZ234">
        <v>0</v>
      </c>
      <c r="BA234" t="s">
        <v>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ROUND(Y234*Source!I112,9)</f>
        <v>6.12</v>
      </c>
      <c r="CY234">
        <f>AA234</f>
        <v>89.36</v>
      </c>
      <c r="CZ234">
        <f>AE234</f>
        <v>3.16</v>
      </c>
      <c r="DA234">
        <f>AI234</f>
        <v>28.28</v>
      </c>
      <c r="DB234">
        <f>ROUND((ROUND(AT234*CZ234,2)*1),6)</f>
        <v>322.32</v>
      </c>
      <c r="DC234">
        <f>ROUND((ROUND(AT234*AG234,2)*1),6)</f>
        <v>0</v>
      </c>
      <c r="DD234" t="s">
        <v>3</v>
      </c>
      <c r="DE234" t="s">
        <v>3</v>
      </c>
      <c r="DF234">
        <f>ROUND(ROUND(AE234*AI234,2)*CX234,2)</f>
        <v>546.88</v>
      </c>
      <c r="DG234">
        <f>ROUND(ROUND(AF234,2)*CX234,2)</f>
        <v>0</v>
      </c>
      <c r="DH234">
        <f>ROUND(ROUND(AG234,2)*CX234,2)</f>
        <v>0</v>
      </c>
      <c r="DI234">
        <f t="shared" si="127"/>
        <v>0</v>
      </c>
      <c r="DJ234">
        <f>DF234</f>
        <v>546.88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ROW(Source!A115)</f>
        <v>115</v>
      </c>
      <c r="B235">
        <v>55917797</v>
      </c>
      <c r="C235">
        <v>55918111</v>
      </c>
      <c r="D235">
        <v>55424304</v>
      </c>
      <c r="E235">
        <v>1081</v>
      </c>
      <c r="F235">
        <v>1</v>
      </c>
      <c r="G235">
        <v>1081</v>
      </c>
      <c r="H235">
        <v>1</v>
      </c>
      <c r="I235" t="s">
        <v>339</v>
      </c>
      <c r="J235" t="s">
        <v>3</v>
      </c>
      <c r="K235" t="s">
        <v>340</v>
      </c>
      <c r="L235">
        <v>1191</v>
      </c>
      <c r="N235">
        <v>1013</v>
      </c>
      <c r="O235" t="s">
        <v>341</v>
      </c>
      <c r="P235" t="s">
        <v>341</v>
      </c>
      <c r="Q235">
        <v>1</v>
      </c>
      <c r="W235">
        <v>0</v>
      </c>
      <c r="X235">
        <v>476480486</v>
      </c>
      <c r="Y235">
        <f>(AT235*1.2)</f>
        <v>1.236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1.03</v>
      </c>
      <c r="AU235" t="s">
        <v>56</v>
      </c>
      <c r="AV235">
        <v>1</v>
      </c>
      <c r="AW235">
        <v>2</v>
      </c>
      <c r="AX235">
        <v>55918112</v>
      </c>
      <c r="AY235">
        <v>1</v>
      </c>
      <c r="AZ235">
        <v>0</v>
      </c>
      <c r="BA235">
        <v>263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U235">
        <f>ROUND(AT235*Source!I115*AH235*AL235,2)</f>
        <v>0</v>
      </c>
      <c r="CV235">
        <f>ROUND(Y235*Source!I115,9)</f>
        <v>7.4160000000000004</v>
      </c>
      <c r="CW235">
        <v>0</v>
      </c>
      <c r="CX235">
        <f>ROUND(Y235*Source!I115,9)</f>
        <v>7.4160000000000004</v>
      </c>
      <c r="CY235">
        <f>AD235</f>
        <v>0</v>
      </c>
      <c r="CZ235">
        <f>AH235</f>
        <v>0</v>
      </c>
      <c r="DA235">
        <f>AL235</f>
        <v>1</v>
      </c>
      <c r="DB235">
        <f>ROUND((ROUND(AT235*CZ235,2)*1.2),6)</f>
        <v>0</v>
      </c>
      <c r="DC235">
        <f>ROUND((ROUND(AT235*AG235,2)*1.2),6)</f>
        <v>0</v>
      </c>
      <c r="DD235" t="s">
        <v>3</v>
      </c>
      <c r="DE235" t="s">
        <v>3</v>
      </c>
      <c r="DF235">
        <f t="shared" ref="DF235:DF246" si="139">ROUND(ROUND(AE235,2)*CX235,2)</f>
        <v>0</v>
      </c>
      <c r="DG235">
        <f>ROUND(ROUND(AF235,2)*CX235,2)</f>
        <v>0</v>
      </c>
      <c r="DH235">
        <f>ROUND(ROUND(AG235,2)*CX235,2)</f>
        <v>0</v>
      </c>
      <c r="DI235">
        <f t="shared" si="127"/>
        <v>0</v>
      </c>
      <c r="DJ235">
        <f>DI235</f>
        <v>0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ROW(Source!A115)</f>
        <v>115</v>
      </c>
      <c r="B236">
        <v>55917797</v>
      </c>
      <c r="C236">
        <v>55918111</v>
      </c>
      <c r="D236">
        <v>55490209</v>
      </c>
      <c r="E236">
        <v>1</v>
      </c>
      <c r="F236">
        <v>1</v>
      </c>
      <c r="G236">
        <v>1081</v>
      </c>
      <c r="H236">
        <v>2</v>
      </c>
      <c r="I236" t="s">
        <v>422</v>
      </c>
      <c r="J236" t="s">
        <v>423</v>
      </c>
      <c r="K236" t="s">
        <v>424</v>
      </c>
      <c r="L236">
        <v>1368</v>
      </c>
      <c r="N236">
        <v>1011</v>
      </c>
      <c r="O236" t="s">
        <v>376</v>
      </c>
      <c r="P236" t="s">
        <v>376</v>
      </c>
      <c r="Q236">
        <v>1</v>
      </c>
      <c r="W236">
        <v>0</v>
      </c>
      <c r="X236">
        <v>874612079</v>
      </c>
      <c r="Y236">
        <f>(AT236*1.2)</f>
        <v>0.192</v>
      </c>
      <c r="AA236">
        <v>0</v>
      </c>
      <c r="AB236">
        <v>87.01</v>
      </c>
      <c r="AC236">
        <v>13.21</v>
      </c>
      <c r="AD236">
        <v>0</v>
      </c>
      <c r="AE236">
        <v>0</v>
      </c>
      <c r="AF236">
        <v>83.1</v>
      </c>
      <c r="AG236">
        <v>12.62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0.16</v>
      </c>
      <c r="AU236" t="s">
        <v>56</v>
      </c>
      <c r="AV236">
        <v>0</v>
      </c>
      <c r="AW236">
        <v>2</v>
      </c>
      <c r="AX236">
        <v>55918113</v>
      </c>
      <c r="AY236">
        <v>1</v>
      </c>
      <c r="AZ236">
        <v>0</v>
      </c>
      <c r="BA236">
        <v>264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f>ROUND(Y236*Source!I115*DO236,9)</f>
        <v>14.53824</v>
      </c>
      <c r="CX236">
        <f>ROUND(Y236*Source!I115,9)</f>
        <v>1.1519999999999999</v>
      </c>
      <c r="CY236">
        <f>AB236</f>
        <v>87.01</v>
      </c>
      <c r="CZ236">
        <f>AF236</f>
        <v>83.1</v>
      </c>
      <c r="DA236">
        <f>AJ236</f>
        <v>1</v>
      </c>
      <c r="DB236">
        <f>ROUND((ROUND(AT236*CZ236,2)*1.2),6)</f>
        <v>15.96</v>
      </c>
      <c r="DC236">
        <f>ROUND((ROUND(AT236*AG236,2)*1.2),6)</f>
        <v>2.4239999999999999</v>
      </c>
      <c r="DD236" t="s">
        <v>3</v>
      </c>
      <c r="DE236" t="s">
        <v>3</v>
      </c>
      <c r="DF236">
        <f t="shared" si="139"/>
        <v>0</v>
      </c>
      <c r="DG236">
        <f>ROUND(ROUND(AF236,2)*CX236,2)</f>
        <v>95.73</v>
      </c>
      <c r="DH236">
        <f>ROUND(ROUND(AG236,2)*CX236,2)</f>
        <v>14.54</v>
      </c>
      <c r="DI236">
        <f t="shared" si="127"/>
        <v>0</v>
      </c>
      <c r="DJ236">
        <f>DG236</f>
        <v>95.73</v>
      </c>
      <c r="DK236">
        <v>0</v>
      </c>
      <c r="DL236" t="s">
        <v>377</v>
      </c>
      <c r="DM236">
        <v>0</v>
      </c>
      <c r="DN236" t="s">
        <v>341</v>
      </c>
      <c r="DO236">
        <v>12.62</v>
      </c>
    </row>
    <row r="237" spans="1:119" x14ac:dyDescent="0.25">
      <c r="A237">
        <f>ROW(Source!A116)</f>
        <v>116</v>
      </c>
      <c r="B237">
        <v>55917799</v>
      </c>
      <c r="C237">
        <v>55918111</v>
      </c>
      <c r="D237">
        <v>55424304</v>
      </c>
      <c r="E237">
        <v>1081</v>
      </c>
      <c r="F237">
        <v>1</v>
      </c>
      <c r="G237">
        <v>1081</v>
      </c>
      <c r="H237">
        <v>1</v>
      </c>
      <c r="I237" t="s">
        <v>339</v>
      </c>
      <c r="J237" t="s">
        <v>3</v>
      </c>
      <c r="K237" t="s">
        <v>340</v>
      </c>
      <c r="L237">
        <v>1191</v>
      </c>
      <c r="N237">
        <v>1013</v>
      </c>
      <c r="O237" t="s">
        <v>341</v>
      </c>
      <c r="P237" t="s">
        <v>341</v>
      </c>
      <c r="Q237">
        <v>1</v>
      </c>
      <c r="W237">
        <v>0</v>
      </c>
      <c r="X237">
        <v>476480486</v>
      </c>
      <c r="Y237">
        <f>(AT237*1.2)</f>
        <v>1.236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5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1.03</v>
      </c>
      <c r="AU237" t="s">
        <v>56</v>
      </c>
      <c r="AV237">
        <v>1</v>
      </c>
      <c r="AW237">
        <v>2</v>
      </c>
      <c r="AX237">
        <v>55918112</v>
      </c>
      <c r="AY237">
        <v>1</v>
      </c>
      <c r="AZ237">
        <v>0</v>
      </c>
      <c r="BA237">
        <v>266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U237">
        <f>ROUND(AT237*Source!I116*AH237*AL237,2)</f>
        <v>0</v>
      </c>
      <c r="CV237">
        <f>ROUND(Y237*Source!I116,9)</f>
        <v>7.4160000000000004</v>
      </c>
      <c r="CW237">
        <v>0</v>
      </c>
      <c r="CX237">
        <f>ROUND(Y237*Source!I116,9)</f>
        <v>7.4160000000000004</v>
      </c>
      <c r="CY237">
        <f>AD237</f>
        <v>0</v>
      </c>
      <c r="CZ237">
        <f>AH237</f>
        <v>0</v>
      </c>
      <c r="DA237">
        <f>AL237</f>
        <v>1</v>
      </c>
      <c r="DB237">
        <f>ROUND((ROUND(AT237*CZ237,2)*1.2),6)</f>
        <v>0</v>
      </c>
      <c r="DC237">
        <f>ROUND((ROUND(AT237*AG237,2)*1.2),6)</f>
        <v>0</v>
      </c>
      <c r="DD237" t="s">
        <v>3</v>
      </c>
      <c r="DE237" t="s">
        <v>3</v>
      </c>
      <c r="DF237">
        <f t="shared" si="139"/>
        <v>0</v>
      </c>
      <c r="DG237">
        <f>ROUND(ROUND(AF237,2)*CX237,2)</f>
        <v>0</v>
      </c>
      <c r="DH237">
        <f>ROUND(ROUND(AG237,2)*CX237,2)</f>
        <v>0</v>
      </c>
      <c r="DI237">
        <f t="shared" si="127"/>
        <v>0</v>
      </c>
      <c r="DJ237">
        <f>DI237</f>
        <v>0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ROW(Source!A116)</f>
        <v>116</v>
      </c>
      <c r="B238">
        <v>55917799</v>
      </c>
      <c r="C238">
        <v>55918111</v>
      </c>
      <c r="D238">
        <v>55490209</v>
      </c>
      <c r="E238">
        <v>1</v>
      </c>
      <c r="F238">
        <v>1</v>
      </c>
      <c r="G238">
        <v>1081</v>
      </c>
      <c r="H238">
        <v>2</v>
      </c>
      <c r="I238" t="s">
        <v>422</v>
      </c>
      <c r="J238" t="s">
        <v>423</v>
      </c>
      <c r="K238" t="s">
        <v>424</v>
      </c>
      <c r="L238">
        <v>1368</v>
      </c>
      <c r="N238">
        <v>1011</v>
      </c>
      <c r="O238" t="s">
        <v>376</v>
      </c>
      <c r="P238" t="s">
        <v>376</v>
      </c>
      <c r="Q238">
        <v>1</v>
      </c>
      <c r="W238">
        <v>0</v>
      </c>
      <c r="X238">
        <v>874612079</v>
      </c>
      <c r="Y238">
        <f>(AT238*1.2)</f>
        <v>0.192</v>
      </c>
      <c r="AA238">
        <v>0</v>
      </c>
      <c r="AB238">
        <v>1485.19</v>
      </c>
      <c r="AC238">
        <v>744.56</v>
      </c>
      <c r="AD238">
        <v>0</v>
      </c>
      <c r="AE238">
        <v>0</v>
      </c>
      <c r="AF238">
        <v>83.1</v>
      </c>
      <c r="AG238">
        <v>12.62</v>
      </c>
      <c r="AH238">
        <v>0</v>
      </c>
      <c r="AI238">
        <v>1</v>
      </c>
      <c r="AJ238">
        <v>17.07</v>
      </c>
      <c r="AK238">
        <v>56.35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0.16</v>
      </c>
      <c r="AU238" t="s">
        <v>56</v>
      </c>
      <c r="AV238">
        <v>0</v>
      </c>
      <c r="AW238">
        <v>2</v>
      </c>
      <c r="AX238">
        <v>55918113</v>
      </c>
      <c r="AY238">
        <v>1</v>
      </c>
      <c r="AZ238">
        <v>0</v>
      </c>
      <c r="BA238">
        <v>267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ROUND(Y238*Source!I116*DO238,9)</f>
        <v>14.53824</v>
      </c>
      <c r="CX238">
        <f>ROUND(Y238*Source!I116,9)</f>
        <v>1.1519999999999999</v>
      </c>
      <c r="CY238">
        <f>AB238</f>
        <v>1485.19</v>
      </c>
      <c r="CZ238">
        <f>AF238</f>
        <v>83.1</v>
      </c>
      <c r="DA238">
        <f>AJ238</f>
        <v>17.07</v>
      </c>
      <c r="DB238">
        <f>ROUND((ROUND(AT238*CZ238,2)*1.2),6)</f>
        <v>15.96</v>
      </c>
      <c r="DC238">
        <f>ROUND((ROUND(AT238*AG238,2)*1.2),6)</f>
        <v>2.4239999999999999</v>
      </c>
      <c r="DD238" t="s">
        <v>3</v>
      </c>
      <c r="DE238" t="s">
        <v>3</v>
      </c>
      <c r="DF238">
        <f t="shared" si="139"/>
        <v>0</v>
      </c>
      <c r="DG238">
        <f>ROUND(ROUND(AF238*AJ238,2)*CX238,2)</f>
        <v>1634.14</v>
      </c>
      <c r="DH238">
        <f>ROUND(ROUND(AG238*AK238,2)*CX238,2)</f>
        <v>819.23</v>
      </c>
      <c r="DI238">
        <f t="shared" si="127"/>
        <v>0</v>
      </c>
      <c r="DJ238">
        <f>DG238</f>
        <v>1634.14</v>
      </c>
      <c r="DK238">
        <v>0</v>
      </c>
      <c r="DL238" t="s">
        <v>377</v>
      </c>
      <c r="DM238">
        <v>0</v>
      </c>
      <c r="DN238" t="s">
        <v>341</v>
      </c>
      <c r="DO238">
        <v>12.62</v>
      </c>
    </row>
    <row r="239" spans="1:119" x14ac:dyDescent="0.25">
      <c r="A239">
        <f>ROW(Source!A154)</f>
        <v>154</v>
      </c>
      <c r="B239">
        <v>55917797</v>
      </c>
      <c r="C239">
        <v>55918182</v>
      </c>
      <c r="D239">
        <v>55424304</v>
      </c>
      <c r="E239">
        <v>1081</v>
      </c>
      <c r="F239">
        <v>1</v>
      </c>
      <c r="G239">
        <v>1081</v>
      </c>
      <c r="H239">
        <v>1</v>
      </c>
      <c r="I239" t="s">
        <v>339</v>
      </c>
      <c r="J239" t="s">
        <v>3</v>
      </c>
      <c r="K239" t="s">
        <v>340</v>
      </c>
      <c r="L239">
        <v>1191</v>
      </c>
      <c r="N239">
        <v>1013</v>
      </c>
      <c r="O239" t="s">
        <v>341</v>
      </c>
      <c r="P239" t="s">
        <v>341</v>
      </c>
      <c r="Q239">
        <v>1</v>
      </c>
      <c r="W239">
        <v>0</v>
      </c>
      <c r="X239">
        <v>476480486</v>
      </c>
      <c r="Y239">
        <f>(AT239*1.2)</f>
        <v>39.6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33</v>
      </c>
      <c r="AU239" t="s">
        <v>56</v>
      </c>
      <c r="AV239">
        <v>1</v>
      </c>
      <c r="AW239">
        <v>2</v>
      </c>
      <c r="AX239">
        <v>55918183</v>
      </c>
      <c r="AY239">
        <v>1</v>
      </c>
      <c r="AZ239">
        <v>0</v>
      </c>
      <c r="BA239">
        <v>269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U239">
        <f>ROUND(AT239*Source!I154*AH239*AL239,2)</f>
        <v>0</v>
      </c>
      <c r="CV239">
        <f>ROUND(Y239*Source!I154,9)</f>
        <v>39.6</v>
      </c>
      <c r="CW239">
        <v>0</v>
      </c>
      <c r="CX239">
        <f>ROUND(Y239*Source!I154,9)</f>
        <v>39.6</v>
      </c>
      <c r="CY239">
        <f>AD239</f>
        <v>0</v>
      </c>
      <c r="CZ239">
        <f>AH239</f>
        <v>0</v>
      </c>
      <c r="DA239">
        <f>AL239</f>
        <v>1</v>
      </c>
      <c r="DB239">
        <f>ROUND((ROUND(AT239*CZ239,2)*1.2),6)</f>
        <v>0</v>
      </c>
      <c r="DC239">
        <f>ROUND((ROUND(AT239*AG239,2)*1.2),6)</f>
        <v>0</v>
      </c>
      <c r="DD239" t="s">
        <v>3</v>
      </c>
      <c r="DE239" t="s">
        <v>3</v>
      </c>
      <c r="DF239">
        <f t="shared" si="139"/>
        <v>0</v>
      </c>
      <c r="DG239">
        <f t="shared" ref="DG239:DG270" si="140">ROUND(ROUND(AF239,2)*CX239,2)</f>
        <v>0</v>
      </c>
      <c r="DH239">
        <f t="shared" ref="DH239:DH270" si="141">ROUND(ROUND(AG239,2)*CX239,2)</f>
        <v>0</v>
      </c>
      <c r="DI239">
        <f t="shared" si="127"/>
        <v>0</v>
      </c>
      <c r="DJ239">
        <f>DI239</f>
        <v>0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ROW(Source!A154)</f>
        <v>154</v>
      </c>
      <c r="B240">
        <v>55917797</v>
      </c>
      <c r="C240">
        <v>55918182</v>
      </c>
      <c r="D240">
        <v>55460546</v>
      </c>
      <c r="E240">
        <v>1</v>
      </c>
      <c r="F240">
        <v>1</v>
      </c>
      <c r="G240">
        <v>1081</v>
      </c>
      <c r="H240">
        <v>3</v>
      </c>
      <c r="I240" t="s">
        <v>425</v>
      </c>
      <c r="J240" t="s">
        <v>426</v>
      </c>
      <c r="K240" t="s">
        <v>427</v>
      </c>
      <c r="L240">
        <v>1255</v>
      </c>
      <c r="N240">
        <v>1013</v>
      </c>
      <c r="O240" t="s">
        <v>428</v>
      </c>
      <c r="P240" t="s">
        <v>428</v>
      </c>
      <c r="Q240">
        <v>1</v>
      </c>
      <c r="W240">
        <v>0</v>
      </c>
      <c r="X240">
        <v>-1398468845</v>
      </c>
      <c r="Y240">
        <f t="shared" ref="Y240:Y245" si="142">(AT240*1)</f>
        <v>1.1000000000000001</v>
      </c>
      <c r="AA240">
        <v>0.42</v>
      </c>
      <c r="AB240">
        <v>0</v>
      </c>
      <c r="AC240">
        <v>0</v>
      </c>
      <c r="AD240">
        <v>0</v>
      </c>
      <c r="AE240">
        <v>0.42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-2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1.1000000000000001</v>
      </c>
      <c r="AU240" t="s">
        <v>55</v>
      </c>
      <c r="AV240">
        <v>0</v>
      </c>
      <c r="AW240">
        <v>2</v>
      </c>
      <c r="AX240">
        <v>55918184</v>
      </c>
      <c r="AY240">
        <v>1</v>
      </c>
      <c r="AZ240">
        <v>0</v>
      </c>
      <c r="BA240">
        <v>270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ROUND(Y240*Source!I154,9)</f>
        <v>1.1000000000000001</v>
      </c>
      <c r="CY240">
        <f t="shared" ref="CY240:CY245" si="143">AA240</f>
        <v>0.42</v>
      </c>
      <c r="CZ240">
        <f t="shared" ref="CZ240:CZ245" si="144">AE240</f>
        <v>0.42</v>
      </c>
      <c r="DA240">
        <f t="shared" ref="DA240:DA245" si="145">AI240</f>
        <v>1</v>
      </c>
      <c r="DB240">
        <f t="shared" ref="DB240:DB245" si="146">ROUND((ROUND(AT240*CZ240,2)*1),6)</f>
        <v>0.46</v>
      </c>
      <c r="DC240">
        <f t="shared" ref="DC240:DC245" si="147">ROUND((ROUND(AT240*AG240,2)*1),6)</f>
        <v>0</v>
      </c>
      <c r="DD240" t="s">
        <v>3</v>
      </c>
      <c r="DE240" t="s">
        <v>3</v>
      </c>
      <c r="DF240">
        <f t="shared" si="139"/>
        <v>0.46</v>
      </c>
      <c r="DG240">
        <f t="shared" si="140"/>
        <v>0</v>
      </c>
      <c r="DH240">
        <f t="shared" si="141"/>
        <v>0</v>
      </c>
      <c r="DI240">
        <f t="shared" si="127"/>
        <v>0</v>
      </c>
      <c r="DJ240">
        <f t="shared" ref="DJ240:DJ245" si="148">DF240</f>
        <v>0.46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5">
      <c r="A241">
        <f>ROW(Source!A154)</f>
        <v>154</v>
      </c>
      <c r="B241">
        <v>55917797</v>
      </c>
      <c r="C241">
        <v>55918182</v>
      </c>
      <c r="D241">
        <v>55459792</v>
      </c>
      <c r="E241">
        <v>1</v>
      </c>
      <c r="F241">
        <v>1</v>
      </c>
      <c r="G241">
        <v>1081</v>
      </c>
      <c r="H241">
        <v>3</v>
      </c>
      <c r="I241" t="s">
        <v>429</v>
      </c>
      <c r="J241" t="s">
        <v>430</v>
      </c>
      <c r="K241" t="s">
        <v>431</v>
      </c>
      <c r="L241">
        <v>1348</v>
      </c>
      <c r="N241">
        <v>1009</v>
      </c>
      <c r="O241" t="s">
        <v>345</v>
      </c>
      <c r="P241" t="s">
        <v>345</v>
      </c>
      <c r="Q241">
        <v>1000</v>
      </c>
      <c r="W241">
        <v>0</v>
      </c>
      <c r="X241">
        <v>114569696</v>
      </c>
      <c r="Y241">
        <f t="shared" si="142"/>
        <v>1.9000000000000001E-4</v>
      </c>
      <c r="AA241">
        <v>60960.43</v>
      </c>
      <c r="AB241">
        <v>0</v>
      </c>
      <c r="AC241">
        <v>0</v>
      </c>
      <c r="AD241">
        <v>0</v>
      </c>
      <c r="AE241">
        <v>60960.43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1.9000000000000001E-4</v>
      </c>
      <c r="AU241" t="s">
        <v>55</v>
      </c>
      <c r="AV241">
        <v>0</v>
      </c>
      <c r="AW241">
        <v>2</v>
      </c>
      <c r="AX241">
        <v>55918185</v>
      </c>
      <c r="AY241">
        <v>1</v>
      </c>
      <c r="AZ241">
        <v>0</v>
      </c>
      <c r="BA241">
        <v>271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ROUND(Y241*Source!I154,9)</f>
        <v>1.9000000000000001E-4</v>
      </c>
      <c r="CY241">
        <f t="shared" si="143"/>
        <v>60960.43</v>
      </c>
      <c r="CZ241">
        <f t="shared" si="144"/>
        <v>60960.43</v>
      </c>
      <c r="DA241">
        <f t="shared" si="145"/>
        <v>1</v>
      </c>
      <c r="DB241">
        <f t="shared" si="146"/>
        <v>11.58</v>
      </c>
      <c r="DC241">
        <f t="shared" si="147"/>
        <v>0</v>
      </c>
      <c r="DD241" t="s">
        <v>3</v>
      </c>
      <c r="DE241" t="s">
        <v>3</v>
      </c>
      <c r="DF241">
        <f t="shared" si="139"/>
        <v>11.58</v>
      </c>
      <c r="DG241">
        <f t="shared" si="140"/>
        <v>0</v>
      </c>
      <c r="DH241">
        <f t="shared" si="141"/>
        <v>0</v>
      </c>
      <c r="DI241">
        <f t="shared" si="127"/>
        <v>0</v>
      </c>
      <c r="DJ241">
        <f t="shared" si="148"/>
        <v>11.58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ROW(Source!A154)</f>
        <v>154</v>
      </c>
      <c r="B242">
        <v>55917797</v>
      </c>
      <c r="C242">
        <v>55918182</v>
      </c>
      <c r="D242">
        <v>55466338</v>
      </c>
      <c r="E242">
        <v>1</v>
      </c>
      <c r="F242">
        <v>1</v>
      </c>
      <c r="G242">
        <v>1081</v>
      </c>
      <c r="H242">
        <v>3</v>
      </c>
      <c r="I242" t="s">
        <v>364</v>
      </c>
      <c r="J242" t="s">
        <v>365</v>
      </c>
      <c r="K242" t="s">
        <v>366</v>
      </c>
      <c r="L242">
        <v>1349</v>
      </c>
      <c r="N242">
        <v>1009</v>
      </c>
      <c r="O242" t="s">
        <v>367</v>
      </c>
      <c r="P242" t="s">
        <v>367</v>
      </c>
      <c r="Q242">
        <v>1E-3</v>
      </c>
      <c r="W242">
        <v>0</v>
      </c>
      <c r="X242">
        <v>-667754050</v>
      </c>
      <c r="Y242">
        <f t="shared" si="142"/>
        <v>20</v>
      </c>
      <c r="AA242">
        <v>7.0000000000000007E-2</v>
      </c>
      <c r="AB242">
        <v>0</v>
      </c>
      <c r="AC242">
        <v>0</v>
      </c>
      <c r="AD242">
        <v>0</v>
      </c>
      <c r="AE242">
        <v>7.0000000000000007E-2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20</v>
      </c>
      <c r="AU242" t="s">
        <v>55</v>
      </c>
      <c r="AV242">
        <v>0</v>
      </c>
      <c r="AW242">
        <v>2</v>
      </c>
      <c r="AX242">
        <v>55918186</v>
      </c>
      <c r="AY242">
        <v>1</v>
      </c>
      <c r="AZ242">
        <v>0</v>
      </c>
      <c r="BA242">
        <v>272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ROUND(Y242*Source!I154,9)</f>
        <v>20</v>
      </c>
      <c r="CY242">
        <f t="shared" si="143"/>
        <v>7.0000000000000007E-2</v>
      </c>
      <c r="CZ242">
        <f t="shared" si="144"/>
        <v>7.0000000000000007E-2</v>
      </c>
      <c r="DA242">
        <f t="shared" si="145"/>
        <v>1</v>
      </c>
      <c r="DB242">
        <f t="shared" si="146"/>
        <v>1.4</v>
      </c>
      <c r="DC242">
        <f t="shared" si="147"/>
        <v>0</v>
      </c>
      <c r="DD242" t="s">
        <v>3</v>
      </c>
      <c r="DE242" t="s">
        <v>3</v>
      </c>
      <c r="DF242">
        <f t="shared" si="139"/>
        <v>1.4</v>
      </c>
      <c r="DG242">
        <f t="shared" si="140"/>
        <v>0</v>
      </c>
      <c r="DH242">
        <f t="shared" si="141"/>
        <v>0</v>
      </c>
      <c r="DI242">
        <f t="shared" si="127"/>
        <v>0</v>
      </c>
      <c r="DJ242">
        <f t="shared" si="148"/>
        <v>1.4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ROW(Source!A154)</f>
        <v>154</v>
      </c>
      <c r="B243">
        <v>55917797</v>
      </c>
      <c r="C243">
        <v>55918182</v>
      </c>
      <c r="D243">
        <v>55482203</v>
      </c>
      <c r="E243">
        <v>1</v>
      </c>
      <c r="F243">
        <v>1</v>
      </c>
      <c r="G243">
        <v>1081</v>
      </c>
      <c r="H243">
        <v>3</v>
      </c>
      <c r="I243" t="s">
        <v>432</v>
      </c>
      <c r="J243" t="s">
        <v>433</v>
      </c>
      <c r="K243" t="s">
        <v>434</v>
      </c>
      <c r="L243">
        <v>1356</v>
      </c>
      <c r="N243">
        <v>1010</v>
      </c>
      <c r="O243" t="s">
        <v>409</v>
      </c>
      <c r="P243" t="s">
        <v>409</v>
      </c>
      <c r="Q243">
        <v>1000</v>
      </c>
      <c r="W243">
        <v>0</v>
      </c>
      <c r="X243">
        <v>474149623</v>
      </c>
      <c r="Y243">
        <f t="shared" si="142"/>
        <v>0.04</v>
      </c>
      <c r="AA243">
        <v>226.66</v>
      </c>
      <c r="AB243">
        <v>0</v>
      </c>
      <c r="AC243">
        <v>0</v>
      </c>
      <c r="AD243">
        <v>0</v>
      </c>
      <c r="AE243">
        <v>226.66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0.04</v>
      </c>
      <c r="AU243" t="s">
        <v>55</v>
      </c>
      <c r="AV243">
        <v>0</v>
      </c>
      <c r="AW243">
        <v>2</v>
      </c>
      <c r="AX243">
        <v>55918187</v>
      </c>
      <c r="AY243">
        <v>1</v>
      </c>
      <c r="AZ243">
        <v>0</v>
      </c>
      <c r="BA243">
        <v>273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ROUND(Y243*Source!I154,9)</f>
        <v>0.04</v>
      </c>
      <c r="CY243">
        <f t="shared" si="143"/>
        <v>226.66</v>
      </c>
      <c r="CZ243">
        <f t="shared" si="144"/>
        <v>226.66</v>
      </c>
      <c r="DA243">
        <f t="shared" si="145"/>
        <v>1</v>
      </c>
      <c r="DB243">
        <f t="shared" si="146"/>
        <v>9.07</v>
      </c>
      <c r="DC243">
        <f t="shared" si="147"/>
        <v>0</v>
      </c>
      <c r="DD243" t="s">
        <v>3</v>
      </c>
      <c r="DE243" t="s">
        <v>3</v>
      </c>
      <c r="DF243">
        <f t="shared" si="139"/>
        <v>9.07</v>
      </c>
      <c r="DG243">
        <f t="shared" si="140"/>
        <v>0</v>
      </c>
      <c r="DH243">
        <f t="shared" si="141"/>
        <v>0</v>
      </c>
      <c r="DI243">
        <f t="shared" si="127"/>
        <v>0</v>
      </c>
      <c r="DJ243">
        <f t="shared" si="148"/>
        <v>9.07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ROW(Source!A154)</f>
        <v>154</v>
      </c>
      <c r="B244">
        <v>55917797</v>
      </c>
      <c r="C244">
        <v>55918182</v>
      </c>
      <c r="D244">
        <v>55482233</v>
      </c>
      <c r="E244">
        <v>1</v>
      </c>
      <c r="F244">
        <v>1</v>
      </c>
      <c r="G244">
        <v>1081</v>
      </c>
      <c r="H244">
        <v>3</v>
      </c>
      <c r="I244" t="s">
        <v>368</v>
      </c>
      <c r="J244" t="s">
        <v>369</v>
      </c>
      <c r="K244" t="s">
        <v>370</v>
      </c>
      <c r="L244">
        <v>1346</v>
      </c>
      <c r="N244">
        <v>1009</v>
      </c>
      <c r="O244" t="s">
        <v>316</v>
      </c>
      <c r="P244" t="s">
        <v>316</v>
      </c>
      <c r="Q244">
        <v>1</v>
      </c>
      <c r="W244">
        <v>0</v>
      </c>
      <c r="X244">
        <v>1566362712</v>
      </c>
      <c r="Y244">
        <f t="shared" si="142"/>
        <v>0.11</v>
      </c>
      <c r="AA244">
        <v>493.08</v>
      </c>
      <c r="AB244">
        <v>0</v>
      </c>
      <c r="AC244">
        <v>0</v>
      </c>
      <c r="AD244">
        <v>0</v>
      </c>
      <c r="AE244">
        <v>493.08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-2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0.11</v>
      </c>
      <c r="AU244" t="s">
        <v>55</v>
      </c>
      <c r="AV244">
        <v>0</v>
      </c>
      <c r="AW244">
        <v>2</v>
      </c>
      <c r="AX244">
        <v>55918188</v>
      </c>
      <c r="AY244">
        <v>1</v>
      </c>
      <c r="AZ244">
        <v>0</v>
      </c>
      <c r="BA244">
        <v>274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ROUND(Y244*Source!I154,9)</f>
        <v>0.11</v>
      </c>
      <c r="CY244">
        <f t="shared" si="143"/>
        <v>493.08</v>
      </c>
      <c r="CZ244">
        <f t="shared" si="144"/>
        <v>493.08</v>
      </c>
      <c r="DA244">
        <f t="shared" si="145"/>
        <v>1</v>
      </c>
      <c r="DB244">
        <f t="shared" si="146"/>
        <v>54.24</v>
      </c>
      <c r="DC244">
        <f t="shared" si="147"/>
        <v>0</v>
      </c>
      <c r="DD244" t="s">
        <v>3</v>
      </c>
      <c r="DE244" t="s">
        <v>3</v>
      </c>
      <c r="DF244">
        <f t="shared" si="139"/>
        <v>54.24</v>
      </c>
      <c r="DG244">
        <f t="shared" si="140"/>
        <v>0</v>
      </c>
      <c r="DH244">
        <f t="shared" si="141"/>
        <v>0</v>
      </c>
      <c r="DI244">
        <f t="shared" si="127"/>
        <v>0</v>
      </c>
      <c r="DJ244">
        <f t="shared" si="148"/>
        <v>54.24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ROW(Source!A154)</f>
        <v>154</v>
      </c>
      <c r="B245">
        <v>55917797</v>
      </c>
      <c r="C245">
        <v>55918182</v>
      </c>
      <c r="D245">
        <v>55424290</v>
      </c>
      <c r="E245">
        <v>1081</v>
      </c>
      <c r="F245">
        <v>1</v>
      </c>
      <c r="G245">
        <v>1081</v>
      </c>
      <c r="H245">
        <v>3</v>
      </c>
      <c r="I245" t="s">
        <v>371</v>
      </c>
      <c r="J245" t="s">
        <v>3</v>
      </c>
      <c r="K245" t="s">
        <v>372</v>
      </c>
      <c r="L245">
        <v>1348</v>
      </c>
      <c r="N245">
        <v>1009</v>
      </c>
      <c r="O245" t="s">
        <v>345</v>
      </c>
      <c r="P245" t="s">
        <v>345</v>
      </c>
      <c r="Q245">
        <v>1000</v>
      </c>
      <c r="W245">
        <v>0</v>
      </c>
      <c r="X245">
        <v>-783086922</v>
      </c>
      <c r="Y245">
        <f t="shared" si="142"/>
        <v>7.4999999999999997E-2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7.4999999999999997E-2</v>
      </c>
      <c r="AU245" t="s">
        <v>55</v>
      </c>
      <c r="AV245">
        <v>0</v>
      </c>
      <c r="AW245">
        <v>2</v>
      </c>
      <c r="AX245">
        <v>55918190</v>
      </c>
      <c r="AY245">
        <v>1</v>
      </c>
      <c r="AZ245">
        <v>0</v>
      </c>
      <c r="BA245">
        <v>276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ROUND(Y245*Source!I154,9)</f>
        <v>7.4999999999999997E-2</v>
      </c>
      <c r="CY245">
        <f t="shared" si="143"/>
        <v>0</v>
      </c>
      <c r="CZ245">
        <f t="shared" si="144"/>
        <v>0</v>
      </c>
      <c r="DA245">
        <f t="shared" si="145"/>
        <v>1</v>
      </c>
      <c r="DB245">
        <f t="shared" si="146"/>
        <v>0</v>
      </c>
      <c r="DC245">
        <f t="shared" si="147"/>
        <v>0</v>
      </c>
      <c r="DD245" t="s">
        <v>3</v>
      </c>
      <c r="DE245" t="s">
        <v>3</v>
      </c>
      <c r="DF245">
        <f t="shared" si="139"/>
        <v>0</v>
      </c>
      <c r="DG245">
        <f t="shared" si="140"/>
        <v>0</v>
      </c>
      <c r="DH245">
        <f t="shared" si="141"/>
        <v>0</v>
      </c>
      <c r="DI245">
        <f t="shared" si="127"/>
        <v>0</v>
      </c>
      <c r="DJ245">
        <f t="shared" si="148"/>
        <v>0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ROW(Source!A155)</f>
        <v>155</v>
      </c>
      <c r="B246">
        <v>55917799</v>
      </c>
      <c r="C246">
        <v>55918182</v>
      </c>
      <c r="D246">
        <v>55424304</v>
      </c>
      <c r="E246">
        <v>1081</v>
      </c>
      <c r="F246">
        <v>1</v>
      </c>
      <c r="G246">
        <v>1081</v>
      </c>
      <c r="H246">
        <v>1</v>
      </c>
      <c r="I246" t="s">
        <v>339</v>
      </c>
      <c r="J246" t="s">
        <v>3</v>
      </c>
      <c r="K246" t="s">
        <v>340</v>
      </c>
      <c r="L246">
        <v>1191</v>
      </c>
      <c r="N246">
        <v>1013</v>
      </c>
      <c r="O246" t="s">
        <v>341</v>
      </c>
      <c r="P246" t="s">
        <v>341</v>
      </c>
      <c r="Q246">
        <v>1</v>
      </c>
      <c r="W246">
        <v>0</v>
      </c>
      <c r="X246">
        <v>476480486</v>
      </c>
      <c r="Y246">
        <f>(AT246*1.2)</f>
        <v>39.6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5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33</v>
      </c>
      <c r="AU246" t="s">
        <v>56</v>
      </c>
      <c r="AV246">
        <v>1</v>
      </c>
      <c r="AW246">
        <v>2</v>
      </c>
      <c r="AX246">
        <v>55918183</v>
      </c>
      <c r="AY246">
        <v>1</v>
      </c>
      <c r="AZ246">
        <v>0</v>
      </c>
      <c r="BA246">
        <v>277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U246">
        <f>ROUND(AT246*Source!I155*AH246*AL246,2)</f>
        <v>0</v>
      </c>
      <c r="CV246">
        <f>ROUND(Y246*Source!I155,9)</f>
        <v>39.6</v>
      </c>
      <c r="CW246">
        <v>0</v>
      </c>
      <c r="CX246">
        <f>ROUND(Y246*Source!I155,9)</f>
        <v>39.6</v>
      </c>
      <c r="CY246">
        <f>AD246</f>
        <v>0</v>
      </c>
      <c r="CZ246">
        <f>AH246</f>
        <v>0</v>
      </c>
      <c r="DA246">
        <f>AL246</f>
        <v>1</v>
      </c>
      <c r="DB246">
        <f>ROUND((ROUND(AT246*CZ246,2)*1.2),6)</f>
        <v>0</v>
      </c>
      <c r="DC246">
        <f>ROUND((ROUND(AT246*AG246,2)*1.2),6)</f>
        <v>0</v>
      </c>
      <c r="DD246" t="s">
        <v>3</v>
      </c>
      <c r="DE246" t="s">
        <v>3</v>
      </c>
      <c r="DF246">
        <f t="shared" si="139"/>
        <v>0</v>
      </c>
      <c r="DG246">
        <f t="shared" si="140"/>
        <v>0</v>
      </c>
      <c r="DH246">
        <f t="shared" si="141"/>
        <v>0</v>
      </c>
      <c r="DI246">
        <f t="shared" si="127"/>
        <v>0</v>
      </c>
      <c r="DJ246">
        <f>DI246</f>
        <v>0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ROW(Source!A155)</f>
        <v>155</v>
      </c>
      <c r="B247">
        <v>55917799</v>
      </c>
      <c r="C247">
        <v>55918182</v>
      </c>
      <c r="D247">
        <v>55460546</v>
      </c>
      <c r="E247">
        <v>1</v>
      </c>
      <c r="F247">
        <v>1</v>
      </c>
      <c r="G247">
        <v>1081</v>
      </c>
      <c r="H247">
        <v>3</v>
      </c>
      <c r="I247" t="s">
        <v>425</v>
      </c>
      <c r="J247" t="s">
        <v>426</v>
      </c>
      <c r="K247" t="s">
        <v>427</v>
      </c>
      <c r="L247">
        <v>1255</v>
      </c>
      <c r="N247">
        <v>1013</v>
      </c>
      <c r="O247" t="s">
        <v>428</v>
      </c>
      <c r="P247" t="s">
        <v>428</v>
      </c>
      <c r="Q247">
        <v>1</v>
      </c>
      <c r="W247">
        <v>0</v>
      </c>
      <c r="X247">
        <v>-1398468845</v>
      </c>
      <c r="Y247">
        <f t="shared" ref="Y247:Y252" si="149">(AT247*1)</f>
        <v>1.1000000000000001</v>
      </c>
      <c r="AA247">
        <v>6.82</v>
      </c>
      <c r="AB247">
        <v>0</v>
      </c>
      <c r="AC247">
        <v>0</v>
      </c>
      <c r="AD247">
        <v>0</v>
      </c>
      <c r="AE247">
        <v>0.42</v>
      </c>
      <c r="AF247">
        <v>0</v>
      </c>
      <c r="AG247">
        <v>0</v>
      </c>
      <c r="AH247">
        <v>0</v>
      </c>
      <c r="AI247">
        <v>16.239999999999998</v>
      </c>
      <c r="AJ247">
        <v>1</v>
      </c>
      <c r="AK247">
        <v>1</v>
      </c>
      <c r="AL247">
        <v>1</v>
      </c>
      <c r="AM247">
        <v>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1.1000000000000001</v>
      </c>
      <c r="AU247" t="s">
        <v>55</v>
      </c>
      <c r="AV247">
        <v>0</v>
      </c>
      <c r="AW247">
        <v>2</v>
      </c>
      <c r="AX247">
        <v>55918184</v>
      </c>
      <c r="AY247">
        <v>1</v>
      </c>
      <c r="AZ247">
        <v>0</v>
      </c>
      <c r="BA247">
        <v>278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v>0</v>
      </c>
      <c r="CX247">
        <f>ROUND(Y247*Source!I155,9)</f>
        <v>1.1000000000000001</v>
      </c>
      <c r="CY247">
        <f t="shared" ref="CY247:CY252" si="150">AA247</f>
        <v>6.82</v>
      </c>
      <c r="CZ247">
        <f t="shared" ref="CZ247:CZ252" si="151">AE247</f>
        <v>0.42</v>
      </c>
      <c r="DA247">
        <f t="shared" ref="DA247:DA252" si="152">AI247</f>
        <v>16.239999999999998</v>
      </c>
      <c r="DB247">
        <f t="shared" ref="DB247:DB252" si="153">ROUND((ROUND(AT247*CZ247,2)*1),6)</f>
        <v>0.46</v>
      </c>
      <c r="DC247">
        <f t="shared" ref="DC247:DC252" si="154">ROUND((ROUND(AT247*AG247,2)*1),6)</f>
        <v>0</v>
      </c>
      <c r="DD247" t="s">
        <v>3</v>
      </c>
      <c r="DE247" t="s">
        <v>3</v>
      </c>
      <c r="DF247">
        <f t="shared" ref="DF247:DF252" si="155">ROUND(ROUND(AE247*AI247,2)*CX247,2)</f>
        <v>7.5</v>
      </c>
      <c r="DG247">
        <f t="shared" si="140"/>
        <v>0</v>
      </c>
      <c r="DH247">
        <f t="shared" si="141"/>
        <v>0</v>
      </c>
      <c r="DI247">
        <f t="shared" si="127"/>
        <v>0</v>
      </c>
      <c r="DJ247">
        <f t="shared" ref="DJ247:DJ252" si="156">DF247</f>
        <v>7.5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ROW(Source!A155)</f>
        <v>155</v>
      </c>
      <c r="B248">
        <v>55917799</v>
      </c>
      <c r="C248">
        <v>55918182</v>
      </c>
      <c r="D248">
        <v>55459792</v>
      </c>
      <c r="E248">
        <v>1</v>
      </c>
      <c r="F248">
        <v>1</v>
      </c>
      <c r="G248">
        <v>1081</v>
      </c>
      <c r="H248">
        <v>3</v>
      </c>
      <c r="I248" t="s">
        <v>429</v>
      </c>
      <c r="J248" t="s">
        <v>430</v>
      </c>
      <c r="K248" t="s">
        <v>431</v>
      </c>
      <c r="L248">
        <v>1348</v>
      </c>
      <c r="N248">
        <v>1009</v>
      </c>
      <c r="O248" t="s">
        <v>345</v>
      </c>
      <c r="P248" t="s">
        <v>345</v>
      </c>
      <c r="Q248">
        <v>1000</v>
      </c>
      <c r="W248">
        <v>0</v>
      </c>
      <c r="X248">
        <v>114569696</v>
      </c>
      <c r="Y248">
        <f t="shared" si="149"/>
        <v>1.9000000000000001E-4</v>
      </c>
      <c r="AA248">
        <v>1497188.16</v>
      </c>
      <c r="AB248">
        <v>0</v>
      </c>
      <c r="AC248">
        <v>0</v>
      </c>
      <c r="AD248">
        <v>0</v>
      </c>
      <c r="AE248">
        <v>60960.43</v>
      </c>
      <c r="AF248">
        <v>0</v>
      </c>
      <c r="AG248">
        <v>0</v>
      </c>
      <c r="AH248">
        <v>0</v>
      </c>
      <c r="AI248">
        <v>24.56</v>
      </c>
      <c r="AJ248">
        <v>1</v>
      </c>
      <c r="AK248">
        <v>1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1.9000000000000001E-4</v>
      </c>
      <c r="AU248" t="s">
        <v>55</v>
      </c>
      <c r="AV248">
        <v>0</v>
      </c>
      <c r="AW248">
        <v>2</v>
      </c>
      <c r="AX248">
        <v>55918185</v>
      </c>
      <c r="AY248">
        <v>1</v>
      </c>
      <c r="AZ248">
        <v>0</v>
      </c>
      <c r="BA248">
        <v>279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ROUND(Y248*Source!I155,9)</f>
        <v>1.9000000000000001E-4</v>
      </c>
      <c r="CY248">
        <f t="shared" si="150"/>
        <v>1497188.16</v>
      </c>
      <c r="CZ248">
        <f t="shared" si="151"/>
        <v>60960.43</v>
      </c>
      <c r="DA248">
        <f t="shared" si="152"/>
        <v>24.56</v>
      </c>
      <c r="DB248">
        <f t="shared" si="153"/>
        <v>11.58</v>
      </c>
      <c r="DC248">
        <f t="shared" si="154"/>
        <v>0</v>
      </c>
      <c r="DD248" t="s">
        <v>3</v>
      </c>
      <c r="DE248" t="s">
        <v>3</v>
      </c>
      <c r="DF248">
        <f t="shared" si="155"/>
        <v>284.47000000000003</v>
      </c>
      <c r="DG248">
        <f t="shared" si="140"/>
        <v>0</v>
      </c>
      <c r="DH248">
        <f t="shared" si="141"/>
        <v>0</v>
      </c>
      <c r="DI248">
        <f t="shared" si="127"/>
        <v>0</v>
      </c>
      <c r="DJ248">
        <f t="shared" si="156"/>
        <v>284.47000000000003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5">
      <c r="A249">
        <f>ROW(Source!A155)</f>
        <v>155</v>
      </c>
      <c r="B249">
        <v>55917799</v>
      </c>
      <c r="C249">
        <v>55918182</v>
      </c>
      <c r="D249">
        <v>55466338</v>
      </c>
      <c r="E249">
        <v>1</v>
      </c>
      <c r="F249">
        <v>1</v>
      </c>
      <c r="G249">
        <v>1081</v>
      </c>
      <c r="H249">
        <v>3</v>
      </c>
      <c r="I249" t="s">
        <v>364</v>
      </c>
      <c r="J249" t="s">
        <v>365</v>
      </c>
      <c r="K249" t="s">
        <v>366</v>
      </c>
      <c r="L249">
        <v>1349</v>
      </c>
      <c r="N249">
        <v>1009</v>
      </c>
      <c r="O249" t="s">
        <v>367</v>
      </c>
      <c r="P249" t="s">
        <v>367</v>
      </c>
      <c r="Q249">
        <v>1E-3</v>
      </c>
      <c r="W249">
        <v>0</v>
      </c>
      <c r="X249">
        <v>-667754050</v>
      </c>
      <c r="Y249">
        <f t="shared" si="149"/>
        <v>20</v>
      </c>
      <c r="AA249">
        <v>0.44</v>
      </c>
      <c r="AB249">
        <v>0</v>
      </c>
      <c r="AC249">
        <v>0</v>
      </c>
      <c r="AD249">
        <v>0</v>
      </c>
      <c r="AE249">
        <v>7.0000000000000007E-2</v>
      </c>
      <c r="AF249">
        <v>0</v>
      </c>
      <c r="AG249">
        <v>0</v>
      </c>
      <c r="AH249">
        <v>0</v>
      </c>
      <c r="AI249">
        <v>6.29</v>
      </c>
      <c r="AJ249">
        <v>1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20</v>
      </c>
      <c r="AU249" t="s">
        <v>55</v>
      </c>
      <c r="AV249">
        <v>0</v>
      </c>
      <c r="AW249">
        <v>2</v>
      </c>
      <c r="AX249">
        <v>55918186</v>
      </c>
      <c r="AY249">
        <v>1</v>
      </c>
      <c r="AZ249">
        <v>0</v>
      </c>
      <c r="BA249">
        <v>280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ROUND(Y249*Source!I155,9)</f>
        <v>20</v>
      </c>
      <c r="CY249">
        <f t="shared" si="150"/>
        <v>0.44</v>
      </c>
      <c r="CZ249">
        <f t="shared" si="151"/>
        <v>7.0000000000000007E-2</v>
      </c>
      <c r="DA249">
        <f t="shared" si="152"/>
        <v>6.29</v>
      </c>
      <c r="DB249">
        <f t="shared" si="153"/>
        <v>1.4</v>
      </c>
      <c r="DC249">
        <f t="shared" si="154"/>
        <v>0</v>
      </c>
      <c r="DD249" t="s">
        <v>3</v>
      </c>
      <c r="DE249" t="s">
        <v>3</v>
      </c>
      <c r="DF249">
        <f t="shared" si="155"/>
        <v>8.8000000000000007</v>
      </c>
      <c r="DG249">
        <f t="shared" si="140"/>
        <v>0</v>
      </c>
      <c r="DH249">
        <f t="shared" si="141"/>
        <v>0</v>
      </c>
      <c r="DI249">
        <f t="shared" si="127"/>
        <v>0</v>
      </c>
      <c r="DJ249">
        <f t="shared" si="156"/>
        <v>8.8000000000000007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ROW(Source!A155)</f>
        <v>155</v>
      </c>
      <c r="B250">
        <v>55917799</v>
      </c>
      <c r="C250">
        <v>55918182</v>
      </c>
      <c r="D250">
        <v>55482203</v>
      </c>
      <c r="E250">
        <v>1</v>
      </c>
      <c r="F250">
        <v>1</v>
      </c>
      <c r="G250">
        <v>1081</v>
      </c>
      <c r="H250">
        <v>3</v>
      </c>
      <c r="I250" t="s">
        <v>432</v>
      </c>
      <c r="J250" t="s">
        <v>433</v>
      </c>
      <c r="K250" t="s">
        <v>434</v>
      </c>
      <c r="L250">
        <v>1356</v>
      </c>
      <c r="N250">
        <v>1010</v>
      </c>
      <c r="O250" t="s">
        <v>409</v>
      </c>
      <c r="P250" t="s">
        <v>409</v>
      </c>
      <c r="Q250">
        <v>1000</v>
      </c>
      <c r="W250">
        <v>0</v>
      </c>
      <c r="X250">
        <v>474149623</v>
      </c>
      <c r="Y250">
        <f t="shared" si="149"/>
        <v>0.04</v>
      </c>
      <c r="AA250">
        <v>1527.69</v>
      </c>
      <c r="AB250">
        <v>0</v>
      </c>
      <c r="AC250">
        <v>0</v>
      </c>
      <c r="AD250">
        <v>0</v>
      </c>
      <c r="AE250">
        <v>226.66</v>
      </c>
      <c r="AF250">
        <v>0</v>
      </c>
      <c r="AG250">
        <v>0</v>
      </c>
      <c r="AH250">
        <v>0</v>
      </c>
      <c r="AI250">
        <v>6.74</v>
      </c>
      <c r="AJ250">
        <v>1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0.04</v>
      </c>
      <c r="AU250" t="s">
        <v>55</v>
      </c>
      <c r="AV250">
        <v>0</v>
      </c>
      <c r="AW250">
        <v>2</v>
      </c>
      <c r="AX250">
        <v>55918187</v>
      </c>
      <c r="AY250">
        <v>1</v>
      </c>
      <c r="AZ250">
        <v>0</v>
      </c>
      <c r="BA250">
        <v>281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ROUND(Y250*Source!I155,9)</f>
        <v>0.04</v>
      </c>
      <c r="CY250">
        <f t="shared" si="150"/>
        <v>1527.69</v>
      </c>
      <c r="CZ250">
        <f t="shared" si="151"/>
        <v>226.66</v>
      </c>
      <c r="DA250">
        <f t="shared" si="152"/>
        <v>6.74</v>
      </c>
      <c r="DB250">
        <f t="shared" si="153"/>
        <v>9.07</v>
      </c>
      <c r="DC250">
        <f t="shared" si="154"/>
        <v>0</v>
      </c>
      <c r="DD250" t="s">
        <v>3</v>
      </c>
      <c r="DE250" t="s">
        <v>3</v>
      </c>
      <c r="DF250">
        <f t="shared" si="155"/>
        <v>61.11</v>
      </c>
      <c r="DG250">
        <f t="shared" si="140"/>
        <v>0</v>
      </c>
      <c r="DH250">
        <f t="shared" si="141"/>
        <v>0</v>
      </c>
      <c r="DI250">
        <f t="shared" si="127"/>
        <v>0</v>
      </c>
      <c r="DJ250">
        <f t="shared" si="156"/>
        <v>61.11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ROW(Source!A155)</f>
        <v>155</v>
      </c>
      <c r="B251">
        <v>55917799</v>
      </c>
      <c r="C251">
        <v>55918182</v>
      </c>
      <c r="D251">
        <v>55482233</v>
      </c>
      <c r="E251">
        <v>1</v>
      </c>
      <c r="F251">
        <v>1</v>
      </c>
      <c r="G251">
        <v>1081</v>
      </c>
      <c r="H251">
        <v>3</v>
      </c>
      <c r="I251" t="s">
        <v>368</v>
      </c>
      <c r="J251" t="s">
        <v>369</v>
      </c>
      <c r="K251" t="s">
        <v>370</v>
      </c>
      <c r="L251">
        <v>1346</v>
      </c>
      <c r="N251">
        <v>1009</v>
      </c>
      <c r="O251" t="s">
        <v>316</v>
      </c>
      <c r="P251" t="s">
        <v>316</v>
      </c>
      <c r="Q251">
        <v>1</v>
      </c>
      <c r="W251">
        <v>0</v>
      </c>
      <c r="X251">
        <v>1566362712</v>
      </c>
      <c r="Y251">
        <f t="shared" si="149"/>
        <v>0.11</v>
      </c>
      <c r="AA251">
        <v>3047.23</v>
      </c>
      <c r="AB251">
        <v>0</v>
      </c>
      <c r="AC251">
        <v>0</v>
      </c>
      <c r="AD251">
        <v>0</v>
      </c>
      <c r="AE251">
        <v>493.08</v>
      </c>
      <c r="AF251">
        <v>0</v>
      </c>
      <c r="AG251">
        <v>0</v>
      </c>
      <c r="AH251">
        <v>0</v>
      </c>
      <c r="AI251">
        <v>6.18</v>
      </c>
      <c r="AJ251">
        <v>1</v>
      </c>
      <c r="AK251">
        <v>1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0.11</v>
      </c>
      <c r="AU251" t="s">
        <v>55</v>
      </c>
      <c r="AV251">
        <v>0</v>
      </c>
      <c r="AW251">
        <v>2</v>
      </c>
      <c r="AX251">
        <v>55918188</v>
      </c>
      <c r="AY251">
        <v>1</v>
      </c>
      <c r="AZ251">
        <v>0</v>
      </c>
      <c r="BA251">
        <v>282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ROUND(Y251*Source!I155,9)</f>
        <v>0.11</v>
      </c>
      <c r="CY251">
        <f t="shared" si="150"/>
        <v>3047.23</v>
      </c>
      <c r="CZ251">
        <f t="shared" si="151"/>
        <v>493.08</v>
      </c>
      <c r="DA251">
        <f t="shared" si="152"/>
        <v>6.18</v>
      </c>
      <c r="DB251">
        <f t="shared" si="153"/>
        <v>54.24</v>
      </c>
      <c r="DC251">
        <f t="shared" si="154"/>
        <v>0</v>
      </c>
      <c r="DD251" t="s">
        <v>3</v>
      </c>
      <c r="DE251" t="s">
        <v>3</v>
      </c>
      <c r="DF251">
        <f t="shared" si="155"/>
        <v>335.2</v>
      </c>
      <c r="DG251">
        <f t="shared" si="140"/>
        <v>0</v>
      </c>
      <c r="DH251">
        <f t="shared" si="141"/>
        <v>0</v>
      </c>
      <c r="DI251">
        <f t="shared" si="127"/>
        <v>0</v>
      </c>
      <c r="DJ251">
        <f t="shared" si="156"/>
        <v>335.2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5">
      <c r="A252">
        <f>ROW(Source!A155)</f>
        <v>155</v>
      </c>
      <c r="B252">
        <v>55917799</v>
      </c>
      <c r="C252">
        <v>55918182</v>
      </c>
      <c r="D252">
        <v>55424290</v>
      </c>
      <c r="E252">
        <v>1081</v>
      </c>
      <c r="F252">
        <v>1</v>
      </c>
      <c r="G252">
        <v>1081</v>
      </c>
      <c r="H252">
        <v>3</v>
      </c>
      <c r="I252" t="s">
        <v>371</v>
      </c>
      <c r="J252" t="s">
        <v>3</v>
      </c>
      <c r="K252" t="s">
        <v>372</v>
      </c>
      <c r="L252">
        <v>1348</v>
      </c>
      <c r="N252">
        <v>1009</v>
      </c>
      <c r="O252" t="s">
        <v>345</v>
      </c>
      <c r="P252" t="s">
        <v>345</v>
      </c>
      <c r="Q252">
        <v>1000</v>
      </c>
      <c r="W252">
        <v>0</v>
      </c>
      <c r="X252">
        <v>-783086922</v>
      </c>
      <c r="Y252">
        <f t="shared" si="149"/>
        <v>7.4999999999999997E-2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9.84</v>
      </c>
      <c r="AJ252">
        <v>1</v>
      </c>
      <c r="AK252">
        <v>1</v>
      </c>
      <c r="AL252">
        <v>1</v>
      </c>
      <c r="AM252">
        <v>5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7.4999999999999997E-2</v>
      </c>
      <c r="AU252" t="s">
        <v>55</v>
      </c>
      <c r="AV252">
        <v>0</v>
      </c>
      <c r="AW252">
        <v>2</v>
      </c>
      <c r="AX252">
        <v>55918190</v>
      </c>
      <c r="AY252">
        <v>1</v>
      </c>
      <c r="AZ252">
        <v>0</v>
      </c>
      <c r="BA252">
        <v>284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ROUND(Y252*Source!I155,9)</f>
        <v>7.4999999999999997E-2</v>
      </c>
      <c r="CY252">
        <f t="shared" si="150"/>
        <v>0</v>
      </c>
      <c r="CZ252">
        <f t="shared" si="151"/>
        <v>0</v>
      </c>
      <c r="DA252">
        <f t="shared" si="152"/>
        <v>9.84</v>
      </c>
      <c r="DB252">
        <f t="shared" si="153"/>
        <v>0</v>
      </c>
      <c r="DC252">
        <f t="shared" si="154"/>
        <v>0</v>
      </c>
      <c r="DD252" t="s">
        <v>3</v>
      </c>
      <c r="DE252" t="s">
        <v>3</v>
      </c>
      <c r="DF252">
        <f t="shared" si="155"/>
        <v>0</v>
      </c>
      <c r="DG252">
        <f t="shared" si="140"/>
        <v>0</v>
      </c>
      <c r="DH252">
        <f t="shared" si="141"/>
        <v>0</v>
      </c>
      <c r="DI252">
        <f t="shared" si="127"/>
        <v>0</v>
      </c>
      <c r="DJ252">
        <f t="shared" si="156"/>
        <v>0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5">
      <c r="A253">
        <f>ROW(Source!A158)</f>
        <v>158</v>
      </c>
      <c r="B253">
        <v>55917797</v>
      </c>
      <c r="C253">
        <v>55918199</v>
      </c>
      <c r="D253">
        <v>55424304</v>
      </c>
      <c r="E253">
        <v>1081</v>
      </c>
      <c r="F253">
        <v>1</v>
      </c>
      <c r="G253">
        <v>1081</v>
      </c>
      <c r="H253">
        <v>1</v>
      </c>
      <c r="I253" t="s">
        <v>339</v>
      </c>
      <c r="J253" t="s">
        <v>3</v>
      </c>
      <c r="K253" t="s">
        <v>340</v>
      </c>
      <c r="L253">
        <v>1191</v>
      </c>
      <c r="N253">
        <v>1013</v>
      </c>
      <c r="O253" t="s">
        <v>341</v>
      </c>
      <c r="P253" t="s">
        <v>341</v>
      </c>
      <c r="Q253">
        <v>1</v>
      </c>
      <c r="W253">
        <v>0</v>
      </c>
      <c r="X253">
        <v>476480486</v>
      </c>
      <c r="Y253">
        <f>(AT253*1.2)</f>
        <v>12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10</v>
      </c>
      <c r="AU253" t="s">
        <v>56</v>
      </c>
      <c r="AV253">
        <v>1</v>
      </c>
      <c r="AW253">
        <v>2</v>
      </c>
      <c r="AX253">
        <v>55918200</v>
      </c>
      <c r="AY253">
        <v>1</v>
      </c>
      <c r="AZ253">
        <v>0</v>
      </c>
      <c r="BA253">
        <v>285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U253">
        <f>ROUND(AT253*Source!I158*AH253*AL253,2)</f>
        <v>0</v>
      </c>
      <c r="CV253">
        <f>ROUND(Y253*Source!I158,9)</f>
        <v>12</v>
      </c>
      <c r="CW253">
        <v>0</v>
      </c>
      <c r="CX253">
        <f>ROUND(Y253*Source!I158,9)</f>
        <v>12</v>
      </c>
      <c r="CY253">
        <f>AD253</f>
        <v>0</v>
      </c>
      <c r="CZ253">
        <f>AH253</f>
        <v>0</v>
      </c>
      <c r="DA253">
        <f>AL253</f>
        <v>1</v>
      </c>
      <c r="DB253">
        <f>ROUND((ROUND(AT253*CZ253,2)*1.2),6)</f>
        <v>0</v>
      </c>
      <c r="DC253">
        <f>ROUND((ROUND(AT253*AG253,2)*1.2),6)</f>
        <v>0</v>
      </c>
      <c r="DD253" t="s">
        <v>3</v>
      </c>
      <c r="DE253" t="s">
        <v>3</v>
      </c>
      <c r="DF253">
        <f t="shared" ref="DF253:DF264" si="157">ROUND(ROUND(AE253,2)*CX253,2)</f>
        <v>0</v>
      </c>
      <c r="DG253">
        <f t="shared" si="140"/>
        <v>0</v>
      </c>
      <c r="DH253">
        <f t="shared" si="141"/>
        <v>0</v>
      </c>
      <c r="DI253">
        <f t="shared" si="127"/>
        <v>0</v>
      </c>
      <c r="DJ253">
        <f>DI253</f>
        <v>0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ROW(Source!A158)</f>
        <v>158</v>
      </c>
      <c r="B254">
        <v>55917797</v>
      </c>
      <c r="C254">
        <v>55918199</v>
      </c>
      <c r="D254">
        <v>55460508</v>
      </c>
      <c r="E254">
        <v>1</v>
      </c>
      <c r="F254">
        <v>1</v>
      </c>
      <c r="G254">
        <v>1081</v>
      </c>
      <c r="H254">
        <v>3</v>
      </c>
      <c r="I254" t="s">
        <v>342</v>
      </c>
      <c r="J254" t="s">
        <v>343</v>
      </c>
      <c r="K254" t="s">
        <v>344</v>
      </c>
      <c r="L254">
        <v>1348</v>
      </c>
      <c r="N254">
        <v>1009</v>
      </c>
      <c r="O254" t="s">
        <v>345</v>
      </c>
      <c r="P254" t="s">
        <v>345</v>
      </c>
      <c r="Q254">
        <v>1000</v>
      </c>
      <c r="W254">
        <v>0</v>
      </c>
      <c r="X254">
        <v>1896261550</v>
      </c>
      <c r="Y254">
        <f t="shared" ref="Y254:Y263" si="158">(AT254*1)</f>
        <v>2.0000000000000001E-4</v>
      </c>
      <c r="AA254">
        <v>12287.39</v>
      </c>
      <c r="AB254">
        <v>0</v>
      </c>
      <c r="AC254">
        <v>0</v>
      </c>
      <c r="AD254">
        <v>0</v>
      </c>
      <c r="AE254">
        <v>12287.39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2.0000000000000001E-4</v>
      </c>
      <c r="AU254" t="s">
        <v>55</v>
      </c>
      <c r="AV254">
        <v>0</v>
      </c>
      <c r="AW254">
        <v>2</v>
      </c>
      <c r="AX254">
        <v>55918201</v>
      </c>
      <c r="AY254">
        <v>1</v>
      </c>
      <c r="AZ254">
        <v>0</v>
      </c>
      <c r="BA254">
        <v>286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ROUND(Y254*Source!I158,9)</f>
        <v>2.0000000000000001E-4</v>
      </c>
      <c r="CY254">
        <f t="shared" ref="CY254:CY263" si="159">AA254</f>
        <v>12287.39</v>
      </c>
      <c r="CZ254">
        <f t="shared" ref="CZ254:CZ263" si="160">AE254</f>
        <v>12287.39</v>
      </c>
      <c r="DA254">
        <f t="shared" ref="DA254:DA263" si="161">AI254</f>
        <v>1</v>
      </c>
      <c r="DB254">
        <f t="shared" ref="DB254:DB263" si="162">ROUND((ROUND(AT254*CZ254,2)*1),6)</f>
        <v>2.46</v>
      </c>
      <c r="DC254">
        <f t="shared" ref="DC254:DC263" si="163">ROUND((ROUND(AT254*AG254,2)*1),6)</f>
        <v>0</v>
      </c>
      <c r="DD254" t="s">
        <v>3</v>
      </c>
      <c r="DE254" t="s">
        <v>3</v>
      </c>
      <c r="DF254">
        <f t="shared" si="157"/>
        <v>2.46</v>
      </c>
      <c r="DG254">
        <f t="shared" si="140"/>
        <v>0</v>
      </c>
      <c r="DH254">
        <f t="shared" si="141"/>
        <v>0</v>
      </c>
      <c r="DI254">
        <f t="shared" si="127"/>
        <v>0</v>
      </c>
      <c r="DJ254">
        <f t="shared" ref="DJ254:DJ263" si="164">DF254</f>
        <v>2.46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5">
      <c r="A255">
        <f>ROW(Source!A158)</f>
        <v>158</v>
      </c>
      <c r="B255">
        <v>55917797</v>
      </c>
      <c r="C255">
        <v>55918199</v>
      </c>
      <c r="D255">
        <v>55460545</v>
      </c>
      <c r="E255">
        <v>1</v>
      </c>
      <c r="F255">
        <v>1</v>
      </c>
      <c r="G255">
        <v>1081</v>
      </c>
      <c r="H255">
        <v>3</v>
      </c>
      <c r="I255" t="s">
        <v>346</v>
      </c>
      <c r="J255" t="s">
        <v>347</v>
      </c>
      <c r="K255" t="s">
        <v>348</v>
      </c>
      <c r="L255">
        <v>1348</v>
      </c>
      <c r="N255">
        <v>1009</v>
      </c>
      <c r="O255" t="s">
        <v>345</v>
      </c>
      <c r="P255" t="s">
        <v>345</v>
      </c>
      <c r="Q255">
        <v>1000</v>
      </c>
      <c r="W255">
        <v>0</v>
      </c>
      <c r="X255">
        <v>1967598333</v>
      </c>
      <c r="Y255">
        <f t="shared" si="158"/>
        <v>1.0000000000000001E-5</v>
      </c>
      <c r="AA255">
        <v>3772.37</v>
      </c>
      <c r="AB255">
        <v>0</v>
      </c>
      <c r="AC255">
        <v>0</v>
      </c>
      <c r="AD255">
        <v>0</v>
      </c>
      <c r="AE255">
        <v>3772.37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1.0000000000000001E-5</v>
      </c>
      <c r="AU255" t="s">
        <v>55</v>
      </c>
      <c r="AV255">
        <v>0</v>
      </c>
      <c r="AW255">
        <v>2</v>
      </c>
      <c r="AX255">
        <v>55918202</v>
      </c>
      <c r="AY255">
        <v>1</v>
      </c>
      <c r="AZ255">
        <v>0</v>
      </c>
      <c r="BA255">
        <v>287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ROUND(Y255*Source!I158,9)</f>
        <v>1.0000000000000001E-5</v>
      </c>
      <c r="CY255">
        <f t="shared" si="159"/>
        <v>3772.37</v>
      </c>
      <c r="CZ255">
        <f t="shared" si="160"/>
        <v>3772.37</v>
      </c>
      <c r="DA255">
        <f t="shared" si="161"/>
        <v>1</v>
      </c>
      <c r="DB255">
        <f t="shared" si="162"/>
        <v>0.04</v>
      </c>
      <c r="DC255">
        <f t="shared" si="163"/>
        <v>0</v>
      </c>
      <c r="DD255" t="s">
        <v>3</v>
      </c>
      <c r="DE255" t="s">
        <v>3</v>
      </c>
      <c r="DF255">
        <f t="shared" si="157"/>
        <v>0.04</v>
      </c>
      <c r="DG255">
        <f t="shared" si="140"/>
        <v>0</v>
      </c>
      <c r="DH255">
        <f t="shared" si="141"/>
        <v>0</v>
      </c>
      <c r="DI255">
        <f t="shared" si="127"/>
        <v>0</v>
      </c>
      <c r="DJ255">
        <f t="shared" si="164"/>
        <v>0.04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ROW(Source!A158)</f>
        <v>158</v>
      </c>
      <c r="B256">
        <v>55917797</v>
      </c>
      <c r="C256">
        <v>55918199</v>
      </c>
      <c r="D256">
        <v>55461230</v>
      </c>
      <c r="E256">
        <v>1</v>
      </c>
      <c r="F256">
        <v>1</v>
      </c>
      <c r="G256">
        <v>1081</v>
      </c>
      <c r="H256">
        <v>3</v>
      </c>
      <c r="I256" t="s">
        <v>349</v>
      </c>
      <c r="J256" t="s">
        <v>350</v>
      </c>
      <c r="K256" t="s">
        <v>351</v>
      </c>
      <c r="L256">
        <v>1346</v>
      </c>
      <c r="N256">
        <v>1009</v>
      </c>
      <c r="O256" t="s">
        <v>316</v>
      </c>
      <c r="P256" t="s">
        <v>316</v>
      </c>
      <c r="Q256">
        <v>1</v>
      </c>
      <c r="W256">
        <v>0</v>
      </c>
      <c r="X256">
        <v>1561715650</v>
      </c>
      <c r="Y256">
        <f t="shared" si="158"/>
        <v>0.02</v>
      </c>
      <c r="AA256">
        <v>15.11</v>
      </c>
      <c r="AB256">
        <v>0</v>
      </c>
      <c r="AC256">
        <v>0</v>
      </c>
      <c r="AD256">
        <v>0</v>
      </c>
      <c r="AE256">
        <v>15.11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0.02</v>
      </c>
      <c r="AU256" t="s">
        <v>55</v>
      </c>
      <c r="AV256">
        <v>0</v>
      </c>
      <c r="AW256">
        <v>2</v>
      </c>
      <c r="AX256">
        <v>55918203</v>
      </c>
      <c r="AY256">
        <v>1</v>
      </c>
      <c r="AZ256">
        <v>0</v>
      </c>
      <c r="BA256">
        <v>288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ROUND(Y256*Source!I158,9)</f>
        <v>0.02</v>
      </c>
      <c r="CY256">
        <f t="shared" si="159"/>
        <v>15.11</v>
      </c>
      <c r="CZ256">
        <f t="shared" si="160"/>
        <v>15.11</v>
      </c>
      <c r="DA256">
        <f t="shared" si="161"/>
        <v>1</v>
      </c>
      <c r="DB256">
        <f t="shared" si="162"/>
        <v>0.3</v>
      </c>
      <c r="DC256">
        <f t="shared" si="163"/>
        <v>0</v>
      </c>
      <c r="DD256" t="s">
        <v>3</v>
      </c>
      <c r="DE256" t="s">
        <v>3</v>
      </c>
      <c r="DF256">
        <f t="shared" si="157"/>
        <v>0.3</v>
      </c>
      <c r="DG256">
        <f t="shared" si="140"/>
        <v>0</v>
      </c>
      <c r="DH256">
        <f t="shared" si="141"/>
        <v>0</v>
      </c>
      <c r="DI256">
        <f t="shared" si="127"/>
        <v>0</v>
      </c>
      <c r="DJ256">
        <f t="shared" si="164"/>
        <v>0.3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ROW(Source!A158)</f>
        <v>158</v>
      </c>
      <c r="B257">
        <v>55917797</v>
      </c>
      <c r="C257">
        <v>55918199</v>
      </c>
      <c r="D257">
        <v>55461426</v>
      </c>
      <c r="E257">
        <v>1</v>
      </c>
      <c r="F257">
        <v>1</v>
      </c>
      <c r="G257">
        <v>1081</v>
      </c>
      <c r="H257">
        <v>3</v>
      </c>
      <c r="I257" t="s">
        <v>352</v>
      </c>
      <c r="J257" t="s">
        <v>353</v>
      </c>
      <c r="K257" t="s">
        <v>354</v>
      </c>
      <c r="L257">
        <v>1346</v>
      </c>
      <c r="N257">
        <v>1009</v>
      </c>
      <c r="O257" t="s">
        <v>316</v>
      </c>
      <c r="P257" t="s">
        <v>316</v>
      </c>
      <c r="Q257">
        <v>1</v>
      </c>
      <c r="W257">
        <v>0</v>
      </c>
      <c r="X257">
        <v>-1175794599</v>
      </c>
      <c r="Y257">
        <f t="shared" si="158"/>
        <v>0.5</v>
      </c>
      <c r="AA257">
        <v>35.590000000000003</v>
      </c>
      <c r="AB257">
        <v>0</v>
      </c>
      <c r="AC257">
        <v>0</v>
      </c>
      <c r="AD257">
        <v>0</v>
      </c>
      <c r="AE257">
        <v>35.590000000000003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0.5</v>
      </c>
      <c r="AU257" t="s">
        <v>55</v>
      </c>
      <c r="AV257">
        <v>0</v>
      </c>
      <c r="AW257">
        <v>2</v>
      </c>
      <c r="AX257">
        <v>55918204</v>
      </c>
      <c r="AY257">
        <v>1</v>
      </c>
      <c r="AZ257">
        <v>0</v>
      </c>
      <c r="BA257">
        <v>289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ROUND(Y257*Source!I158,9)</f>
        <v>0.5</v>
      </c>
      <c r="CY257">
        <f t="shared" si="159"/>
        <v>35.590000000000003</v>
      </c>
      <c r="CZ257">
        <f t="shared" si="160"/>
        <v>35.590000000000003</v>
      </c>
      <c r="DA257">
        <f t="shared" si="161"/>
        <v>1</v>
      </c>
      <c r="DB257">
        <f t="shared" si="162"/>
        <v>17.8</v>
      </c>
      <c r="DC257">
        <f t="shared" si="163"/>
        <v>0</v>
      </c>
      <c r="DD257" t="s">
        <v>3</v>
      </c>
      <c r="DE257" t="s">
        <v>3</v>
      </c>
      <c r="DF257">
        <f t="shared" si="157"/>
        <v>17.8</v>
      </c>
      <c r="DG257">
        <f t="shared" si="140"/>
        <v>0</v>
      </c>
      <c r="DH257">
        <f t="shared" si="141"/>
        <v>0</v>
      </c>
      <c r="DI257">
        <f t="shared" ref="DI257:DI320" si="165">ROUND(ROUND(AH257,2)*CX257,2)</f>
        <v>0</v>
      </c>
      <c r="DJ257">
        <f t="shared" si="164"/>
        <v>17.8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ROW(Source!A158)</f>
        <v>158</v>
      </c>
      <c r="B258">
        <v>55917797</v>
      </c>
      <c r="C258">
        <v>55918199</v>
      </c>
      <c r="D258">
        <v>55459400</v>
      </c>
      <c r="E258">
        <v>1</v>
      </c>
      <c r="F258">
        <v>1</v>
      </c>
      <c r="G258">
        <v>1081</v>
      </c>
      <c r="H258">
        <v>3</v>
      </c>
      <c r="I258" t="s">
        <v>355</v>
      </c>
      <c r="J258" t="s">
        <v>356</v>
      </c>
      <c r="K258" t="s">
        <v>357</v>
      </c>
      <c r="L258">
        <v>1346</v>
      </c>
      <c r="N258">
        <v>1009</v>
      </c>
      <c r="O258" t="s">
        <v>316</v>
      </c>
      <c r="P258" t="s">
        <v>316</v>
      </c>
      <c r="Q258">
        <v>1</v>
      </c>
      <c r="W258">
        <v>0</v>
      </c>
      <c r="X258">
        <v>-2129869794</v>
      </c>
      <c r="Y258">
        <f t="shared" si="158"/>
        <v>0.05</v>
      </c>
      <c r="AA258">
        <v>16.690000000000001</v>
      </c>
      <c r="AB258">
        <v>0</v>
      </c>
      <c r="AC258">
        <v>0</v>
      </c>
      <c r="AD258">
        <v>0</v>
      </c>
      <c r="AE258">
        <v>16.690000000000001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-2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0.05</v>
      </c>
      <c r="AU258" t="s">
        <v>55</v>
      </c>
      <c r="AV258">
        <v>0</v>
      </c>
      <c r="AW258">
        <v>2</v>
      </c>
      <c r="AX258">
        <v>55918205</v>
      </c>
      <c r="AY258">
        <v>1</v>
      </c>
      <c r="AZ258">
        <v>0</v>
      </c>
      <c r="BA258">
        <v>290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ROUND(Y258*Source!I158,9)</f>
        <v>0.05</v>
      </c>
      <c r="CY258">
        <f t="shared" si="159"/>
        <v>16.690000000000001</v>
      </c>
      <c r="CZ258">
        <f t="shared" si="160"/>
        <v>16.690000000000001</v>
      </c>
      <c r="DA258">
        <f t="shared" si="161"/>
        <v>1</v>
      </c>
      <c r="DB258">
        <f t="shared" si="162"/>
        <v>0.83</v>
      </c>
      <c r="DC258">
        <f t="shared" si="163"/>
        <v>0</v>
      </c>
      <c r="DD258" t="s">
        <v>3</v>
      </c>
      <c r="DE258" t="s">
        <v>3</v>
      </c>
      <c r="DF258">
        <f t="shared" si="157"/>
        <v>0.83</v>
      </c>
      <c r="DG258">
        <f t="shared" si="140"/>
        <v>0</v>
      </c>
      <c r="DH258">
        <f t="shared" si="141"/>
        <v>0</v>
      </c>
      <c r="DI258">
        <f t="shared" si="165"/>
        <v>0</v>
      </c>
      <c r="DJ258">
        <f t="shared" si="164"/>
        <v>0.83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5">
      <c r="A259">
        <f>ROW(Source!A158)</f>
        <v>158</v>
      </c>
      <c r="B259">
        <v>55917797</v>
      </c>
      <c r="C259">
        <v>55918199</v>
      </c>
      <c r="D259">
        <v>55459404</v>
      </c>
      <c r="E259">
        <v>1</v>
      </c>
      <c r="F259">
        <v>1</v>
      </c>
      <c r="G259">
        <v>1081</v>
      </c>
      <c r="H259">
        <v>3</v>
      </c>
      <c r="I259" t="s">
        <v>358</v>
      </c>
      <c r="J259" t="s">
        <v>359</v>
      </c>
      <c r="K259" t="s">
        <v>360</v>
      </c>
      <c r="L259">
        <v>1346</v>
      </c>
      <c r="N259">
        <v>1009</v>
      </c>
      <c r="O259" t="s">
        <v>316</v>
      </c>
      <c r="P259" t="s">
        <v>316</v>
      </c>
      <c r="Q259">
        <v>1</v>
      </c>
      <c r="W259">
        <v>0</v>
      </c>
      <c r="X259">
        <v>669791865</v>
      </c>
      <c r="Y259">
        <f t="shared" si="158"/>
        <v>0.2</v>
      </c>
      <c r="AA259">
        <v>73.53</v>
      </c>
      <c r="AB259">
        <v>0</v>
      </c>
      <c r="AC259">
        <v>0</v>
      </c>
      <c r="AD259">
        <v>0</v>
      </c>
      <c r="AE259">
        <v>73.53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-2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0.2</v>
      </c>
      <c r="AU259" t="s">
        <v>55</v>
      </c>
      <c r="AV259">
        <v>0</v>
      </c>
      <c r="AW259">
        <v>2</v>
      </c>
      <c r="AX259">
        <v>55918206</v>
      </c>
      <c r="AY259">
        <v>1</v>
      </c>
      <c r="AZ259">
        <v>0</v>
      </c>
      <c r="BA259">
        <v>291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ROUND(Y259*Source!I158,9)</f>
        <v>0.2</v>
      </c>
      <c r="CY259">
        <f t="shared" si="159"/>
        <v>73.53</v>
      </c>
      <c r="CZ259">
        <f t="shared" si="160"/>
        <v>73.53</v>
      </c>
      <c r="DA259">
        <f t="shared" si="161"/>
        <v>1</v>
      </c>
      <c r="DB259">
        <f t="shared" si="162"/>
        <v>14.71</v>
      </c>
      <c r="DC259">
        <f t="shared" si="163"/>
        <v>0</v>
      </c>
      <c r="DD259" t="s">
        <v>3</v>
      </c>
      <c r="DE259" t="s">
        <v>3</v>
      </c>
      <c r="DF259">
        <f t="shared" si="157"/>
        <v>14.71</v>
      </c>
      <c r="DG259">
        <f t="shared" si="140"/>
        <v>0</v>
      </c>
      <c r="DH259">
        <f t="shared" si="141"/>
        <v>0</v>
      </c>
      <c r="DI259">
        <f t="shared" si="165"/>
        <v>0</v>
      </c>
      <c r="DJ259">
        <f t="shared" si="164"/>
        <v>14.71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5">
      <c r="A260">
        <f>ROW(Source!A158)</f>
        <v>158</v>
      </c>
      <c r="B260">
        <v>55917797</v>
      </c>
      <c r="C260">
        <v>55918199</v>
      </c>
      <c r="D260">
        <v>55459793</v>
      </c>
      <c r="E260">
        <v>1</v>
      </c>
      <c r="F260">
        <v>1</v>
      </c>
      <c r="G260">
        <v>1081</v>
      </c>
      <c r="H260">
        <v>3</v>
      </c>
      <c r="I260" t="s">
        <v>361</v>
      </c>
      <c r="J260" t="s">
        <v>362</v>
      </c>
      <c r="K260" t="s">
        <v>363</v>
      </c>
      <c r="L260">
        <v>1348</v>
      </c>
      <c r="N260">
        <v>1009</v>
      </c>
      <c r="O260" t="s">
        <v>345</v>
      </c>
      <c r="P260" t="s">
        <v>345</v>
      </c>
      <c r="Q260">
        <v>1000</v>
      </c>
      <c r="W260">
        <v>0</v>
      </c>
      <c r="X260">
        <v>-761454284</v>
      </c>
      <c r="Y260">
        <f t="shared" si="158"/>
        <v>2.0000000000000001E-4</v>
      </c>
      <c r="AA260">
        <v>64123.05</v>
      </c>
      <c r="AB260">
        <v>0</v>
      </c>
      <c r="AC260">
        <v>0</v>
      </c>
      <c r="AD260">
        <v>0</v>
      </c>
      <c r="AE260">
        <v>64123.05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-2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2.0000000000000001E-4</v>
      </c>
      <c r="AU260" t="s">
        <v>55</v>
      </c>
      <c r="AV260">
        <v>0</v>
      </c>
      <c r="AW260">
        <v>2</v>
      </c>
      <c r="AX260">
        <v>55918207</v>
      </c>
      <c r="AY260">
        <v>1</v>
      </c>
      <c r="AZ260">
        <v>0</v>
      </c>
      <c r="BA260">
        <v>292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ROUND(Y260*Source!I158,9)</f>
        <v>2.0000000000000001E-4</v>
      </c>
      <c r="CY260">
        <f t="shared" si="159"/>
        <v>64123.05</v>
      </c>
      <c r="CZ260">
        <f t="shared" si="160"/>
        <v>64123.05</v>
      </c>
      <c r="DA260">
        <f t="shared" si="161"/>
        <v>1</v>
      </c>
      <c r="DB260">
        <f t="shared" si="162"/>
        <v>12.82</v>
      </c>
      <c r="DC260">
        <f t="shared" si="163"/>
        <v>0</v>
      </c>
      <c r="DD260" t="s">
        <v>3</v>
      </c>
      <c r="DE260" t="s">
        <v>3</v>
      </c>
      <c r="DF260">
        <f t="shared" si="157"/>
        <v>12.82</v>
      </c>
      <c r="DG260">
        <f t="shared" si="140"/>
        <v>0</v>
      </c>
      <c r="DH260">
        <f t="shared" si="141"/>
        <v>0</v>
      </c>
      <c r="DI260">
        <f t="shared" si="165"/>
        <v>0</v>
      </c>
      <c r="DJ260">
        <f t="shared" si="164"/>
        <v>12.82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ROW(Source!A158)</f>
        <v>158</v>
      </c>
      <c r="B261">
        <v>55917797</v>
      </c>
      <c r="C261">
        <v>55918199</v>
      </c>
      <c r="D261">
        <v>55466338</v>
      </c>
      <c r="E261">
        <v>1</v>
      </c>
      <c r="F261">
        <v>1</v>
      </c>
      <c r="G261">
        <v>1081</v>
      </c>
      <c r="H261">
        <v>3</v>
      </c>
      <c r="I261" t="s">
        <v>364</v>
      </c>
      <c r="J261" t="s">
        <v>365</v>
      </c>
      <c r="K261" t="s">
        <v>366</v>
      </c>
      <c r="L261">
        <v>1349</v>
      </c>
      <c r="N261">
        <v>1009</v>
      </c>
      <c r="O261" t="s">
        <v>367</v>
      </c>
      <c r="P261" t="s">
        <v>367</v>
      </c>
      <c r="Q261">
        <v>1E-3</v>
      </c>
      <c r="W261">
        <v>0</v>
      </c>
      <c r="X261">
        <v>-667754050</v>
      </c>
      <c r="Y261">
        <f t="shared" si="158"/>
        <v>100</v>
      </c>
      <c r="AA261">
        <v>7.0000000000000007E-2</v>
      </c>
      <c r="AB261">
        <v>0</v>
      </c>
      <c r="AC261">
        <v>0</v>
      </c>
      <c r="AD261">
        <v>0</v>
      </c>
      <c r="AE261">
        <v>7.0000000000000007E-2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100</v>
      </c>
      <c r="AU261" t="s">
        <v>55</v>
      </c>
      <c r="AV261">
        <v>0</v>
      </c>
      <c r="AW261">
        <v>2</v>
      </c>
      <c r="AX261">
        <v>55918208</v>
      </c>
      <c r="AY261">
        <v>1</v>
      </c>
      <c r="AZ261">
        <v>0</v>
      </c>
      <c r="BA261">
        <v>293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ROUND(Y261*Source!I158,9)</f>
        <v>100</v>
      </c>
      <c r="CY261">
        <f t="shared" si="159"/>
        <v>7.0000000000000007E-2</v>
      </c>
      <c r="CZ261">
        <f t="shared" si="160"/>
        <v>7.0000000000000007E-2</v>
      </c>
      <c r="DA261">
        <f t="shared" si="161"/>
        <v>1</v>
      </c>
      <c r="DB261">
        <f t="shared" si="162"/>
        <v>7</v>
      </c>
      <c r="DC261">
        <f t="shared" si="163"/>
        <v>0</v>
      </c>
      <c r="DD261" t="s">
        <v>3</v>
      </c>
      <c r="DE261" t="s">
        <v>3</v>
      </c>
      <c r="DF261">
        <f t="shared" si="157"/>
        <v>7</v>
      </c>
      <c r="DG261">
        <f t="shared" si="140"/>
        <v>0</v>
      </c>
      <c r="DH261">
        <f t="shared" si="141"/>
        <v>0</v>
      </c>
      <c r="DI261">
        <f t="shared" si="165"/>
        <v>0</v>
      </c>
      <c r="DJ261">
        <f t="shared" si="164"/>
        <v>7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ROW(Source!A158)</f>
        <v>158</v>
      </c>
      <c r="B262">
        <v>55917797</v>
      </c>
      <c r="C262">
        <v>55918199</v>
      </c>
      <c r="D262">
        <v>55482233</v>
      </c>
      <c r="E262">
        <v>1</v>
      </c>
      <c r="F262">
        <v>1</v>
      </c>
      <c r="G262">
        <v>1081</v>
      </c>
      <c r="H262">
        <v>3</v>
      </c>
      <c r="I262" t="s">
        <v>368</v>
      </c>
      <c r="J262" t="s">
        <v>369</v>
      </c>
      <c r="K262" t="s">
        <v>370</v>
      </c>
      <c r="L262">
        <v>1346</v>
      </c>
      <c r="N262">
        <v>1009</v>
      </c>
      <c r="O262" t="s">
        <v>316</v>
      </c>
      <c r="P262" t="s">
        <v>316</v>
      </c>
      <c r="Q262">
        <v>1</v>
      </c>
      <c r="W262">
        <v>0</v>
      </c>
      <c r="X262">
        <v>1566362712</v>
      </c>
      <c r="Y262">
        <f t="shared" si="158"/>
        <v>0.04</v>
      </c>
      <c r="AA262">
        <v>493.08</v>
      </c>
      <c r="AB262">
        <v>0</v>
      </c>
      <c r="AC262">
        <v>0</v>
      </c>
      <c r="AD262">
        <v>0</v>
      </c>
      <c r="AE262">
        <v>493.08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-2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0.04</v>
      </c>
      <c r="AU262" t="s">
        <v>55</v>
      </c>
      <c r="AV262">
        <v>0</v>
      </c>
      <c r="AW262">
        <v>2</v>
      </c>
      <c r="AX262">
        <v>55918209</v>
      </c>
      <c r="AY262">
        <v>1</v>
      </c>
      <c r="AZ262">
        <v>0</v>
      </c>
      <c r="BA262">
        <v>294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ROUND(Y262*Source!I158,9)</f>
        <v>0.04</v>
      </c>
      <c r="CY262">
        <f t="shared" si="159"/>
        <v>493.08</v>
      </c>
      <c r="CZ262">
        <f t="shared" si="160"/>
        <v>493.08</v>
      </c>
      <c r="DA262">
        <f t="shared" si="161"/>
        <v>1</v>
      </c>
      <c r="DB262">
        <f t="shared" si="162"/>
        <v>19.72</v>
      </c>
      <c r="DC262">
        <f t="shared" si="163"/>
        <v>0</v>
      </c>
      <c r="DD262" t="s">
        <v>3</v>
      </c>
      <c r="DE262" t="s">
        <v>3</v>
      </c>
      <c r="DF262">
        <f t="shared" si="157"/>
        <v>19.72</v>
      </c>
      <c r="DG262">
        <f t="shared" si="140"/>
        <v>0</v>
      </c>
      <c r="DH262">
        <f t="shared" si="141"/>
        <v>0</v>
      </c>
      <c r="DI262">
        <f t="shared" si="165"/>
        <v>0</v>
      </c>
      <c r="DJ262">
        <f t="shared" si="164"/>
        <v>19.72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ROW(Source!A158)</f>
        <v>158</v>
      </c>
      <c r="B263">
        <v>55917797</v>
      </c>
      <c r="C263">
        <v>55918199</v>
      </c>
      <c r="D263">
        <v>55424290</v>
      </c>
      <c r="E263">
        <v>1081</v>
      </c>
      <c r="F263">
        <v>1</v>
      </c>
      <c r="G263">
        <v>1081</v>
      </c>
      <c r="H263">
        <v>3</v>
      </c>
      <c r="I263" t="s">
        <v>371</v>
      </c>
      <c r="J263" t="s">
        <v>3</v>
      </c>
      <c r="K263" t="s">
        <v>372</v>
      </c>
      <c r="L263">
        <v>1348</v>
      </c>
      <c r="N263">
        <v>1009</v>
      </c>
      <c r="O263" t="s">
        <v>345</v>
      </c>
      <c r="P263" t="s">
        <v>345</v>
      </c>
      <c r="Q263">
        <v>1000</v>
      </c>
      <c r="W263">
        <v>0</v>
      </c>
      <c r="X263">
        <v>-783086922</v>
      </c>
      <c r="Y263">
        <f t="shared" si="158"/>
        <v>1.2E-2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-2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1.2E-2</v>
      </c>
      <c r="AU263" t="s">
        <v>55</v>
      </c>
      <c r="AV263">
        <v>0</v>
      </c>
      <c r="AW263">
        <v>2</v>
      </c>
      <c r="AX263">
        <v>55918211</v>
      </c>
      <c r="AY263">
        <v>1</v>
      </c>
      <c r="AZ263">
        <v>0</v>
      </c>
      <c r="BA263">
        <v>296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ROUND(Y263*Source!I158,9)</f>
        <v>1.2E-2</v>
      </c>
      <c r="CY263">
        <f t="shared" si="159"/>
        <v>0</v>
      </c>
      <c r="CZ263">
        <f t="shared" si="160"/>
        <v>0</v>
      </c>
      <c r="DA263">
        <f t="shared" si="161"/>
        <v>1</v>
      </c>
      <c r="DB263">
        <f t="shared" si="162"/>
        <v>0</v>
      </c>
      <c r="DC263">
        <f t="shared" si="163"/>
        <v>0</v>
      </c>
      <c r="DD263" t="s">
        <v>3</v>
      </c>
      <c r="DE263" t="s">
        <v>3</v>
      </c>
      <c r="DF263">
        <f t="shared" si="157"/>
        <v>0</v>
      </c>
      <c r="DG263">
        <f t="shared" si="140"/>
        <v>0</v>
      </c>
      <c r="DH263">
        <f t="shared" si="141"/>
        <v>0</v>
      </c>
      <c r="DI263">
        <f t="shared" si="165"/>
        <v>0</v>
      </c>
      <c r="DJ263">
        <f t="shared" si="164"/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ROW(Source!A159)</f>
        <v>159</v>
      </c>
      <c r="B264">
        <v>55917799</v>
      </c>
      <c r="C264">
        <v>55918199</v>
      </c>
      <c r="D264">
        <v>55424304</v>
      </c>
      <c r="E264">
        <v>1081</v>
      </c>
      <c r="F264">
        <v>1</v>
      </c>
      <c r="G264">
        <v>1081</v>
      </c>
      <c r="H264">
        <v>1</v>
      </c>
      <c r="I264" t="s">
        <v>339</v>
      </c>
      <c r="J264" t="s">
        <v>3</v>
      </c>
      <c r="K264" t="s">
        <v>340</v>
      </c>
      <c r="L264">
        <v>1191</v>
      </c>
      <c r="N264">
        <v>1013</v>
      </c>
      <c r="O264" t="s">
        <v>341</v>
      </c>
      <c r="P264" t="s">
        <v>341</v>
      </c>
      <c r="Q264">
        <v>1</v>
      </c>
      <c r="W264">
        <v>0</v>
      </c>
      <c r="X264">
        <v>476480486</v>
      </c>
      <c r="Y264">
        <f>(AT264*1.2)</f>
        <v>12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5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10</v>
      </c>
      <c r="AU264" t="s">
        <v>56</v>
      </c>
      <c r="AV264">
        <v>1</v>
      </c>
      <c r="AW264">
        <v>2</v>
      </c>
      <c r="AX264">
        <v>55918200</v>
      </c>
      <c r="AY264">
        <v>1</v>
      </c>
      <c r="AZ264">
        <v>0</v>
      </c>
      <c r="BA264">
        <v>297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U264">
        <f>ROUND(AT264*Source!I159*AH264*AL264,2)</f>
        <v>0</v>
      </c>
      <c r="CV264">
        <f>ROUND(Y264*Source!I159,9)</f>
        <v>12</v>
      </c>
      <c r="CW264">
        <v>0</v>
      </c>
      <c r="CX264">
        <f>ROUND(Y264*Source!I159,9)</f>
        <v>12</v>
      </c>
      <c r="CY264">
        <f>AD264</f>
        <v>0</v>
      </c>
      <c r="CZ264">
        <f>AH264</f>
        <v>0</v>
      </c>
      <c r="DA264">
        <f>AL264</f>
        <v>1</v>
      </c>
      <c r="DB264">
        <f>ROUND((ROUND(AT264*CZ264,2)*1.2),6)</f>
        <v>0</v>
      </c>
      <c r="DC264">
        <f>ROUND((ROUND(AT264*AG264,2)*1.2),6)</f>
        <v>0</v>
      </c>
      <c r="DD264" t="s">
        <v>3</v>
      </c>
      <c r="DE264" t="s">
        <v>3</v>
      </c>
      <c r="DF264">
        <f t="shared" si="157"/>
        <v>0</v>
      </c>
      <c r="DG264">
        <f t="shared" si="140"/>
        <v>0</v>
      </c>
      <c r="DH264">
        <f t="shared" si="141"/>
        <v>0</v>
      </c>
      <c r="DI264">
        <f t="shared" si="165"/>
        <v>0</v>
      </c>
      <c r="DJ264">
        <f>DI264</f>
        <v>0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5">
      <c r="A265">
        <f>ROW(Source!A159)</f>
        <v>159</v>
      </c>
      <c r="B265">
        <v>55917799</v>
      </c>
      <c r="C265">
        <v>55918199</v>
      </c>
      <c r="D265">
        <v>55460508</v>
      </c>
      <c r="E265">
        <v>1</v>
      </c>
      <c r="F265">
        <v>1</v>
      </c>
      <c r="G265">
        <v>1081</v>
      </c>
      <c r="H265">
        <v>3</v>
      </c>
      <c r="I265" t="s">
        <v>342</v>
      </c>
      <c r="J265" t="s">
        <v>343</v>
      </c>
      <c r="K265" t="s">
        <v>344</v>
      </c>
      <c r="L265">
        <v>1348</v>
      </c>
      <c r="N265">
        <v>1009</v>
      </c>
      <c r="O265" t="s">
        <v>345</v>
      </c>
      <c r="P265" t="s">
        <v>345</v>
      </c>
      <c r="Q265">
        <v>1000</v>
      </c>
      <c r="W265">
        <v>0</v>
      </c>
      <c r="X265">
        <v>1896261550</v>
      </c>
      <c r="Y265">
        <f t="shared" ref="Y265:Y274" si="166">(AT265*1)</f>
        <v>2.0000000000000001E-4</v>
      </c>
      <c r="AA265">
        <v>199670.09</v>
      </c>
      <c r="AB265">
        <v>0</v>
      </c>
      <c r="AC265">
        <v>0</v>
      </c>
      <c r="AD265">
        <v>0</v>
      </c>
      <c r="AE265">
        <v>12287.39</v>
      </c>
      <c r="AF265">
        <v>0</v>
      </c>
      <c r="AG265">
        <v>0</v>
      </c>
      <c r="AH265">
        <v>0</v>
      </c>
      <c r="AI265">
        <v>16.25</v>
      </c>
      <c r="AJ265">
        <v>1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2.0000000000000001E-4</v>
      </c>
      <c r="AU265" t="s">
        <v>55</v>
      </c>
      <c r="AV265">
        <v>0</v>
      </c>
      <c r="AW265">
        <v>2</v>
      </c>
      <c r="AX265">
        <v>55918201</v>
      </c>
      <c r="AY265">
        <v>1</v>
      </c>
      <c r="AZ265">
        <v>0</v>
      </c>
      <c r="BA265">
        <v>298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ROUND(Y265*Source!I159,9)</f>
        <v>2.0000000000000001E-4</v>
      </c>
      <c r="CY265">
        <f t="shared" ref="CY265:CY274" si="167">AA265</f>
        <v>199670.09</v>
      </c>
      <c r="CZ265">
        <f t="shared" ref="CZ265:CZ274" si="168">AE265</f>
        <v>12287.39</v>
      </c>
      <c r="DA265">
        <f t="shared" ref="DA265:DA274" si="169">AI265</f>
        <v>16.25</v>
      </c>
      <c r="DB265">
        <f t="shared" ref="DB265:DB274" si="170">ROUND((ROUND(AT265*CZ265,2)*1),6)</f>
        <v>2.46</v>
      </c>
      <c r="DC265">
        <f t="shared" ref="DC265:DC274" si="171">ROUND((ROUND(AT265*AG265,2)*1),6)</f>
        <v>0</v>
      </c>
      <c r="DD265" t="s">
        <v>3</v>
      </c>
      <c r="DE265" t="s">
        <v>3</v>
      </c>
      <c r="DF265">
        <f t="shared" ref="DF265:DF274" si="172">ROUND(ROUND(AE265*AI265,2)*CX265,2)</f>
        <v>39.93</v>
      </c>
      <c r="DG265">
        <f t="shared" si="140"/>
        <v>0</v>
      </c>
      <c r="DH265">
        <f t="shared" si="141"/>
        <v>0</v>
      </c>
      <c r="DI265">
        <f t="shared" si="165"/>
        <v>0</v>
      </c>
      <c r="DJ265">
        <f t="shared" ref="DJ265:DJ274" si="173">DF265</f>
        <v>39.93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ROW(Source!A159)</f>
        <v>159</v>
      </c>
      <c r="B266">
        <v>55917799</v>
      </c>
      <c r="C266">
        <v>55918199</v>
      </c>
      <c r="D266">
        <v>55460545</v>
      </c>
      <c r="E266">
        <v>1</v>
      </c>
      <c r="F266">
        <v>1</v>
      </c>
      <c r="G266">
        <v>1081</v>
      </c>
      <c r="H266">
        <v>3</v>
      </c>
      <c r="I266" t="s">
        <v>346</v>
      </c>
      <c r="J266" t="s">
        <v>347</v>
      </c>
      <c r="K266" t="s">
        <v>348</v>
      </c>
      <c r="L266">
        <v>1348</v>
      </c>
      <c r="N266">
        <v>1009</v>
      </c>
      <c r="O266" t="s">
        <v>345</v>
      </c>
      <c r="P266" t="s">
        <v>345</v>
      </c>
      <c r="Q266">
        <v>1000</v>
      </c>
      <c r="W266">
        <v>0</v>
      </c>
      <c r="X266">
        <v>1967598333</v>
      </c>
      <c r="Y266">
        <f t="shared" si="166"/>
        <v>1.0000000000000001E-5</v>
      </c>
      <c r="AA266">
        <v>36101.58</v>
      </c>
      <c r="AB266">
        <v>0</v>
      </c>
      <c r="AC266">
        <v>0</v>
      </c>
      <c r="AD266">
        <v>0</v>
      </c>
      <c r="AE266">
        <v>3772.37</v>
      </c>
      <c r="AF266">
        <v>0</v>
      </c>
      <c r="AG266">
        <v>0</v>
      </c>
      <c r="AH266">
        <v>0</v>
      </c>
      <c r="AI266">
        <v>9.57</v>
      </c>
      <c r="AJ266">
        <v>1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1.0000000000000001E-5</v>
      </c>
      <c r="AU266" t="s">
        <v>55</v>
      </c>
      <c r="AV266">
        <v>0</v>
      </c>
      <c r="AW266">
        <v>2</v>
      </c>
      <c r="AX266">
        <v>55918202</v>
      </c>
      <c r="AY266">
        <v>1</v>
      </c>
      <c r="AZ266">
        <v>0</v>
      </c>
      <c r="BA266">
        <v>299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ROUND(Y266*Source!I159,9)</f>
        <v>1.0000000000000001E-5</v>
      </c>
      <c r="CY266">
        <f t="shared" si="167"/>
        <v>36101.58</v>
      </c>
      <c r="CZ266">
        <f t="shared" si="168"/>
        <v>3772.37</v>
      </c>
      <c r="DA266">
        <f t="shared" si="169"/>
        <v>9.57</v>
      </c>
      <c r="DB266">
        <f t="shared" si="170"/>
        <v>0.04</v>
      </c>
      <c r="DC266">
        <f t="shared" si="171"/>
        <v>0</v>
      </c>
      <c r="DD266" t="s">
        <v>3</v>
      </c>
      <c r="DE266" t="s">
        <v>3</v>
      </c>
      <c r="DF266">
        <f t="shared" si="172"/>
        <v>0.36</v>
      </c>
      <c r="DG266">
        <f t="shared" si="140"/>
        <v>0</v>
      </c>
      <c r="DH266">
        <f t="shared" si="141"/>
        <v>0</v>
      </c>
      <c r="DI266">
        <f t="shared" si="165"/>
        <v>0</v>
      </c>
      <c r="DJ266">
        <f t="shared" si="173"/>
        <v>0.36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ROW(Source!A159)</f>
        <v>159</v>
      </c>
      <c r="B267">
        <v>55917799</v>
      </c>
      <c r="C267">
        <v>55918199</v>
      </c>
      <c r="D267">
        <v>55461230</v>
      </c>
      <c r="E267">
        <v>1</v>
      </c>
      <c r="F267">
        <v>1</v>
      </c>
      <c r="G267">
        <v>1081</v>
      </c>
      <c r="H267">
        <v>3</v>
      </c>
      <c r="I267" t="s">
        <v>349</v>
      </c>
      <c r="J267" t="s">
        <v>350</v>
      </c>
      <c r="K267" t="s">
        <v>351</v>
      </c>
      <c r="L267">
        <v>1346</v>
      </c>
      <c r="N267">
        <v>1009</v>
      </c>
      <c r="O267" t="s">
        <v>316</v>
      </c>
      <c r="P267" t="s">
        <v>316</v>
      </c>
      <c r="Q267">
        <v>1</v>
      </c>
      <c r="W267">
        <v>0</v>
      </c>
      <c r="X267">
        <v>1561715650</v>
      </c>
      <c r="Y267">
        <f t="shared" si="166"/>
        <v>0.02</v>
      </c>
      <c r="AA267">
        <v>200.81</v>
      </c>
      <c r="AB267">
        <v>0</v>
      </c>
      <c r="AC267">
        <v>0</v>
      </c>
      <c r="AD267">
        <v>0</v>
      </c>
      <c r="AE267">
        <v>15.11</v>
      </c>
      <c r="AF267">
        <v>0</v>
      </c>
      <c r="AG267">
        <v>0</v>
      </c>
      <c r="AH267">
        <v>0</v>
      </c>
      <c r="AI267">
        <v>13.29</v>
      </c>
      <c r="AJ267">
        <v>1</v>
      </c>
      <c r="AK267">
        <v>1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0.02</v>
      </c>
      <c r="AU267" t="s">
        <v>55</v>
      </c>
      <c r="AV267">
        <v>0</v>
      </c>
      <c r="AW267">
        <v>2</v>
      </c>
      <c r="AX267">
        <v>55918203</v>
      </c>
      <c r="AY267">
        <v>1</v>
      </c>
      <c r="AZ267">
        <v>0</v>
      </c>
      <c r="BA267">
        <v>300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v>0</v>
      </c>
      <c r="CX267">
        <f>ROUND(Y267*Source!I159,9)</f>
        <v>0.02</v>
      </c>
      <c r="CY267">
        <f t="shared" si="167"/>
        <v>200.81</v>
      </c>
      <c r="CZ267">
        <f t="shared" si="168"/>
        <v>15.11</v>
      </c>
      <c r="DA267">
        <f t="shared" si="169"/>
        <v>13.29</v>
      </c>
      <c r="DB267">
        <f t="shared" si="170"/>
        <v>0.3</v>
      </c>
      <c r="DC267">
        <f t="shared" si="171"/>
        <v>0</v>
      </c>
      <c r="DD267" t="s">
        <v>3</v>
      </c>
      <c r="DE267" t="s">
        <v>3</v>
      </c>
      <c r="DF267">
        <f t="shared" si="172"/>
        <v>4.0199999999999996</v>
      </c>
      <c r="DG267">
        <f t="shared" si="140"/>
        <v>0</v>
      </c>
      <c r="DH267">
        <f t="shared" si="141"/>
        <v>0</v>
      </c>
      <c r="DI267">
        <f t="shared" si="165"/>
        <v>0</v>
      </c>
      <c r="DJ267">
        <f t="shared" si="173"/>
        <v>4.0199999999999996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5">
      <c r="A268">
        <f>ROW(Source!A159)</f>
        <v>159</v>
      </c>
      <c r="B268">
        <v>55917799</v>
      </c>
      <c r="C268">
        <v>55918199</v>
      </c>
      <c r="D268">
        <v>55461426</v>
      </c>
      <c r="E268">
        <v>1</v>
      </c>
      <c r="F268">
        <v>1</v>
      </c>
      <c r="G268">
        <v>1081</v>
      </c>
      <c r="H268">
        <v>3</v>
      </c>
      <c r="I268" t="s">
        <v>352</v>
      </c>
      <c r="J268" t="s">
        <v>353</v>
      </c>
      <c r="K268" t="s">
        <v>354</v>
      </c>
      <c r="L268">
        <v>1346</v>
      </c>
      <c r="N268">
        <v>1009</v>
      </c>
      <c r="O268" t="s">
        <v>316</v>
      </c>
      <c r="P268" t="s">
        <v>316</v>
      </c>
      <c r="Q268">
        <v>1</v>
      </c>
      <c r="W268">
        <v>0</v>
      </c>
      <c r="X268">
        <v>-1175794599</v>
      </c>
      <c r="Y268">
        <f t="shared" si="166"/>
        <v>0.5</v>
      </c>
      <c r="AA268">
        <v>154.1</v>
      </c>
      <c r="AB268">
        <v>0</v>
      </c>
      <c r="AC268">
        <v>0</v>
      </c>
      <c r="AD268">
        <v>0</v>
      </c>
      <c r="AE268">
        <v>35.590000000000003</v>
      </c>
      <c r="AF268">
        <v>0</v>
      </c>
      <c r="AG268">
        <v>0</v>
      </c>
      <c r="AH268">
        <v>0</v>
      </c>
      <c r="AI268">
        <v>4.33</v>
      </c>
      <c r="AJ268">
        <v>1</v>
      </c>
      <c r="AK268">
        <v>1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0.5</v>
      </c>
      <c r="AU268" t="s">
        <v>55</v>
      </c>
      <c r="AV268">
        <v>0</v>
      </c>
      <c r="AW268">
        <v>2</v>
      </c>
      <c r="AX268">
        <v>55918204</v>
      </c>
      <c r="AY268">
        <v>1</v>
      </c>
      <c r="AZ268">
        <v>0</v>
      </c>
      <c r="BA268">
        <v>301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ROUND(Y268*Source!I159,9)</f>
        <v>0.5</v>
      </c>
      <c r="CY268">
        <f t="shared" si="167"/>
        <v>154.1</v>
      </c>
      <c r="CZ268">
        <f t="shared" si="168"/>
        <v>35.590000000000003</v>
      </c>
      <c r="DA268">
        <f t="shared" si="169"/>
        <v>4.33</v>
      </c>
      <c r="DB268">
        <f t="shared" si="170"/>
        <v>17.8</v>
      </c>
      <c r="DC268">
        <f t="shared" si="171"/>
        <v>0</v>
      </c>
      <c r="DD268" t="s">
        <v>3</v>
      </c>
      <c r="DE268" t="s">
        <v>3</v>
      </c>
      <c r="DF268">
        <f t="shared" si="172"/>
        <v>77.05</v>
      </c>
      <c r="DG268">
        <f t="shared" si="140"/>
        <v>0</v>
      </c>
      <c r="DH268">
        <f t="shared" si="141"/>
        <v>0</v>
      </c>
      <c r="DI268">
        <f t="shared" si="165"/>
        <v>0</v>
      </c>
      <c r="DJ268">
        <f t="shared" si="173"/>
        <v>77.05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ROW(Source!A159)</f>
        <v>159</v>
      </c>
      <c r="B269">
        <v>55917799</v>
      </c>
      <c r="C269">
        <v>55918199</v>
      </c>
      <c r="D269">
        <v>55459400</v>
      </c>
      <c r="E269">
        <v>1</v>
      </c>
      <c r="F269">
        <v>1</v>
      </c>
      <c r="G269">
        <v>1081</v>
      </c>
      <c r="H269">
        <v>3</v>
      </c>
      <c r="I269" t="s">
        <v>355</v>
      </c>
      <c r="J269" t="s">
        <v>356</v>
      </c>
      <c r="K269" t="s">
        <v>357</v>
      </c>
      <c r="L269">
        <v>1346</v>
      </c>
      <c r="N269">
        <v>1009</v>
      </c>
      <c r="O269" t="s">
        <v>316</v>
      </c>
      <c r="P269" t="s">
        <v>316</v>
      </c>
      <c r="Q269">
        <v>1</v>
      </c>
      <c r="W269">
        <v>0</v>
      </c>
      <c r="X269">
        <v>-2129869794</v>
      </c>
      <c r="Y269">
        <f t="shared" si="166"/>
        <v>0.05</v>
      </c>
      <c r="AA269">
        <v>387.54</v>
      </c>
      <c r="AB269">
        <v>0</v>
      </c>
      <c r="AC269">
        <v>0</v>
      </c>
      <c r="AD269">
        <v>0</v>
      </c>
      <c r="AE269">
        <v>16.690000000000001</v>
      </c>
      <c r="AF269">
        <v>0</v>
      </c>
      <c r="AG269">
        <v>0</v>
      </c>
      <c r="AH269">
        <v>0</v>
      </c>
      <c r="AI269">
        <v>23.22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0.05</v>
      </c>
      <c r="AU269" t="s">
        <v>55</v>
      </c>
      <c r="AV269">
        <v>0</v>
      </c>
      <c r="AW269">
        <v>2</v>
      </c>
      <c r="AX269">
        <v>55918205</v>
      </c>
      <c r="AY269">
        <v>1</v>
      </c>
      <c r="AZ269">
        <v>0</v>
      </c>
      <c r="BA269">
        <v>302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ROUND(Y269*Source!I159,9)</f>
        <v>0.05</v>
      </c>
      <c r="CY269">
        <f t="shared" si="167"/>
        <v>387.54</v>
      </c>
      <c r="CZ269">
        <f t="shared" si="168"/>
        <v>16.690000000000001</v>
      </c>
      <c r="DA269">
        <f t="shared" si="169"/>
        <v>23.22</v>
      </c>
      <c r="DB269">
        <f t="shared" si="170"/>
        <v>0.83</v>
      </c>
      <c r="DC269">
        <f t="shared" si="171"/>
        <v>0</v>
      </c>
      <c r="DD269" t="s">
        <v>3</v>
      </c>
      <c r="DE269" t="s">
        <v>3</v>
      </c>
      <c r="DF269">
        <f t="shared" si="172"/>
        <v>19.38</v>
      </c>
      <c r="DG269">
        <f t="shared" si="140"/>
        <v>0</v>
      </c>
      <c r="DH269">
        <f t="shared" si="141"/>
        <v>0</v>
      </c>
      <c r="DI269">
        <f t="shared" si="165"/>
        <v>0</v>
      </c>
      <c r="DJ269">
        <f t="shared" si="173"/>
        <v>19.38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ROW(Source!A159)</f>
        <v>159</v>
      </c>
      <c r="B270">
        <v>55917799</v>
      </c>
      <c r="C270">
        <v>55918199</v>
      </c>
      <c r="D270">
        <v>55459404</v>
      </c>
      <c r="E270">
        <v>1</v>
      </c>
      <c r="F270">
        <v>1</v>
      </c>
      <c r="G270">
        <v>1081</v>
      </c>
      <c r="H270">
        <v>3</v>
      </c>
      <c r="I270" t="s">
        <v>358</v>
      </c>
      <c r="J270" t="s">
        <v>359</v>
      </c>
      <c r="K270" t="s">
        <v>360</v>
      </c>
      <c r="L270">
        <v>1346</v>
      </c>
      <c r="N270">
        <v>1009</v>
      </c>
      <c r="O270" t="s">
        <v>316</v>
      </c>
      <c r="P270" t="s">
        <v>316</v>
      </c>
      <c r="Q270">
        <v>1</v>
      </c>
      <c r="W270">
        <v>0</v>
      </c>
      <c r="X270">
        <v>669791865</v>
      </c>
      <c r="Y270">
        <f t="shared" si="166"/>
        <v>0.2</v>
      </c>
      <c r="AA270">
        <v>158.82</v>
      </c>
      <c r="AB270">
        <v>0</v>
      </c>
      <c r="AC270">
        <v>0</v>
      </c>
      <c r="AD270">
        <v>0</v>
      </c>
      <c r="AE270">
        <v>73.53</v>
      </c>
      <c r="AF270">
        <v>0</v>
      </c>
      <c r="AG270">
        <v>0</v>
      </c>
      <c r="AH270">
        <v>0</v>
      </c>
      <c r="AI270">
        <v>2.16</v>
      </c>
      <c r="AJ270">
        <v>1</v>
      </c>
      <c r="AK270">
        <v>1</v>
      </c>
      <c r="AL270">
        <v>1</v>
      </c>
      <c r="AM270">
        <v>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0.2</v>
      </c>
      <c r="AU270" t="s">
        <v>55</v>
      </c>
      <c r="AV270">
        <v>0</v>
      </c>
      <c r="AW270">
        <v>2</v>
      </c>
      <c r="AX270">
        <v>55918206</v>
      </c>
      <c r="AY270">
        <v>1</v>
      </c>
      <c r="AZ270">
        <v>0</v>
      </c>
      <c r="BA270">
        <v>303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ROUND(Y270*Source!I159,9)</f>
        <v>0.2</v>
      </c>
      <c r="CY270">
        <f t="shared" si="167"/>
        <v>158.82</v>
      </c>
      <c r="CZ270">
        <f t="shared" si="168"/>
        <v>73.53</v>
      </c>
      <c r="DA270">
        <f t="shared" si="169"/>
        <v>2.16</v>
      </c>
      <c r="DB270">
        <f t="shared" si="170"/>
        <v>14.71</v>
      </c>
      <c r="DC270">
        <f t="shared" si="171"/>
        <v>0</v>
      </c>
      <c r="DD270" t="s">
        <v>3</v>
      </c>
      <c r="DE270" t="s">
        <v>3</v>
      </c>
      <c r="DF270">
        <f t="shared" si="172"/>
        <v>31.76</v>
      </c>
      <c r="DG270">
        <f t="shared" si="140"/>
        <v>0</v>
      </c>
      <c r="DH270">
        <f t="shared" si="141"/>
        <v>0</v>
      </c>
      <c r="DI270">
        <f t="shared" si="165"/>
        <v>0</v>
      </c>
      <c r="DJ270">
        <f t="shared" si="173"/>
        <v>31.76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ROW(Source!A159)</f>
        <v>159</v>
      </c>
      <c r="B271">
        <v>55917799</v>
      </c>
      <c r="C271">
        <v>55918199</v>
      </c>
      <c r="D271">
        <v>55459793</v>
      </c>
      <c r="E271">
        <v>1</v>
      </c>
      <c r="F271">
        <v>1</v>
      </c>
      <c r="G271">
        <v>1081</v>
      </c>
      <c r="H271">
        <v>3</v>
      </c>
      <c r="I271" t="s">
        <v>361</v>
      </c>
      <c r="J271" t="s">
        <v>362</v>
      </c>
      <c r="K271" t="s">
        <v>363</v>
      </c>
      <c r="L271">
        <v>1348</v>
      </c>
      <c r="N271">
        <v>1009</v>
      </c>
      <c r="O271" t="s">
        <v>345</v>
      </c>
      <c r="P271" t="s">
        <v>345</v>
      </c>
      <c r="Q271">
        <v>1000</v>
      </c>
      <c r="W271">
        <v>0</v>
      </c>
      <c r="X271">
        <v>-761454284</v>
      </c>
      <c r="Y271">
        <f t="shared" si="166"/>
        <v>2.0000000000000001E-4</v>
      </c>
      <c r="AA271">
        <v>1930745.04</v>
      </c>
      <c r="AB271">
        <v>0</v>
      </c>
      <c r="AC271">
        <v>0</v>
      </c>
      <c r="AD271">
        <v>0</v>
      </c>
      <c r="AE271">
        <v>64123.05</v>
      </c>
      <c r="AF271">
        <v>0</v>
      </c>
      <c r="AG271">
        <v>0</v>
      </c>
      <c r="AH271">
        <v>0</v>
      </c>
      <c r="AI271">
        <v>30.11</v>
      </c>
      <c r="AJ271">
        <v>1</v>
      </c>
      <c r="AK271">
        <v>1</v>
      </c>
      <c r="AL271">
        <v>1</v>
      </c>
      <c r="AM271">
        <v>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2.0000000000000001E-4</v>
      </c>
      <c r="AU271" t="s">
        <v>55</v>
      </c>
      <c r="AV271">
        <v>0</v>
      </c>
      <c r="AW271">
        <v>2</v>
      </c>
      <c r="AX271">
        <v>55918207</v>
      </c>
      <c r="AY271">
        <v>1</v>
      </c>
      <c r="AZ271">
        <v>0</v>
      </c>
      <c r="BA271">
        <v>304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ROUND(Y271*Source!I159,9)</f>
        <v>2.0000000000000001E-4</v>
      </c>
      <c r="CY271">
        <f t="shared" si="167"/>
        <v>1930745.04</v>
      </c>
      <c r="CZ271">
        <f t="shared" si="168"/>
        <v>64123.05</v>
      </c>
      <c r="DA271">
        <f t="shared" si="169"/>
        <v>30.11</v>
      </c>
      <c r="DB271">
        <f t="shared" si="170"/>
        <v>12.82</v>
      </c>
      <c r="DC271">
        <f t="shared" si="171"/>
        <v>0</v>
      </c>
      <c r="DD271" t="s">
        <v>3</v>
      </c>
      <c r="DE271" t="s">
        <v>3</v>
      </c>
      <c r="DF271">
        <f t="shared" si="172"/>
        <v>386.15</v>
      </c>
      <c r="DG271">
        <f t="shared" ref="DG271:DG302" si="174">ROUND(ROUND(AF271,2)*CX271,2)</f>
        <v>0</v>
      </c>
      <c r="DH271">
        <f t="shared" ref="DH271:DH302" si="175">ROUND(ROUND(AG271,2)*CX271,2)</f>
        <v>0</v>
      </c>
      <c r="DI271">
        <f t="shared" si="165"/>
        <v>0</v>
      </c>
      <c r="DJ271">
        <f t="shared" si="173"/>
        <v>386.15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ROW(Source!A159)</f>
        <v>159</v>
      </c>
      <c r="B272">
        <v>55917799</v>
      </c>
      <c r="C272">
        <v>55918199</v>
      </c>
      <c r="D272">
        <v>55466338</v>
      </c>
      <c r="E272">
        <v>1</v>
      </c>
      <c r="F272">
        <v>1</v>
      </c>
      <c r="G272">
        <v>1081</v>
      </c>
      <c r="H272">
        <v>3</v>
      </c>
      <c r="I272" t="s">
        <v>364</v>
      </c>
      <c r="J272" t="s">
        <v>365</v>
      </c>
      <c r="K272" t="s">
        <v>366</v>
      </c>
      <c r="L272">
        <v>1349</v>
      </c>
      <c r="N272">
        <v>1009</v>
      </c>
      <c r="O272" t="s">
        <v>367</v>
      </c>
      <c r="P272" t="s">
        <v>367</v>
      </c>
      <c r="Q272">
        <v>1E-3</v>
      </c>
      <c r="W272">
        <v>0</v>
      </c>
      <c r="X272">
        <v>-667754050</v>
      </c>
      <c r="Y272">
        <f t="shared" si="166"/>
        <v>100</v>
      </c>
      <c r="AA272">
        <v>0.44</v>
      </c>
      <c r="AB272">
        <v>0</v>
      </c>
      <c r="AC272">
        <v>0</v>
      </c>
      <c r="AD272">
        <v>0</v>
      </c>
      <c r="AE272">
        <v>7.0000000000000007E-2</v>
      </c>
      <c r="AF272">
        <v>0</v>
      </c>
      <c r="AG272">
        <v>0</v>
      </c>
      <c r="AH272">
        <v>0</v>
      </c>
      <c r="AI272">
        <v>6.29</v>
      </c>
      <c r="AJ272">
        <v>1</v>
      </c>
      <c r="AK272">
        <v>1</v>
      </c>
      <c r="AL272">
        <v>1</v>
      </c>
      <c r="AM272">
        <v>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100</v>
      </c>
      <c r="AU272" t="s">
        <v>55</v>
      </c>
      <c r="AV272">
        <v>0</v>
      </c>
      <c r="AW272">
        <v>2</v>
      </c>
      <c r="AX272">
        <v>55918208</v>
      </c>
      <c r="AY272">
        <v>1</v>
      </c>
      <c r="AZ272">
        <v>0</v>
      </c>
      <c r="BA272">
        <v>305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ROUND(Y272*Source!I159,9)</f>
        <v>100</v>
      </c>
      <c r="CY272">
        <f t="shared" si="167"/>
        <v>0.44</v>
      </c>
      <c r="CZ272">
        <f t="shared" si="168"/>
        <v>7.0000000000000007E-2</v>
      </c>
      <c r="DA272">
        <f t="shared" si="169"/>
        <v>6.29</v>
      </c>
      <c r="DB272">
        <f t="shared" si="170"/>
        <v>7</v>
      </c>
      <c r="DC272">
        <f t="shared" si="171"/>
        <v>0</v>
      </c>
      <c r="DD272" t="s">
        <v>3</v>
      </c>
      <c r="DE272" t="s">
        <v>3</v>
      </c>
      <c r="DF272">
        <f t="shared" si="172"/>
        <v>44</v>
      </c>
      <c r="DG272">
        <f t="shared" si="174"/>
        <v>0</v>
      </c>
      <c r="DH272">
        <f t="shared" si="175"/>
        <v>0</v>
      </c>
      <c r="DI272">
        <f t="shared" si="165"/>
        <v>0</v>
      </c>
      <c r="DJ272">
        <f t="shared" si="173"/>
        <v>44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ROW(Source!A159)</f>
        <v>159</v>
      </c>
      <c r="B273">
        <v>55917799</v>
      </c>
      <c r="C273">
        <v>55918199</v>
      </c>
      <c r="D273">
        <v>55482233</v>
      </c>
      <c r="E273">
        <v>1</v>
      </c>
      <c r="F273">
        <v>1</v>
      </c>
      <c r="G273">
        <v>1081</v>
      </c>
      <c r="H273">
        <v>3</v>
      </c>
      <c r="I273" t="s">
        <v>368</v>
      </c>
      <c r="J273" t="s">
        <v>369</v>
      </c>
      <c r="K273" t="s">
        <v>370</v>
      </c>
      <c r="L273">
        <v>1346</v>
      </c>
      <c r="N273">
        <v>1009</v>
      </c>
      <c r="O273" t="s">
        <v>316</v>
      </c>
      <c r="P273" t="s">
        <v>316</v>
      </c>
      <c r="Q273">
        <v>1</v>
      </c>
      <c r="W273">
        <v>0</v>
      </c>
      <c r="X273">
        <v>1566362712</v>
      </c>
      <c r="Y273">
        <f t="shared" si="166"/>
        <v>0.04</v>
      </c>
      <c r="AA273">
        <v>3047.23</v>
      </c>
      <c r="AB273">
        <v>0</v>
      </c>
      <c r="AC273">
        <v>0</v>
      </c>
      <c r="AD273">
        <v>0</v>
      </c>
      <c r="AE273">
        <v>493.08</v>
      </c>
      <c r="AF273">
        <v>0</v>
      </c>
      <c r="AG273">
        <v>0</v>
      </c>
      <c r="AH273">
        <v>0</v>
      </c>
      <c r="AI273">
        <v>6.18</v>
      </c>
      <c r="AJ273">
        <v>1</v>
      </c>
      <c r="AK273">
        <v>1</v>
      </c>
      <c r="AL273">
        <v>1</v>
      </c>
      <c r="AM273">
        <v>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0.04</v>
      </c>
      <c r="AU273" t="s">
        <v>55</v>
      </c>
      <c r="AV273">
        <v>0</v>
      </c>
      <c r="AW273">
        <v>2</v>
      </c>
      <c r="AX273">
        <v>55918209</v>
      </c>
      <c r="AY273">
        <v>1</v>
      </c>
      <c r="AZ273">
        <v>0</v>
      </c>
      <c r="BA273">
        <v>306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ROUND(Y273*Source!I159,9)</f>
        <v>0.04</v>
      </c>
      <c r="CY273">
        <f t="shared" si="167"/>
        <v>3047.23</v>
      </c>
      <c r="CZ273">
        <f t="shared" si="168"/>
        <v>493.08</v>
      </c>
      <c r="DA273">
        <f t="shared" si="169"/>
        <v>6.18</v>
      </c>
      <c r="DB273">
        <f t="shared" si="170"/>
        <v>19.72</v>
      </c>
      <c r="DC273">
        <f t="shared" si="171"/>
        <v>0</v>
      </c>
      <c r="DD273" t="s">
        <v>3</v>
      </c>
      <c r="DE273" t="s">
        <v>3</v>
      </c>
      <c r="DF273">
        <f t="shared" si="172"/>
        <v>121.89</v>
      </c>
      <c r="DG273">
        <f t="shared" si="174"/>
        <v>0</v>
      </c>
      <c r="DH273">
        <f t="shared" si="175"/>
        <v>0</v>
      </c>
      <c r="DI273">
        <f t="shared" si="165"/>
        <v>0</v>
      </c>
      <c r="DJ273">
        <f t="shared" si="173"/>
        <v>121.89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ROW(Source!A159)</f>
        <v>159</v>
      </c>
      <c r="B274">
        <v>55917799</v>
      </c>
      <c r="C274">
        <v>55918199</v>
      </c>
      <c r="D274">
        <v>55424290</v>
      </c>
      <c r="E274">
        <v>1081</v>
      </c>
      <c r="F274">
        <v>1</v>
      </c>
      <c r="G274">
        <v>1081</v>
      </c>
      <c r="H274">
        <v>3</v>
      </c>
      <c r="I274" t="s">
        <v>371</v>
      </c>
      <c r="J274" t="s">
        <v>3</v>
      </c>
      <c r="K274" t="s">
        <v>372</v>
      </c>
      <c r="L274">
        <v>1348</v>
      </c>
      <c r="N274">
        <v>1009</v>
      </c>
      <c r="O274" t="s">
        <v>345</v>
      </c>
      <c r="P274" t="s">
        <v>345</v>
      </c>
      <c r="Q274">
        <v>1000</v>
      </c>
      <c r="W274">
        <v>0</v>
      </c>
      <c r="X274">
        <v>-783086922</v>
      </c>
      <c r="Y274">
        <f t="shared" si="166"/>
        <v>1.2E-2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9.84</v>
      </c>
      <c r="AJ274">
        <v>1</v>
      </c>
      <c r="AK274">
        <v>1</v>
      </c>
      <c r="AL274">
        <v>1</v>
      </c>
      <c r="AM274">
        <v>5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1.2E-2</v>
      </c>
      <c r="AU274" t="s">
        <v>55</v>
      </c>
      <c r="AV274">
        <v>0</v>
      </c>
      <c r="AW274">
        <v>2</v>
      </c>
      <c r="AX274">
        <v>55918211</v>
      </c>
      <c r="AY274">
        <v>1</v>
      </c>
      <c r="AZ274">
        <v>0</v>
      </c>
      <c r="BA274">
        <v>308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ROUND(Y274*Source!I159,9)</f>
        <v>1.2E-2</v>
      </c>
      <c r="CY274">
        <f t="shared" si="167"/>
        <v>0</v>
      </c>
      <c r="CZ274">
        <f t="shared" si="168"/>
        <v>0</v>
      </c>
      <c r="DA274">
        <f t="shared" si="169"/>
        <v>9.84</v>
      </c>
      <c r="DB274">
        <f t="shared" si="170"/>
        <v>0</v>
      </c>
      <c r="DC274">
        <f t="shared" si="171"/>
        <v>0</v>
      </c>
      <c r="DD274" t="s">
        <v>3</v>
      </c>
      <c r="DE274" t="s">
        <v>3</v>
      </c>
      <c r="DF274">
        <f t="shared" si="172"/>
        <v>0</v>
      </c>
      <c r="DG274">
        <f t="shared" si="174"/>
        <v>0</v>
      </c>
      <c r="DH274">
        <f t="shared" si="175"/>
        <v>0</v>
      </c>
      <c r="DI274">
        <f t="shared" si="165"/>
        <v>0</v>
      </c>
      <c r="DJ274">
        <f t="shared" si="173"/>
        <v>0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5">
      <c r="A275">
        <f>ROW(Source!A162)</f>
        <v>162</v>
      </c>
      <c r="B275">
        <v>55917797</v>
      </c>
      <c r="C275">
        <v>55918219</v>
      </c>
      <c r="D275">
        <v>55424304</v>
      </c>
      <c r="E275">
        <v>1081</v>
      </c>
      <c r="F275">
        <v>1</v>
      </c>
      <c r="G275">
        <v>1081</v>
      </c>
      <c r="H275">
        <v>1</v>
      </c>
      <c r="I275" t="s">
        <v>339</v>
      </c>
      <c r="J275" t="s">
        <v>3</v>
      </c>
      <c r="K275" t="s">
        <v>340</v>
      </c>
      <c r="L275">
        <v>1191</v>
      </c>
      <c r="N275">
        <v>1013</v>
      </c>
      <c r="O275" t="s">
        <v>341</v>
      </c>
      <c r="P275" t="s">
        <v>341</v>
      </c>
      <c r="Q275">
        <v>1</v>
      </c>
      <c r="W275">
        <v>0</v>
      </c>
      <c r="X275">
        <v>476480486</v>
      </c>
      <c r="Y275">
        <f>(AT275*1.2)</f>
        <v>3.3239999999999998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2.77</v>
      </c>
      <c r="AU275" t="s">
        <v>56</v>
      </c>
      <c r="AV275">
        <v>1</v>
      </c>
      <c r="AW275">
        <v>2</v>
      </c>
      <c r="AX275">
        <v>55918220</v>
      </c>
      <c r="AY275">
        <v>1</v>
      </c>
      <c r="AZ275">
        <v>0</v>
      </c>
      <c r="BA275">
        <v>309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ROUND(AT275*Source!I162*AH275*AL275,2)</f>
        <v>0</v>
      </c>
      <c r="CV275">
        <f>ROUND(Y275*Source!I162,9)</f>
        <v>3.3239999999999998</v>
      </c>
      <c r="CW275">
        <v>0</v>
      </c>
      <c r="CX275">
        <f>ROUND(Y275*Source!I162,9)</f>
        <v>3.3239999999999998</v>
      </c>
      <c r="CY275">
        <f>AD275</f>
        <v>0</v>
      </c>
      <c r="CZ275">
        <f>AH275</f>
        <v>0</v>
      </c>
      <c r="DA275">
        <f>AL275</f>
        <v>1</v>
      </c>
      <c r="DB275">
        <f>ROUND((ROUND(AT275*CZ275,2)*1.2),6)</f>
        <v>0</v>
      </c>
      <c r="DC275">
        <f>ROUND((ROUND(AT275*AG275,2)*1.2),6)</f>
        <v>0</v>
      </c>
      <c r="DD275" t="s">
        <v>3</v>
      </c>
      <c r="DE275" t="s">
        <v>3</v>
      </c>
      <c r="DF275">
        <f>ROUND(ROUND(AE275,2)*CX275,2)</f>
        <v>0</v>
      </c>
      <c r="DG275">
        <f t="shared" si="174"/>
        <v>0</v>
      </c>
      <c r="DH275">
        <f t="shared" si="175"/>
        <v>0</v>
      </c>
      <c r="DI275">
        <f t="shared" si="165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5">
      <c r="A276">
        <f>ROW(Source!A162)</f>
        <v>162</v>
      </c>
      <c r="B276">
        <v>55917797</v>
      </c>
      <c r="C276">
        <v>55918219</v>
      </c>
      <c r="D276">
        <v>55459873</v>
      </c>
      <c r="E276">
        <v>1</v>
      </c>
      <c r="F276">
        <v>1</v>
      </c>
      <c r="G276">
        <v>1081</v>
      </c>
      <c r="H276">
        <v>3</v>
      </c>
      <c r="I276" t="s">
        <v>378</v>
      </c>
      <c r="J276" t="s">
        <v>379</v>
      </c>
      <c r="K276" t="s">
        <v>380</v>
      </c>
      <c r="L276">
        <v>1348</v>
      </c>
      <c r="N276">
        <v>1009</v>
      </c>
      <c r="O276" t="s">
        <v>345</v>
      </c>
      <c r="P276" t="s">
        <v>345</v>
      </c>
      <c r="Q276">
        <v>1000</v>
      </c>
      <c r="W276">
        <v>0</v>
      </c>
      <c r="X276">
        <v>-1448251497</v>
      </c>
      <c r="Y276">
        <f>(AT276*1)</f>
        <v>1.0000000000000001E-5</v>
      </c>
      <c r="AA276">
        <v>18495.41</v>
      </c>
      <c r="AB276">
        <v>0</v>
      </c>
      <c r="AC276">
        <v>0</v>
      </c>
      <c r="AD276">
        <v>0</v>
      </c>
      <c r="AE276">
        <v>18495.41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1.0000000000000001E-5</v>
      </c>
      <c r="AU276" t="s">
        <v>55</v>
      </c>
      <c r="AV276">
        <v>0</v>
      </c>
      <c r="AW276">
        <v>2</v>
      </c>
      <c r="AX276">
        <v>55918221</v>
      </c>
      <c r="AY276">
        <v>1</v>
      </c>
      <c r="AZ276">
        <v>0</v>
      </c>
      <c r="BA276">
        <v>310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ROUND(Y276*Source!I162,9)</f>
        <v>1.0000000000000001E-5</v>
      </c>
      <c r="CY276">
        <f>AA276</f>
        <v>18495.41</v>
      </c>
      <c r="CZ276">
        <f>AE276</f>
        <v>18495.41</v>
      </c>
      <c r="DA276">
        <f>AI276</f>
        <v>1</v>
      </c>
      <c r="DB276">
        <f>ROUND((ROUND(AT276*CZ276,2)*1),6)</f>
        <v>0.18</v>
      </c>
      <c r="DC276">
        <f>ROUND((ROUND(AT276*AG276,2)*1),6)</f>
        <v>0</v>
      </c>
      <c r="DD276" t="s">
        <v>3</v>
      </c>
      <c r="DE276" t="s">
        <v>3</v>
      </c>
      <c r="DF276">
        <f>ROUND(ROUND(AE276,2)*CX276,2)</f>
        <v>0.18</v>
      </c>
      <c r="DG276">
        <f t="shared" si="174"/>
        <v>0</v>
      </c>
      <c r="DH276">
        <f t="shared" si="175"/>
        <v>0</v>
      </c>
      <c r="DI276">
        <f t="shared" si="165"/>
        <v>0</v>
      </c>
      <c r="DJ276">
        <f>DF276</f>
        <v>0.18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ROW(Source!A163)</f>
        <v>163</v>
      </c>
      <c r="B277">
        <v>55917799</v>
      </c>
      <c r="C277">
        <v>55918219</v>
      </c>
      <c r="D277">
        <v>55424304</v>
      </c>
      <c r="E277">
        <v>1081</v>
      </c>
      <c r="F277">
        <v>1</v>
      </c>
      <c r="G277">
        <v>1081</v>
      </c>
      <c r="H277">
        <v>1</v>
      </c>
      <c r="I277" t="s">
        <v>339</v>
      </c>
      <c r="J277" t="s">
        <v>3</v>
      </c>
      <c r="K277" t="s">
        <v>340</v>
      </c>
      <c r="L277">
        <v>1191</v>
      </c>
      <c r="N277">
        <v>1013</v>
      </c>
      <c r="O277" t="s">
        <v>341</v>
      </c>
      <c r="P277" t="s">
        <v>341</v>
      </c>
      <c r="Q277">
        <v>1</v>
      </c>
      <c r="W277">
        <v>0</v>
      </c>
      <c r="X277">
        <v>476480486</v>
      </c>
      <c r="Y277">
        <f>(AT277*1.2)</f>
        <v>3.3239999999999998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5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2.77</v>
      </c>
      <c r="AU277" t="s">
        <v>56</v>
      </c>
      <c r="AV277">
        <v>1</v>
      </c>
      <c r="AW277">
        <v>2</v>
      </c>
      <c r="AX277">
        <v>55918220</v>
      </c>
      <c r="AY277">
        <v>1</v>
      </c>
      <c r="AZ277">
        <v>0</v>
      </c>
      <c r="BA277">
        <v>311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U277">
        <f>ROUND(AT277*Source!I163*AH277*AL277,2)</f>
        <v>0</v>
      </c>
      <c r="CV277">
        <f>ROUND(Y277*Source!I163,9)</f>
        <v>3.3239999999999998</v>
      </c>
      <c r="CW277">
        <v>0</v>
      </c>
      <c r="CX277">
        <f>ROUND(Y277*Source!I163,9)</f>
        <v>3.3239999999999998</v>
      </c>
      <c r="CY277">
        <f>AD277</f>
        <v>0</v>
      </c>
      <c r="CZ277">
        <f>AH277</f>
        <v>0</v>
      </c>
      <c r="DA277">
        <f>AL277</f>
        <v>1</v>
      </c>
      <c r="DB277">
        <f>ROUND((ROUND(AT277*CZ277,2)*1.2),6)</f>
        <v>0</v>
      </c>
      <c r="DC277">
        <f>ROUND((ROUND(AT277*AG277,2)*1.2),6)</f>
        <v>0</v>
      </c>
      <c r="DD277" t="s">
        <v>3</v>
      </c>
      <c r="DE277" t="s">
        <v>3</v>
      </c>
      <c r="DF277">
        <f>ROUND(ROUND(AE277,2)*CX277,2)</f>
        <v>0</v>
      </c>
      <c r="DG277">
        <f t="shared" si="174"/>
        <v>0</v>
      </c>
      <c r="DH277">
        <f t="shared" si="175"/>
        <v>0</v>
      </c>
      <c r="DI277">
        <f t="shared" si="165"/>
        <v>0</v>
      </c>
      <c r="DJ277">
        <f>DI277</f>
        <v>0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ROW(Source!A163)</f>
        <v>163</v>
      </c>
      <c r="B278">
        <v>55917799</v>
      </c>
      <c r="C278">
        <v>55918219</v>
      </c>
      <c r="D278">
        <v>55459873</v>
      </c>
      <c r="E278">
        <v>1</v>
      </c>
      <c r="F278">
        <v>1</v>
      </c>
      <c r="G278">
        <v>1081</v>
      </c>
      <c r="H278">
        <v>3</v>
      </c>
      <c r="I278" t="s">
        <v>378</v>
      </c>
      <c r="J278" t="s">
        <v>379</v>
      </c>
      <c r="K278" t="s">
        <v>380</v>
      </c>
      <c r="L278">
        <v>1348</v>
      </c>
      <c r="N278">
        <v>1009</v>
      </c>
      <c r="O278" t="s">
        <v>345</v>
      </c>
      <c r="P278" t="s">
        <v>345</v>
      </c>
      <c r="Q278">
        <v>1000</v>
      </c>
      <c r="W278">
        <v>0</v>
      </c>
      <c r="X278">
        <v>-1448251497</v>
      </c>
      <c r="Y278">
        <f>(AT278*1)</f>
        <v>1.0000000000000001E-5</v>
      </c>
      <c r="AA278">
        <v>101169.89</v>
      </c>
      <c r="AB278">
        <v>0</v>
      </c>
      <c r="AC278">
        <v>0</v>
      </c>
      <c r="AD278">
        <v>0</v>
      </c>
      <c r="AE278">
        <v>18495.41</v>
      </c>
      <c r="AF278">
        <v>0</v>
      </c>
      <c r="AG278">
        <v>0</v>
      </c>
      <c r="AH278">
        <v>0</v>
      </c>
      <c r="AI278">
        <v>5.47</v>
      </c>
      <c r="AJ278">
        <v>1</v>
      </c>
      <c r="AK278">
        <v>1</v>
      </c>
      <c r="AL278">
        <v>1</v>
      </c>
      <c r="AM278">
        <v>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1.0000000000000001E-5</v>
      </c>
      <c r="AU278" t="s">
        <v>55</v>
      </c>
      <c r="AV278">
        <v>0</v>
      </c>
      <c r="AW278">
        <v>2</v>
      </c>
      <c r="AX278">
        <v>55918221</v>
      </c>
      <c r="AY278">
        <v>1</v>
      </c>
      <c r="AZ278">
        <v>0</v>
      </c>
      <c r="BA278">
        <v>312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ROUND(Y278*Source!I163,9)</f>
        <v>1.0000000000000001E-5</v>
      </c>
      <c r="CY278">
        <f>AA278</f>
        <v>101169.89</v>
      </c>
      <c r="CZ278">
        <f>AE278</f>
        <v>18495.41</v>
      </c>
      <c r="DA278">
        <f>AI278</f>
        <v>5.47</v>
      </c>
      <c r="DB278">
        <f>ROUND((ROUND(AT278*CZ278,2)*1),6)</f>
        <v>0.18</v>
      </c>
      <c r="DC278">
        <f>ROUND((ROUND(AT278*AG278,2)*1),6)</f>
        <v>0</v>
      </c>
      <c r="DD278" t="s">
        <v>3</v>
      </c>
      <c r="DE278" t="s">
        <v>3</v>
      </c>
      <c r="DF278">
        <f>ROUND(ROUND(AE278*AI278,2)*CX278,2)</f>
        <v>1.01</v>
      </c>
      <c r="DG278">
        <f t="shared" si="174"/>
        <v>0</v>
      </c>
      <c r="DH278">
        <f t="shared" si="175"/>
        <v>0</v>
      </c>
      <c r="DI278">
        <f t="shared" si="165"/>
        <v>0</v>
      </c>
      <c r="DJ278">
        <f>DF278</f>
        <v>1.01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5">
      <c r="A279">
        <f>ROW(Source!A166)</f>
        <v>166</v>
      </c>
      <c r="B279">
        <v>55917797</v>
      </c>
      <c r="C279">
        <v>55918228</v>
      </c>
      <c r="D279">
        <v>55424304</v>
      </c>
      <c r="E279">
        <v>1081</v>
      </c>
      <c r="F279">
        <v>1</v>
      </c>
      <c r="G279">
        <v>1081</v>
      </c>
      <c r="H279">
        <v>1</v>
      </c>
      <c r="I279" t="s">
        <v>339</v>
      </c>
      <c r="J279" t="s">
        <v>3</v>
      </c>
      <c r="K279" t="s">
        <v>340</v>
      </c>
      <c r="L279">
        <v>1191</v>
      </c>
      <c r="N279">
        <v>1013</v>
      </c>
      <c r="O279" t="s">
        <v>341</v>
      </c>
      <c r="P279" t="s">
        <v>341</v>
      </c>
      <c r="Q279">
        <v>1</v>
      </c>
      <c r="W279">
        <v>0</v>
      </c>
      <c r="X279">
        <v>476480486</v>
      </c>
      <c r="Y279">
        <f>(AT279*1.2)</f>
        <v>3.5999999999999996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3</v>
      </c>
      <c r="AU279" t="s">
        <v>56</v>
      </c>
      <c r="AV279">
        <v>1</v>
      </c>
      <c r="AW279">
        <v>2</v>
      </c>
      <c r="AX279">
        <v>55918229</v>
      </c>
      <c r="AY279">
        <v>1</v>
      </c>
      <c r="AZ279">
        <v>0</v>
      </c>
      <c r="BA279">
        <v>313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U279">
        <f>ROUND(AT279*Source!I166*AH279*AL279,2)</f>
        <v>0</v>
      </c>
      <c r="CV279">
        <f>ROUND(Y279*Source!I166,9)</f>
        <v>3.6</v>
      </c>
      <c r="CW279">
        <v>0</v>
      </c>
      <c r="CX279">
        <f>ROUND(Y279*Source!I166,9)</f>
        <v>3.6</v>
      </c>
      <c r="CY279">
        <f>AD279</f>
        <v>0</v>
      </c>
      <c r="CZ279">
        <f>AH279</f>
        <v>0</v>
      </c>
      <c r="DA279">
        <f>AL279</f>
        <v>1</v>
      </c>
      <c r="DB279">
        <f>ROUND((ROUND(AT279*CZ279,2)*1.2),6)</f>
        <v>0</v>
      </c>
      <c r="DC279">
        <f>ROUND((ROUND(AT279*AG279,2)*1.2),6)</f>
        <v>0</v>
      </c>
      <c r="DD279" t="s">
        <v>3</v>
      </c>
      <c r="DE279" t="s">
        <v>3</v>
      </c>
      <c r="DF279">
        <f t="shared" ref="DF279:DF294" si="176">ROUND(ROUND(AE279,2)*CX279,2)</f>
        <v>0</v>
      </c>
      <c r="DG279">
        <f t="shared" si="174"/>
        <v>0</v>
      </c>
      <c r="DH279">
        <f t="shared" si="175"/>
        <v>0</v>
      </c>
      <c r="DI279">
        <f t="shared" si="165"/>
        <v>0</v>
      </c>
      <c r="DJ279">
        <f>DI279</f>
        <v>0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5">
      <c r="A280">
        <f>ROW(Source!A166)</f>
        <v>166</v>
      </c>
      <c r="B280">
        <v>55917797</v>
      </c>
      <c r="C280">
        <v>55918228</v>
      </c>
      <c r="D280">
        <v>55459894</v>
      </c>
      <c r="E280">
        <v>1</v>
      </c>
      <c r="F280">
        <v>1</v>
      </c>
      <c r="G280">
        <v>1081</v>
      </c>
      <c r="H280">
        <v>3</v>
      </c>
      <c r="I280" t="s">
        <v>381</v>
      </c>
      <c r="J280" t="s">
        <v>382</v>
      </c>
      <c r="K280" t="s">
        <v>383</v>
      </c>
      <c r="L280">
        <v>1348</v>
      </c>
      <c r="N280">
        <v>1009</v>
      </c>
      <c r="O280" t="s">
        <v>345</v>
      </c>
      <c r="P280" t="s">
        <v>345</v>
      </c>
      <c r="Q280">
        <v>1000</v>
      </c>
      <c r="W280">
        <v>0</v>
      </c>
      <c r="X280">
        <v>1175474266</v>
      </c>
      <c r="Y280">
        <f t="shared" ref="Y280:Y293" si="177">(AT280*1)</f>
        <v>1E-3</v>
      </c>
      <c r="AA280">
        <v>15319.65</v>
      </c>
      <c r="AB280">
        <v>0</v>
      </c>
      <c r="AC280">
        <v>0</v>
      </c>
      <c r="AD280">
        <v>0</v>
      </c>
      <c r="AE280">
        <v>15319.65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-2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1E-3</v>
      </c>
      <c r="AU280" t="s">
        <v>55</v>
      </c>
      <c r="AV280">
        <v>0</v>
      </c>
      <c r="AW280">
        <v>2</v>
      </c>
      <c r="AX280">
        <v>55918230</v>
      </c>
      <c r="AY280">
        <v>1</v>
      </c>
      <c r="AZ280">
        <v>0</v>
      </c>
      <c r="BA280">
        <v>314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ROUND(Y280*Source!I166,9)</f>
        <v>1E-3</v>
      </c>
      <c r="CY280">
        <f t="shared" ref="CY280:CY293" si="178">AA280</f>
        <v>15319.65</v>
      </c>
      <c r="CZ280">
        <f t="shared" ref="CZ280:CZ293" si="179">AE280</f>
        <v>15319.65</v>
      </c>
      <c r="DA280">
        <f t="shared" ref="DA280:DA293" si="180">AI280</f>
        <v>1</v>
      </c>
      <c r="DB280">
        <f t="shared" ref="DB280:DB293" si="181">ROUND((ROUND(AT280*CZ280,2)*1),6)</f>
        <v>15.32</v>
      </c>
      <c r="DC280">
        <f t="shared" ref="DC280:DC293" si="182">ROUND((ROUND(AT280*AG280,2)*1),6)</f>
        <v>0</v>
      </c>
      <c r="DD280" t="s">
        <v>3</v>
      </c>
      <c r="DE280" t="s">
        <v>3</v>
      </c>
      <c r="DF280">
        <f t="shared" si="176"/>
        <v>15.32</v>
      </c>
      <c r="DG280">
        <f t="shared" si="174"/>
        <v>0</v>
      </c>
      <c r="DH280">
        <f t="shared" si="175"/>
        <v>0</v>
      </c>
      <c r="DI280">
        <f t="shared" si="165"/>
        <v>0</v>
      </c>
      <c r="DJ280">
        <f t="shared" ref="DJ280:DJ293" si="183">DF280</f>
        <v>15.32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ROW(Source!A166)</f>
        <v>166</v>
      </c>
      <c r="B281">
        <v>55917797</v>
      </c>
      <c r="C281">
        <v>55918228</v>
      </c>
      <c r="D281">
        <v>55459261</v>
      </c>
      <c r="E281">
        <v>1</v>
      </c>
      <c r="F281">
        <v>1</v>
      </c>
      <c r="G281">
        <v>1081</v>
      </c>
      <c r="H281">
        <v>3</v>
      </c>
      <c r="I281" t="s">
        <v>384</v>
      </c>
      <c r="J281" t="s">
        <v>385</v>
      </c>
      <c r="K281" t="s">
        <v>386</v>
      </c>
      <c r="L281">
        <v>1348</v>
      </c>
      <c r="N281">
        <v>1009</v>
      </c>
      <c r="O281" t="s">
        <v>345</v>
      </c>
      <c r="P281" t="s">
        <v>345</v>
      </c>
      <c r="Q281">
        <v>1000</v>
      </c>
      <c r="W281">
        <v>0</v>
      </c>
      <c r="X281">
        <v>-2092697376</v>
      </c>
      <c r="Y281">
        <f t="shared" si="177"/>
        <v>5.0000000000000002E-5</v>
      </c>
      <c r="AA281">
        <v>1219.68</v>
      </c>
      <c r="AB281">
        <v>0</v>
      </c>
      <c r="AC281">
        <v>0</v>
      </c>
      <c r="AD281">
        <v>0</v>
      </c>
      <c r="AE281">
        <v>1219.68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5.0000000000000002E-5</v>
      </c>
      <c r="AU281" t="s">
        <v>55</v>
      </c>
      <c r="AV281">
        <v>0</v>
      </c>
      <c r="AW281">
        <v>2</v>
      </c>
      <c r="AX281">
        <v>55918231</v>
      </c>
      <c r="AY281">
        <v>1</v>
      </c>
      <c r="AZ281">
        <v>0</v>
      </c>
      <c r="BA281">
        <v>315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v>0</v>
      </c>
      <c r="CX281">
        <f>ROUND(Y281*Source!I166,9)</f>
        <v>5.0000000000000002E-5</v>
      </c>
      <c r="CY281">
        <f t="shared" si="178"/>
        <v>1219.68</v>
      </c>
      <c r="CZ281">
        <f t="shared" si="179"/>
        <v>1219.68</v>
      </c>
      <c r="DA281">
        <f t="shared" si="180"/>
        <v>1</v>
      </c>
      <c r="DB281">
        <f t="shared" si="181"/>
        <v>0.06</v>
      </c>
      <c r="DC281">
        <f t="shared" si="182"/>
        <v>0</v>
      </c>
      <c r="DD281" t="s">
        <v>3</v>
      </c>
      <c r="DE281" t="s">
        <v>3</v>
      </c>
      <c r="DF281">
        <f t="shared" si="176"/>
        <v>0.06</v>
      </c>
      <c r="DG281">
        <f t="shared" si="174"/>
        <v>0</v>
      </c>
      <c r="DH281">
        <f t="shared" si="175"/>
        <v>0</v>
      </c>
      <c r="DI281">
        <f t="shared" si="165"/>
        <v>0</v>
      </c>
      <c r="DJ281">
        <f t="shared" si="183"/>
        <v>0.06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ROW(Source!A166)</f>
        <v>166</v>
      </c>
      <c r="B282">
        <v>55917797</v>
      </c>
      <c r="C282">
        <v>55918228</v>
      </c>
      <c r="D282">
        <v>55460328</v>
      </c>
      <c r="E282">
        <v>1</v>
      </c>
      <c r="F282">
        <v>1</v>
      </c>
      <c r="G282">
        <v>1081</v>
      </c>
      <c r="H282">
        <v>3</v>
      </c>
      <c r="I282" t="s">
        <v>387</v>
      </c>
      <c r="J282" t="s">
        <v>388</v>
      </c>
      <c r="K282" t="s">
        <v>389</v>
      </c>
      <c r="L282">
        <v>1301</v>
      </c>
      <c r="N282">
        <v>1003</v>
      </c>
      <c r="O282" t="s">
        <v>263</v>
      </c>
      <c r="P282" t="s">
        <v>263</v>
      </c>
      <c r="Q282">
        <v>1</v>
      </c>
      <c r="W282">
        <v>0</v>
      </c>
      <c r="X282">
        <v>-206055494</v>
      </c>
      <c r="Y282">
        <f t="shared" si="177"/>
        <v>5</v>
      </c>
      <c r="AA282">
        <v>0.39</v>
      </c>
      <c r="AB282">
        <v>0</v>
      </c>
      <c r="AC282">
        <v>0</v>
      </c>
      <c r="AD282">
        <v>0</v>
      </c>
      <c r="AE282">
        <v>0.39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5</v>
      </c>
      <c r="AU282" t="s">
        <v>55</v>
      </c>
      <c r="AV282">
        <v>0</v>
      </c>
      <c r="AW282">
        <v>2</v>
      </c>
      <c r="AX282">
        <v>55918232</v>
      </c>
      <c r="AY282">
        <v>1</v>
      </c>
      <c r="AZ282">
        <v>0</v>
      </c>
      <c r="BA282">
        <v>316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ROUND(Y282*Source!I166,9)</f>
        <v>5</v>
      </c>
      <c r="CY282">
        <f t="shared" si="178"/>
        <v>0.39</v>
      </c>
      <c r="CZ282">
        <f t="shared" si="179"/>
        <v>0.39</v>
      </c>
      <c r="DA282">
        <f t="shared" si="180"/>
        <v>1</v>
      </c>
      <c r="DB282">
        <f t="shared" si="181"/>
        <v>1.95</v>
      </c>
      <c r="DC282">
        <f t="shared" si="182"/>
        <v>0</v>
      </c>
      <c r="DD282" t="s">
        <v>3</v>
      </c>
      <c r="DE282" t="s">
        <v>3</v>
      </c>
      <c r="DF282">
        <f t="shared" si="176"/>
        <v>1.95</v>
      </c>
      <c r="DG282">
        <f t="shared" si="174"/>
        <v>0</v>
      </c>
      <c r="DH282">
        <f t="shared" si="175"/>
        <v>0</v>
      </c>
      <c r="DI282">
        <f t="shared" si="165"/>
        <v>0</v>
      </c>
      <c r="DJ282">
        <f t="shared" si="183"/>
        <v>1.95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5">
      <c r="A283">
        <f>ROW(Source!A166)</f>
        <v>166</v>
      </c>
      <c r="B283">
        <v>55917797</v>
      </c>
      <c r="C283">
        <v>55918228</v>
      </c>
      <c r="D283">
        <v>55459312</v>
      </c>
      <c r="E283">
        <v>1</v>
      </c>
      <c r="F283">
        <v>1</v>
      </c>
      <c r="G283">
        <v>1081</v>
      </c>
      <c r="H283">
        <v>3</v>
      </c>
      <c r="I283" t="s">
        <v>390</v>
      </c>
      <c r="J283" t="s">
        <v>391</v>
      </c>
      <c r="K283" t="s">
        <v>392</v>
      </c>
      <c r="L283">
        <v>1339</v>
      </c>
      <c r="N283">
        <v>1007</v>
      </c>
      <c r="O283" t="s">
        <v>393</v>
      </c>
      <c r="P283" t="s">
        <v>393</v>
      </c>
      <c r="Q283">
        <v>1</v>
      </c>
      <c r="W283">
        <v>0</v>
      </c>
      <c r="X283">
        <v>-366856290</v>
      </c>
      <c r="Y283">
        <f t="shared" si="177"/>
        <v>1E-3</v>
      </c>
      <c r="AA283">
        <v>1176.3</v>
      </c>
      <c r="AB283">
        <v>0</v>
      </c>
      <c r="AC283">
        <v>0</v>
      </c>
      <c r="AD283">
        <v>0</v>
      </c>
      <c r="AE283">
        <v>1176.3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1E-3</v>
      </c>
      <c r="AU283" t="s">
        <v>55</v>
      </c>
      <c r="AV283">
        <v>0</v>
      </c>
      <c r="AW283">
        <v>2</v>
      </c>
      <c r="AX283">
        <v>55918233</v>
      </c>
      <c r="AY283">
        <v>1</v>
      </c>
      <c r="AZ283">
        <v>0</v>
      </c>
      <c r="BA283">
        <v>317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v>0</v>
      </c>
      <c r="CX283">
        <f>ROUND(Y283*Source!I166,9)</f>
        <v>1E-3</v>
      </c>
      <c r="CY283">
        <f t="shared" si="178"/>
        <v>1176.3</v>
      </c>
      <c r="CZ283">
        <f t="shared" si="179"/>
        <v>1176.3</v>
      </c>
      <c r="DA283">
        <f t="shared" si="180"/>
        <v>1</v>
      </c>
      <c r="DB283">
        <f t="shared" si="181"/>
        <v>1.18</v>
      </c>
      <c r="DC283">
        <f t="shared" si="182"/>
        <v>0</v>
      </c>
      <c r="DD283" t="s">
        <v>3</v>
      </c>
      <c r="DE283" t="s">
        <v>3</v>
      </c>
      <c r="DF283">
        <f t="shared" si="176"/>
        <v>1.18</v>
      </c>
      <c r="DG283">
        <f t="shared" si="174"/>
        <v>0</v>
      </c>
      <c r="DH283">
        <f t="shared" si="175"/>
        <v>0</v>
      </c>
      <c r="DI283">
        <f t="shared" si="165"/>
        <v>0</v>
      </c>
      <c r="DJ283">
        <f t="shared" si="183"/>
        <v>1.18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5">
      <c r="A284">
        <f>ROW(Source!A166)</f>
        <v>166</v>
      </c>
      <c r="B284">
        <v>55917797</v>
      </c>
      <c r="C284">
        <v>55918228</v>
      </c>
      <c r="D284">
        <v>55461230</v>
      </c>
      <c r="E284">
        <v>1</v>
      </c>
      <c r="F284">
        <v>1</v>
      </c>
      <c r="G284">
        <v>1081</v>
      </c>
      <c r="H284">
        <v>3</v>
      </c>
      <c r="I284" t="s">
        <v>349</v>
      </c>
      <c r="J284" t="s">
        <v>350</v>
      </c>
      <c r="K284" t="s">
        <v>351</v>
      </c>
      <c r="L284">
        <v>1346</v>
      </c>
      <c r="N284">
        <v>1009</v>
      </c>
      <c r="O284" t="s">
        <v>316</v>
      </c>
      <c r="P284" t="s">
        <v>316</v>
      </c>
      <c r="Q284">
        <v>1</v>
      </c>
      <c r="W284">
        <v>0</v>
      </c>
      <c r="X284">
        <v>1561715650</v>
      </c>
      <c r="Y284">
        <f t="shared" si="177"/>
        <v>0.01</v>
      </c>
      <c r="AA284">
        <v>15.11</v>
      </c>
      <c r="AB284">
        <v>0</v>
      </c>
      <c r="AC284">
        <v>0</v>
      </c>
      <c r="AD284">
        <v>0</v>
      </c>
      <c r="AE284">
        <v>15.11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-2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0.01</v>
      </c>
      <c r="AU284" t="s">
        <v>55</v>
      </c>
      <c r="AV284">
        <v>0</v>
      </c>
      <c r="AW284">
        <v>2</v>
      </c>
      <c r="AX284">
        <v>55918234</v>
      </c>
      <c r="AY284">
        <v>1</v>
      </c>
      <c r="AZ284">
        <v>0</v>
      </c>
      <c r="BA284">
        <v>318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ROUND(Y284*Source!I166,9)</f>
        <v>0.01</v>
      </c>
      <c r="CY284">
        <f t="shared" si="178"/>
        <v>15.11</v>
      </c>
      <c r="CZ284">
        <f t="shared" si="179"/>
        <v>15.11</v>
      </c>
      <c r="DA284">
        <f t="shared" si="180"/>
        <v>1</v>
      </c>
      <c r="DB284">
        <f t="shared" si="181"/>
        <v>0.15</v>
      </c>
      <c r="DC284">
        <f t="shared" si="182"/>
        <v>0</v>
      </c>
      <c r="DD284" t="s">
        <v>3</v>
      </c>
      <c r="DE284" t="s">
        <v>3</v>
      </c>
      <c r="DF284">
        <f t="shared" si="176"/>
        <v>0.15</v>
      </c>
      <c r="DG284">
        <f t="shared" si="174"/>
        <v>0</v>
      </c>
      <c r="DH284">
        <f t="shared" si="175"/>
        <v>0</v>
      </c>
      <c r="DI284">
        <f t="shared" si="165"/>
        <v>0</v>
      </c>
      <c r="DJ284">
        <f t="shared" si="183"/>
        <v>0.15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5">
      <c r="A285">
        <f>ROW(Source!A166)</f>
        <v>166</v>
      </c>
      <c r="B285">
        <v>55917797</v>
      </c>
      <c r="C285">
        <v>55918228</v>
      </c>
      <c r="D285">
        <v>55459400</v>
      </c>
      <c r="E285">
        <v>1</v>
      </c>
      <c r="F285">
        <v>1</v>
      </c>
      <c r="G285">
        <v>1081</v>
      </c>
      <c r="H285">
        <v>3</v>
      </c>
      <c r="I285" t="s">
        <v>355</v>
      </c>
      <c r="J285" t="s">
        <v>356</v>
      </c>
      <c r="K285" t="s">
        <v>357</v>
      </c>
      <c r="L285">
        <v>1346</v>
      </c>
      <c r="N285">
        <v>1009</v>
      </c>
      <c r="O285" t="s">
        <v>316</v>
      </c>
      <c r="P285" t="s">
        <v>316</v>
      </c>
      <c r="Q285">
        <v>1</v>
      </c>
      <c r="W285">
        <v>0</v>
      </c>
      <c r="X285">
        <v>-2129869794</v>
      </c>
      <c r="Y285">
        <f t="shared" si="177"/>
        <v>0.01</v>
      </c>
      <c r="AA285">
        <v>16.690000000000001</v>
      </c>
      <c r="AB285">
        <v>0</v>
      </c>
      <c r="AC285">
        <v>0</v>
      </c>
      <c r="AD285">
        <v>0</v>
      </c>
      <c r="AE285">
        <v>16.690000000000001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0.01</v>
      </c>
      <c r="AU285" t="s">
        <v>55</v>
      </c>
      <c r="AV285">
        <v>0</v>
      </c>
      <c r="AW285">
        <v>2</v>
      </c>
      <c r="AX285">
        <v>55918235</v>
      </c>
      <c r="AY285">
        <v>1</v>
      </c>
      <c r="AZ285">
        <v>0</v>
      </c>
      <c r="BA285">
        <v>319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ROUND(Y285*Source!I166,9)</f>
        <v>0.01</v>
      </c>
      <c r="CY285">
        <f t="shared" si="178"/>
        <v>16.690000000000001</v>
      </c>
      <c r="CZ285">
        <f t="shared" si="179"/>
        <v>16.690000000000001</v>
      </c>
      <c r="DA285">
        <f t="shared" si="180"/>
        <v>1</v>
      </c>
      <c r="DB285">
        <f t="shared" si="181"/>
        <v>0.17</v>
      </c>
      <c r="DC285">
        <f t="shared" si="182"/>
        <v>0</v>
      </c>
      <c r="DD285" t="s">
        <v>3</v>
      </c>
      <c r="DE285" t="s">
        <v>3</v>
      </c>
      <c r="DF285">
        <f t="shared" si="176"/>
        <v>0.17</v>
      </c>
      <c r="DG285">
        <f t="shared" si="174"/>
        <v>0</v>
      </c>
      <c r="DH285">
        <f t="shared" si="175"/>
        <v>0</v>
      </c>
      <c r="DI285">
        <f t="shared" si="165"/>
        <v>0</v>
      </c>
      <c r="DJ285">
        <f t="shared" si="183"/>
        <v>0.17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ROW(Source!A166)</f>
        <v>166</v>
      </c>
      <c r="B286">
        <v>55917797</v>
      </c>
      <c r="C286">
        <v>55918228</v>
      </c>
      <c r="D286">
        <v>55461719</v>
      </c>
      <c r="E286">
        <v>1</v>
      </c>
      <c r="F286">
        <v>1</v>
      </c>
      <c r="G286">
        <v>1081</v>
      </c>
      <c r="H286">
        <v>3</v>
      </c>
      <c r="I286" t="s">
        <v>394</v>
      </c>
      <c r="J286" t="s">
        <v>395</v>
      </c>
      <c r="K286" t="s">
        <v>396</v>
      </c>
      <c r="L286">
        <v>1348</v>
      </c>
      <c r="N286">
        <v>1009</v>
      </c>
      <c r="O286" t="s">
        <v>345</v>
      </c>
      <c r="P286" t="s">
        <v>345</v>
      </c>
      <c r="Q286">
        <v>1000</v>
      </c>
      <c r="W286">
        <v>0</v>
      </c>
      <c r="X286">
        <v>-1265888387</v>
      </c>
      <c r="Y286">
        <f t="shared" si="177"/>
        <v>1E-4</v>
      </c>
      <c r="AA286">
        <v>10643.18</v>
      </c>
      <c r="AB286">
        <v>0</v>
      </c>
      <c r="AC286">
        <v>0</v>
      </c>
      <c r="AD286">
        <v>0</v>
      </c>
      <c r="AE286">
        <v>10643.18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-2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1E-4</v>
      </c>
      <c r="AU286" t="s">
        <v>55</v>
      </c>
      <c r="AV286">
        <v>0</v>
      </c>
      <c r="AW286">
        <v>2</v>
      </c>
      <c r="AX286">
        <v>55918236</v>
      </c>
      <c r="AY286">
        <v>1</v>
      </c>
      <c r="AZ286">
        <v>0</v>
      </c>
      <c r="BA286">
        <v>320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ROUND(Y286*Source!I166,9)</f>
        <v>1E-4</v>
      </c>
      <c r="CY286">
        <f t="shared" si="178"/>
        <v>10643.18</v>
      </c>
      <c r="CZ286">
        <f t="shared" si="179"/>
        <v>10643.18</v>
      </c>
      <c r="DA286">
        <f t="shared" si="180"/>
        <v>1</v>
      </c>
      <c r="DB286">
        <f t="shared" si="181"/>
        <v>1.06</v>
      </c>
      <c r="DC286">
        <f t="shared" si="182"/>
        <v>0</v>
      </c>
      <c r="DD286" t="s">
        <v>3</v>
      </c>
      <c r="DE286" t="s">
        <v>3</v>
      </c>
      <c r="DF286">
        <f t="shared" si="176"/>
        <v>1.06</v>
      </c>
      <c r="DG286">
        <f t="shared" si="174"/>
        <v>0</v>
      </c>
      <c r="DH286">
        <f t="shared" si="175"/>
        <v>0</v>
      </c>
      <c r="DI286">
        <f t="shared" si="165"/>
        <v>0</v>
      </c>
      <c r="DJ286">
        <f t="shared" si="183"/>
        <v>1.06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ROW(Source!A166)</f>
        <v>166</v>
      </c>
      <c r="B287">
        <v>55917797</v>
      </c>
      <c r="C287">
        <v>55918228</v>
      </c>
      <c r="D287">
        <v>55466000</v>
      </c>
      <c r="E287">
        <v>1</v>
      </c>
      <c r="F287">
        <v>1</v>
      </c>
      <c r="G287">
        <v>1081</v>
      </c>
      <c r="H287">
        <v>3</v>
      </c>
      <c r="I287" t="s">
        <v>397</v>
      </c>
      <c r="J287" t="s">
        <v>398</v>
      </c>
      <c r="K287" t="s">
        <v>399</v>
      </c>
      <c r="L287">
        <v>1355</v>
      </c>
      <c r="N287">
        <v>1010</v>
      </c>
      <c r="O287" t="s">
        <v>49</v>
      </c>
      <c r="P287" t="s">
        <v>49</v>
      </c>
      <c r="Q287">
        <v>100</v>
      </c>
      <c r="W287">
        <v>0</v>
      </c>
      <c r="X287">
        <v>436393287</v>
      </c>
      <c r="Y287">
        <f t="shared" si="177"/>
        <v>0.01</v>
      </c>
      <c r="AA287">
        <v>120.19</v>
      </c>
      <c r="AB287">
        <v>0</v>
      </c>
      <c r="AC287">
        <v>0</v>
      </c>
      <c r="AD287">
        <v>0</v>
      </c>
      <c r="AE287">
        <v>120.19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0.01</v>
      </c>
      <c r="AU287" t="s">
        <v>55</v>
      </c>
      <c r="AV287">
        <v>0</v>
      </c>
      <c r="AW287">
        <v>2</v>
      </c>
      <c r="AX287">
        <v>55918237</v>
      </c>
      <c r="AY287">
        <v>1</v>
      </c>
      <c r="AZ287">
        <v>0</v>
      </c>
      <c r="BA287">
        <v>321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ROUND(Y287*Source!I166,9)</f>
        <v>0.01</v>
      </c>
      <c r="CY287">
        <f t="shared" si="178"/>
        <v>120.19</v>
      </c>
      <c r="CZ287">
        <f t="shared" si="179"/>
        <v>120.19</v>
      </c>
      <c r="DA287">
        <f t="shared" si="180"/>
        <v>1</v>
      </c>
      <c r="DB287">
        <f t="shared" si="181"/>
        <v>1.2</v>
      </c>
      <c r="DC287">
        <f t="shared" si="182"/>
        <v>0</v>
      </c>
      <c r="DD287" t="s">
        <v>3</v>
      </c>
      <c r="DE287" t="s">
        <v>3</v>
      </c>
      <c r="DF287">
        <f t="shared" si="176"/>
        <v>1.2</v>
      </c>
      <c r="DG287">
        <f t="shared" si="174"/>
        <v>0</v>
      </c>
      <c r="DH287">
        <f t="shared" si="175"/>
        <v>0</v>
      </c>
      <c r="DI287">
        <f t="shared" si="165"/>
        <v>0</v>
      </c>
      <c r="DJ287">
        <f t="shared" si="183"/>
        <v>1.2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5">
      <c r="A288">
        <f>ROW(Source!A166)</f>
        <v>166</v>
      </c>
      <c r="B288">
        <v>55917797</v>
      </c>
      <c r="C288">
        <v>55918228</v>
      </c>
      <c r="D288">
        <v>55459793</v>
      </c>
      <c r="E288">
        <v>1</v>
      </c>
      <c r="F288">
        <v>1</v>
      </c>
      <c r="G288">
        <v>1081</v>
      </c>
      <c r="H288">
        <v>3</v>
      </c>
      <c r="I288" t="s">
        <v>361</v>
      </c>
      <c r="J288" t="s">
        <v>362</v>
      </c>
      <c r="K288" t="s">
        <v>363</v>
      </c>
      <c r="L288">
        <v>1348</v>
      </c>
      <c r="N288">
        <v>1009</v>
      </c>
      <c r="O288" t="s">
        <v>345</v>
      </c>
      <c r="P288" t="s">
        <v>345</v>
      </c>
      <c r="Q288">
        <v>1000</v>
      </c>
      <c r="W288">
        <v>0</v>
      </c>
      <c r="X288">
        <v>-761454284</v>
      </c>
      <c r="Y288">
        <f t="shared" si="177"/>
        <v>2.0000000000000002E-5</v>
      </c>
      <c r="AA288">
        <v>64123.05</v>
      </c>
      <c r="AB288">
        <v>0</v>
      </c>
      <c r="AC288">
        <v>0</v>
      </c>
      <c r="AD288">
        <v>0</v>
      </c>
      <c r="AE288">
        <v>64123.05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-2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2.0000000000000002E-5</v>
      </c>
      <c r="AU288" t="s">
        <v>55</v>
      </c>
      <c r="AV288">
        <v>0</v>
      </c>
      <c r="AW288">
        <v>2</v>
      </c>
      <c r="AX288">
        <v>55918238</v>
      </c>
      <c r="AY288">
        <v>1</v>
      </c>
      <c r="AZ288">
        <v>0</v>
      </c>
      <c r="BA288">
        <v>322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ROUND(Y288*Source!I166,9)</f>
        <v>2.0000000000000002E-5</v>
      </c>
      <c r="CY288">
        <f t="shared" si="178"/>
        <v>64123.05</v>
      </c>
      <c r="CZ288">
        <f t="shared" si="179"/>
        <v>64123.05</v>
      </c>
      <c r="DA288">
        <f t="shared" si="180"/>
        <v>1</v>
      </c>
      <c r="DB288">
        <f t="shared" si="181"/>
        <v>1.28</v>
      </c>
      <c r="DC288">
        <f t="shared" si="182"/>
        <v>0</v>
      </c>
      <c r="DD288" t="s">
        <v>3</v>
      </c>
      <c r="DE288" t="s">
        <v>3</v>
      </c>
      <c r="DF288">
        <f t="shared" si="176"/>
        <v>1.28</v>
      </c>
      <c r="DG288">
        <f t="shared" si="174"/>
        <v>0</v>
      </c>
      <c r="DH288">
        <f t="shared" si="175"/>
        <v>0</v>
      </c>
      <c r="DI288">
        <f t="shared" si="165"/>
        <v>0</v>
      </c>
      <c r="DJ288">
        <f t="shared" si="183"/>
        <v>1.28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ROW(Source!A166)</f>
        <v>166</v>
      </c>
      <c r="B289">
        <v>55917797</v>
      </c>
      <c r="C289">
        <v>55918228</v>
      </c>
      <c r="D289">
        <v>55459810</v>
      </c>
      <c r="E289">
        <v>1</v>
      </c>
      <c r="F289">
        <v>1</v>
      </c>
      <c r="G289">
        <v>1081</v>
      </c>
      <c r="H289">
        <v>3</v>
      </c>
      <c r="I289" t="s">
        <v>400</v>
      </c>
      <c r="J289" t="s">
        <v>401</v>
      </c>
      <c r="K289" t="s">
        <v>402</v>
      </c>
      <c r="L289">
        <v>1348</v>
      </c>
      <c r="N289">
        <v>1009</v>
      </c>
      <c r="O289" t="s">
        <v>345</v>
      </c>
      <c r="P289" t="s">
        <v>345</v>
      </c>
      <c r="Q289">
        <v>1000</v>
      </c>
      <c r="W289">
        <v>0</v>
      </c>
      <c r="X289">
        <v>-98394079</v>
      </c>
      <c r="Y289">
        <f t="shared" si="177"/>
        <v>1E-4</v>
      </c>
      <c r="AA289">
        <v>9238.1299999999992</v>
      </c>
      <c r="AB289">
        <v>0</v>
      </c>
      <c r="AC289">
        <v>0</v>
      </c>
      <c r="AD289">
        <v>0</v>
      </c>
      <c r="AE289">
        <v>9238.1299999999992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1E-4</v>
      </c>
      <c r="AU289" t="s">
        <v>55</v>
      </c>
      <c r="AV289">
        <v>0</v>
      </c>
      <c r="AW289">
        <v>2</v>
      </c>
      <c r="AX289">
        <v>55918239</v>
      </c>
      <c r="AY289">
        <v>1</v>
      </c>
      <c r="AZ289">
        <v>0</v>
      </c>
      <c r="BA289">
        <v>323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ROUND(Y289*Source!I166,9)</f>
        <v>1E-4</v>
      </c>
      <c r="CY289">
        <f t="shared" si="178"/>
        <v>9238.1299999999992</v>
      </c>
      <c r="CZ289">
        <f t="shared" si="179"/>
        <v>9238.1299999999992</v>
      </c>
      <c r="DA289">
        <f t="shared" si="180"/>
        <v>1</v>
      </c>
      <c r="DB289">
        <f t="shared" si="181"/>
        <v>0.92</v>
      </c>
      <c r="DC289">
        <f t="shared" si="182"/>
        <v>0</v>
      </c>
      <c r="DD289" t="s">
        <v>3</v>
      </c>
      <c r="DE289" t="s">
        <v>3</v>
      </c>
      <c r="DF289">
        <f t="shared" si="176"/>
        <v>0.92</v>
      </c>
      <c r="DG289">
        <f t="shared" si="174"/>
        <v>0</v>
      </c>
      <c r="DH289">
        <f t="shared" si="175"/>
        <v>0</v>
      </c>
      <c r="DI289">
        <f t="shared" si="165"/>
        <v>0</v>
      </c>
      <c r="DJ289">
        <f t="shared" si="183"/>
        <v>0.92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ROW(Source!A166)</f>
        <v>166</v>
      </c>
      <c r="B290">
        <v>55917797</v>
      </c>
      <c r="C290">
        <v>55918228</v>
      </c>
      <c r="D290">
        <v>55482166</v>
      </c>
      <c r="E290">
        <v>1</v>
      </c>
      <c r="F290">
        <v>1</v>
      </c>
      <c r="G290">
        <v>1081</v>
      </c>
      <c r="H290">
        <v>3</v>
      </c>
      <c r="I290" t="s">
        <v>403</v>
      </c>
      <c r="J290" t="s">
        <v>404</v>
      </c>
      <c r="K290" t="s">
        <v>405</v>
      </c>
      <c r="L290">
        <v>1301</v>
      </c>
      <c r="N290">
        <v>1003</v>
      </c>
      <c r="O290" t="s">
        <v>263</v>
      </c>
      <c r="P290" t="s">
        <v>263</v>
      </c>
      <c r="Q290">
        <v>1</v>
      </c>
      <c r="W290">
        <v>0</v>
      </c>
      <c r="X290">
        <v>876831867</v>
      </c>
      <c r="Y290">
        <f t="shared" si="177"/>
        <v>1</v>
      </c>
      <c r="AA290">
        <v>0.69</v>
      </c>
      <c r="AB290">
        <v>0</v>
      </c>
      <c r="AC290">
        <v>0</v>
      </c>
      <c r="AD290">
        <v>0</v>
      </c>
      <c r="AE290">
        <v>0.69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1</v>
      </c>
      <c r="AU290" t="s">
        <v>55</v>
      </c>
      <c r="AV290">
        <v>0</v>
      </c>
      <c r="AW290">
        <v>2</v>
      </c>
      <c r="AX290">
        <v>55918240</v>
      </c>
      <c r="AY290">
        <v>1</v>
      </c>
      <c r="AZ290">
        <v>0</v>
      </c>
      <c r="BA290">
        <v>324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ROUND(Y290*Source!I166,9)</f>
        <v>1</v>
      </c>
      <c r="CY290">
        <f t="shared" si="178"/>
        <v>0.69</v>
      </c>
      <c r="CZ290">
        <f t="shared" si="179"/>
        <v>0.69</v>
      </c>
      <c r="DA290">
        <f t="shared" si="180"/>
        <v>1</v>
      </c>
      <c r="DB290">
        <f t="shared" si="181"/>
        <v>0.69</v>
      </c>
      <c r="DC290">
        <f t="shared" si="182"/>
        <v>0</v>
      </c>
      <c r="DD290" t="s">
        <v>3</v>
      </c>
      <c r="DE290" t="s">
        <v>3</v>
      </c>
      <c r="DF290">
        <f t="shared" si="176"/>
        <v>0.69</v>
      </c>
      <c r="DG290">
        <f t="shared" si="174"/>
        <v>0</v>
      </c>
      <c r="DH290">
        <f t="shared" si="175"/>
        <v>0</v>
      </c>
      <c r="DI290">
        <f t="shared" si="165"/>
        <v>0</v>
      </c>
      <c r="DJ290">
        <f t="shared" si="183"/>
        <v>0.69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ROW(Source!A166)</f>
        <v>166</v>
      </c>
      <c r="B291">
        <v>55917797</v>
      </c>
      <c r="C291">
        <v>55918228</v>
      </c>
      <c r="D291">
        <v>55482445</v>
      </c>
      <c r="E291">
        <v>1</v>
      </c>
      <c r="F291">
        <v>1</v>
      </c>
      <c r="G291">
        <v>1081</v>
      </c>
      <c r="H291">
        <v>3</v>
      </c>
      <c r="I291" t="s">
        <v>406</v>
      </c>
      <c r="J291" t="s">
        <v>407</v>
      </c>
      <c r="K291" t="s">
        <v>408</v>
      </c>
      <c r="L291">
        <v>1356</v>
      </c>
      <c r="N291">
        <v>1010</v>
      </c>
      <c r="O291" t="s">
        <v>409</v>
      </c>
      <c r="P291" t="s">
        <v>409</v>
      </c>
      <c r="Q291">
        <v>1000</v>
      </c>
      <c r="W291">
        <v>0</v>
      </c>
      <c r="X291">
        <v>-285397556</v>
      </c>
      <c r="Y291">
        <f t="shared" si="177"/>
        <v>0.01</v>
      </c>
      <c r="AA291">
        <v>294.89</v>
      </c>
      <c r="AB291">
        <v>0</v>
      </c>
      <c r="AC291">
        <v>0</v>
      </c>
      <c r="AD291">
        <v>0</v>
      </c>
      <c r="AE291">
        <v>294.89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0.01</v>
      </c>
      <c r="AU291" t="s">
        <v>55</v>
      </c>
      <c r="AV291">
        <v>0</v>
      </c>
      <c r="AW291">
        <v>2</v>
      </c>
      <c r="AX291">
        <v>55918241</v>
      </c>
      <c r="AY291">
        <v>1</v>
      </c>
      <c r="AZ291">
        <v>0</v>
      </c>
      <c r="BA291">
        <v>325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ROUND(Y291*Source!I166,9)</f>
        <v>0.01</v>
      </c>
      <c r="CY291">
        <f t="shared" si="178"/>
        <v>294.89</v>
      </c>
      <c r="CZ291">
        <f t="shared" si="179"/>
        <v>294.89</v>
      </c>
      <c r="DA291">
        <f t="shared" si="180"/>
        <v>1</v>
      </c>
      <c r="DB291">
        <f t="shared" si="181"/>
        <v>2.95</v>
      </c>
      <c r="DC291">
        <f t="shared" si="182"/>
        <v>0</v>
      </c>
      <c r="DD291" t="s">
        <v>3</v>
      </c>
      <c r="DE291" t="s">
        <v>3</v>
      </c>
      <c r="DF291">
        <f t="shared" si="176"/>
        <v>2.95</v>
      </c>
      <c r="DG291">
        <f t="shared" si="174"/>
        <v>0</v>
      </c>
      <c r="DH291">
        <f t="shared" si="175"/>
        <v>0</v>
      </c>
      <c r="DI291">
        <f t="shared" si="165"/>
        <v>0</v>
      </c>
      <c r="DJ291">
        <f t="shared" si="183"/>
        <v>2.95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ROW(Source!A166)</f>
        <v>166</v>
      </c>
      <c r="B292">
        <v>55917797</v>
      </c>
      <c r="C292">
        <v>55918228</v>
      </c>
      <c r="D292">
        <v>55481518</v>
      </c>
      <c r="E292">
        <v>1</v>
      </c>
      <c r="F292">
        <v>1</v>
      </c>
      <c r="G292">
        <v>1081</v>
      </c>
      <c r="H292">
        <v>3</v>
      </c>
      <c r="I292" t="s">
        <v>410</v>
      </c>
      <c r="J292" t="s">
        <v>411</v>
      </c>
      <c r="K292" t="s">
        <v>412</v>
      </c>
      <c r="L292">
        <v>1354</v>
      </c>
      <c r="N292">
        <v>1010</v>
      </c>
      <c r="O292" t="s">
        <v>164</v>
      </c>
      <c r="P292" t="s">
        <v>164</v>
      </c>
      <c r="Q292">
        <v>1</v>
      </c>
      <c r="W292">
        <v>0</v>
      </c>
      <c r="X292">
        <v>55982921</v>
      </c>
      <c r="Y292">
        <f t="shared" si="177"/>
        <v>1</v>
      </c>
      <c r="AA292">
        <v>15.67</v>
      </c>
      <c r="AB292">
        <v>0</v>
      </c>
      <c r="AC292">
        <v>0</v>
      </c>
      <c r="AD292">
        <v>0</v>
      </c>
      <c r="AE292">
        <v>15.67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1</v>
      </c>
      <c r="AU292" t="s">
        <v>55</v>
      </c>
      <c r="AV292">
        <v>0</v>
      </c>
      <c r="AW292">
        <v>2</v>
      </c>
      <c r="AX292">
        <v>55918242</v>
      </c>
      <c r="AY292">
        <v>1</v>
      </c>
      <c r="AZ292">
        <v>0</v>
      </c>
      <c r="BA292">
        <v>326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ROUND(Y292*Source!I166,9)</f>
        <v>1</v>
      </c>
      <c r="CY292">
        <f t="shared" si="178"/>
        <v>15.67</v>
      </c>
      <c r="CZ292">
        <f t="shared" si="179"/>
        <v>15.67</v>
      </c>
      <c r="DA292">
        <f t="shared" si="180"/>
        <v>1</v>
      </c>
      <c r="DB292">
        <f t="shared" si="181"/>
        <v>15.67</v>
      </c>
      <c r="DC292">
        <f t="shared" si="182"/>
        <v>0</v>
      </c>
      <c r="DD292" t="s">
        <v>3</v>
      </c>
      <c r="DE292" t="s">
        <v>3</v>
      </c>
      <c r="DF292">
        <f t="shared" si="176"/>
        <v>15.67</v>
      </c>
      <c r="DG292">
        <f t="shared" si="174"/>
        <v>0</v>
      </c>
      <c r="DH292">
        <f t="shared" si="175"/>
        <v>0</v>
      </c>
      <c r="DI292">
        <f t="shared" si="165"/>
        <v>0</v>
      </c>
      <c r="DJ292">
        <f t="shared" si="183"/>
        <v>15.67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5">
      <c r="A293">
        <f>ROW(Source!A166)</f>
        <v>166</v>
      </c>
      <c r="B293">
        <v>55917797</v>
      </c>
      <c r="C293">
        <v>55918228</v>
      </c>
      <c r="D293">
        <v>55424290</v>
      </c>
      <c r="E293">
        <v>1081</v>
      </c>
      <c r="F293">
        <v>1</v>
      </c>
      <c r="G293">
        <v>1081</v>
      </c>
      <c r="H293">
        <v>3</v>
      </c>
      <c r="I293" t="s">
        <v>371</v>
      </c>
      <c r="J293" t="s">
        <v>3</v>
      </c>
      <c r="K293" t="s">
        <v>372</v>
      </c>
      <c r="L293">
        <v>1348</v>
      </c>
      <c r="N293">
        <v>1009</v>
      </c>
      <c r="O293" t="s">
        <v>345</v>
      </c>
      <c r="P293" t="s">
        <v>345</v>
      </c>
      <c r="Q293">
        <v>1000</v>
      </c>
      <c r="W293">
        <v>0</v>
      </c>
      <c r="X293">
        <v>-783086922</v>
      </c>
      <c r="Y293">
        <f t="shared" si="177"/>
        <v>1E-3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1E-3</v>
      </c>
      <c r="AU293" t="s">
        <v>55</v>
      </c>
      <c r="AV293">
        <v>0</v>
      </c>
      <c r="AW293">
        <v>2</v>
      </c>
      <c r="AX293">
        <v>55918245</v>
      </c>
      <c r="AY293">
        <v>1</v>
      </c>
      <c r="AZ293">
        <v>0</v>
      </c>
      <c r="BA293">
        <v>329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ROUND(Y293*Source!I166,9)</f>
        <v>1E-3</v>
      </c>
      <c r="CY293">
        <f t="shared" si="178"/>
        <v>0</v>
      </c>
      <c r="CZ293">
        <f t="shared" si="179"/>
        <v>0</v>
      </c>
      <c r="DA293">
        <f t="shared" si="180"/>
        <v>1</v>
      </c>
      <c r="DB293">
        <f t="shared" si="181"/>
        <v>0</v>
      </c>
      <c r="DC293">
        <f t="shared" si="182"/>
        <v>0</v>
      </c>
      <c r="DD293" t="s">
        <v>3</v>
      </c>
      <c r="DE293" t="s">
        <v>3</v>
      </c>
      <c r="DF293">
        <f t="shared" si="176"/>
        <v>0</v>
      </c>
      <c r="DG293">
        <f t="shared" si="174"/>
        <v>0</v>
      </c>
      <c r="DH293">
        <f t="shared" si="175"/>
        <v>0</v>
      </c>
      <c r="DI293">
        <f t="shared" si="165"/>
        <v>0</v>
      </c>
      <c r="DJ293">
        <f t="shared" si="183"/>
        <v>0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5">
      <c r="A294">
        <f>ROW(Source!A167)</f>
        <v>167</v>
      </c>
      <c r="B294">
        <v>55917799</v>
      </c>
      <c r="C294">
        <v>55918228</v>
      </c>
      <c r="D294">
        <v>55424304</v>
      </c>
      <c r="E294">
        <v>1081</v>
      </c>
      <c r="F294">
        <v>1</v>
      </c>
      <c r="G294">
        <v>1081</v>
      </c>
      <c r="H294">
        <v>1</v>
      </c>
      <c r="I294" t="s">
        <v>339</v>
      </c>
      <c r="J294" t="s">
        <v>3</v>
      </c>
      <c r="K294" t="s">
        <v>340</v>
      </c>
      <c r="L294">
        <v>1191</v>
      </c>
      <c r="N294">
        <v>1013</v>
      </c>
      <c r="O294" t="s">
        <v>341</v>
      </c>
      <c r="P294" t="s">
        <v>341</v>
      </c>
      <c r="Q294">
        <v>1</v>
      </c>
      <c r="W294">
        <v>0</v>
      </c>
      <c r="X294">
        <v>476480486</v>
      </c>
      <c r="Y294">
        <f>(AT294*1.2)</f>
        <v>3.5999999999999996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5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3</v>
      </c>
      <c r="AU294" t="s">
        <v>56</v>
      </c>
      <c r="AV294">
        <v>1</v>
      </c>
      <c r="AW294">
        <v>2</v>
      </c>
      <c r="AX294">
        <v>55918229</v>
      </c>
      <c r="AY294">
        <v>1</v>
      </c>
      <c r="AZ294">
        <v>0</v>
      </c>
      <c r="BA294">
        <v>330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U294">
        <f>ROUND(AT294*Source!I167*AH294*AL294,2)</f>
        <v>0</v>
      </c>
      <c r="CV294">
        <f>ROUND(Y294*Source!I167,9)</f>
        <v>3.6</v>
      </c>
      <c r="CW294">
        <v>0</v>
      </c>
      <c r="CX294">
        <f>ROUND(Y294*Source!I167,9)</f>
        <v>3.6</v>
      </c>
      <c r="CY294">
        <f>AD294</f>
        <v>0</v>
      </c>
      <c r="CZ294">
        <f>AH294</f>
        <v>0</v>
      </c>
      <c r="DA294">
        <f>AL294</f>
        <v>1</v>
      </c>
      <c r="DB294">
        <f>ROUND((ROUND(AT294*CZ294,2)*1.2),6)</f>
        <v>0</v>
      </c>
      <c r="DC294">
        <f>ROUND((ROUND(AT294*AG294,2)*1.2),6)</f>
        <v>0</v>
      </c>
      <c r="DD294" t="s">
        <v>3</v>
      </c>
      <c r="DE294" t="s">
        <v>3</v>
      </c>
      <c r="DF294">
        <f t="shared" si="176"/>
        <v>0</v>
      </c>
      <c r="DG294">
        <f t="shared" si="174"/>
        <v>0</v>
      </c>
      <c r="DH294">
        <f t="shared" si="175"/>
        <v>0</v>
      </c>
      <c r="DI294">
        <f t="shared" si="165"/>
        <v>0</v>
      </c>
      <c r="DJ294">
        <f>DI294</f>
        <v>0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ROW(Source!A167)</f>
        <v>167</v>
      </c>
      <c r="B295">
        <v>55917799</v>
      </c>
      <c r="C295">
        <v>55918228</v>
      </c>
      <c r="D295">
        <v>55459894</v>
      </c>
      <c r="E295">
        <v>1</v>
      </c>
      <c r="F295">
        <v>1</v>
      </c>
      <c r="G295">
        <v>1081</v>
      </c>
      <c r="H295">
        <v>3</v>
      </c>
      <c r="I295" t="s">
        <v>381</v>
      </c>
      <c r="J295" t="s">
        <v>382</v>
      </c>
      <c r="K295" t="s">
        <v>383</v>
      </c>
      <c r="L295">
        <v>1348</v>
      </c>
      <c r="N295">
        <v>1009</v>
      </c>
      <c r="O295" t="s">
        <v>345</v>
      </c>
      <c r="P295" t="s">
        <v>345</v>
      </c>
      <c r="Q295">
        <v>1000</v>
      </c>
      <c r="W295">
        <v>0</v>
      </c>
      <c r="X295">
        <v>1175474266</v>
      </c>
      <c r="Y295">
        <f t="shared" ref="Y295:Y308" si="184">(AT295*1)</f>
        <v>1E-3</v>
      </c>
      <c r="AA295">
        <v>75372.679999999993</v>
      </c>
      <c r="AB295">
        <v>0</v>
      </c>
      <c r="AC295">
        <v>0</v>
      </c>
      <c r="AD295">
        <v>0</v>
      </c>
      <c r="AE295">
        <v>15319.65</v>
      </c>
      <c r="AF295">
        <v>0</v>
      </c>
      <c r="AG295">
        <v>0</v>
      </c>
      <c r="AH295">
        <v>0</v>
      </c>
      <c r="AI295">
        <v>4.92</v>
      </c>
      <c r="AJ295">
        <v>1</v>
      </c>
      <c r="AK295">
        <v>1</v>
      </c>
      <c r="AL295">
        <v>1</v>
      </c>
      <c r="AM295">
        <v>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1E-3</v>
      </c>
      <c r="AU295" t="s">
        <v>55</v>
      </c>
      <c r="AV295">
        <v>0</v>
      </c>
      <c r="AW295">
        <v>2</v>
      </c>
      <c r="AX295">
        <v>55918230</v>
      </c>
      <c r="AY295">
        <v>1</v>
      </c>
      <c r="AZ295">
        <v>0</v>
      </c>
      <c r="BA295">
        <v>331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ROUND(Y295*Source!I167,9)</f>
        <v>1E-3</v>
      </c>
      <c r="CY295">
        <f t="shared" ref="CY295:CY308" si="185">AA295</f>
        <v>75372.679999999993</v>
      </c>
      <c r="CZ295">
        <f t="shared" ref="CZ295:CZ308" si="186">AE295</f>
        <v>15319.65</v>
      </c>
      <c r="DA295">
        <f t="shared" ref="DA295:DA308" si="187">AI295</f>
        <v>4.92</v>
      </c>
      <c r="DB295">
        <f t="shared" ref="DB295:DB308" si="188">ROUND((ROUND(AT295*CZ295,2)*1),6)</f>
        <v>15.32</v>
      </c>
      <c r="DC295">
        <f t="shared" ref="DC295:DC308" si="189">ROUND((ROUND(AT295*AG295,2)*1),6)</f>
        <v>0</v>
      </c>
      <c r="DD295" t="s">
        <v>3</v>
      </c>
      <c r="DE295" t="s">
        <v>3</v>
      </c>
      <c r="DF295">
        <f t="shared" ref="DF295:DF308" si="190">ROUND(ROUND(AE295*AI295,2)*CX295,2)</f>
        <v>75.37</v>
      </c>
      <c r="DG295">
        <f t="shared" si="174"/>
        <v>0</v>
      </c>
      <c r="DH295">
        <f t="shared" si="175"/>
        <v>0</v>
      </c>
      <c r="DI295">
        <f t="shared" si="165"/>
        <v>0</v>
      </c>
      <c r="DJ295">
        <f t="shared" ref="DJ295:DJ308" si="191">DF295</f>
        <v>75.37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5">
      <c r="A296">
        <f>ROW(Source!A167)</f>
        <v>167</v>
      </c>
      <c r="B296">
        <v>55917799</v>
      </c>
      <c r="C296">
        <v>55918228</v>
      </c>
      <c r="D296">
        <v>55459261</v>
      </c>
      <c r="E296">
        <v>1</v>
      </c>
      <c r="F296">
        <v>1</v>
      </c>
      <c r="G296">
        <v>1081</v>
      </c>
      <c r="H296">
        <v>3</v>
      </c>
      <c r="I296" t="s">
        <v>384</v>
      </c>
      <c r="J296" t="s">
        <v>385</v>
      </c>
      <c r="K296" t="s">
        <v>386</v>
      </c>
      <c r="L296">
        <v>1348</v>
      </c>
      <c r="N296">
        <v>1009</v>
      </c>
      <c r="O296" t="s">
        <v>345</v>
      </c>
      <c r="P296" t="s">
        <v>345</v>
      </c>
      <c r="Q296">
        <v>1000</v>
      </c>
      <c r="W296">
        <v>0</v>
      </c>
      <c r="X296">
        <v>-2092697376</v>
      </c>
      <c r="Y296">
        <f t="shared" si="184"/>
        <v>5.0000000000000002E-5</v>
      </c>
      <c r="AA296">
        <v>7305.88</v>
      </c>
      <c r="AB296">
        <v>0</v>
      </c>
      <c r="AC296">
        <v>0</v>
      </c>
      <c r="AD296">
        <v>0</v>
      </c>
      <c r="AE296">
        <v>1219.68</v>
      </c>
      <c r="AF296">
        <v>0</v>
      </c>
      <c r="AG296">
        <v>0</v>
      </c>
      <c r="AH296">
        <v>0</v>
      </c>
      <c r="AI296">
        <v>5.99</v>
      </c>
      <c r="AJ296">
        <v>1</v>
      </c>
      <c r="AK296">
        <v>1</v>
      </c>
      <c r="AL296">
        <v>1</v>
      </c>
      <c r="AM296">
        <v>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5.0000000000000002E-5</v>
      </c>
      <c r="AU296" t="s">
        <v>55</v>
      </c>
      <c r="AV296">
        <v>0</v>
      </c>
      <c r="AW296">
        <v>2</v>
      </c>
      <c r="AX296">
        <v>55918231</v>
      </c>
      <c r="AY296">
        <v>1</v>
      </c>
      <c r="AZ296">
        <v>0</v>
      </c>
      <c r="BA296">
        <v>332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ROUND(Y296*Source!I167,9)</f>
        <v>5.0000000000000002E-5</v>
      </c>
      <c r="CY296">
        <f t="shared" si="185"/>
        <v>7305.88</v>
      </c>
      <c r="CZ296">
        <f t="shared" si="186"/>
        <v>1219.68</v>
      </c>
      <c r="DA296">
        <f t="shared" si="187"/>
        <v>5.99</v>
      </c>
      <c r="DB296">
        <f t="shared" si="188"/>
        <v>0.06</v>
      </c>
      <c r="DC296">
        <f t="shared" si="189"/>
        <v>0</v>
      </c>
      <c r="DD296" t="s">
        <v>3</v>
      </c>
      <c r="DE296" t="s">
        <v>3</v>
      </c>
      <c r="DF296">
        <f t="shared" si="190"/>
        <v>0.37</v>
      </c>
      <c r="DG296">
        <f t="shared" si="174"/>
        <v>0</v>
      </c>
      <c r="DH296">
        <f t="shared" si="175"/>
        <v>0</v>
      </c>
      <c r="DI296">
        <f t="shared" si="165"/>
        <v>0</v>
      </c>
      <c r="DJ296">
        <f t="shared" si="191"/>
        <v>0.37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5">
      <c r="A297">
        <f>ROW(Source!A167)</f>
        <v>167</v>
      </c>
      <c r="B297">
        <v>55917799</v>
      </c>
      <c r="C297">
        <v>55918228</v>
      </c>
      <c r="D297">
        <v>55460328</v>
      </c>
      <c r="E297">
        <v>1</v>
      </c>
      <c r="F297">
        <v>1</v>
      </c>
      <c r="G297">
        <v>1081</v>
      </c>
      <c r="H297">
        <v>3</v>
      </c>
      <c r="I297" t="s">
        <v>387</v>
      </c>
      <c r="J297" t="s">
        <v>388</v>
      </c>
      <c r="K297" t="s">
        <v>389</v>
      </c>
      <c r="L297">
        <v>1301</v>
      </c>
      <c r="N297">
        <v>1003</v>
      </c>
      <c r="O297" t="s">
        <v>263</v>
      </c>
      <c r="P297" t="s">
        <v>263</v>
      </c>
      <c r="Q297">
        <v>1</v>
      </c>
      <c r="W297">
        <v>0</v>
      </c>
      <c r="X297">
        <v>-206055494</v>
      </c>
      <c r="Y297">
        <f t="shared" si="184"/>
        <v>5</v>
      </c>
      <c r="AA297">
        <v>5.48</v>
      </c>
      <c r="AB297">
        <v>0</v>
      </c>
      <c r="AC297">
        <v>0</v>
      </c>
      <c r="AD297">
        <v>0</v>
      </c>
      <c r="AE297">
        <v>0.39</v>
      </c>
      <c r="AF297">
        <v>0</v>
      </c>
      <c r="AG297">
        <v>0</v>
      </c>
      <c r="AH297">
        <v>0</v>
      </c>
      <c r="AI297">
        <v>14.05</v>
      </c>
      <c r="AJ297">
        <v>1</v>
      </c>
      <c r="AK297">
        <v>1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5</v>
      </c>
      <c r="AU297" t="s">
        <v>55</v>
      </c>
      <c r="AV297">
        <v>0</v>
      </c>
      <c r="AW297">
        <v>2</v>
      </c>
      <c r="AX297">
        <v>55918232</v>
      </c>
      <c r="AY297">
        <v>1</v>
      </c>
      <c r="AZ297">
        <v>0</v>
      </c>
      <c r="BA297">
        <v>333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ROUND(Y297*Source!I167,9)</f>
        <v>5</v>
      </c>
      <c r="CY297">
        <f t="shared" si="185"/>
        <v>5.48</v>
      </c>
      <c r="CZ297">
        <f t="shared" si="186"/>
        <v>0.39</v>
      </c>
      <c r="DA297">
        <f t="shared" si="187"/>
        <v>14.05</v>
      </c>
      <c r="DB297">
        <f t="shared" si="188"/>
        <v>1.95</v>
      </c>
      <c r="DC297">
        <f t="shared" si="189"/>
        <v>0</v>
      </c>
      <c r="DD297" t="s">
        <v>3</v>
      </c>
      <c r="DE297" t="s">
        <v>3</v>
      </c>
      <c r="DF297">
        <f t="shared" si="190"/>
        <v>27.4</v>
      </c>
      <c r="DG297">
        <f t="shared" si="174"/>
        <v>0</v>
      </c>
      <c r="DH297">
        <f t="shared" si="175"/>
        <v>0</v>
      </c>
      <c r="DI297">
        <f t="shared" si="165"/>
        <v>0</v>
      </c>
      <c r="DJ297">
        <f t="shared" si="191"/>
        <v>27.4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ROW(Source!A167)</f>
        <v>167</v>
      </c>
      <c r="B298">
        <v>55917799</v>
      </c>
      <c r="C298">
        <v>55918228</v>
      </c>
      <c r="D298">
        <v>55459312</v>
      </c>
      <c r="E298">
        <v>1</v>
      </c>
      <c r="F298">
        <v>1</v>
      </c>
      <c r="G298">
        <v>1081</v>
      </c>
      <c r="H298">
        <v>3</v>
      </c>
      <c r="I298" t="s">
        <v>390</v>
      </c>
      <c r="J298" t="s">
        <v>391</v>
      </c>
      <c r="K298" t="s">
        <v>392</v>
      </c>
      <c r="L298">
        <v>1339</v>
      </c>
      <c r="N298">
        <v>1007</v>
      </c>
      <c r="O298" t="s">
        <v>393</v>
      </c>
      <c r="P298" t="s">
        <v>393</v>
      </c>
      <c r="Q298">
        <v>1</v>
      </c>
      <c r="W298">
        <v>0</v>
      </c>
      <c r="X298">
        <v>-366856290</v>
      </c>
      <c r="Y298">
        <f t="shared" si="184"/>
        <v>1E-3</v>
      </c>
      <c r="AA298">
        <v>8598.75</v>
      </c>
      <c r="AB298">
        <v>0</v>
      </c>
      <c r="AC298">
        <v>0</v>
      </c>
      <c r="AD298">
        <v>0</v>
      </c>
      <c r="AE298">
        <v>1176.3</v>
      </c>
      <c r="AF298">
        <v>0</v>
      </c>
      <c r="AG298">
        <v>0</v>
      </c>
      <c r="AH298">
        <v>0</v>
      </c>
      <c r="AI298">
        <v>7.31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1E-3</v>
      </c>
      <c r="AU298" t="s">
        <v>55</v>
      </c>
      <c r="AV298">
        <v>0</v>
      </c>
      <c r="AW298">
        <v>2</v>
      </c>
      <c r="AX298">
        <v>55918233</v>
      </c>
      <c r="AY298">
        <v>1</v>
      </c>
      <c r="AZ298">
        <v>0</v>
      </c>
      <c r="BA298">
        <v>334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ROUND(Y298*Source!I167,9)</f>
        <v>1E-3</v>
      </c>
      <c r="CY298">
        <f t="shared" si="185"/>
        <v>8598.75</v>
      </c>
      <c r="CZ298">
        <f t="shared" si="186"/>
        <v>1176.3</v>
      </c>
      <c r="DA298">
        <f t="shared" si="187"/>
        <v>7.31</v>
      </c>
      <c r="DB298">
        <f t="shared" si="188"/>
        <v>1.18</v>
      </c>
      <c r="DC298">
        <f t="shared" si="189"/>
        <v>0</v>
      </c>
      <c r="DD298" t="s">
        <v>3</v>
      </c>
      <c r="DE298" t="s">
        <v>3</v>
      </c>
      <c r="DF298">
        <f t="shared" si="190"/>
        <v>8.6</v>
      </c>
      <c r="DG298">
        <f t="shared" si="174"/>
        <v>0</v>
      </c>
      <c r="DH298">
        <f t="shared" si="175"/>
        <v>0</v>
      </c>
      <c r="DI298">
        <f t="shared" si="165"/>
        <v>0</v>
      </c>
      <c r="DJ298">
        <f t="shared" si="191"/>
        <v>8.6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5">
      <c r="A299">
        <f>ROW(Source!A167)</f>
        <v>167</v>
      </c>
      <c r="B299">
        <v>55917799</v>
      </c>
      <c r="C299">
        <v>55918228</v>
      </c>
      <c r="D299">
        <v>55461230</v>
      </c>
      <c r="E299">
        <v>1</v>
      </c>
      <c r="F299">
        <v>1</v>
      </c>
      <c r="G299">
        <v>1081</v>
      </c>
      <c r="H299">
        <v>3</v>
      </c>
      <c r="I299" t="s">
        <v>349</v>
      </c>
      <c r="J299" t="s">
        <v>350</v>
      </c>
      <c r="K299" t="s">
        <v>351</v>
      </c>
      <c r="L299">
        <v>1346</v>
      </c>
      <c r="N299">
        <v>1009</v>
      </c>
      <c r="O299" t="s">
        <v>316</v>
      </c>
      <c r="P299" t="s">
        <v>316</v>
      </c>
      <c r="Q299">
        <v>1</v>
      </c>
      <c r="W299">
        <v>0</v>
      </c>
      <c r="X299">
        <v>1561715650</v>
      </c>
      <c r="Y299">
        <f t="shared" si="184"/>
        <v>0.01</v>
      </c>
      <c r="AA299">
        <v>200.81</v>
      </c>
      <c r="AB299">
        <v>0</v>
      </c>
      <c r="AC299">
        <v>0</v>
      </c>
      <c r="AD299">
        <v>0</v>
      </c>
      <c r="AE299">
        <v>15.11</v>
      </c>
      <c r="AF299">
        <v>0</v>
      </c>
      <c r="AG299">
        <v>0</v>
      </c>
      <c r="AH299">
        <v>0</v>
      </c>
      <c r="AI299">
        <v>13.29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0.01</v>
      </c>
      <c r="AU299" t="s">
        <v>55</v>
      </c>
      <c r="AV299">
        <v>0</v>
      </c>
      <c r="AW299">
        <v>2</v>
      </c>
      <c r="AX299">
        <v>55918234</v>
      </c>
      <c r="AY299">
        <v>1</v>
      </c>
      <c r="AZ299">
        <v>0</v>
      </c>
      <c r="BA299">
        <v>335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ROUND(Y299*Source!I167,9)</f>
        <v>0.01</v>
      </c>
      <c r="CY299">
        <f t="shared" si="185"/>
        <v>200.81</v>
      </c>
      <c r="CZ299">
        <f t="shared" si="186"/>
        <v>15.11</v>
      </c>
      <c r="DA299">
        <f t="shared" si="187"/>
        <v>13.29</v>
      </c>
      <c r="DB299">
        <f t="shared" si="188"/>
        <v>0.15</v>
      </c>
      <c r="DC299">
        <f t="shared" si="189"/>
        <v>0</v>
      </c>
      <c r="DD299" t="s">
        <v>3</v>
      </c>
      <c r="DE299" t="s">
        <v>3</v>
      </c>
      <c r="DF299">
        <f t="shared" si="190"/>
        <v>2.0099999999999998</v>
      </c>
      <c r="DG299">
        <f t="shared" si="174"/>
        <v>0</v>
      </c>
      <c r="DH299">
        <f t="shared" si="175"/>
        <v>0</v>
      </c>
      <c r="DI299">
        <f t="shared" si="165"/>
        <v>0</v>
      </c>
      <c r="DJ299">
        <f t="shared" si="191"/>
        <v>2.0099999999999998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ROW(Source!A167)</f>
        <v>167</v>
      </c>
      <c r="B300">
        <v>55917799</v>
      </c>
      <c r="C300">
        <v>55918228</v>
      </c>
      <c r="D300">
        <v>55459400</v>
      </c>
      <c r="E300">
        <v>1</v>
      </c>
      <c r="F300">
        <v>1</v>
      </c>
      <c r="G300">
        <v>1081</v>
      </c>
      <c r="H300">
        <v>3</v>
      </c>
      <c r="I300" t="s">
        <v>355</v>
      </c>
      <c r="J300" t="s">
        <v>356</v>
      </c>
      <c r="K300" t="s">
        <v>357</v>
      </c>
      <c r="L300">
        <v>1346</v>
      </c>
      <c r="N300">
        <v>1009</v>
      </c>
      <c r="O300" t="s">
        <v>316</v>
      </c>
      <c r="P300" t="s">
        <v>316</v>
      </c>
      <c r="Q300">
        <v>1</v>
      </c>
      <c r="W300">
        <v>0</v>
      </c>
      <c r="X300">
        <v>-2129869794</v>
      </c>
      <c r="Y300">
        <f t="shared" si="184"/>
        <v>0.01</v>
      </c>
      <c r="AA300">
        <v>387.54</v>
      </c>
      <c r="AB300">
        <v>0</v>
      </c>
      <c r="AC300">
        <v>0</v>
      </c>
      <c r="AD300">
        <v>0</v>
      </c>
      <c r="AE300">
        <v>16.690000000000001</v>
      </c>
      <c r="AF300">
        <v>0</v>
      </c>
      <c r="AG300">
        <v>0</v>
      </c>
      <c r="AH300">
        <v>0</v>
      </c>
      <c r="AI300">
        <v>23.22</v>
      </c>
      <c r="AJ300">
        <v>1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0.01</v>
      </c>
      <c r="AU300" t="s">
        <v>55</v>
      </c>
      <c r="AV300">
        <v>0</v>
      </c>
      <c r="AW300">
        <v>2</v>
      </c>
      <c r="AX300">
        <v>55918235</v>
      </c>
      <c r="AY300">
        <v>1</v>
      </c>
      <c r="AZ300">
        <v>0</v>
      </c>
      <c r="BA300">
        <v>336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ROUND(Y300*Source!I167,9)</f>
        <v>0.01</v>
      </c>
      <c r="CY300">
        <f t="shared" si="185"/>
        <v>387.54</v>
      </c>
      <c r="CZ300">
        <f t="shared" si="186"/>
        <v>16.690000000000001</v>
      </c>
      <c r="DA300">
        <f t="shared" si="187"/>
        <v>23.22</v>
      </c>
      <c r="DB300">
        <f t="shared" si="188"/>
        <v>0.17</v>
      </c>
      <c r="DC300">
        <f t="shared" si="189"/>
        <v>0</v>
      </c>
      <c r="DD300" t="s">
        <v>3</v>
      </c>
      <c r="DE300" t="s">
        <v>3</v>
      </c>
      <c r="DF300">
        <f t="shared" si="190"/>
        <v>3.88</v>
      </c>
      <c r="DG300">
        <f t="shared" si="174"/>
        <v>0</v>
      </c>
      <c r="DH300">
        <f t="shared" si="175"/>
        <v>0</v>
      </c>
      <c r="DI300">
        <f t="shared" si="165"/>
        <v>0</v>
      </c>
      <c r="DJ300">
        <f t="shared" si="191"/>
        <v>3.88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ROW(Source!A167)</f>
        <v>167</v>
      </c>
      <c r="B301">
        <v>55917799</v>
      </c>
      <c r="C301">
        <v>55918228</v>
      </c>
      <c r="D301">
        <v>55461719</v>
      </c>
      <c r="E301">
        <v>1</v>
      </c>
      <c r="F301">
        <v>1</v>
      </c>
      <c r="G301">
        <v>1081</v>
      </c>
      <c r="H301">
        <v>3</v>
      </c>
      <c r="I301" t="s">
        <v>394</v>
      </c>
      <c r="J301" t="s">
        <v>395</v>
      </c>
      <c r="K301" t="s">
        <v>396</v>
      </c>
      <c r="L301">
        <v>1348</v>
      </c>
      <c r="N301">
        <v>1009</v>
      </c>
      <c r="O301" t="s">
        <v>345</v>
      </c>
      <c r="P301" t="s">
        <v>345</v>
      </c>
      <c r="Q301">
        <v>1000</v>
      </c>
      <c r="W301">
        <v>0</v>
      </c>
      <c r="X301">
        <v>-1265888387</v>
      </c>
      <c r="Y301">
        <f t="shared" si="184"/>
        <v>1E-4</v>
      </c>
      <c r="AA301">
        <v>147514.47</v>
      </c>
      <c r="AB301">
        <v>0</v>
      </c>
      <c r="AC301">
        <v>0</v>
      </c>
      <c r="AD301">
        <v>0</v>
      </c>
      <c r="AE301">
        <v>10643.18</v>
      </c>
      <c r="AF301">
        <v>0</v>
      </c>
      <c r="AG301">
        <v>0</v>
      </c>
      <c r="AH301">
        <v>0</v>
      </c>
      <c r="AI301">
        <v>13.86</v>
      </c>
      <c r="AJ301">
        <v>1</v>
      </c>
      <c r="AK301">
        <v>1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1E-4</v>
      </c>
      <c r="AU301" t="s">
        <v>55</v>
      </c>
      <c r="AV301">
        <v>0</v>
      </c>
      <c r="AW301">
        <v>2</v>
      </c>
      <c r="AX301">
        <v>55918236</v>
      </c>
      <c r="AY301">
        <v>1</v>
      </c>
      <c r="AZ301">
        <v>0</v>
      </c>
      <c r="BA301">
        <v>337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ROUND(Y301*Source!I167,9)</f>
        <v>1E-4</v>
      </c>
      <c r="CY301">
        <f t="shared" si="185"/>
        <v>147514.47</v>
      </c>
      <c r="CZ301">
        <f t="shared" si="186"/>
        <v>10643.18</v>
      </c>
      <c r="DA301">
        <f t="shared" si="187"/>
        <v>13.86</v>
      </c>
      <c r="DB301">
        <f t="shared" si="188"/>
        <v>1.06</v>
      </c>
      <c r="DC301">
        <f t="shared" si="189"/>
        <v>0</v>
      </c>
      <c r="DD301" t="s">
        <v>3</v>
      </c>
      <c r="DE301" t="s">
        <v>3</v>
      </c>
      <c r="DF301">
        <f t="shared" si="190"/>
        <v>14.75</v>
      </c>
      <c r="DG301">
        <f t="shared" si="174"/>
        <v>0</v>
      </c>
      <c r="DH301">
        <f t="shared" si="175"/>
        <v>0</v>
      </c>
      <c r="DI301">
        <f t="shared" si="165"/>
        <v>0</v>
      </c>
      <c r="DJ301">
        <f t="shared" si="191"/>
        <v>14.75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5">
      <c r="A302">
        <f>ROW(Source!A167)</f>
        <v>167</v>
      </c>
      <c r="B302">
        <v>55917799</v>
      </c>
      <c r="C302">
        <v>55918228</v>
      </c>
      <c r="D302">
        <v>55466000</v>
      </c>
      <c r="E302">
        <v>1</v>
      </c>
      <c r="F302">
        <v>1</v>
      </c>
      <c r="G302">
        <v>1081</v>
      </c>
      <c r="H302">
        <v>3</v>
      </c>
      <c r="I302" t="s">
        <v>397</v>
      </c>
      <c r="J302" t="s">
        <v>398</v>
      </c>
      <c r="K302" t="s">
        <v>399</v>
      </c>
      <c r="L302">
        <v>1355</v>
      </c>
      <c r="N302">
        <v>1010</v>
      </c>
      <c r="O302" t="s">
        <v>49</v>
      </c>
      <c r="P302" t="s">
        <v>49</v>
      </c>
      <c r="Q302">
        <v>100</v>
      </c>
      <c r="W302">
        <v>0</v>
      </c>
      <c r="X302">
        <v>436393287</v>
      </c>
      <c r="Y302">
        <f t="shared" si="184"/>
        <v>0.01</v>
      </c>
      <c r="AA302">
        <v>1555.26</v>
      </c>
      <c r="AB302">
        <v>0</v>
      </c>
      <c r="AC302">
        <v>0</v>
      </c>
      <c r="AD302">
        <v>0</v>
      </c>
      <c r="AE302">
        <v>120.19</v>
      </c>
      <c r="AF302">
        <v>0</v>
      </c>
      <c r="AG302">
        <v>0</v>
      </c>
      <c r="AH302">
        <v>0</v>
      </c>
      <c r="AI302">
        <v>12.94</v>
      </c>
      <c r="AJ302">
        <v>1</v>
      </c>
      <c r="AK302">
        <v>1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0.01</v>
      </c>
      <c r="AU302" t="s">
        <v>55</v>
      </c>
      <c r="AV302">
        <v>0</v>
      </c>
      <c r="AW302">
        <v>2</v>
      </c>
      <c r="AX302">
        <v>55918237</v>
      </c>
      <c r="AY302">
        <v>1</v>
      </c>
      <c r="AZ302">
        <v>0</v>
      </c>
      <c r="BA302">
        <v>338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ROUND(Y302*Source!I167,9)</f>
        <v>0.01</v>
      </c>
      <c r="CY302">
        <f t="shared" si="185"/>
        <v>1555.26</v>
      </c>
      <c r="CZ302">
        <f t="shared" si="186"/>
        <v>120.19</v>
      </c>
      <c r="DA302">
        <f t="shared" si="187"/>
        <v>12.94</v>
      </c>
      <c r="DB302">
        <f t="shared" si="188"/>
        <v>1.2</v>
      </c>
      <c r="DC302">
        <f t="shared" si="189"/>
        <v>0</v>
      </c>
      <c r="DD302" t="s">
        <v>3</v>
      </c>
      <c r="DE302" t="s">
        <v>3</v>
      </c>
      <c r="DF302">
        <f t="shared" si="190"/>
        <v>15.55</v>
      </c>
      <c r="DG302">
        <f t="shared" si="174"/>
        <v>0</v>
      </c>
      <c r="DH302">
        <f t="shared" si="175"/>
        <v>0</v>
      </c>
      <c r="DI302">
        <f t="shared" si="165"/>
        <v>0</v>
      </c>
      <c r="DJ302">
        <f t="shared" si="191"/>
        <v>15.55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5">
      <c r="A303">
        <f>ROW(Source!A167)</f>
        <v>167</v>
      </c>
      <c r="B303">
        <v>55917799</v>
      </c>
      <c r="C303">
        <v>55918228</v>
      </c>
      <c r="D303">
        <v>55459793</v>
      </c>
      <c r="E303">
        <v>1</v>
      </c>
      <c r="F303">
        <v>1</v>
      </c>
      <c r="G303">
        <v>1081</v>
      </c>
      <c r="H303">
        <v>3</v>
      </c>
      <c r="I303" t="s">
        <v>361</v>
      </c>
      <c r="J303" t="s">
        <v>362</v>
      </c>
      <c r="K303" t="s">
        <v>363</v>
      </c>
      <c r="L303">
        <v>1348</v>
      </c>
      <c r="N303">
        <v>1009</v>
      </c>
      <c r="O303" t="s">
        <v>345</v>
      </c>
      <c r="P303" t="s">
        <v>345</v>
      </c>
      <c r="Q303">
        <v>1000</v>
      </c>
      <c r="W303">
        <v>0</v>
      </c>
      <c r="X303">
        <v>-761454284</v>
      </c>
      <c r="Y303">
        <f t="shared" si="184"/>
        <v>2.0000000000000002E-5</v>
      </c>
      <c r="AA303">
        <v>1930745.04</v>
      </c>
      <c r="AB303">
        <v>0</v>
      </c>
      <c r="AC303">
        <v>0</v>
      </c>
      <c r="AD303">
        <v>0</v>
      </c>
      <c r="AE303">
        <v>64123.05</v>
      </c>
      <c r="AF303">
        <v>0</v>
      </c>
      <c r="AG303">
        <v>0</v>
      </c>
      <c r="AH303">
        <v>0</v>
      </c>
      <c r="AI303">
        <v>30.11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2.0000000000000002E-5</v>
      </c>
      <c r="AU303" t="s">
        <v>55</v>
      </c>
      <c r="AV303">
        <v>0</v>
      </c>
      <c r="AW303">
        <v>2</v>
      </c>
      <c r="AX303">
        <v>55918238</v>
      </c>
      <c r="AY303">
        <v>1</v>
      </c>
      <c r="AZ303">
        <v>0</v>
      </c>
      <c r="BA303">
        <v>339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ROUND(Y303*Source!I167,9)</f>
        <v>2.0000000000000002E-5</v>
      </c>
      <c r="CY303">
        <f t="shared" si="185"/>
        <v>1930745.04</v>
      </c>
      <c r="CZ303">
        <f t="shared" si="186"/>
        <v>64123.05</v>
      </c>
      <c r="DA303">
        <f t="shared" si="187"/>
        <v>30.11</v>
      </c>
      <c r="DB303">
        <f t="shared" si="188"/>
        <v>1.28</v>
      </c>
      <c r="DC303">
        <f t="shared" si="189"/>
        <v>0</v>
      </c>
      <c r="DD303" t="s">
        <v>3</v>
      </c>
      <c r="DE303" t="s">
        <v>3</v>
      </c>
      <c r="DF303">
        <f t="shared" si="190"/>
        <v>38.61</v>
      </c>
      <c r="DG303">
        <f t="shared" ref="DG303:DG313" si="192">ROUND(ROUND(AF303,2)*CX303,2)</f>
        <v>0</v>
      </c>
      <c r="DH303">
        <f t="shared" ref="DH303:DH334" si="193">ROUND(ROUND(AG303,2)*CX303,2)</f>
        <v>0</v>
      </c>
      <c r="DI303">
        <f t="shared" si="165"/>
        <v>0</v>
      </c>
      <c r="DJ303">
        <f t="shared" si="191"/>
        <v>38.61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5">
      <c r="A304">
        <f>ROW(Source!A167)</f>
        <v>167</v>
      </c>
      <c r="B304">
        <v>55917799</v>
      </c>
      <c r="C304">
        <v>55918228</v>
      </c>
      <c r="D304">
        <v>55459810</v>
      </c>
      <c r="E304">
        <v>1</v>
      </c>
      <c r="F304">
        <v>1</v>
      </c>
      <c r="G304">
        <v>1081</v>
      </c>
      <c r="H304">
        <v>3</v>
      </c>
      <c r="I304" t="s">
        <v>400</v>
      </c>
      <c r="J304" t="s">
        <v>401</v>
      </c>
      <c r="K304" t="s">
        <v>402</v>
      </c>
      <c r="L304">
        <v>1348</v>
      </c>
      <c r="N304">
        <v>1009</v>
      </c>
      <c r="O304" t="s">
        <v>345</v>
      </c>
      <c r="P304" t="s">
        <v>345</v>
      </c>
      <c r="Q304">
        <v>1000</v>
      </c>
      <c r="W304">
        <v>0</v>
      </c>
      <c r="X304">
        <v>-98394079</v>
      </c>
      <c r="Y304">
        <f t="shared" si="184"/>
        <v>1E-4</v>
      </c>
      <c r="AA304">
        <v>69285.98</v>
      </c>
      <c r="AB304">
        <v>0</v>
      </c>
      <c r="AC304">
        <v>0</v>
      </c>
      <c r="AD304">
        <v>0</v>
      </c>
      <c r="AE304">
        <v>9238.1299999999992</v>
      </c>
      <c r="AF304">
        <v>0</v>
      </c>
      <c r="AG304">
        <v>0</v>
      </c>
      <c r="AH304">
        <v>0</v>
      </c>
      <c r="AI304">
        <v>7.5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1E-4</v>
      </c>
      <c r="AU304" t="s">
        <v>55</v>
      </c>
      <c r="AV304">
        <v>0</v>
      </c>
      <c r="AW304">
        <v>2</v>
      </c>
      <c r="AX304">
        <v>55918239</v>
      </c>
      <c r="AY304">
        <v>1</v>
      </c>
      <c r="AZ304">
        <v>0</v>
      </c>
      <c r="BA304">
        <v>340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ROUND(Y304*Source!I167,9)</f>
        <v>1E-4</v>
      </c>
      <c r="CY304">
        <f t="shared" si="185"/>
        <v>69285.98</v>
      </c>
      <c r="CZ304">
        <f t="shared" si="186"/>
        <v>9238.1299999999992</v>
      </c>
      <c r="DA304">
        <f t="shared" si="187"/>
        <v>7.5</v>
      </c>
      <c r="DB304">
        <f t="shared" si="188"/>
        <v>0.92</v>
      </c>
      <c r="DC304">
        <f t="shared" si="189"/>
        <v>0</v>
      </c>
      <c r="DD304" t="s">
        <v>3</v>
      </c>
      <c r="DE304" t="s">
        <v>3</v>
      </c>
      <c r="DF304">
        <f t="shared" si="190"/>
        <v>6.93</v>
      </c>
      <c r="DG304">
        <f t="shared" si="192"/>
        <v>0</v>
      </c>
      <c r="DH304">
        <f t="shared" si="193"/>
        <v>0</v>
      </c>
      <c r="DI304">
        <f t="shared" si="165"/>
        <v>0</v>
      </c>
      <c r="DJ304">
        <f t="shared" si="191"/>
        <v>6.93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ROW(Source!A167)</f>
        <v>167</v>
      </c>
      <c r="B305">
        <v>55917799</v>
      </c>
      <c r="C305">
        <v>55918228</v>
      </c>
      <c r="D305">
        <v>55482166</v>
      </c>
      <c r="E305">
        <v>1</v>
      </c>
      <c r="F305">
        <v>1</v>
      </c>
      <c r="G305">
        <v>1081</v>
      </c>
      <c r="H305">
        <v>3</v>
      </c>
      <c r="I305" t="s">
        <v>403</v>
      </c>
      <c r="J305" t="s">
        <v>404</v>
      </c>
      <c r="K305" t="s">
        <v>405</v>
      </c>
      <c r="L305">
        <v>1301</v>
      </c>
      <c r="N305">
        <v>1003</v>
      </c>
      <c r="O305" t="s">
        <v>263</v>
      </c>
      <c r="P305" t="s">
        <v>263</v>
      </c>
      <c r="Q305">
        <v>1</v>
      </c>
      <c r="W305">
        <v>0</v>
      </c>
      <c r="X305">
        <v>876831867</v>
      </c>
      <c r="Y305">
        <f t="shared" si="184"/>
        <v>1</v>
      </c>
      <c r="AA305">
        <v>4.76</v>
      </c>
      <c r="AB305">
        <v>0</v>
      </c>
      <c r="AC305">
        <v>0</v>
      </c>
      <c r="AD305">
        <v>0</v>
      </c>
      <c r="AE305">
        <v>0.69</v>
      </c>
      <c r="AF305">
        <v>0</v>
      </c>
      <c r="AG305">
        <v>0</v>
      </c>
      <c r="AH305">
        <v>0</v>
      </c>
      <c r="AI305">
        <v>6.9</v>
      </c>
      <c r="AJ305">
        <v>1</v>
      </c>
      <c r="AK305">
        <v>1</v>
      </c>
      <c r="AL305">
        <v>1</v>
      </c>
      <c r="AM305">
        <v>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1</v>
      </c>
      <c r="AU305" t="s">
        <v>55</v>
      </c>
      <c r="AV305">
        <v>0</v>
      </c>
      <c r="AW305">
        <v>2</v>
      </c>
      <c r="AX305">
        <v>55918240</v>
      </c>
      <c r="AY305">
        <v>1</v>
      </c>
      <c r="AZ305">
        <v>0</v>
      </c>
      <c r="BA305">
        <v>341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ROUND(Y305*Source!I167,9)</f>
        <v>1</v>
      </c>
      <c r="CY305">
        <f t="shared" si="185"/>
        <v>4.76</v>
      </c>
      <c r="CZ305">
        <f t="shared" si="186"/>
        <v>0.69</v>
      </c>
      <c r="DA305">
        <f t="shared" si="187"/>
        <v>6.9</v>
      </c>
      <c r="DB305">
        <f t="shared" si="188"/>
        <v>0.69</v>
      </c>
      <c r="DC305">
        <f t="shared" si="189"/>
        <v>0</v>
      </c>
      <c r="DD305" t="s">
        <v>3</v>
      </c>
      <c r="DE305" t="s">
        <v>3</v>
      </c>
      <c r="DF305">
        <f t="shared" si="190"/>
        <v>4.76</v>
      </c>
      <c r="DG305">
        <f t="shared" si="192"/>
        <v>0</v>
      </c>
      <c r="DH305">
        <f t="shared" si="193"/>
        <v>0</v>
      </c>
      <c r="DI305">
        <f t="shared" si="165"/>
        <v>0</v>
      </c>
      <c r="DJ305">
        <f t="shared" si="191"/>
        <v>4.76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ROW(Source!A167)</f>
        <v>167</v>
      </c>
      <c r="B306">
        <v>55917799</v>
      </c>
      <c r="C306">
        <v>55918228</v>
      </c>
      <c r="D306">
        <v>55482445</v>
      </c>
      <c r="E306">
        <v>1</v>
      </c>
      <c r="F306">
        <v>1</v>
      </c>
      <c r="G306">
        <v>1081</v>
      </c>
      <c r="H306">
        <v>3</v>
      </c>
      <c r="I306" t="s">
        <v>406</v>
      </c>
      <c r="J306" t="s">
        <v>407</v>
      </c>
      <c r="K306" t="s">
        <v>408</v>
      </c>
      <c r="L306">
        <v>1356</v>
      </c>
      <c r="N306">
        <v>1010</v>
      </c>
      <c r="O306" t="s">
        <v>409</v>
      </c>
      <c r="P306" t="s">
        <v>409</v>
      </c>
      <c r="Q306">
        <v>1000</v>
      </c>
      <c r="W306">
        <v>0</v>
      </c>
      <c r="X306">
        <v>-285397556</v>
      </c>
      <c r="Y306">
        <f t="shared" si="184"/>
        <v>0.01</v>
      </c>
      <c r="AA306">
        <v>1040.96</v>
      </c>
      <c r="AB306">
        <v>0</v>
      </c>
      <c r="AC306">
        <v>0</v>
      </c>
      <c r="AD306">
        <v>0</v>
      </c>
      <c r="AE306">
        <v>294.89</v>
      </c>
      <c r="AF306">
        <v>0</v>
      </c>
      <c r="AG306">
        <v>0</v>
      </c>
      <c r="AH306">
        <v>0</v>
      </c>
      <c r="AI306">
        <v>3.53</v>
      </c>
      <c r="AJ306">
        <v>1</v>
      </c>
      <c r="AK306">
        <v>1</v>
      </c>
      <c r="AL306">
        <v>1</v>
      </c>
      <c r="AM306">
        <v>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0.01</v>
      </c>
      <c r="AU306" t="s">
        <v>55</v>
      </c>
      <c r="AV306">
        <v>0</v>
      </c>
      <c r="AW306">
        <v>2</v>
      </c>
      <c r="AX306">
        <v>55918241</v>
      </c>
      <c r="AY306">
        <v>1</v>
      </c>
      <c r="AZ306">
        <v>0</v>
      </c>
      <c r="BA306">
        <v>342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ROUND(Y306*Source!I167,9)</f>
        <v>0.01</v>
      </c>
      <c r="CY306">
        <f t="shared" si="185"/>
        <v>1040.96</v>
      </c>
      <c r="CZ306">
        <f t="shared" si="186"/>
        <v>294.89</v>
      </c>
      <c r="DA306">
        <f t="shared" si="187"/>
        <v>3.53</v>
      </c>
      <c r="DB306">
        <f t="shared" si="188"/>
        <v>2.95</v>
      </c>
      <c r="DC306">
        <f t="shared" si="189"/>
        <v>0</v>
      </c>
      <c r="DD306" t="s">
        <v>3</v>
      </c>
      <c r="DE306" t="s">
        <v>3</v>
      </c>
      <c r="DF306">
        <f t="shared" si="190"/>
        <v>10.41</v>
      </c>
      <c r="DG306">
        <f t="shared" si="192"/>
        <v>0</v>
      </c>
      <c r="DH306">
        <f t="shared" si="193"/>
        <v>0</v>
      </c>
      <c r="DI306">
        <f t="shared" si="165"/>
        <v>0</v>
      </c>
      <c r="DJ306">
        <f t="shared" si="191"/>
        <v>10.41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ROW(Source!A167)</f>
        <v>167</v>
      </c>
      <c r="B307">
        <v>55917799</v>
      </c>
      <c r="C307">
        <v>55918228</v>
      </c>
      <c r="D307">
        <v>55481518</v>
      </c>
      <c r="E307">
        <v>1</v>
      </c>
      <c r="F307">
        <v>1</v>
      </c>
      <c r="G307">
        <v>1081</v>
      </c>
      <c r="H307">
        <v>3</v>
      </c>
      <c r="I307" t="s">
        <v>410</v>
      </c>
      <c r="J307" t="s">
        <v>411</v>
      </c>
      <c r="K307" t="s">
        <v>412</v>
      </c>
      <c r="L307">
        <v>1354</v>
      </c>
      <c r="N307">
        <v>1010</v>
      </c>
      <c r="O307" t="s">
        <v>164</v>
      </c>
      <c r="P307" t="s">
        <v>164</v>
      </c>
      <c r="Q307">
        <v>1</v>
      </c>
      <c r="W307">
        <v>0</v>
      </c>
      <c r="X307">
        <v>55982921</v>
      </c>
      <c r="Y307">
        <f t="shared" si="184"/>
        <v>1</v>
      </c>
      <c r="AA307">
        <v>10.66</v>
      </c>
      <c r="AB307">
        <v>0</v>
      </c>
      <c r="AC307">
        <v>0</v>
      </c>
      <c r="AD307">
        <v>0</v>
      </c>
      <c r="AE307">
        <v>15.67</v>
      </c>
      <c r="AF307">
        <v>0</v>
      </c>
      <c r="AG307">
        <v>0</v>
      </c>
      <c r="AH307">
        <v>0</v>
      </c>
      <c r="AI307">
        <v>0.68</v>
      </c>
      <c r="AJ307">
        <v>1</v>
      </c>
      <c r="AK307">
        <v>1</v>
      </c>
      <c r="AL307">
        <v>1</v>
      </c>
      <c r="AM307">
        <v>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1</v>
      </c>
      <c r="AU307" t="s">
        <v>55</v>
      </c>
      <c r="AV307">
        <v>0</v>
      </c>
      <c r="AW307">
        <v>2</v>
      </c>
      <c r="AX307">
        <v>55918242</v>
      </c>
      <c r="AY307">
        <v>1</v>
      </c>
      <c r="AZ307">
        <v>0</v>
      </c>
      <c r="BA307">
        <v>343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ROUND(Y307*Source!I167,9)</f>
        <v>1</v>
      </c>
      <c r="CY307">
        <f t="shared" si="185"/>
        <v>10.66</v>
      </c>
      <c r="CZ307">
        <f t="shared" si="186"/>
        <v>15.67</v>
      </c>
      <c r="DA307">
        <f t="shared" si="187"/>
        <v>0.68</v>
      </c>
      <c r="DB307">
        <f t="shared" si="188"/>
        <v>15.67</v>
      </c>
      <c r="DC307">
        <f t="shared" si="189"/>
        <v>0</v>
      </c>
      <c r="DD307" t="s">
        <v>3</v>
      </c>
      <c r="DE307" t="s">
        <v>3</v>
      </c>
      <c r="DF307">
        <f t="shared" si="190"/>
        <v>10.66</v>
      </c>
      <c r="DG307">
        <f t="shared" si="192"/>
        <v>0</v>
      </c>
      <c r="DH307">
        <f t="shared" si="193"/>
        <v>0</v>
      </c>
      <c r="DI307">
        <f t="shared" si="165"/>
        <v>0</v>
      </c>
      <c r="DJ307">
        <f t="shared" si="191"/>
        <v>10.66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5">
      <c r="A308">
        <f>ROW(Source!A167)</f>
        <v>167</v>
      </c>
      <c r="B308">
        <v>55917799</v>
      </c>
      <c r="C308">
        <v>55918228</v>
      </c>
      <c r="D308">
        <v>55424290</v>
      </c>
      <c r="E308">
        <v>1081</v>
      </c>
      <c r="F308">
        <v>1</v>
      </c>
      <c r="G308">
        <v>1081</v>
      </c>
      <c r="H308">
        <v>3</v>
      </c>
      <c r="I308" t="s">
        <v>371</v>
      </c>
      <c r="J308" t="s">
        <v>3</v>
      </c>
      <c r="K308" t="s">
        <v>372</v>
      </c>
      <c r="L308">
        <v>1348</v>
      </c>
      <c r="N308">
        <v>1009</v>
      </c>
      <c r="O308" t="s">
        <v>345</v>
      </c>
      <c r="P308" t="s">
        <v>345</v>
      </c>
      <c r="Q308">
        <v>1000</v>
      </c>
      <c r="W308">
        <v>0</v>
      </c>
      <c r="X308">
        <v>-783086922</v>
      </c>
      <c r="Y308">
        <f t="shared" si="184"/>
        <v>1E-3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9.84</v>
      </c>
      <c r="AJ308">
        <v>1</v>
      </c>
      <c r="AK308">
        <v>1</v>
      </c>
      <c r="AL308">
        <v>1</v>
      </c>
      <c r="AM308">
        <v>5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1E-3</v>
      </c>
      <c r="AU308" t="s">
        <v>55</v>
      </c>
      <c r="AV308">
        <v>0</v>
      </c>
      <c r="AW308">
        <v>2</v>
      </c>
      <c r="AX308">
        <v>55918245</v>
      </c>
      <c r="AY308">
        <v>1</v>
      </c>
      <c r="AZ308">
        <v>0</v>
      </c>
      <c r="BA308">
        <v>346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ROUND(Y308*Source!I167,9)</f>
        <v>1E-3</v>
      </c>
      <c r="CY308">
        <f t="shared" si="185"/>
        <v>0</v>
      </c>
      <c r="CZ308">
        <f t="shared" si="186"/>
        <v>0</v>
      </c>
      <c r="DA308">
        <f t="shared" si="187"/>
        <v>9.84</v>
      </c>
      <c r="DB308">
        <f t="shared" si="188"/>
        <v>0</v>
      </c>
      <c r="DC308">
        <f t="shared" si="189"/>
        <v>0</v>
      </c>
      <c r="DD308" t="s">
        <v>3</v>
      </c>
      <c r="DE308" t="s">
        <v>3</v>
      </c>
      <c r="DF308">
        <f t="shared" si="190"/>
        <v>0</v>
      </c>
      <c r="DG308">
        <f t="shared" si="192"/>
        <v>0</v>
      </c>
      <c r="DH308">
        <f t="shared" si="193"/>
        <v>0</v>
      </c>
      <c r="DI308">
        <f t="shared" si="165"/>
        <v>0</v>
      </c>
      <c r="DJ308">
        <f t="shared" si="191"/>
        <v>0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5">
      <c r="A309">
        <f>ROW(Source!A209)</f>
        <v>209</v>
      </c>
      <c r="B309">
        <v>55917797</v>
      </c>
      <c r="C309">
        <v>55918320</v>
      </c>
      <c r="D309">
        <v>55424304</v>
      </c>
      <c r="E309">
        <v>1081</v>
      </c>
      <c r="F309">
        <v>1</v>
      </c>
      <c r="G309">
        <v>1081</v>
      </c>
      <c r="H309">
        <v>1</v>
      </c>
      <c r="I309" t="s">
        <v>339</v>
      </c>
      <c r="J309" t="s">
        <v>3</v>
      </c>
      <c r="K309" t="s">
        <v>340</v>
      </c>
      <c r="L309">
        <v>1191</v>
      </c>
      <c r="N309">
        <v>1013</v>
      </c>
      <c r="O309" t="s">
        <v>341</v>
      </c>
      <c r="P309" t="s">
        <v>341</v>
      </c>
      <c r="Q309">
        <v>1</v>
      </c>
      <c r="W309">
        <v>0</v>
      </c>
      <c r="X309">
        <v>476480486</v>
      </c>
      <c r="Y309">
        <f>(AT309*1.2)</f>
        <v>38.4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32</v>
      </c>
      <c r="AU309" t="s">
        <v>56</v>
      </c>
      <c r="AV309">
        <v>1</v>
      </c>
      <c r="AW309">
        <v>2</v>
      </c>
      <c r="AX309">
        <v>55918321</v>
      </c>
      <c r="AY309">
        <v>1</v>
      </c>
      <c r="AZ309">
        <v>0</v>
      </c>
      <c r="BA309">
        <v>347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U309">
        <f>ROUND(AT309*Source!I209*AH309*AL309,2)</f>
        <v>0</v>
      </c>
      <c r="CV309">
        <f>ROUND(Y309*Source!I209,9)</f>
        <v>0.31487999999999999</v>
      </c>
      <c r="CW309">
        <v>0</v>
      </c>
      <c r="CX309">
        <f>ROUND(Y309*Source!I209,9)</f>
        <v>0.31487999999999999</v>
      </c>
      <c r="CY309">
        <f>AD309</f>
        <v>0</v>
      </c>
      <c r="CZ309">
        <f>AH309</f>
        <v>0</v>
      </c>
      <c r="DA309">
        <f>AL309</f>
        <v>1</v>
      </c>
      <c r="DB309">
        <f>ROUND((ROUND(AT309*CZ309,2)*1.2),6)</f>
        <v>0</v>
      </c>
      <c r="DC309">
        <f>ROUND((ROUND(AT309*AG309,2)*1.2),6)</f>
        <v>0</v>
      </c>
      <c r="DD309" t="s">
        <v>3</v>
      </c>
      <c r="DE309" t="s">
        <v>3</v>
      </c>
      <c r="DF309">
        <f t="shared" ref="DF309:DF314" si="194">ROUND(ROUND(AE309,2)*CX309,2)</f>
        <v>0</v>
      </c>
      <c r="DG309">
        <f t="shared" si="192"/>
        <v>0</v>
      </c>
      <c r="DH309">
        <f t="shared" si="193"/>
        <v>0</v>
      </c>
      <c r="DI309">
        <f t="shared" si="165"/>
        <v>0</v>
      </c>
      <c r="DJ309">
        <f>DI309</f>
        <v>0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5">
      <c r="A310">
        <f>ROW(Source!A209)</f>
        <v>209</v>
      </c>
      <c r="B310">
        <v>55917797</v>
      </c>
      <c r="C310">
        <v>55918320</v>
      </c>
      <c r="D310">
        <v>55489528</v>
      </c>
      <c r="E310">
        <v>1</v>
      </c>
      <c r="F310">
        <v>1</v>
      </c>
      <c r="G310">
        <v>1081</v>
      </c>
      <c r="H310">
        <v>2</v>
      </c>
      <c r="I310" t="s">
        <v>435</v>
      </c>
      <c r="J310" t="s">
        <v>436</v>
      </c>
      <c r="K310" t="s">
        <v>437</v>
      </c>
      <c r="L310">
        <v>1368</v>
      </c>
      <c r="N310">
        <v>1011</v>
      </c>
      <c r="O310" t="s">
        <v>376</v>
      </c>
      <c r="P310" t="s">
        <v>376</v>
      </c>
      <c r="Q310">
        <v>1</v>
      </c>
      <c r="W310">
        <v>0</v>
      </c>
      <c r="X310">
        <v>-1541318930</v>
      </c>
      <c r="Y310">
        <f>(AT310*1.2)</f>
        <v>0.34799999999999998</v>
      </c>
      <c r="AA310">
        <v>0</v>
      </c>
      <c r="AB310">
        <v>7.26</v>
      </c>
      <c r="AC310">
        <v>0</v>
      </c>
      <c r="AD310">
        <v>0</v>
      </c>
      <c r="AE310">
        <v>0</v>
      </c>
      <c r="AF310">
        <v>6.68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-2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0.28999999999999998</v>
      </c>
      <c r="AU310" t="s">
        <v>56</v>
      </c>
      <c r="AV310">
        <v>0</v>
      </c>
      <c r="AW310">
        <v>2</v>
      </c>
      <c r="AX310">
        <v>55918322</v>
      </c>
      <c r="AY310">
        <v>1</v>
      </c>
      <c r="AZ310">
        <v>0</v>
      </c>
      <c r="BA310">
        <v>348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f>ROUND(Y310*Source!I209*DO310,9)</f>
        <v>0</v>
      </c>
      <c r="CX310">
        <f>ROUND(Y310*Source!I209,9)</f>
        <v>2.8536E-3</v>
      </c>
      <c r="CY310">
        <f>AB310</f>
        <v>7.26</v>
      </c>
      <c r="CZ310">
        <f>AF310</f>
        <v>6.68</v>
      </c>
      <c r="DA310">
        <f>AJ310</f>
        <v>1</v>
      </c>
      <c r="DB310">
        <f>ROUND((ROUND(AT310*CZ310,2)*1.2),6)</f>
        <v>2.3279999999999998</v>
      </c>
      <c r="DC310">
        <f>ROUND((ROUND(AT310*AG310,2)*1.2),6)</f>
        <v>0</v>
      </c>
      <c r="DD310" t="s">
        <v>3</v>
      </c>
      <c r="DE310" t="s">
        <v>3</v>
      </c>
      <c r="DF310">
        <f t="shared" si="194"/>
        <v>0</v>
      </c>
      <c r="DG310">
        <f t="shared" si="192"/>
        <v>0.02</v>
      </c>
      <c r="DH310">
        <f t="shared" si="193"/>
        <v>0</v>
      </c>
      <c r="DI310">
        <f t="shared" si="165"/>
        <v>0</v>
      </c>
      <c r="DJ310">
        <f>DG310</f>
        <v>0.02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5">
      <c r="A311">
        <f>ROW(Source!A209)</f>
        <v>209</v>
      </c>
      <c r="B311">
        <v>55917797</v>
      </c>
      <c r="C311">
        <v>55918320</v>
      </c>
      <c r="D311">
        <v>55459873</v>
      </c>
      <c r="E311">
        <v>1</v>
      </c>
      <c r="F311">
        <v>1</v>
      </c>
      <c r="G311">
        <v>1081</v>
      </c>
      <c r="H311">
        <v>3</v>
      </c>
      <c r="I311" t="s">
        <v>378</v>
      </c>
      <c r="J311" t="s">
        <v>379</v>
      </c>
      <c r="K311" t="s">
        <v>380</v>
      </c>
      <c r="L311">
        <v>1348</v>
      </c>
      <c r="N311">
        <v>1009</v>
      </c>
      <c r="O311" t="s">
        <v>345</v>
      </c>
      <c r="P311" t="s">
        <v>345</v>
      </c>
      <c r="Q311">
        <v>1000</v>
      </c>
      <c r="W311">
        <v>0</v>
      </c>
      <c r="X311">
        <v>-1448251497</v>
      </c>
      <c r="Y311">
        <f>(AT311*1)</f>
        <v>5.6099999999999998E-4</v>
      </c>
      <c r="AA311">
        <v>18495.41</v>
      </c>
      <c r="AB311">
        <v>0</v>
      </c>
      <c r="AC311">
        <v>0</v>
      </c>
      <c r="AD311">
        <v>0</v>
      </c>
      <c r="AE311">
        <v>18495.41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5.6099999999999998E-4</v>
      </c>
      <c r="AU311" t="s">
        <v>55</v>
      </c>
      <c r="AV311">
        <v>0</v>
      </c>
      <c r="AW311">
        <v>2</v>
      </c>
      <c r="AX311">
        <v>55918323</v>
      </c>
      <c r="AY311">
        <v>1</v>
      </c>
      <c r="AZ311">
        <v>0</v>
      </c>
      <c r="BA311">
        <v>349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ROUND(Y311*Source!I209,9)</f>
        <v>4.6E-6</v>
      </c>
      <c r="CY311">
        <f>AA311</f>
        <v>18495.41</v>
      </c>
      <c r="CZ311">
        <f>AE311</f>
        <v>18495.41</v>
      </c>
      <c r="DA311">
        <f>AI311</f>
        <v>1</v>
      </c>
      <c r="DB311">
        <f>ROUND((ROUND(AT311*CZ311,2)*1),6)</f>
        <v>10.38</v>
      </c>
      <c r="DC311">
        <f>ROUND((ROUND(AT311*AG311,2)*1),6)</f>
        <v>0</v>
      </c>
      <c r="DD311" t="s">
        <v>3</v>
      </c>
      <c r="DE311" t="s">
        <v>3</v>
      </c>
      <c r="DF311">
        <f t="shared" si="194"/>
        <v>0.09</v>
      </c>
      <c r="DG311">
        <f t="shared" si="192"/>
        <v>0</v>
      </c>
      <c r="DH311">
        <f t="shared" si="193"/>
        <v>0</v>
      </c>
      <c r="DI311">
        <f t="shared" si="165"/>
        <v>0</v>
      </c>
      <c r="DJ311">
        <f>DF311</f>
        <v>0.09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ROW(Source!A209)</f>
        <v>209</v>
      </c>
      <c r="B312">
        <v>55917797</v>
      </c>
      <c r="C312">
        <v>55918320</v>
      </c>
      <c r="D312">
        <v>55459206</v>
      </c>
      <c r="E312">
        <v>1</v>
      </c>
      <c r="F312">
        <v>1</v>
      </c>
      <c r="G312">
        <v>1081</v>
      </c>
      <c r="H312">
        <v>3</v>
      </c>
      <c r="I312" t="s">
        <v>438</v>
      </c>
      <c r="J312" t="s">
        <v>439</v>
      </c>
      <c r="K312" t="s">
        <v>440</v>
      </c>
      <c r="L312">
        <v>1339</v>
      </c>
      <c r="N312">
        <v>1007</v>
      </c>
      <c r="O312" t="s">
        <v>393</v>
      </c>
      <c r="P312" t="s">
        <v>393</v>
      </c>
      <c r="Q312">
        <v>1</v>
      </c>
      <c r="W312">
        <v>0</v>
      </c>
      <c r="X312">
        <v>-2102292952</v>
      </c>
      <c r="Y312">
        <f>(AT312*1)</f>
        <v>0.04</v>
      </c>
      <c r="AA312">
        <v>2464.94</v>
      </c>
      <c r="AB312">
        <v>0</v>
      </c>
      <c r="AC312">
        <v>0</v>
      </c>
      <c r="AD312">
        <v>0</v>
      </c>
      <c r="AE312">
        <v>2464.94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-2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0.04</v>
      </c>
      <c r="AU312" t="s">
        <v>55</v>
      </c>
      <c r="AV312">
        <v>0</v>
      </c>
      <c r="AW312">
        <v>2</v>
      </c>
      <c r="AX312">
        <v>55918324</v>
      </c>
      <c r="AY312">
        <v>1</v>
      </c>
      <c r="AZ312">
        <v>0</v>
      </c>
      <c r="BA312">
        <v>350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ROUND(Y312*Source!I209,9)</f>
        <v>3.28E-4</v>
      </c>
      <c r="CY312">
        <f>AA312</f>
        <v>2464.94</v>
      </c>
      <c r="CZ312">
        <f>AE312</f>
        <v>2464.94</v>
      </c>
      <c r="DA312">
        <f>AI312</f>
        <v>1</v>
      </c>
      <c r="DB312">
        <f>ROUND((ROUND(AT312*CZ312,2)*1),6)</f>
        <v>98.6</v>
      </c>
      <c r="DC312">
        <f>ROUND((ROUND(AT312*AG312,2)*1),6)</f>
        <v>0</v>
      </c>
      <c r="DD312" t="s">
        <v>3</v>
      </c>
      <c r="DE312" t="s">
        <v>3</v>
      </c>
      <c r="DF312">
        <f t="shared" si="194"/>
        <v>0.81</v>
      </c>
      <c r="DG312">
        <f t="shared" si="192"/>
        <v>0</v>
      </c>
      <c r="DH312">
        <f t="shared" si="193"/>
        <v>0</v>
      </c>
      <c r="DI312">
        <f t="shared" si="165"/>
        <v>0</v>
      </c>
      <c r="DJ312">
        <f>DF312</f>
        <v>0.81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5">
      <c r="A313">
        <f>ROW(Source!A210)</f>
        <v>210</v>
      </c>
      <c r="B313">
        <v>55917799</v>
      </c>
      <c r="C313">
        <v>55918320</v>
      </c>
      <c r="D313">
        <v>55424304</v>
      </c>
      <c r="E313">
        <v>1081</v>
      </c>
      <c r="F313">
        <v>1</v>
      </c>
      <c r="G313">
        <v>1081</v>
      </c>
      <c r="H313">
        <v>1</v>
      </c>
      <c r="I313" t="s">
        <v>339</v>
      </c>
      <c r="J313" t="s">
        <v>3</v>
      </c>
      <c r="K313" t="s">
        <v>340</v>
      </c>
      <c r="L313">
        <v>1191</v>
      </c>
      <c r="N313">
        <v>1013</v>
      </c>
      <c r="O313" t="s">
        <v>341</v>
      </c>
      <c r="P313" t="s">
        <v>341</v>
      </c>
      <c r="Q313">
        <v>1</v>
      </c>
      <c r="W313">
        <v>0</v>
      </c>
      <c r="X313">
        <v>476480486</v>
      </c>
      <c r="Y313">
        <f>(AT313*1.2)</f>
        <v>38.4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5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32</v>
      </c>
      <c r="AU313" t="s">
        <v>56</v>
      </c>
      <c r="AV313">
        <v>1</v>
      </c>
      <c r="AW313">
        <v>2</v>
      </c>
      <c r="AX313">
        <v>55918321</v>
      </c>
      <c r="AY313">
        <v>1</v>
      </c>
      <c r="AZ313">
        <v>0</v>
      </c>
      <c r="BA313">
        <v>351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U313">
        <f>ROUND(AT313*Source!I210*AH313*AL313,2)</f>
        <v>0</v>
      </c>
      <c r="CV313">
        <f>ROUND(Y313*Source!I210,9)</f>
        <v>0.31487999999999999</v>
      </c>
      <c r="CW313">
        <v>0</v>
      </c>
      <c r="CX313">
        <f>ROUND(Y313*Source!I210,9)</f>
        <v>0.31487999999999999</v>
      </c>
      <c r="CY313">
        <f>AD313</f>
        <v>0</v>
      </c>
      <c r="CZ313">
        <f>AH313</f>
        <v>0</v>
      </c>
      <c r="DA313">
        <f>AL313</f>
        <v>1</v>
      </c>
      <c r="DB313">
        <f>ROUND((ROUND(AT313*CZ313,2)*1.2),6)</f>
        <v>0</v>
      </c>
      <c r="DC313">
        <f>ROUND((ROUND(AT313*AG313,2)*1.2),6)</f>
        <v>0</v>
      </c>
      <c r="DD313" t="s">
        <v>3</v>
      </c>
      <c r="DE313" t="s">
        <v>3</v>
      </c>
      <c r="DF313">
        <f t="shared" si="194"/>
        <v>0</v>
      </c>
      <c r="DG313">
        <f t="shared" si="192"/>
        <v>0</v>
      </c>
      <c r="DH313">
        <f t="shared" si="193"/>
        <v>0</v>
      </c>
      <c r="DI313">
        <f t="shared" si="165"/>
        <v>0</v>
      </c>
      <c r="DJ313">
        <f>DI313</f>
        <v>0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5">
      <c r="A314">
        <f>ROW(Source!A210)</f>
        <v>210</v>
      </c>
      <c r="B314">
        <v>55917799</v>
      </c>
      <c r="C314">
        <v>55918320</v>
      </c>
      <c r="D314">
        <v>55489528</v>
      </c>
      <c r="E314">
        <v>1</v>
      </c>
      <c r="F314">
        <v>1</v>
      </c>
      <c r="G314">
        <v>1081</v>
      </c>
      <c r="H314">
        <v>2</v>
      </c>
      <c r="I314" t="s">
        <v>435</v>
      </c>
      <c r="J314" t="s">
        <v>436</v>
      </c>
      <c r="K314" t="s">
        <v>437</v>
      </c>
      <c r="L314">
        <v>1368</v>
      </c>
      <c r="N314">
        <v>1011</v>
      </c>
      <c r="O314" t="s">
        <v>376</v>
      </c>
      <c r="P314" t="s">
        <v>376</v>
      </c>
      <c r="Q314">
        <v>1</v>
      </c>
      <c r="W314">
        <v>0</v>
      </c>
      <c r="X314">
        <v>-1541318930</v>
      </c>
      <c r="Y314">
        <f>(AT314*1.2)</f>
        <v>0.34799999999999998</v>
      </c>
      <c r="AA314">
        <v>0</v>
      </c>
      <c r="AB314">
        <v>72.540000000000006</v>
      </c>
      <c r="AC314">
        <v>0</v>
      </c>
      <c r="AD314">
        <v>0</v>
      </c>
      <c r="AE314">
        <v>0</v>
      </c>
      <c r="AF314">
        <v>6.68</v>
      </c>
      <c r="AG314">
        <v>0</v>
      </c>
      <c r="AH314">
        <v>0</v>
      </c>
      <c r="AI314">
        <v>1</v>
      </c>
      <c r="AJ314">
        <v>9.99</v>
      </c>
      <c r="AK314">
        <v>1</v>
      </c>
      <c r="AL314">
        <v>1</v>
      </c>
      <c r="AM314">
        <v>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0.28999999999999998</v>
      </c>
      <c r="AU314" t="s">
        <v>56</v>
      </c>
      <c r="AV314">
        <v>0</v>
      </c>
      <c r="AW314">
        <v>2</v>
      </c>
      <c r="AX314">
        <v>55918322</v>
      </c>
      <c r="AY314">
        <v>1</v>
      </c>
      <c r="AZ314">
        <v>0</v>
      </c>
      <c r="BA314">
        <v>352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f>ROUND(Y314*Source!I210*DO314,9)</f>
        <v>0</v>
      </c>
      <c r="CX314">
        <f>ROUND(Y314*Source!I210,9)</f>
        <v>2.8536E-3</v>
      </c>
      <c r="CY314">
        <f>AB314</f>
        <v>72.540000000000006</v>
      </c>
      <c r="CZ314">
        <f>AF314</f>
        <v>6.68</v>
      </c>
      <c r="DA314">
        <f>AJ314</f>
        <v>9.99</v>
      </c>
      <c r="DB314">
        <f>ROUND((ROUND(AT314*CZ314,2)*1.2),6)</f>
        <v>2.3279999999999998</v>
      </c>
      <c r="DC314">
        <f>ROUND((ROUND(AT314*AG314,2)*1.2),6)</f>
        <v>0</v>
      </c>
      <c r="DD314" t="s">
        <v>3</v>
      </c>
      <c r="DE314" t="s">
        <v>3</v>
      </c>
      <c r="DF314">
        <f t="shared" si="194"/>
        <v>0</v>
      </c>
      <c r="DG314">
        <f>ROUND(ROUND(AF314*AJ314,2)*CX314,2)</f>
        <v>0.19</v>
      </c>
      <c r="DH314">
        <f t="shared" si="193"/>
        <v>0</v>
      </c>
      <c r="DI314">
        <f t="shared" si="165"/>
        <v>0</v>
      </c>
      <c r="DJ314">
        <f>DG314</f>
        <v>0.19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ROW(Source!A210)</f>
        <v>210</v>
      </c>
      <c r="B315">
        <v>55917799</v>
      </c>
      <c r="C315">
        <v>55918320</v>
      </c>
      <c r="D315">
        <v>55459873</v>
      </c>
      <c r="E315">
        <v>1</v>
      </c>
      <c r="F315">
        <v>1</v>
      </c>
      <c r="G315">
        <v>1081</v>
      </c>
      <c r="H315">
        <v>3</v>
      </c>
      <c r="I315" t="s">
        <v>378</v>
      </c>
      <c r="J315" t="s">
        <v>379</v>
      </c>
      <c r="K315" t="s">
        <v>380</v>
      </c>
      <c r="L315">
        <v>1348</v>
      </c>
      <c r="N315">
        <v>1009</v>
      </c>
      <c r="O315" t="s">
        <v>345</v>
      </c>
      <c r="P315" t="s">
        <v>345</v>
      </c>
      <c r="Q315">
        <v>1000</v>
      </c>
      <c r="W315">
        <v>0</v>
      </c>
      <c r="X315">
        <v>-1448251497</v>
      </c>
      <c r="Y315">
        <f>(AT315*1)</f>
        <v>5.6099999999999998E-4</v>
      </c>
      <c r="AA315">
        <v>101169.89</v>
      </c>
      <c r="AB315">
        <v>0</v>
      </c>
      <c r="AC315">
        <v>0</v>
      </c>
      <c r="AD315">
        <v>0</v>
      </c>
      <c r="AE315">
        <v>18495.41</v>
      </c>
      <c r="AF315">
        <v>0</v>
      </c>
      <c r="AG315">
        <v>0</v>
      </c>
      <c r="AH315">
        <v>0</v>
      </c>
      <c r="AI315">
        <v>5.47</v>
      </c>
      <c r="AJ315">
        <v>1</v>
      </c>
      <c r="AK315">
        <v>1</v>
      </c>
      <c r="AL315">
        <v>1</v>
      </c>
      <c r="AM315">
        <v>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5.6099999999999998E-4</v>
      </c>
      <c r="AU315" t="s">
        <v>55</v>
      </c>
      <c r="AV315">
        <v>0</v>
      </c>
      <c r="AW315">
        <v>2</v>
      </c>
      <c r="AX315">
        <v>55918323</v>
      </c>
      <c r="AY315">
        <v>1</v>
      </c>
      <c r="AZ315">
        <v>0</v>
      </c>
      <c r="BA315">
        <v>353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ROUND(Y315*Source!I210,9)</f>
        <v>4.6E-6</v>
      </c>
      <c r="CY315">
        <f>AA315</f>
        <v>101169.89</v>
      </c>
      <c r="CZ315">
        <f>AE315</f>
        <v>18495.41</v>
      </c>
      <c r="DA315">
        <f>AI315</f>
        <v>5.47</v>
      </c>
      <c r="DB315">
        <f>ROUND((ROUND(AT315*CZ315,2)*1),6)</f>
        <v>10.38</v>
      </c>
      <c r="DC315">
        <f>ROUND((ROUND(AT315*AG315,2)*1),6)</f>
        <v>0</v>
      </c>
      <c r="DD315" t="s">
        <v>3</v>
      </c>
      <c r="DE315" t="s">
        <v>3</v>
      </c>
      <c r="DF315">
        <f>ROUND(ROUND(AE315*AI315,2)*CX315,2)</f>
        <v>0.47</v>
      </c>
      <c r="DG315">
        <f t="shared" ref="DG315:DG326" si="195">ROUND(ROUND(AF315,2)*CX315,2)</f>
        <v>0</v>
      </c>
      <c r="DH315">
        <f t="shared" si="193"/>
        <v>0</v>
      </c>
      <c r="DI315">
        <f t="shared" si="165"/>
        <v>0</v>
      </c>
      <c r="DJ315">
        <f>DF315</f>
        <v>0.47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5">
      <c r="A316">
        <f>ROW(Source!A210)</f>
        <v>210</v>
      </c>
      <c r="B316">
        <v>55917799</v>
      </c>
      <c r="C316">
        <v>55918320</v>
      </c>
      <c r="D316">
        <v>55459206</v>
      </c>
      <c r="E316">
        <v>1</v>
      </c>
      <c r="F316">
        <v>1</v>
      </c>
      <c r="G316">
        <v>1081</v>
      </c>
      <c r="H316">
        <v>3</v>
      </c>
      <c r="I316" t="s">
        <v>438</v>
      </c>
      <c r="J316" t="s">
        <v>439</v>
      </c>
      <c r="K316" t="s">
        <v>440</v>
      </c>
      <c r="L316">
        <v>1339</v>
      </c>
      <c r="N316">
        <v>1007</v>
      </c>
      <c r="O316" t="s">
        <v>393</v>
      </c>
      <c r="P316" t="s">
        <v>393</v>
      </c>
      <c r="Q316">
        <v>1</v>
      </c>
      <c r="W316">
        <v>0</v>
      </c>
      <c r="X316">
        <v>-2102292952</v>
      </c>
      <c r="Y316">
        <f>(AT316*1)</f>
        <v>0.04</v>
      </c>
      <c r="AA316">
        <v>10722.49</v>
      </c>
      <c r="AB316">
        <v>0</v>
      </c>
      <c r="AC316">
        <v>0</v>
      </c>
      <c r="AD316">
        <v>0</v>
      </c>
      <c r="AE316">
        <v>2464.94</v>
      </c>
      <c r="AF316">
        <v>0</v>
      </c>
      <c r="AG316">
        <v>0</v>
      </c>
      <c r="AH316">
        <v>0</v>
      </c>
      <c r="AI316">
        <v>4.3499999999999996</v>
      </c>
      <c r="AJ316">
        <v>1</v>
      </c>
      <c r="AK316">
        <v>1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0.04</v>
      </c>
      <c r="AU316" t="s">
        <v>55</v>
      </c>
      <c r="AV316">
        <v>0</v>
      </c>
      <c r="AW316">
        <v>2</v>
      </c>
      <c r="AX316">
        <v>55918324</v>
      </c>
      <c r="AY316">
        <v>1</v>
      </c>
      <c r="AZ316">
        <v>0</v>
      </c>
      <c r="BA316">
        <v>354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ROUND(Y316*Source!I210,9)</f>
        <v>3.28E-4</v>
      </c>
      <c r="CY316">
        <f>AA316</f>
        <v>10722.49</v>
      </c>
      <c r="CZ316">
        <f>AE316</f>
        <v>2464.94</v>
      </c>
      <c r="DA316">
        <f>AI316</f>
        <v>4.3499999999999996</v>
      </c>
      <c r="DB316">
        <f>ROUND((ROUND(AT316*CZ316,2)*1),6)</f>
        <v>98.6</v>
      </c>
      <c r="DC316">
        <f>ROUND((ROUND(AT316*AG316,2)*1),6)</f>
        <v>0</v>
      </c>
      <c r="DD316" t="s">
        <v>3</v>
      </c>
      <c r="DE316" t="s">
        <v>3</v>
      </c>
      <c r="DF316">
        <f>ROUND(ROUND(AE316*AI316,2)*CX316,2)</f>
        <v>3.52</v>
      </c>
      <c r="DG316">
        <f t="shared" si="195"/>
        <v>0</v>
      </c>
      <c r="DH316">
        <f t="shared" si="193"/>
        <v>0</v>
      </c>
      <c r="DI316">
        <f t="shared" si="165"/>
        <v>0</v>
      </c>
      <c r="DJ316">
        <f>DF316</f>
        <v>3.52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5">
      <c r="A317">
        <f>ROW(Source!A252)</f>
        <v>252</v>
      </c>
      <c r="B317">
        <v>55917797</v>
      </c>
      <c r="C317">
        <v>55918396</v>
      </c>
      <c r="D317">
        <v>55424304</v>
      </c>
      <c r="E317">
        <v>1081</v>
      </c>
      <c r="F317">
        <v>1</v>
      </c>
      <c r="G317">
        <v>1081</v>
      </c>
      <c r="H317">
        <v>1</v>
      </c>
      <c r="I317" t="s">
        <v>339</v>
      </c>
      <c r="J317" t="s">
        <v>3</v>
      </c>
      <c r="K317" t="s">
        <v>340</v>
      </c>
      <c r="L317">
        <v>1191</v>
      </c>
      <c r="N317">
        <v>1013</v>
      </c>
      <c r="O317" t="s">
        <v>341</v>
      </c>
      <c r="P317" t="s">
        <v>341</v>
      </c>
      <c r="Q317">
        <v>1</v>
      </c>
      <c r="W317">
        <v>0</v>
      </c>
      <c r="X317">
        <v>476480486</v>
      </c>
      <c r="Y317">
        <f>(AT317*1.2)</f>
        <v>19.920000000000002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16.600000000000001</v>
      </c>
      <c r="AU317" t="s">
        <v>56</v>
      </c>
      <c r="AV317">
        <v>1</v>
      </c>
      <c r="AW317">
        <v>2</v>
      </c>
      <c r="AX317">
        <v>55918407</v>
      </c>
      <c r="AY317">
        <v>1</v>
      </c>
      <c r="AZ317">
        <v>0</v>
      </c>
      <c r="BA317">
        <v>355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U317">
        <f>ROUND(AT317*Source!I252*AH317*AL317,2)</f>
        <v>0</v>
      </c>
      <c r="CV317">
        <f>ROUND(Y317*Source!I252,9)</f>
        <v>29.88</v>
      </c>
      <c r="CW317">
        <v>0</v>
      </c>
      <c r="CX317">
        <f>ROUND(Y317*Source!I252,9)</f>
        <v>29.88</v>
      </c>
      <c r="CY317">
        <f>AD317</f>
        <v>0</v>
      </c>
      <c r="CZ317">
        <f>AH317</f>
        <v>0</v>
      </c>
      <c r="DA317">
        <f>AL317</f>
        <v>1</v>
      </c>
      <c r="DB317">
        <f>ROUND((ROUND(AT317*CZ317,2)*1.2),6)</f>
        <v>0</v>
      </c>
      <c r="DC317">
        <f>ROUND((ROUND(AT317*AG317,2)*1.2),6)</f>
        <v>0</v>
      </c>
      <c r="DD317" t="s">
        <v>3</v>
      </c>
      <c r="DE317" t="s">
        <v>3</v>
      </c>
      <c r="DF317">
        <f t="shared" ref="DF317:DF328" si="196">ROUND(ROUND(AE317,2)*CX317,2)</f>
        <v>0</v>
      </c>
      <c r="DG317">
        <f t="shared" si="195"/>
        <v>0</v>
      </c>
      <c r="DH317">
        <f t="shared" si="193"/>
        <v>0</v>
      </c>
      <c r="DI317">
        <f t="shared" si="165"/>
        <v>0</v>
      </c>
      <c r="DJ317">
        <f>DI317</f>
        <v>0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ROW(Source!A252)</f>
        <v>252</v>
      </c>
      <c r="B318">
        <v>55917797</v>
      </c>
      <c r="C318">
        <v>55918396</v>
      </c>
      <c r="D318">
        <v>55490263</v>
      </c>
      <c r="E318">
        <v>1</v>
      </c>
      <c r="F318">
        <v>1</v>
      </c>
      <c r="G318">
        <v>1081</v>
      </c>
      <c r="H318">
        <v>2</v>
      </c>
      <c r="I318" t="s">
        <v>441</v>
      </c>
      <c r="J318" t="s">
        <v>442</v>
      </c>
      <c r="K318" t="s">
        <v>443</v>
      </c>
      <c r="L318">
        <v>1368</v>
      </c>
      <c r="N318">
        <v>1011</v>
      </c>
      <c r="O318" t="s">
        <v>376</v>
      </c>
      <c r="P318" t="s">
        <v>376</v>
      </c>
      <c r="Q318">
        <v>1</v>
      </c>
      <c r="W318">
        <v>0</v>
      </c>
      <c r="X318">
        <v>-1895752648</v>
      </c>
      <c r="Y318">
        <f>(AT318*1.2)</f>
        <v>1.38</v>
      </c>
      <c r="AA318">
        <v>0</v>
      </c>
      <c r="AB318">
        <v>0.81</v>
      </c>
      <c r="AC318">
        <v>0</v>
      </c>
      <c r="AD318">
        <v>0</v>
      </c>
      <c r="AE318">
        <v>0</v>
      </c>
      <c r="AF318">
        <v>0.77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-2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1.1499999999999999</v>
      </c>
      <c r="AU318" t="s">
        <v>56</v>
      </c>
      <c r="AV318">
        <v>0</v>
      </c>
      <c r="AW318">
        <v>2</v>
      </c>
      <c r="AX318">
        <v>55918408</v>
      </c>
      <c r="AY318">
        <v>1</v>
      </c>
      <c r="AZ318">
        <v>0</v>
      </c>
      <c r="BA318">
        <v>356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f>ROUND(Y318*Source!I252*DO318,9)</f>
        <v>0</v>
      </c>
      <c r="CX318">
        <f>ROUND(Y318*Source!I252,9)</f>
        <v>2.0699999999999998</v>
      </c>
      <c r="CY318">
        <f>AB318</f>
        <v>0.81</v>
      </c>
      <c r="CZ318">
        <f>AF318</f>
        <v>0.77</v>
      </c>
      <c r="DA318">
        <f>AJ318</f>
        <v>1</v>
      </c>
      <c r="DB318">
        <f>ROUND((ROUND(AT318*CZ318,2)*1.2),6)</f>
        <v>1.0680000000000001</v>
      </c>
      <c r="DC318">
        <f>ROUND((ROUND(AT318*AG318,2)*1.2),6)</f>
        <v>0</v>
      </c>
      <c r="DD318" t="s">
        <v>3</v>
      </c>
      <c r="DE318" t="s">
        <v>3</v>
      </c>
      <c r="DF318">
        <f t="shared" si="196"/>
        <v>0</v>
      </c>
      <c r="DG318">
        <f t="shared" si="195"/>
        <v>1.59</v>
      </c>
      <c r="DH318">
        <f t="shared" si="193"/>
        <v>0</v>
      </c>
      <c r="DI318">
        <f t="shared" si="165"/>
        <v>0</v>
      </c>
      <c r="DJ318">
        <f>DG318</f>
        <v>1.59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ROW(Source!A252)</f>
        <v>252</v>
      </c>
      <c r="B319">
        <v>55917797</v>
      </c>
      <c r="C319">
        <v>55918396</v>
      </c>
      <c r="D319">
        <v>55490296</v>
      </c>
      <c r="E319">
        <v>1</v>
      </c>
      <c r="F319">
        <v>1</v>
      </c>
      <c r="G319">
        <v>1081</v>
      </c>
      <c r="H319">
        <v>2</v>
      </c>
      <c r="I319" t="s">
        <v>444</v>
      </c>
      <c r="J319" t="s">
        <v>445</v>
      </c>
      <c r="K319" t="s">
        <v>446</v>
      </c>
      <c r="L319">
        <v>1368</v>
      </c>
      <c r="N319">
        <v>1011</v>
      </c>
      <c r="O319" t="s">
        <v>376</v>
      </c>
      <c r="P319" t="s">
        <v>376</v>
      </c>
      <c r="Q319">
        <v>1</v>
      </c>
      <c r="W319">
        <v>0</v>
      </c>
      <c r="X319">
        <v>-643591644</v>
      </c>
      <c r="Y319">
        <f>(AT319*1.2)</f>
        <v>2.16</v>
      </c>
      <c r="AA319">
        <v>0</v>
      </c>
      <c r="AB319">
        <v>0.49</v>
      </c>
      <c r="AC319">
        <v>0</v>
      </c>
      <c r="AD319">
        <v>0</v>
      </c>
      <c r="AE319">
        <v>0</v>
      </c>
      <c r="AF319">
        <v>0.47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-2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1.8</v>
      </c>
      <c r="AU319" t="s">
        <v>56</v>
      </c>
      <c r="AV319">
        <v>0</v>
      </c>
      <c r="AW319">
        <v>2</v>
      </c>
      <c r="AX319">
        <v>55918409</v>
      </c>
      <c r="AY319">
        <v>1</v>
      </c>
      <c r="AZ319">
        <v>0</v>
      </c>
      <c r="BA319">
        <v>357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f>ROUND(Y319*Source!I252*DO319,9)</f>
        <v>0</v>
      </c>
      <c r="CX319">
        <f>ROUND(Y319*Source!I252,9)</f>
        <v>3.24</v>
      </c>
      <c r="CY319">
        <f>AB319</f>
        <v>0.49</v>
      </c>
      <c r="CZ319">
        <f>AF319</f>
        <v>0.47</v>
      </c>
      <c r="DA319">
        <f>AJ319</f>
        <v>1</v>
      </c>
      <c r="DB319">
        <f>ROUND((ROUND(AT319*CZ319,2)*1.2),6)</f>
        <v>1.02</v>
      </c>
      <c r="DC319">
        <f>ROUND((ROUND(AT319*AG319,2)*1.2),6)</f>
        <v>0</v>
      </c>
      <c r="DD319" t="s">
        <v>3</v>
      </c>
      <c r="DE319" t="s">
        <v>3</v>
      </c>
      <c r="DF319">
        <f t="shared" si="196"/>
        <v>0</v>
      </c>
      <c r="DG319">
        <f t="shared" si="195"/>
        <v>1.52</v>
      </c>
      <c r="DH319">
        <f t="shared" si="193"/>
        <v>0</v>
      </c>
      <c r="DI319">
        <f t="shared" si="165"/>
        <v>0</v>
      </c>
      <c r="DJ319">
        <f>DG319</f>
        <v>1.52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5">
      <c r="A320">
        <f>ROW(Source!A252)</f>
        <v>252</v>
      </c>
      <c r="B320">
        <v>55917797</v>
      </c>
      <c r="C320">
        <v>55918396</v>
      </c>
      <c r="D320">
        <v>55460960</v>
      </c>
      <c r="E320">
        <v>1</v>
      </c>
      <c r="F320">
        <v>1</v>
      </c>
      <c r="G320">
        <v>1081</v>
      </c>
      <c r="H320">
        <v>3</v>
      </c>
      <c r="I320" t="s">
        <v>447</v>
      </c>
      <c r="J320" t="s">
        <v>448</v>
      </c>
      <c r="K320" t="s">
        <v>449</v>
      </c>
      <c r="L320">
        <v>1348</v>
      </c>
      <c r="N320">
        <v>1009</v>
      </c>
      <c r="O320" t="s">
        <v>345</v>
      </c>
      <c r="P320" t="s">
        <v>345</v>
      </c>
      <c r="Q320">
        <v>1000</v>
      </c>
      <c r="W320">
        <v>0</v>
      </c>
      <c r="X320">
        <v>-260579272</v>
      </c>
      <c r="Y320">
        <f>(AT320*1)</f>
        <v>1E-3</v>
      </c>
      <c r="AA320">
        <v>58463.58</v>
      </c>
      <c r="AB320">
        <v>0</v>
      </c>
      <c r="AC320">
        <v>0</v>
      </c>
      <c r="AD320">
        <v>0</v>
      </c>
      <c r="AE320">
        <v>58463.58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-2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1E-3</v>
      </c>
      <c r="AU320" t="s">
        <v>55</v>
      </c>
      <c r="AV320">
        <v>0</v>
      </c>
      <c r="AW320">
        <v>2</v>
      </c>
      <c r="AX320">
        <v>55918410</v>
      </c>
      <c r="AY320">
        <v>1</v>
      </c>
      <c r="AZ320">
        <v>0</v>
      </c>
      <c r="BA320">
        <v>358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ROUND(Y320*Source!I252,9)</f>
        <v>1.5E-3</v>
      </c>
      <c r="CY320">
        <f t="shared" ref="CY320:CY325" si="197">AA320</f>
        <v>58463.58</v>
      </c>
      <c r="CZ320">
        <f t="shared" ref="CZ320:CZ325" si="198">AE320</f>
        <v>58463.58</v>
      </c>
      <c r="DA320">
        <f t="shared" ref="DA320:DA325" si="199">AI320</f>
        <v>1</v>
      </c>
      <c r="DB320">
        <f>ROUND((ROUND(AT320*CZ320,2)*1),6)</f>
        <v>58.46</v>
      </c>
      <c r="DC320">
        <f>ROUND((ROUND(AT320*AG320,2)*1),6)</f>
        <v>0</v>
      </c>
      <c r="DD320" t="s">
        <v>3</v>
      </c>
      <c r="DE320" t="s">
        <v>3</v>
      </c>
      <c r="DF320">
        <f t="shared" si="196"/>
        <v>87.7</v>
      </c>
      <c r="DG320">
        <f t="shared" si="195"/>
        <v>0</v>
      </c>
      <c r="DH320">
        <f t="shared" si="193"/>
        <v>0</v>
      </c>
      <c r="DI320">
        <f t="shared" si="165"/>
        <v>0</v>
      </c>
      <c r="DJ320">
        <f t="shared" ref="DJ320:DJ325" si="200">DF320</f>
        <v>87.7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ROW(Source!A252)</f>
        <v>252</v>
      </c>
      <c r="B321">
        <v>55917797</v>
      </c>
      <c r="C321">
        <v>55918396</v>
      </c>
      <c r="D321">
        <v>55461791</v>
      </c>
      <c r="E321">
        <v>1</v>
      </c>
      <c r="F321">
        <v>1</v>
      </c>
      <c r="G321">
        <v>1081</v>
      </c>
      <c r="H321">
        <v>3</v>
      </c>
      <c r="I321" t="s">
        <v>419</v>
      </c>
      <c r="J321" t="s">
        <v>420</v>
      </c>
      <c r="K321" t="s">
        <v>421</v>
      </c>
      <c r="L321">
        <v>1355</v>
      </c>
      <c r="N321">
        <v>1010</v>
      </c>
      <c r="O321" t="s">
        <v>49</v>
      </c>
      <c r="P321" t="s">
        <v>49</v>
      </c>
      <c r="Q321">
        <v>100</v>
      </c>
      <c r="W321">
        <v>0</v>
      </c>
      <c r="X321">
        <v>-429645653</v>
      </c>
      <c r="Y321">
        <f>(AT321*1)</f>
        <v>2.1419999999999999</v>
      </c>
      <c r="AA321">
        <v>10.6</v>
      </c>
      <c r="AB321">
        <v>0</v>
      </c>
      <c r="AC321">
        <v>0</v>
      </c>
      <c r="AD321">
        <v>0</v>
      </c>
      <c r="AE321">
        <v>10.6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2.1419999999999999</v>
      </c>
      <c r="AU321" t="s">
        <v>55</v>
      </c>
      <c r="AV321">
        <v>0</v>
      </c>
      <c r="AW321">
        <v>2</v>
      </c>
      <c r="AX321">
        <v>55918411</v>
      </c>
      <c r="AY321">
        <v>1</v>
      </c>
      <c r="AZ321">
        <v>0</v>
      </c>
      <c r="BA321">
        <v>359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ROUND(Y321*Source!I252,9)</f>
        <v>3.2130000000000001</v>
      </c>
      <c r="CY321">
        <f t="shared" si="197"/>
        <v>10.6</v>
      </c>
      <c r="CZ321">
        <f t="shared" si="198"/>
        <v>10.6</v>
      </c>
      <c r="DA321">
        <f t="shared" si="199"/>
        <v>1</v>
      </c>
      <c r="DB321">
        <f>ROUND((ROUND(AT321*CZ321,2)*1),6)</f>
        <v>22.71</v>
      </c>
      <c r="DC321">
        <f>ROUND((ROUND(AT321*AG321,2)*1),6)</f>
        <v>0</v>
      </c>
      <c r="DD321" t="s">
        <v>3</v>
      </c>
      <c r="DE321" t="s">
        <v>3</v>
      </c>
      <c r="DF321">
        <f t="shared" si="196"/>
        <v>34.06</v>
      </c>
      <c r="DG321">
        <f t="shared" si="195"/>
        <v>0</v>
      </c>
      <c r="DH321">
        <f t="shared" si="193"/>
        <v>0</v>
      </c>
      <c r="DI321">
        <f t="shared" ref="DI321:DI356" si="201">ROUND(ROUND(AH321,2)*CX321,2)</f>
        <v>0</v>
      </c>
      <c r="DJ321">
        <f t="shared" si="200"/>
        <v>34.06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ROW(Source!A252)</f>
        <v>252</v>
      </c>
      <c r="B322">
        <v>55917797</v>
      </c>
      <c r="C322">
        <v>55918396</v>
      </c>
      <c r="D322">
        <v>55482161</v>
      </c>
      <c r="E322">
        <v>1</v>
      </c>
      <c r="F322">
        <v>1</v>
      </c>
      <c r="G322">
        <v>1081</v>
      </c>
      <c r="H322">
        <v>3</v>
      </c>
      <c r="I322" t="s">
        <v>257</v>
      </c>
      <c r="J322" t="s">
        <v>259</v>
      </c>
      <c r="K322" t="s">
        <v>258</v>
      </c>
      <c r="L322">
        <v>1355</v>
      </c>
      <c r="N322">
        <v>1010</v>
      </c>
      <c r="O322" t="s">
        <v>49</v>
      </c>
      <c r="P322" t="s">
        <v>49</v>
      </c>
      <c r="Q322">
        <v>100</v>
      </c>
      <c r="W322">
        <v>0</v>
      </c>
      <c r="X322">
        <v>289520784</v>
      </c>
      <c r="Y322">
        <f>AT322</f>
        <v>200</v>
      </c>
      <c r="AA322">
        <v>146.88999999999999</v>
      </c>
      <c r="AB322">
        <v>0</v>
      </c>
      <c r="AC322">
        <v>0</v>
      </c>
      <c r="AD322">
        <v>0</v>
      </c>
      <c r="AE322">
        <v>146.88999999999999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 t="s">
        <v>3</v>
      </c>
      <c r="AT322">
        <v>200</v>
      </c>
      <c r="AU322" t="s">
        <v>3</v>
      </c>
      <c r="AV322">
        <v>0</v>
      </c>
      <c r="AW322">
        <v>1</v>
      </c>
      <c r="AX322">
        <v>-1</v>
      </c>
      <c r="AY322">
        <v>0</v>
      </c>
      <c r="AZ322">
        <v>0</v>
      </c>
      <c r="BA322" t="s">
        <v>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ROUND(Y322*Source!I252,9)</f>
        <v>300</v>
      </c>
      <c r="CY322">
        <f t="shared" si="197"/>
        <v>146.88999999999999</v>
      </c>
      <c r="CZ322">
        <f t="shared" si="198"/>
        <v>146.88999999999999</v>
      </c>
      <c r="DA322">
        <f t="shared" si="199"/>
        <v>1</v>
      </c>
      <c r="DB322">
        <f>ROUND(ROUND(AT322*CZ322,2),6)</f>
        <v>29378</v>
      </c>
      <c r="DC322">
        <f>ROUND(ROUND(AT322*AG322,2),6)</f>
        <v>0</v>
      </c>
      <c r="DD322" t="s">
        <v>3</v>
      </c>
      <c r="DE322" t="s">
        <v>3</v>
      </c>
      <c r="DF322">
        <f t="shared" si="196"/>
        <v>44067</v>
      </c>
      <c r="DG322">
        <f t="shared" si="195"/>
        <v>0</v>
      </c>
      <c r="DH322">
        <f t="shared" si="193"/>
        <v>0</v>
      </c>
      <c r="DI322">
        <f t="shared" si="201"/>
        <v>0</v>
      </c>
      <c r="DJ322">
        <f t="shared" si="200"/>
        <v>44067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ROW(Source!A252)</f>
        <v>252</v>
      </c>
      <c r="B323">
        <v>55917797</v>
      </c>
      <c r="C323">
        <v>55918396</v>
      </c>
      <c r="D323">
        <v>55482203</v>
      </c>
      <c r="E323">
        <v>1</v>
      </c>
      <c r="F323">
        <v>1</v>
      </c>
      <c r="G323">
        <v>1081</v>
      </c>
      <c r="H323">
        <v>3</v>
      </c>
      <c r="I323" t="s">
        <v>432</v>
      </c>
      <c r="J323" t="s">
        <v>433</v>
      </c>
      <c r="K323" t="s">
        <v>434</v>
      </c>
      <c r="L323">
        <v>1356</v>
      </c>
      <c r="N323">
        <v>1010</v>
      </c>
      <c r="O323" t="s">
        <v>409</v>
      </c>
      <c r="P323" t="s">
        <v>409</v>
      </c>
      <c r="Q323">
        <v>1000</v>
      </c>
      <c r="W323">
        <v>0</v>
      </c>
      <c r="X323">
        <v>474149623</v>
      </c>
      <c r="Y323">
        <f>(AT323*1)</f>
        <v>1.7000000000000001E-2</v>
      </c>
      <c r="AA323">
        <v>226.66</v>
      </c>
      <c r="AB323">
        <v>0</v>
      </c>
      <c r="AC323">
        <v>0</v>
      </c>
      <c r="AD323">
        <v>0</v>
      </c>
      <c r="AE323">
        <v>226.66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1.7000000000000001E-2</v>
      </c>
      <c r="AU323" t="s">
        <v>55</v>
      </c>
      <c r="AV323">
        <v>0</v>
      </c>
      <c r="AW323">
        <v>2</v>
      </c>
      <c r="AX323">
        <v>55918412</v>
      </c>
      <c r="AY323">
        <v>1</v>
      </c>
      <c r="AZ323">
        <v>0</v>
      </c>
      <c r="BA323">
        <v>360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ROUND(Y323*Source!I252,9)</f>
        <v>2.5499999999999998E-2</v>
      </c>
      <c r="CY323">
        <f t="shared" si="197"/>
        <v>226.66</v>
      </c>
      <c r="CZ323">
        <f t="shared" si="198"/>
        <v>226.66</v>
      </c>
      <c r="DA323">
        <f t="shared" si="199"/>
        <v>1</v>
      </c>
      <c r="DB323">
        <f>ROUND((ROUND(AT323*CZ323,2)*1),6)</f>
        <v>3.85</v>
      </c>
      <c r="DC323">
        <f>ROUND((ROUND(AT323*AG323,2)*1),6)</f>
        <v>0</v>
      </c>
      <c r="DD323" t="s">
        <v>3</v>
      </c>
      <c r="DE323" t="s">
        <v>3</v>
      </c>
      <c r="DF323">
        <f t="shared" si="196"/>
        <v>5.78</v>
      </c>
      <c r="DG323">
        <f t="shared" si="195"/>
        <v>0</v>
      </c>
      <c r="DH323">
        <f t="shared" si="193"/>
        <v>0</v>
      </c>
      <c r="DI323">
        <f t="shared" si="201"/>
        <v>0</v>
      </c>
      <c r="DJ323">
        <f t="shared" si="200"/>
        <v>5.78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ROW(Source!A252)</f>
        <v>252</v>
      </c>
      <c r="B324">
        <v>55917797</v>
      </c>
      <c r="C324">
        <v>55918396</v>
      </c>
      <c r="D324">
        <v>55481977</v>
      </c>
      <c r="E324">
        <v>1</v>
      </c>
      <c r="F324">
        <v>1</v>
      </c>
      <c r="G324">
        <v>1081</v>
      </c>
      <c r="H324">
        <v>3</v>
      </c>
      <c r="I324" t="s">
        <v>450</v>
      </c>
      <c r="J324" t="s">
        <v>451</v>
      </c>
      <c r="K324" t="s">
        <v>452</v>
      </c>
      <c r="L324">
        <v>1355</v>
      </c>
      <c r="N324">
        <v>1010</v>
      </c>
      <c r="O324" t="s">
        <v>49</v>
      </c>
      <c r="P324" t="s">
        <v>49</v>
      </c>
      <c r="Q324">
        <v>100</v>
      </c>
      <c r="W324">
        <v>0</v>
      </c>
      <c r="X324">
        <v>1356827684</v>
      </c>
      <c r="Y324">
        <f>(AT324*1)</f>
        <v>0.17</v>
      </c>
      <c r="AA324">
        <v>26.71</v>
      </c>
      <c r="AB324">
        <v>0</v>
      </c>
      <c r="AC324">
        <v>0</v>
      </c>
      <c r="AD324">
        <v>0</v>
      </c>
      <c r="AE324">
        <v>26.71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-2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0.17</v>
      </c>
      <c r="AU324" t="s">
        <v>55</v>
      </c>
      <c r="AV324">
        <v>0</v>
      </c>
      <c r="AW324">
        <v>2</v>
      </c>
      <c r="AX324">
        <v>55918413</v>
      </c>
      <c r="AY324">
        <v>1</v>
      </c>
      <c r="AZ324">
        <v>0</v>
      </c>
      <c r="BA324">
        <v>361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ROUND(Y324*Source!I252,9)</f>
        <v>0.255</v>
      </c>
      <c r="CY324">
        <f t="shared" si="197"/>
        <v>26.71</v>
      </c>
      <c r="CZ324">
        <f t="shared" si="198"/>
        <v>26.71</v>
      </c>
      <c r="DA324">
        <f t="shared" si="199"/>
        <v>1</v>
      </c>
      <c r="DB324">
        <f>ROUND((ROUND(AT324*CZ324,2)*1),6)</f>
        <v>4.54</v>
      </c>
      <c r="DC324">
        <f>ROUND((ROUND(AT324*AG324,2)*1),6)</f>
        <v>0</v>
      </c>
      <c r="DD324" t="s">
        <v>3</v>
      </c>
      <c r="DE324" t="s">
        <v>3</v>
      </c>
      <c r="DF324">
        <f t="shared" si="196"/>
        <v>6.81</v>
      </c>
      <c r="DG324">
        <f t="shared" si="195"/>
        <v>0</v>
      </c>
      <c r="DH324">
        <f t="shared" si="193"/>
        <v>0</v>
      </c>
      <c r="DI324">
        <f t="shared" si="201"/>
        <v>0</v>
      </c>
      <c r="DJ324">
        <f t="shared" si="200"/>
        <v>6.81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5">
      <c r="A325">
        <f>ROW(Source!A252)</f>
        <v>252</v>
      </c>
      <c r="B325">
        <v>55917797</v>
      </c>
      <c r="C325">
        <v>55918396</v>
      </c>
      <c r="D325">
        <v>55469271</v>
      </c>
      <c r="E325">
        <v>1</v>
      </c>
      <c r="F325">
        <v>1</v>
      </c>
      <c r="G325">
        <v>1081</v>
      </c>
      <c r="H325">
        <v>3</v>
      </c>
      <c r="I325" t="s">
        <v>453</v>
      </c>
      <c r="J325" t="s">
        <v>454</v>
      </c>
      <c r="K325" t="s">
        <v>455</v>
      </c>
      <c r="L325">
        <v>1354</v>
      </c>
      <c r="N325">
        <v>1010</v>
      </c>
      <c r="O325" t="s">
        <v>164</v>
      </c>
      <c r="P325" t="s">
        <v>164</v>
      </c>
      <c r="Q325">
        <v>1</v>
      </c>
      <c r="W325">
        <v>0</v>
      </c>
      <c r="X325">
        <v>1339646332</v>
      </c>
      <c r="Y325">
        <f>(AT325*1)</f>
        <v>0.161</v>
      </c>
      <c r="AA325">
        <v>14.56</v>
      </c>
      <c r="AB325">
        <v>0</v>
      </c>
      <c r="AC325">
        <v>0</v>
      </c>
      <c r="AD325">
        <v>0</v>
      </c>
      <c r="AE325">
        <v>14.56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0.161</v>
      </c>
      <c r="AU325" t="s">
        <v>55</v>
      </c>
      <c r="AV325">
        <v>0</v>
      </c>
      <c r="AW325">
        <v>2</v>
      </c>
      <c r="AX325">
        <v>55918414</v>
      </c>
      <c r="AY325">
        <v>1</v>
      </c>
      <c r="AZ325">
        <v>0</v>
      </c>
      <c r="BA325">
        <v>362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ROUND(Y325*Source!I252,9)</f>
        <v>0.24149999999999999</v>
      </c>
      <c r="CY325">
        <f t="shared" si="197"/>
        <v>14.56</v>
      </c>
      <c r="CZ325">
        <f t="shared" si="198"/>
        <v>14.56</v>
      </c>
      <c r="DA325">
        <f t="shared" si="199"/>
        <v>1</v>
      </c>
      <c r="DB325">
        <f>ROUND((ROUND(AT325*CZ325,2)*1),6)</f>
        <v>2.34</v>
      </c>
      <c r="DC325">
        <f>ROUND((ROUND(AT325*AG325,2)*1),6)</f>
        <v>0</v>
      </c>
      <c r="DD325" t="s">
        <v>3</v>
      </c>
      <c r="DE325" t="s">
        <v>3</v>
      </c>
      <c r="DF325">
        <f t="shared" si="196"/>
        <v>3.52</v>
      </c>
      <c r="DG325">
        <f t="shared" si="195"/>
        <v>0</v>
      </c>
      <c r="DH325">
        <f t="shared" si="193"/>
        <v>0</v>
      </c>
      <c r="DI325">
        <f t="shared" si="201"/>
        <v>0</v>
      </c>
      <c r="DJ325">
        <f t="shared" si="200"/>
        <v>3.52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5">
      <c r="A326">
        <f>ROW(Source!A253)</f>
        <v>253</v>
      </c>
      <c r="B326">
        <v>55917799</v>
      </c>
      <c r="C326">
        <v>55918396</v>
      </c>
      <c r="D326">
        <v>55424304</v>
      </c>
      <c r="E326">
        <v>1081</v>
      </c>
      <c r="F326">
        <v>1</v>
      </c>
      <c r="G326">
        <v>1081</v>
      </c>
      <c r="H326">
        <v>1</v>
      </c>
      <c r="I326" t="s">
        <v>339</v>
      </c>
      <c r="J326" t="s">
        <v>3</v>
      </c>
      <c r="K326" t="s">
        <v>340</v>
      </c>
      <c r="L326">
        <v>1191</v>
      </c>
      <c r="N326">
        <v>1013</v>
      </c>
      <c r="O326" t="s">
        <v>341</v>
      </c>
      <c r="P326" t="s">
        <v>341</v>
      </c>
      <c r="Q326">
        <v>1</v>
      </c>
      <c r="W326">
        <v>0</v>
      </c>
      <c r="X326">
        <v>476480486</v>
      </c>
      <c r="Y326">
        <f>(AT326*1.2)</f>
        <v>19.920000000000002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5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16.600000000000001</v>
      </c>
      <c r="AU326" t="s">
        <v>56</v>
      </c>
      <c r="AV326">
        <v>1</v>
      </c>
      <c r="AW326">
        <v>2</v>
      </c>
      <c r="AX326">
        <v>55918407</v>
      </c>
      <c r="AY326">
        <v>1</v>
      </c>
      <c r="AZ326">
        <v>0</v>
      </c>
      <c r="BA326">
        <v>366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U326">
        <f>ROUND(AT326*Source!I253*AH326*AL326,2)</f>
        <v>0</v>
      </c>
      <c r="CV326">
        <f>ROUND(Y326*Source!I253,9)</f>
        <v>29.88</v>
      </c>
      <c r="CW326">
        <v>0</v>
      </c>
      <c r="CX326">
        <f>ROUND(Y326*Source!I253,9)</f>
        <v>29.88</v>
      </c>
      <c r="CY326">
        <f>AD326</f>
        <v>0</v>
      </c>
      <c r="CZ326">
        <f>AH326</f>
        <v>0</v>
      </c>
      <c r="DA326">
        <f>AL326</f>
        <v>1</v>
      </c>
      <c r="DB326">
        <f>ROUND((ROUND(AT326*CZ326,2)*1.2),6)</f>
        <v>0</v>
      </c>
      <c r="DC326">
        <f>ROUND((ROUND(AT326*AG326,2)*1.2),6)</f>
        <v>0</v>
      </c>
      <c r="DD326" t="s">
        <v>3</v>
      </c>
      <c r="DE326" t="s">
        <v>3</v>
      </c>
      <c r="DF326">
        <f t="shared" si="196"/>
        <v>0</v>
      </c>
      <c r="DG326">
        <f t="shared" si="195"/>
        <v>0</v>
      </c>
      <c r="DH326">
        <f t="shared" si="193"/>
        <v>0</v>
      </c>
      <c r="DI326">
        <f t="shared" si="201"/>
        <v>0</v>
      </c>
      <c r="DJ326">
        <f>DI326</f>
        <v>0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5">
      <c r="A327">
        <f>ROW(Source!A253)</f>
        <v>253</v>
      </c>
      <c r="B327">
        <v>55917799</v>
      </c>
      <c r="C327">
        <v>55918396</v>
      </c>
      <c r="D327">
        <v>55490263</v>
      </c>
      <c r="E327">
        <v>1</v>
      </c>
      <c r="F327">
        <v>1</v>
      </c>
      <c r="G327">
        <v>1081</v>
      </c>
      <c r="H327">
        <v>2</v>
      </c>
      <c r="I327" t="s">
        <v>441</v>
      </c>
      <c r="J327" t="s">
        <v>442</v>
      </c>
      <c r="K327" t="s">
        <v>443</v>
      </c>
      <c r="L327">
        <v>1368</v>
      </c>
      <c r="N327">
        <v>1011</v>
      </c>
      <c r="O327" t="s">
        <v>376</v>
      </c>
      <c r="P327" t="s">
        <v>376</v>
      </c>
      <c r="Q327">
        <v>1</v>
      </c>
      <c r="W327">
        <v>0</v>
      </c>
      <c r="X327">
        <v>-1895752648</v>
      </c>
      <c r="Y327">
        <f>(AT327*1.2)</f>
        <v>1.38</v>
      </c>
      <c r="AA327">
        <v>0</v>
      </c>
      <c r="AB327">
        <v>7.71</v>
      </c>
      <c r="AC327">
        <v>0</v>
      </c>
      <c r="AD327">
        <v>0</v>
      </c>
      <c r="AE327">
        <v>0</v>
      </c>
      <c r="AF327">
        <v>0.77</v>
      </c>
      <c r="AG327">
        <v>0</v>
      </c>
      <c r="AH327">
        <v>0</v>
      </c>
      <c r="AI327">
        <v>1</v>
      </c>
      <c r="AJ327">
        <v>9.56</v>
      </c>
      <c r="AK327">
        <v>1</v>
      </c>
      <c r="AL327">
        <v>1</v>
      </c>
      <c r="AM327">
        <v>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1.1499999999999999</v>
      </c>
      <c r="AU327" t="s">
        <v>56</v>
      </c>
      <c r="AV327">
        <v>0</v>
      </c>
      <c r="AW327">
        <v>2</v>
      </c>
      <c r="AX327">
        <v>55918408</v>
      </c>
      <c r="AY327">
        <v>1</v>
      </c>
      <c r="AZ327">
        <v>0</v>
      </c>
      <c r="BA327">
        <v>367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f>ROUND(Y327*Source!I253*DO327,9)</f>
        <v>0</v>
      </c>
      <c r="CX327">
        <f>ROUND(Y327*Source!I253,9)</f>
        <v>2.0699999999999998</v>
      </c>
      <c r="CY327">
        <f>AB327</f>
        <v>7.71</v>
      </c>
      <c r="CZ327">
        <f>AF327</f>
        <v>0.77</v>
      </c>
      <c r="DA327">
        <f>AJ327</f>
        <v>9.56</v>
      </c>
      <c r="DB327">
        <f>ROUND((ROUND(AT327*CZ327,2)*1.2),6)</f>
        <v>1.0680000000000001</v>
      </c>
      <c r="DC327">
        <f>ROUND((ROUND(AT327*AG327,2)*1.2),6)</f>
        <v>0</v>
      </c>
      <c r="DD327" t="s">
        <v>3</v>
      </c>
      <c r="DE327" t="s">
        <v>3</v>
      </c>
      <c r="DF327">
        <f t="shared" si="196"/>
        <v>0</v>
      </c>
      <c r="DG327">
        <f>ROUND(ROUND(AF327*AJ327,2)*CX327,2)</f>
        <v>15.24</v>
      </c>
      <c r="DH327">
        <f t="shared" si="193"/>
        <v>0</v>
      </c>
      <c r="DI327">
        <f t="shared" si="201"/>
        <v>0</v>
      </c>
      <c r="DJ327">
        <f>DG327</f>
        <v>15.24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5">
      <c r="A328">
        <f>ROW(Source!A253)</f>
        <v>253</v>
      </c>
      <c r="B328">
        <v>55917799</v>
      </c>
      <c r="C328">
        <v>55918396</v>
      </c>
      <c r="D328">
        <v>55490296</v>
      </c>
      <c r="E328">
        <v>1</v>
      </c>
      <c r="F328">
        <v>1</v>
      </c>
      <c r="G328">
        <v>1081</v>
      </c>
      <c r="H328">
        <v>2</v>
      </c>
      <c r="I328" t="s">
        <v>444</v>
      </c>
      <c r="J328" t="s">
        <v>445</v>
      </c>
      <c r="K328" t="s">
        <v>446</v>
      </c>
      <c r="L328">
        <v>1368</v>
      </c>
      <c r="N328">
        <v>1011</v>
      </c>
      <c r="O328" t="s">
        <v>376</v>
      </c>
      <c r="P328" t="s">
        <v>376</v>
      </c>
      <c r="Q328">
        <v>1</v>
      </c>
      <c r="W328">
        <v>0</v>
      </c>
      <c r="X328">
        <v>-643591644</v>
      </c>
      <c r="Y328">
        <f>(AT328*1.2)</f>
        <v>2.16</v>
      </c>
      <c r="AA328">
        <v>0</v>
      </c>
      <c r="AB328">
        <v>4.75</v>
      </c>
      <c r="AC328">
        <v>0</v>
      </c>
      <c r="AD328">
        <v>0</v>
      </c>
      <c r="AE328">
        <v>0</v>
      </c>
      <c r="AF328">
        <v>0.47</v>
      </c>
      <c r="AG328">
        <v>0</v>
      </c>
      <c r="AH328">
        <v>0</v>
      </c>
      <c r="AI328">
        <v>1</v>
      </c>
      <c r="AJ328">
        <v>9.66</v>
      </c>
      <c r="AK328">
        <v>1</v>
      </c>
      <c r="AL328">
        <v>1</v>
      </c>
      <c r="AM328">
        <v>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1.8</v>
      </c>
      <c r="AU328" t="s">
        <v>56</v>
      </c>
      <c r="AV328">
        <v>0</v>
      </c>
      <c r="AW328">
        <v>2</v>
      </c>
      <c r="AX328">
        <v>55918409</v>
      </c>
      <c r="AY328">
        <v>1</v>
      </c>
      <c r="AZ328">
        <v>0</v>
      </c>
      <c r="BA328">
        <v>368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f>ROUND(Y328*Source!I253*DO328,9)</f>
        <v>0</v>
      </c>
      <c r="CX328">
        <f>ROUND(Y328*Source!I253,9)</f>
        <v>3.24</v>
      </c>
      <c r="CY328">
        <f>AB328</f>
        <v>4.75</v>
      </c>
      <c r="CZ328">
        <f>AF328</f>
        <v>0.47</v>
      </c>
      <c r="DA328">
        <f>AJ328</f>
        <v>9.66</v>
      </c>
      <c r="DB328">
        <f>ROUND((ROUND(AT328*CZ328,2)*1.2),6)</f>
        <v>1.02</v>
      </c>
      <c r="DC328">
        <f>ROUND((ROUND(AT328*AG328,2)*1.2),6)</f>
        <v>0</v>
      </c>
      <c r="DD328" t="s">
        <v>3</v>
      </c>
      <c r="DE328" t="s">
        <v>3</v>
      </c>
      <c r="DF328">
        <f t="shared" si="196"/>
        <v>0</v>
      </c>
      <c r="DG328">
        <f>ROUND(ROUND(AF328*AJ328,2)*CX328,2)</f>
        <v>14.71</v>
      </c>
      <c r="DH328">
        <f t="shared" si="193"/>
        <v>0</v>
      </c>
      <c r="DI328">
        <f t="shared" si="201"/>
        <v>0</v>
      </c>
      <c r="DJ328">
        <f>DG328</f>
        <v>14.71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ROW(Source!A253)</f>
        <v>253</v>
      </c>
      <c r="B329">
        <v>55917799</v>
      </c>
      <c r="C329">
        <v>55918396</v>
      </c>
      <c r="D329">
        <v>55460960</v>
      </c>
      <c r="E329">
        <v>1</v>
      </c>
      <c r="F329">
        <v>1</v>
      </c>
      <c r="G329">
        <v>1081</v>
      </c>
      <c r="H329">
        <v>3</v>
      </c>
      <c r="I329" t="s">
        <v>447</v>
      </c>
      <c r="J329" t="s">
        <v>448</v>
      </c>
      <c r="K329" t="s">
        <v>449</v>
      </c>
      <c r="L329">
        <v>1348</v>
      </c>
      <c r="N329">
        <v>1009</v>
      </c>
      <c r="O329" t="s">
        <v>345</v>
      </c>
      <c r="P329" t="s">
        <v>345</v>
      </c>
      <c r="Q329">
        <v>1000</v>
      </c>
      <c r="W329">
        <v>0</v>
      </c>
      <c r="X329">
        <v>-260579272</v>
      </c>
      <c r="Y329">
        <f>(AT329*1)</f>
        <v>1E-3</v>
      </c>
      <c r="AA329">
        <v>136220.14000000001</v>
      </c>
      <c r="AB329">
        <v>0</v>
      </c>
      <c r="AC329">
        <v>0</v>
      </c>
      <c r="AD329">
        <v>0</v>
      </c>
      <c r="AE329">
        <v>58463.58</v>
      </c>
      <c r="AF329">
        <v>0</v>
      </c>
      <c r="AG329">
        <v>0</v>
      </c>
      <c r="AH329">
        <v>0</v>
      </c>
      <c r="AI329">
        <v>2.33</v>
      </c>
      <c r="AJ329">
        <v>1</v>
      </c>
      <c r="AK329">
        <v>1</v>
      </c>
      <c r="AL329">
        <v>1</v>
      </c>
      <c r="AM329">
        <v>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1E-3</v>
      </c>
      <c r="AU329" t="s">
        <v>55</v>
      </c>
      <c r="AV329">
        <v>0</v>
      </c>
      <c r="AW329">
        <v>2</v>
      </c>
      <c r="AX329">
        <v>55918410</v>
      </c>
      <c r="AY329">
        <v>1</v>
      </c>
      <c r="AZ329">
        <v>0</v>
      </c>
      <c r="BA329">
        <v>369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ROUND(Y329*Source!I253,9)</f>
        <v>1.5E-3</v>
      </c>
      <c r="CY329">
        <f t="shared" ref="CY329:CY334" si="202">AA329</f>
        <v>136220.14000000001</v>
      </c>
      <c r="CZ329">
        <f t="shared" ref="CZ329:CZ334" si="203">AE329</f>
        <v>58463.58</v>
      </c>
      <c r="DA329">
        <f t="shared" ref="DA329:DA334" si="204">AI329</f>
        <v>2.33</v>
      </c>
      <c r="DB329">
        <f>ROUND((ROUND(AT329*CZ329,2)*1),6)</f>
        <v>58.46</v>
      </c>
      <c r="DC329">
        <f>ROUND((ROUND(AT329*AG329,2)*1),6)</f>
        <v>0</v>
      </c>
      <c r="DD329" t="s">
        <v>3</v>
      </c>
      <c r="DE329" t="s">
        <v>3</v>
      </c>
      <c r="DF329">
        <f t="shared" ref="DF329:DF334" si="205">ROUND(ROUND(AE329*AI329,2)*CX329,2)</f>
        <v>204.33</v>
      </c>
      <c r="DG329">
        <f t="shared" ref="DG329:DG344" si="206">ROUND(ROUND(AF329,2)*CX329,2)</f>
        <v>0</v>
      </c>
      <c r="DH329">
        <f t="shared" si="193"/>
        <v>0</v>
      </c>
      <c r="DI329">
        <f t="shared" si="201"/>
        <v>0</v>
      </c>
      <c r="DJ329">
        <f t="shared" ref="DJ329:DJ334" si="207">DF329</f>
        <v>204.33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ROW(Source!A253)</f>
        <v>253</v>
      </c>
      <c r="B330">
        <v>55917799</v>
      </c>
      <c r="C330">
        <v>55918396</v>
      </c>
      <c r="D330">
        <v>55461791</v>
      </c>
      <c r="E330">
        <v>1</v>
      </c>
      <c r="F330">
        <v>1</v>
      </c>
      <c r="G330">
        <v>1081</v>
      </c>
      <c r="H330">
        <v>3</v>
      </c>
      <c r="I330" t="s">
        <v>419</v>
      </c>
      <c r="J330" t="s">
        <v>420</v>
      </c>
      <c r="K330" t="s">
        <v>421</v>
      </c>
      <c r="L330">
        <v>1355</v>
      </c>
      <c r="N330">
        <v>1010</v>
      </c>
      <c r="O330" t="s">
        <v>49</v>
      </c>
      <c r="P330" t="s">
        <v>49</v>
      </c>
      <c r="Q330">
        <v>100</v>
      </c>
      <c r="W330">
        <v>0</v>
      </c>
      <c r="X330">
        <v>-429645653</v>
      </c>
      <c r="Y330">
        <f>(AT330*1)</f>
        <v>2.1419999999999999</v>
      </c>
      <c r="AA330">
        <v>16.43</v>
      </c>
      <c r="AB330">
        <v>0</v>
      </c>
      <c r="AC330">
        <v>0</v>
      </c>
      <c r="AD330">
        <v>0</v>
      </c>
      <c r="AE330">
        <v>10.6</v>
      </c>
      <c r="AF330">
        <v>0</v>
      </c>
      <c r="AG330">
        <v>0</v>
      </c>
      <c r="AH330">
        <v>0</v>
      </c>
      <c r="AI330">
        <v>1.55</v>
      </c>
      <c r="AJ330">
        <v>1</v>
      </c>
      <c r="AK330">
        <v>1</v>
      </c>
      <c r="AL330">
        <v>1</v>
      </c>
      <c r="AM330">
        <v>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2.1419999999999999</v>
      </c>
      <c r="AU330" t="s">
        <v>55</v>
      </c>
      <c r="AV330">
        <v>0</v>
      </c>
      <c r="AW330">
        <v>2</v>
      </c>
      <c r="AX330">
        <v>55918411</v>
      </c>
      <c r="AY330">
        <v>1</v>
      </c>
      <c r="AZ330">
        <v>0</v>
      </c>
      <c r="BA330">
        <v>370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ROUND(Y330*Source!I253,9)</f>
        <v>3.2130000000000001</v>
      </c>
      <c r="CY330">
        <f t="shared" si="202"/>
        <v>16.43</v>
      </c>
      <c r="CZ330">
        <f t="shared" si="203"/>
        <v>10.6</v>
      </c>
      <c r="DA330">
        <f t="shared" si="204"/>
        <v>1.55</v>
      </c>
      <c r="DB330">
        <f>ROUND((ROUND(AT330*CZ330,2)*1),6)</f>
        <v>22.71</v>
      </c>
      <c r="DC330">
        <f>ROUND((ROUND(AT330*AG330,2)*1),6)</f>
        <v>0</v>
      </c>
      <c r="DD330" t="s">
        <v>3</v>
      </c>
      <c r="DE330" t="s">
        <v>3</v>
      </c>
      <c r="DF330">
        <f t="shared" si="205"/>
        <v>52.79</v>
      </c>
      <c r="DG330">
        <f t="shared" si="206"/>
        <v>0</v>
      </c>
      <c r="DH330">
        <f t="shared" si="193"/>
        <v>0</v>
      </c>
      <c r="DI330">
        <f t="shared" si="201"/>
        <v>0</v>
      </c>
      <c r="DJ330">
        <f t="shared" si="207"/>
        <v>52.79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5">
      <c r="A331">
        <f>ROW(Source!A253)</f>
        <v>253</v>
      </c>
      <c r="B331">
        <v>55917799</v>
      </c>
      <c r="C331">
        <v>55918396</v>
      </c>
      <c r="D331">
        <v>55482161</v>
      </c>
      <c r="E331">
        <v>1</v>
      </c>
      <c r="F331">
        <v>1</v>
      </c>
      <c r="G331">
        <v>1081</v>
      </c>
      <c r="H331">
        <v>3</v>
      </c>
      <c r="I331" t="s">
        <v>257</v>
      </c>
      <c r="J331" t="s">
        <v>259</v>
      </c>
      <c r="K331" t="s">
        <v>258</v>
      </c>
      <c r="L331">
        <v>1355</v>
      </c>
      <c r="N331">
        <v>1010</v>
      </c>
      <c r="O331" t="s">
        <v>49</v>
      </c>
      <c r="P331" t="s">
        <v>49</v>
      </c>
      <c r="Q331">
        <v>100</v>
      </c>
      <c r="W331">
        <v>0</v>
      </c>
      <c r="X331">
        <v>289520784</v>
      </c>
      <c r="Y331">
        <f>AT331</f>
        <v>200</v>
      </c>
      <c r="AA331">
        <v>255.59</v>
      </c>
      <c r="AB331">
        <v>0</v>
      </c>
      <c r="AC331">
        <v>0</v>
      </c>
      <c r="AD331">
        <v>0</v>
      </c>
      <c r="AE331">
        <v>146.88999999999999</v>
      </c>
      <c r="AF331">
        <v>0</v>
      </c>
      <c r="AG331">
        <v>0</v>
      </c>
      <c r="AH331">
        <v>0</v>
      </c>
      <c r="AI331">
        <v>1.74</v>
      </c>
      <c r="AJ331">
        <v>1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 t="s">
        <v>3</v>
      </c>
      <c r="AT331">
        <v>200</v>
      </c>
      <c r="AU331" t="s">
        <v>3</v>
      </c>
      <c r="AV331">
        <v>0</v>
      </c>
      <c r="AW331">
        <v>1</v>
      </c>
      <c r="AX331">
        <v>-1</v>
      </c>
      <c r="AY331">
        <v>0</v>
      </c>
      <c r="AZ331">
        <v>0</v>
      </c>
      <c r="BA331" t="s">
        <v>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ROUND(Y331*Source!I253,9)</f>
        <v>300</v>
      </c>
      <c r="CY331">
        <f t="shared" si="202"/>
        <v>255.59</v>
      </c>
      <c r="CZ331">
        <f t="shared" si="203"/>
        <v>146.88999999999999</v>
      </c>
      <c r="DA331">
        <f t="shared" si="204"/>
        <v>1.74</v>
      </c>
      <c r="DB331">
        <f>ROUND(ROUND(AT331*CZ331,2),6)</f>
        <v>29378</v>
      </c>
      <c r="DC331">
        <f>ROUND(ROUND(AT331*AG331,2),6)</f>
        <v>0</v>
      </c>
      <c r="DD331" t="s">
        <v>3</v>
      </c>
      <c r="DE331" t="s">
        <v>3</v>
      </c>
      <c r="DF331">
        <f t="shared" si="205"/>
        <v>76677</v>
      </c>
      <c r="DG331">
        <f t="shared" si="206"/>
        <v>0</v>
      </c>
      <c r="DH331">
        <f t="shared" si="193"/>
        <v>0</v>
      </c>
      <c r="DI331">
        <f t="shared" si="201"/>
        <v>0</v>
      </c>
      <c r="DJ331">
        <f t="shared" si="207"/>
        <v>76677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5">
      <c r="A332">
        <f>ROW(Source!A253)</f>
        <v>253</v>
      </c>
      <c r="B332">
        <v>55917799</v>
      </c>
      <c r="C332">
        <v>55918396</v>
      </c>
      <c r="D332">
        <v>55482203</v>
      </c>
      <c r="E332">
        <v>1</v>
      </c>
      <c r="F332">
        <v>1</v>
      </c>
      <c r="G332">
        <v>1081</v>
      </c>
      <c r="H332">
        <v>3</v>
      </c>
      <c r="I332" t="s">
        <v>432</v>
      </c>
      <c r="J332" t="s">
        <v>433</v>
      </c>
      <c r="K332" t="s">
        <v>434</v>
      </c>
      <c r="L332">
        <v>1356</v>
      </c>
      <c r="N332">
        <v>1010</v>
      </c>
      <c r="O332" t="s">
        <v>409</v>
      </c>
      <c r="P332" t="s">
        <v>409</v>
      </c>
      <c r="Q332">
        <v>1000</v>
      </c>
      <c r="W332">
        <v>0</v>
      </c>
      <c r="X332">
        <v>474149623</v>
      </c>
      <c r="Y332">
        <f>(AT332*1)</f>
        <v>1.7000000000000001E-2</v>
      </c>
      <c r="AA332">
        <v>1527.69</v>
      </c>
      <c r="AB332">
        <v>0</v>
      </c>
      <c r="AC332">
        <v>0</v>
      </c>
      <c r="AD332">
        <v>0</v>
      </c>
      <c r="AE332">
        <v>226.66</v>
      </c>
      <c r="AF332">
        <v>0</v>
      </c>
      <c r="AG332">
        <v>0</v>
      </c>
      <c r="AH332">
        <v>0</v>
      </c>
      <c r="AI332">
        <v>6.74</v>
      </c>
      <c r="AJ332">
        <v>1</v>
      </c>
      <c r="AK332">
        <v>1</v>
      </c>
      <c r="AL332">
        <v>1</v>
      </c>
      <c r="AM332">
        <v>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1.7000000000000001E-2</v>
      </c>
      <c r="AU332" t="s">
        <v>55</v>
      </c>
      <c r="AV332">
        <v>0</v>
      </c>
      <c r="AW332">
        <v>2</v>
      </c>
      <c r="AX332">
        <v>55918412</v>
      </c>
      <c r="AY332">
        <v>1</v>
      </c>
      <c r="AZ332">
        <v>0</v>
      </c>
      <c r="BA332">
        <v>371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ROUND(Y332*Source!I253,9)</f>
        <v>2.5499999999999998E-2</v>
      </c>
      <c r="CY332">
        <f t="shared" si="202"/>
        <v>1527.69</v>
      </c>
      <c r="CZ332">
        <f t="shared" si="203"/>
        <v>226.66</v>
      </c>
      <c r="DA332">
        <f t="shared" si="204"/>
        <v>6.74</v>
      </c>
      <c r="DB332">
        <f>ROUND((ROUND(AT332*CZ332,2)*1),6)</f>
        <v>3.85</v>
      </c>
      <c r="DC332">
        <f>ROUND((ROUND(AT332*AG332,2)*1),6)</f>
        <v>0</v>
      </c>
      <c r="DD332" t="s">
        <v>3</v>
      </c>
      <c r="DE332" t="s">
        <v>3</v>
      </c>
      <c r="DF332">
        <f t="shared" si="205"/>
        <v>38.96</v>
      </c>
      <c r="DG332">
        <f t="shared" si="206"/>
        <v>0</v>
      </c>
      <c r="DH332">
        <f t="shared" si="193"/>
        <v>0</v>
      </c>
      <c r="DI332">
        <f t="shared" si="201"/>
        <v>0</v>
      </c>
      <c r="DJ332">
        <f t="shared" si="207"/>
        <v>38.96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ROW(Source!A253)</f>
        <v>253</v>
      </c>
      <c r="B333">
        <v>55917799</v>
      </c>
      <c r="C333">
        <v>55918396</v>
      </c>
      <c r="D333">
        <v>55481977</v>
      </c>
      <c r="E333">
        <v>1</v>
      </c>
      <c r="F333">
        <v>1</v>
      </c>
      <c r="G333">
        <v>1081</v>
      </c>
      <c r="H333">
        <v>3</v>
      </c>
      <c r="I333" t="s">
        <v>450</v>
      </c>
      <c r="J333" t="s">
        <v>451</v>
      </c>
      <c r="K333" t="s">
        <v>452</v>
      </c>
      <c r="L333">
        <v>1355</v>
      </c>
      <c r="N333">
        <v>1010</v>
      </c>
      <c r="O333" t="s">
        <v>49</v>
      </c>
      <c r="P333" t="s">
        <v>49</v>
      </c>
      <c r="Q333">
        <v>100</v>
      </c>
      <c r="W333">
        <v>0</v>
      </c>
      <c r="X333">
        <v>1356827684</v>
      </c>
      <c r="Y333">
        <f>(AT333*1)</f>
        <v>0.17</v>
      </c>
      <c r="AA333">
        <v>105.5</v>
      </c>
      <c r="AB333">
        <v>0</v>
      </c>
      <c r="AC333">
        <v>0</v>
      </c>
      <c r="AD333">
        <v>0</v>
      </c>
      <c r="AE333">
        <v>26.71</v>
      </c>
      <c r="AF333">
        <v>0</v>
      </c>
      <c r="AG333">
        <v>0</v>
      </c>
      <c r="AH333">
        <v>0</v>
      </c>
      <c r="AI333">
        <v>3.95</v>
      </c>
      <c r="AJ333">
        <v>1</v>
      </c>
      <c r="AK333">
        <v>1</v>
      </c>
      <c r="AL333">
        <v>1</v>
      </c>
      <c r="AM333">
        <v>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0.17</v>
      </c>
      <c r="AU333" t="s">
        <v>55</v>
      </c>
      <c r="AV333">
        <v>0</v>
      </c>
      <c r="AW333">
        <v>2</v>
      </c>
      <c r="AX333">
        <v>55918413</v>
      </c>
      <c r="AY333">
        <v>1</v>
      </c>
      <c r="AZ333">
        <v>0</v>
      </c>
      <c r="BA333">
        <v>372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ROUND(Y333*Source!I253,9)</f>
        <v>0.255</v>
      </c>
      <c r="CY333">
        <f t="shared" si="202"/>
        <v>105.5</v>
      </c>
      <c r="CZ333">
        <f t="shared" si="203"/>
        <v>26.71</v>
      </c>
      <c r="DA333">
        <f t="shared" si="204"/>
        <v>3.95</v>
      </c>
      <c r="DB333">
        <f>ROUND((ROUND(AT333*CZ333,2)*1),6)</f>
        <v>4.54</v>
      </c>
      <c r="DC333">
        <f>ROUND((ROUND(AT333*AG333,2)*1),6)</f>
        <v>0</v>
      </c>
      <c r="DD333" t="s">
        <v>3</v>
      </c>
      <c r="DE333" t="s">
        <v>3</v>
      </c>
      <c r="DF333">
        <f t="shared" si="205"/>
        <v>26.9</v>
      </c>
      <c r="DG333">
        <f t="shared" si="206"/>
        <v>0</v>
      </c>
      <c r="DH333">
        <f t="shared" si="193"/>
        <v>0</v>
      </c>
      <c r="DI333">
        <f t="shared" si="201"/>
        <v>0</v>
      </c>
      <c r="DJ333">
        <f t="shared" si="207"/>
        <v>26.9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5">
      <c r="A334">
        <f>ROW(Source!A253)</f>
        <v>253</v>
      </c>
      <c r="B334">
        <v>55917799</v>
      </c>
      <c r="C334">
        <v>55918396</v>
      </c>
      <c r="D334">
        <v>55469271</v>
      </c>
      <c r="E334">
        <v>1</v>
      </c>
      <c r="F334">
        <v>1</v>
      </c>
      <c r="G334">
        <v>1081</v>
      </c>
      <c r="H334">
        <v>3</v>
      </c>
      <c r="I334" t="s">
        <v>453</v>
      </c>
      <c r="J334" t="s">
        <v>454</v>
      </c>
      <c r="K334" t="s">
        <v>455</v>
      </c>
      <c r="L334">
        <v>1354</v>
      </c>
      <c r="N334">
        <v>1010</v>
      </c>
      <c r="O334" t="s">
        <v>164</v>
      </c>
      <c r="P334" t="s">
        <v>164</v>
      </c>
      <c r="Q334">
        <v>1</v>
      </c>
      <c r="W334">
        <v>0</v>
      </c>
      <c r="X334">
        <v>1339646332</v>
      </c>
      <c r="Y334">
        <f>(AT334*1)</f>
        <v>0.161</v>
      </c>
      <c r="AA334">
        <v>71.78</v>
      </c>
      <c r="AB334">
        <v>0</v>
      </c>
      <c r="AC334">
        <v>0</v>
      </c>
      <c r="AD334">
        <v>0</v>
      </c>
      <c r="AE334">
        <v>14.56</v>
      </c>
      <c r="AF334">
        <v>0</v>
      </c>
      <c r="AG334">
        <v>0</v>
      </c>
      <c r="AH334">
        <v>0</v>
      </c>
      <c r="AI334">
        <v>4.93</v>
      </c>
      <c r="AJ334">
        <v>1</v>
      </c>
      <c r="AK334">
        <v>1</v>
      </c>
      <c r="AL334">
        <v>1</v>
      </c>
      <c r="AM334">
        <v>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0.161</v>
      </c>
      <c r="AU334" t="s">
        <v>55</v>
      </c>
      <c r="AV334">
        <v>0</v>
      </c>
      <c r="AW334">
        <v>2</v>
      </c>
      <c r="AX334">
        <v>55918414</v>
      </c>
      <c r="AY334">
        <v>1</v>
      </c>
      <c r="AZ334">
        <v>0</v>
      </c>
      <c r="BA334">
        <v>373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ROUND(Y334*Source!I253,9)</f>
        <v>0.24149999999999999</v>
      </c>
      <c r="CY334">
        <f t="shared" si="202"/>
        <v>71.78</v>
      </c>
      <c r="CZ334">
        <f t="shared" si="203"/>
        <v>14.56</v>
      </c>
      <c r="DA334">
        <f t="shared" si="204"/>
        <v>4.93</v>
      </c>
      <c r="DB334">
        <f>ROUND((ROUND(AT334*CZ334,2)*1),6)</f>
        <v>2.34</v>
      </c>
      <c r="DC334">
        <f>ROUND((ROUND(AT334*AG334,2)*1),6)</f>
        <v>0</v>
      </c>
      <c r="DD334" t="s">
        <v>3</v>
      </c>
      <c r="DE334" t="s">
        <v>3</v>
      </c>
      <c r="DF334">
        <f t="shared" si="205"/>
        <v>17.329999999999998</v>
      </c>
      <c r="DG334">
        <f t="shared" si="206"/>
        <v>0</v>
      </c>
      <c r="DH334">
        <f t="shared" si="193"/>
        <v>0</v>
      </c>
      <c r="DI334">
        <f t="shared" si="201"/>
        <v>0</v>
      </c>
      <c r="DJ334">
        <f t="shared" si="207"/>
        <v>17.329999999999998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ROW(Source!A264)</f>
        <v>264</v>
      </c>
      <c r="B335">
        <v>55917797</v>
      </c>
      <c r="C335">
        <v>55928087</v>
      </c>
      <c r="D335">
        <v>55424304</v>
      </c>
      <c r="E335">
        <v>1081</v>
      </c>
      <c r="F335">
        <v>1</v>
      </c>
      <c r="G335">
        <v>1081</v>
      </c>
      <c r="H335">
        <v>1</v>
      </c>
      <c r="I335" t="s">
        <v>339</v>
      </c>
      <c r="J335" t="s">
        <v>3</v>
      </c>
      <c r="K335" t="s">
        <v>340</v>
      </c>
      <c r="L335">
        <v>1191</v>
      </c>
      <c r="N335">
        <v>1013</v>
      </c>
      <c r="O335" t="s">
        <v>341</v>
      </c>
      <c r="P335" t="s">
        <v>341</v>
      </c>
      <c r="Q335">
        <v>1</v>
      </c>
      <c r="W335">
        <v>0</v>
      </c>
      <c r="X335">
        <v>476480486</v>
      </c>
      <c r="Y335">
        <f>(AT335*1.2)</f>
        <v>39.6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33</v>
      </c>
      <c r="AU335" t="s">
        <v>56</v>
      </c>
      <c r="AV335">
        <v>1</v>
      </c>
      <c r="AW335">
        <v>2</v>
      </c>
      <c r="AX335">
        <v>55928097</v>
      </c>
      <c r="AY335">
        <v>1</v>
      </c>
      <c r="AZ335">
        <v>0</v>
      </c>
      <c r="BA335">
        <v>377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U335">
        <f>ROUND(AT335*Source!I264*AH335*AL335,2)</f>
        <v>0</v>
      </c>
      <c r="CV335">
        <f>ROUND(Y335*Source!I264,9)</f>
        <v>132.66</v>
      </c>
      <c r="CW335">
        <v>0</v>
      </c>
      <c r="CX335">
        <f>ROUND(Y335*Source!I264,9)</f>
        <v>132.66</v>
      </c>
      <c r="CY335">
        <f>AD335</f>
        <v>0</v>
      </c>
      <c r="CZ335">
        <f>AH335</f>
        <v>0</v>
      </c>
      <c r="DA335">
        <f>AL335</f>
        <v>1</v>
      </c>
      <c r="DB335">
        <f>ROUND((ROUND(AT335*CZ335,2)*1.2),6)</f>
        <v>0</v>
      </c>
      <c r="DC335">
        <f>ROUND((ROUND(AT335*AG335,2)*1.2),6)</f>
        <v>0</v>
      </c>
      <c r="DD335" t="s">
        <v>3</v>
      </c>
      <c r="DE335" t="s">
        <v>3</v>
      </c>
      <c r="DF335">
        <f t="shared" ref="DF335:DF347" si="208">ROUND(ROUND(AE335,2)*CX335,2)</f>
        <v>0</v>
      </c>
      <c r="DG335">
        <f t="shared" si="206"/>
        <v>0</v>
      </c>
      <c r="DH335">
        <f t="shared" ref="DH335:DH345" si="209">ROUND(ROUND(AG335,2)*CX335,2)</f>
        <v>0</v>
      </c>
      <c r="DI335">
        <f t="shared" si="201"/>
        <v>0</v>
      </c>
      <c r="DJ335">
        <f>DI335</f>
        <v>0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ROW(Source!A264)</f>
        <v>264</v>
      </c>
      <c r="B336">
        <v>55917797</v>
      </c>
      <c r="C336">
        <v>55928087</v>
      </c>
      <c r="D336">
        <v>55489910</v>
      </c>
      <c r="E336">
        <v>1</v>
      </c>
      <c r="F336">
        <v>1</v>
      </c>
      <c r="G336">
        <v>1081</v>
      </c>
      <c r="H336">
        <v>2</v>
      </c>
      <c r="I336" t="s">
        <v>456</v>
      </c>
      <c r="J336" t="s">
        <v>457</v>
      </c>
      <c r="K336" t="s">
        <v>458</v>
      </c>
      <c r="L336">
        <v>1368</v>
      </c>
      <c r="N336">
        <v>1011</v>
      </c>
      <c r="O336" t="s">
        <v>376</v>
      </c>
      <c r="P336" t="s">
        <v>376</v>
      </c>
      <c r="Q336">
        <v>1</v>
      </c>
      <c r="W336">
        <v>0</v>
      </c>
      <c r="X336">
        <v>1498588441</v>
      </c>
      <c r="Y336">
        <f>(AT336*1.2)</f>
        <v>6.3959999999999999</v>
      </c>
      <c r="AA336">
        <v>0</v>
      </c>
      <c r="AB336">
        <v>7.44</v>
      </c>
      <c r="AC336">
        <v>0</v>
      </c>
      <c r="AD336">
        <v>0</v>
      </c>
      <c r="AE336">
        <v>0</v>
      </c>
      <c r="AF336">
        <v>7.11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-2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5.33</v>
      </c>
      <c r="AU336" t="s">
        <v>56</v>
      </c>
      <c r="AV336">
        <v>0</v>
      </c>
      <c r="AW336">
        <v>2</v>
      </c>
      <c r="AX336">
        <v>55928098</v>
      </c>
      <c r="AY336">
        <v>1</v>
      </c>
      <c r="AZ336">
        <v>0</v>
      </c>
      <c r="BA336">
        <v>378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f>ROUND(Y336*Source!I264*DO336,9)</f>
        <v>0</v>
      </c>
      <c r="CX336">
        <f>ROUND(Y336*Source!I264,9)</f>
        <v>21.426600000000001</v>
      </c>
      <c r="CY336">
        <f>AB336</f>
        <v>7.44</v>
      </c>
      <c r="CZ336">
        <f>AF336</f>
        <v>7.11</v>
      </c>
      <c r="DA336">
        <f>AJ336</f>
        <v>1</v>
      </c>
      <c r="DB336">
        <f>ROUND((ROUND(AT336*CZ336,2)*1.2),6)</f>
        <v>45.48</v>
      </c>
      <c r="DC336">
        <f>ROUND((ROUND(AT336*AG336,2)*1.2),6)</f>
        <v>0</v>
      </c>
      <c r="DD336" t="s">
        <v>3</v>
      </c>
      <c r="DE336" t="s">
        <v>3</v>
      </c>
      <c r="DF336">
        <f t="shared" si="208"/>
        <v>0</v>
      </c>
      <c r="DG336">
        <f t="shared" si="206"/>
        <v>152.34</v>
      </c>
      <c r="DH336">
        <f t="shared" si="209"/>
        <v>0</v>
      </c>
      <c r="DI336">
        <f t="shared" si="201"/>
        <v>0</v>
      </c>
      <c r="DJ336">
        <f>DG336</f>
        <v>152.34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5">
      <c r="A337">
        <f>ROW(Source!A264)</f>
        <v>264</v>
      </c>
      <c r="B337">
        <v>55917797</v>
      </c>
      <c r="C337">
        <v>55928087</v>
      </c>
      <c r="D337">
        <v>55490209</v>
      </c>
      <c r="E337">
        <v>1</v>
      </c>
      <c r="F337">
        <v>1</v>
      </c>
      <c r="G337">
        <v>1081</v>
      </c>
      <c r="H337">
        <v>2</v>
      </c>
      <c r="I337" t="s">
        <v>422</v>
      </c>
      <c r="J337" t="s">
        <v>423</v>
      </c>
      <c r="K337" t="s">
        <v>424</v>
      </c>
      <c r="L337">
        <v>1368</v>
      </c>
      <c r="N337">
        <v>1011</v>
      </c>
      <c r="O337" t="s">
        <v>376</v>
      </c>
      <c r="P337" t="s">
        <v>376</v>
      </c>
      <c r="Q337">
        <v>1</v>
      </c>
      <c r="W337">
        <v>0</v>
      </c>
      <c r="X337">
        <v>874612079</v>
      </c>
      <c r="Y337">
        <f>(AT337*1.2)</f>
        <v>0.27600000000000002</v>
      </c>
      <c r="AA337">
        <v>0</v>
      </c>
      <c r="AB337">
        <v>87.01</v>
      </c>
      <c r="AC337">
        <v>13.21</v>
      </c>
      <c r="AD337">
        <v>0</v>
      </c>
      <c r="AE337">
        <v>0</v>
      </c>
      <c r="AF337">
        <v>83.1</v>
      </c>
      <c r="AG337">
        <v>12.62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-2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0.23</v>
      </c>
      <c r="AU337" t="s">
        <v>56</v>
      </c>
      <c r="AV337">
        <v>0</v>
      </c>
      <c r="AW337">
        <v>2</v>
      </c>
      <c r="AX337">
        <v>55928099</v>
      </c>
      <c r="AY337">
        <v>1</v>
      </c>
      <c r="AZ337">
        <v>0</v>
      </c>
      <c r="BA337">
        <v>379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f>ROUND(Y337*Source!I264*DO337,9)</f>
        <v>11.668452</v>
      </c>
      <c r="CX337">
        <f>ROUND(Y337*Source!I264,9)</f>
        <v>0.92459999999999998</v>
      </c>
      <c r="CY337">
        <f>AB337</f>
        <v>87.01</v>
      </c>
      <c r="CZ337">
        <f>AF337</f>
        <v>83.1</v>
      </c>
      <c r="DA337">
        <f>AJ337</f>
        <v>1</v>
      </c>
      <c r="DB337">
        <f>ROUND((ROUND(AT337*CZ337,2)*1.2),6)</f>
        <v>22.931999999999999</v>
      </c>
      <c r="DC337">
        <f>ROUND((ROUND(AT337*AG337,2)*1.2),6)</f>
        <v>3.48</v>
      </c>
      <c r="DD337" t="s">
        <v>3</v>
      </c>
      <c r="DE337" t="s">
        <v>3</v>
      </c>
      <c r="DF337">
        <f t="shared" si="208"/>
        <v>0</v>
      </c>
      <c r="DG337">
        <f t="shared" si="206"/>
        <v>76.83</v>
      </c>
      <c r="DH337">
        <f t="shared" si="209"/>
        <v>11.67</v>
      </c>
      <c r="DI337">
        <f t="shared" si="201"/>
        <v>0</v>
      </c>
      <c r="DJ337">
        <f>DG337</f>
        <v>76.83</v>
      </c>
      <c r="DK337">
        <v>0</v>
      </c>
      <c r="DL337" t="s">
        <v>377</v>
      </c>
      <c r="DM337">
        <v>0</v>
      </c>
      <c r="DN337" t="s">
        <v>341</v>
      </c>
      <c r="DO337">
        <v>12.62</v>
      </c>
    </row>
    <row r="338" spans="1:119" x14ac:dyDescent="0.25">
      <c r="A338">
        <f>ROW(Source!A264)</f>
        <v>264</v>
      </c>
      <c r="B338">
        <v>55917797</v>
      </c>
      <c r="C338">
        <v>55928087</v>
      </c>
      <c r="D338">
        <v>55490330</v>
      </c>
      <c r="E338">
        <v>1</v>
      </c>
      <c r="F338">
        <v>1</v>
      </c>
      <c r="G338">
        <v>1081</v>
      </c>
      <c r="H338">
        <v>2</v>
      </c>
      <c r="I338" t="s">
        <v>459</v>
      </c>
      <c r="J338" t="s">
        <v>460</v>
      </c>
      <c r="K338" t="s">
        <v>461</v>
      </c>
      <c r="L338">
        <v>1368</v>
      </c>
      <c r="N338">
        <v>1011</v>
      </c>
      <c r="O338" t="s">
        <v>376</v>
      </c>
      <c r="P338" t="s">
        <v>376</v>
      </c>
      <c r="Q338">
        <v>1</v>
      </c>
      <c r="W338">
        <v>0</v>
      </c>
      <c r="X338">
        <v>-2083101341</v>
      </c>
      <c r="Y338">
        <f>(AT338*1.2)</f>
        <v>6.323999999999999</v>
      </c>
      <c r="AA338">
        <v>0</v>
      </c>
      <c r="AB338">
        <v>0.84</v>
      </c>
      <c r="AC338">
        <v>0</v>
      </c>
      <c r="AD338">
        <v>0</v>
      </c>
      <c r="AE338">
        <v>0</v>
      </c>
      <c r="AF338">
        <v>0.8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-2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5.27</v>
      </c>
      <c r="AU338" t="s">
        <v>56</v>
      </c>
      <c r="AV338">
        <v>0</v>
      </c>
      <c r="AW338">
        <v>2</v>
      </c>
      <c r="AX338">
        <v>55928100</v>
      </c>
      <c r="AY338">
        <v>1</v>
      </c>
      <c r="AZ338">
        <v>0</v>
      </c>
      <c r="BA338">
        <v>380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f>ROUND(Y338*Source!I264*DO338,9)</f>
        <v>0</v>
      </c>
      <c r="CX338">
        <f>ROUND(Y338*Source!I264,9)</f>
        <v>21.185400000000001</v>
      </c>
      <c r="CY338">
        <f>AB338</f>
        <v>0.84</v>
      </c>
      <c r="CZ338">
        <f>AF338</f>
        <v>0.8</v>
      </c>
      <c r="DA338">
        <f>AJ338</f>
        <v>1</v>
      </c>
      <c r="DB338">
        <f>ROUND((ROUND(AT338*CZ338,2)*1.2),6)</f>
        <v>5.0640000000000001</v>
      </c>
      <c r="DC338">
        <f>ROUND((ROUND(AT338*AG338,2)*1.2),6)</f>
        <v>0</v>
      </c>
      <c r="DD338" t="s">
        <v>3</v>
      </c>
      <c r="DE338" t="s">
        <v>3</v>
      </c>
      <c r="DF338">
        <f t="shared" si="208"/>
        <v>0</v>
      </c>
      <c r="DG338">
        <f t="shared" si="206"/>
        <v>16.95</v>
      </c>
      <c r="DH338">
        <f t="shared" si="209"/>
        <v>0</v>
      </c>
      <c r="DI338">
        <f t="shared" si="201"/>
        <v>0</v>
      </c>
      <c r="DJ338">
        <f>DG338</f>
        <v>16.95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ROW(Source!A264)</f>
        <v>264</v>
      </c>
      <c r="B339">
        <v>55917797</v>
      </c>
      <c r="C339">
        <v>55928087</v>
      </c>
      <c r="D339">
        <v>55460380</v>
      </c>
      <c r="E339">
        <v>1</v>
      </c>
      <c r="F339">
        <v>1</v>
      </c>
      <c r="G339">
        <v>1081</v>
      </c>
      <c r="H339">
        <v>3</v>
      </c>
      <c r="I339" t="s">
        <v>462</v>
      </c>
      <c r="J339" t="s">
        <v>463</v>
      </c>
      <c r="K339" t="s">
        <v>464</v>
      </c>
      <c r="L339">
        <v>1348</v>
      </c>
      <c r="N339">
        <v>1009</v>
      </c>
      <c r="O339" t="s">
        <v>345</v>
      </c>
      <c r="P339" t="s">
        <v>345</v>
      </c>
      <c r="Q339">
        <v>1000</v>
      </c>
      <c r="W339">
        <v>0</v>
      </c>
      <c r="X339">
        <v>277309194</v>
      </c>
      <c r="Y339">
        <f>(AT339*1)</f>
        <v>3.0000000000000001E-3</v>
      </c>
      <c r="AA339">
        <v>8590.86</v>
      </c>
      <c r="AB339">
        <v>0</v>
      </c>
      <c r="AC339">
        <v>0</v>
      </c>
      <c r="AD339">
        <v>0</v>
      </c>
      <c r="AE339">
        <v>8590.86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3.0000000000000001E-3</v>
      </c>
      <c r="AU339" t="s">
        <v>55</v>
      </c>
      <c r="AV339">
        <v>0</v>
      </c>
      <c r="AW339">
        <v>2</v>
      </c>
      <c r="AX339">
        <v>55928101</v>
      </c>
      <c r="AY339">
        <v>1</v>
      </c>
      <c r="AZ339">
        <v>0</v>
      </c>
      <c r="BA339">
        <v>381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ROUND(Y339*Source!I264,9)</f>
        <v>1.005E-2</v>
      </c>
      <c r="CY339">
        <f>AA339</f>
        <v>8590.86</v>
      </c>
      <c r="CZ339">
        <f>AE339</f>
        <v>8590.86</v>
      </c>
      <c r="DA339">
        <f>AI339</f>
        <v>1</v>
      </c>
      <c r="DB339">
        <f>ROUND((ROUND(AT339*CZ339,2)*1),6)</f>
        <v>25.77</v>
      </c>
      <c r="DC339">
        <f>ROUND((ROUND(AT339*AG339,2)*1),6)</f>
        <v>0</v>
      </c>
      <c r="DD339" t="s">
        <v>3</v>
      </c>
      <c r="DE339" t="s">
        <v>3</v>
      </c>
      <c r="DF339">
        <f t="shared" si="208"/>
        <v>86.34</v>
      </c>
      <c r="DG339">
        <f t="shared" si="206"/>
        <v>0</v>
      </c>
      <c r="DH339">
        <f t="shared" si="209"/>
        <v>0</v>
      </c>
      <c r="DI339">
        <f t="shared" si="201"/>
        <v>0</v>
      </c>
      <c r="DJ339">
        <f>DF339</f>
        <v>86.34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ROW(Source!A264)</f>
        <v>264</v>
      </c>
      <c r="B340">
        <v>55917797</v>
      </c>
      <c r="C340">
        <v>55928087</v>
      </c>
      <c r="D340">
        <v>55460882</v>
      </c>
      <c r="E340">
        <v>1</v>
      </c>
      <c r="F340">
        <v>1</v>
      </c>
      <c r="G340">
        <v>1081</v>
      </c>
      <c r="H340">
        <v>3</v>
      </c>
      <c r="I340" t="s">
        <v>465</v>
      </c>
      <c r="J340" t="s">
        <v>466</v>
      </c>
      <c r="K340" t="s">
        <v>467</v>
      </c>
      <c r="L340">
        <v>1348</v>
      </c>
      <c r="N340">
        <v>1009</v>
      </c>
      <c r="O340" t="s">
        <v>345</v>
      </c>
      <c r="P340" t="s">
        <v>345</v>
      </c>
      <c r="Q340">
        <v>1000</v>
      </c>
      <c r="W340">
        <v>0</v>
      </c>
      <c r="X340">
        <v>-1448166212</v>
      </c>
      <c r="Y340">
        <f>(AT340*1)</f>
        <v>5.8E-4</v>
      </c>
      <c r="AA340">
        <v>14327.51</v>
      </c>
      <c r="AB340">
        <v>0</v>
      </c>
      <c r="AC340">
        <v>0</v>
      </c>
      <c r="AD340">
        <v>0</v>
      </c>
      <c r="AE340">
        <v>14327.51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-2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5.8E-4</v>
      </c>
      <c r="AU340" t="s">
        <v>55</v>
      </c>
      <c r="AV340">
        <v>0</v>
      </c>
      <c r="AW340">
        <v>2</v>
      </c>
      <c r="AX340">
        <v>55928102</v>
      </c>
      <c r="AY340">
        <v>1</v>
      </c>
      <c r="AZ340">
        <v>0</v>
      </c>
      <c r="BA340">
        <v>382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ROUND(Y340*Source!I264,9)</f>
        <v>1.9430000000000001E-3</v>
      </c>
      <c r="CY340">
        <f>AA340</f>
        <v>14327.51</v>
      </c>
      <c r="CZ340">
        <f>AE340</f>
        <v>14327.51</v>
      </c>
      <c r="DA340">
        <f>AI340</f>
        <v>1</v>
      </c>
      <c r="DB340">
        <f>ROUND((ROUND(AT340*CZ340,2)*1),6)</f>
        <v>8.31</v>
      </c>
      <c r="DC340">
        <f>ROUND((ROUND(AT340*AG340,2)*1),6)</f>
        <v>0</v>
      </c>
      <c r="DD340" t="s">
        <v>3</v>
      </c>
      <c r="DE340" t="s">
        <v>3</v>
      </c>
      <c r="DF340">
        <f t="shared" si="208"/>
        <v>27.84</v>
      </c>
      <c r="DG340">
        <f t="shared" si="206"/>
        <v>0</v>
      </c>
      <c r="DH340">
        <f t="shared" si="209"/>
        <v>0</v>
      </c>
      <c r="DI340">
        <f t="shared" si="201"/>
        <v>0</v>
      </c>
      <c r="DJ340">
        <f>DF340</f>
        <v>27.84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5">
      <c r="A341">
        <f>ROW(Source!A264)</f>
        <v>264</v>
      </c>
      <c r="B341">
        <v>55917797</v>
      </c>
      <c r="C341">
        <v>55928087</v>
      </c>
      <c r="D341">
        <v>55459404</v>
      </c>
      <c r="E341">
        <v>1</v>
      </c>
      <c r="F341">
        <v>1</v>
      </c>
      <c r="G341">
        <v>1081</v>
      </c>
      <c r="H341">
        <v>3</v>
      </c>
      <c r="I341" t="s">
        <v>358</v>
      </c>
      <c r="J341" t="s">
        <v>359</v>
      </c>
      <c r="K341" t="s">
        <v>360</v>
      </c>
      <c r="L341">
        <v>1346</v>
      </c>
      <c r="N341">
        <v>1009</v>
      </c>
      <c r="O341" t="s">
        <v>316</v>
      </c>
      <c r="P341" t="s">
        <v>316</v>
      </c>
      <c r="Q341">
        <v>1</v>
      </c>
      <c r="W341">
        <v>0</v>
      </c>
      <c r="X341">
        <v>669791865</v>
      </c>
      <c r="Y341">
        <f>(AT341*1)</f>
        <v>0.55000000000000004</v>
      </c>
      <c r="AA341">
        <v>73.53</v>
      </c>
      <c r="AB341">
        <v>0</v>
      </c>
      <c r="AC341">
        <v>0</v>
      </c>
      <c r="AD341">
        <v>0</v>
      </c>
      <c r="AE341">
        <v>73.53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-2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0.55000000000000004</v>
      </c>
      <c r="AU341" t="s">
        <v>55</v>
      </c>
      <c r="AV341">
        <v>0</v>
      </c>
      <c r="AW341">
        <v>2</v>
      </c>
      <c r="AX341">
        <v>55928103</v>
      </c>
      <c r="AY341">
        <v>1</v>
      </c>
      <c r="AZ341">
        <v>0</v>
      </c>
      <c r="BA341">
        <v>383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ROUND(Y341*Source!I264,9)</f>
        <v>1.8425</v>
      </c>
      <c r="CY341">
        <f>AA341</f>
        <v>73.53</v>
      </c>
      <c r="CZ341">
        <f>AE341</f>
        <v>73.53</v>
      </c>
      <c r="DA341">
        <f>AI341</f>
        <v>1</v>
      </c>
      <c r="DB341">
        <f>ROUND((ROUND(AT341*CZ341,2)*1),6)</f>
        <v>40.44</v>
      </c>
      <c r="DC341">
        <f>ROUND((ROUND(AT341*AG341,2)*1),6)</f>
        <v>0</v>
      </c>
      <c r="DD341" t="s">
        <v>3</v>
      </c>
      <c r="DE341" t="s">
        <v>3</v>
      </c>
      <c r="DF341">
        <f t="shared" si="208"/>
        <v>135.47999999999999</v>
      </c>
      <c r="DG341">
        <f t="shared" si="206"/>
        <v>0</v>
      </c>
      <c r="DH341">
        <f t="shared" si="209"/>
        <v>0</v>
      </c>
      <c r="DI341">
        <f t="shared" si="201"/>
        <v>0</v>
      </c>
      <c r="DJ341">
        <f>DF341</f>
        <v>135.47999999999999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5">
      <c r="A342">
        <f>ROW(Source!A264)</f>
        <v>264</v>
      </c>
      <c r="B342">
        <v>55917797</v>
      </c>
      <c r="C342">
        <v>55928087</v>
      </c>
      <c r="D342">
        <v>55477681</v>
      </c>
      <c r="E342">
        <v>1</v>
      </c>
      <c r="F342">
        <v>1</v>
      </c>
      <c r="G342">
        <v>1081</v>
      </c>
      <c r="H342">
        <v>3</v>
      </c>
      <c r="I342" t="s">
        <v>285</v>
      </c>
      <c r="J342" t="s">
        <v>287</v>
      </c>
      <c r="K342" t="s">
        <v>286</v>
      </c>
      <c r="L342">
        <v>1355</v>
      </c>
      <c r="N342">
        <v>1010</v>
      </c>
      <c r="O342" t="s">
        <v>49</v>
      </c>
      <c r="P342" t="s">
        <v>49</v>
      </c>
      <c r="Q342">
        <v>100</v>
      </c>
      <c r="W342">
        <v>0</v>
      </c>
      <c r="X342">
        <v>-1630187773</v>
      </c>
      <c r="Y342">
        <f>(AT342*1)</f>
        <v>2.2000000000000002</v>
      </c>
      <c r="AA342">
        <v>46.63</v>
      </c>
      <c r="AB342">
        <v>0</v>
      </c>
      <c r="AC342">
        <v>0</v>
      </c>
      <c r="AD342">
        <v>0</v>
      </c>
      <c r="AE342">
        <v>46.63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 t="s">
        <v>3</v>
      </c>
      <c r="AT342">
        <v>2.2000000000000002</v>
      </c>
      <c r="AU342" t="s">
        <v>55</v>
      </c>
      <c r="AV342">
        <v>0</v>
      </c>
      <c r="AW342">
        <v>1</v>
      </c>
      <c r="AX342">
        <v>-1</v>
      </c>
      <c r="AY342">
        <v>0</v>
      </c>
      <c r="AZ342">
        <v>0</v>
      </c>
      <c r="BA342" t="s">
        <v>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ROUND(Y342*Source!I264,9)</f>
        <v>7.37</v>
      </c>
      <c r="CY342">
        <f>AA342</f>
        <v>46.63</v>
      </c>
      <c r="CZ342">
        <f>AE342</f>
        <v>46.63</v>
      </c>
      <c r="DA342">
        <f>AI342</f>
        <v>1</v>
      </c>
      <c r="DB342">
        <f>ROUND((ROUND(AT342*CZ342,2)*1),6)</f>
        <v>102.59</v>
      </c>
      <c r="DC342">
        <f>ROUND((ROUND(AT342*AG342,2)*1),6)</f>
        <v>0</v>
      </c>
      <c r="DD342" t="s">
        <v>3</v>
      </c>
      <c r="DE342" t="s">
        <v>3</v>
      </c>
      <c r="DF342">
        <f t="shared" si="208"/>
        <v>343.66</v>
      </c>
      <c r="DG342">
        <f t="shared" si="206"/>
        <v>0</v>
      </c>
      <c r="DH342">
        <f t="shared" si="209"/>
        <v>0</v>
      </c>
      <c r="DI342">
        <f t="shared" si="201"/>
        <v>0</v>
      </c>
      <c r="DJ342">
        <f>DF342</f>
        <v>343.66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5">
      <c r="A343">
        <f>ROW(Source!A264)</f>
        <v>264</v>
      </c>
      <c r="B343">
        <v>55917797</v>
      </c>
      <c r="C343">
        <v>55928087</v>
      </c>
      <c r="D343">
        <v>55482614</v>
      </c>
      <c r="E343">
        <v>1</v>
      </c>
      <c r="F343">
        <v>1</v>
      </c>
      <c r="G343">
        <v>1081</v>
      </c>
      <c r="H343">
        <v>3</v>
      </c>
      <c r="I343" t="s">
        <v>468</v>
      </c>
      <c r="J343" t="s">
        <v>469</v>
      </c>
      <c r="K343" t="s">
        <v>470</v>
      </c>
      <c r="L343">
        <v>1355</v>
      </c>
      <c r="N343">
        <v>1010</v>
      </c>
      <c r="O343" t="s">
        <v>49</v>
      </c>
      <c r="P343" t="s">
        <v>49</v>
      </c>
      <c r="Q343">
        <v>100</v>
      </c>
      <c r="W343">
        <v>0</v>
      </c>
      <c r="X343">
        <v>-1747219598</v>
      </c>
      <c r="Y343">
        <f>(AT343*1)</f>
        <v>2.2000000000000002</v>
      </c>
      <c r="AA343">
        <v>323.76</v>
      </c>
      <c r="AB343">
        <v>0</v>
      </c>
      <c r="AC343">
        <v>0</v>
      </c>
      <c r="AD343">
        <v>0</v>
      </c>
      <c r="AE343">
        <v>323.76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2.2000000000000002</v>
      </c>
      <c r="AU343" t="s">
        <v>55</v>
      </c>
      <c r="AV343">
        <v>0</v>
      </c>
      <c r="AW343">
        <v>2</v>
      </c>
      <c r="AX343">
        <v>55928104</v>
      </c>
      <c r="AY343">
        <v>1</v>
      </c>
      <c r="AZ343">
        <v>0</v>
      </c>
      <c r="BA343">
        <v>384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ROUND(Y343*Source!I264,9)</f>
        <v>7.37</v>
      </c>
      <c r="CY343">
        <f>AA343</f>
        <v>323.76</v>
      </c>
      <c r="CZ343">
        <f>AE343</f>
        <v>323.76</v>
      </c>
      <c r="DA343">
        <f>AI343</f>
        <v>1</v>
      </c>
      <c r="DB343">
        <f>ROUND((ROUND(AT343*CZ343,2)*1),6)</f>
        <v>712.27</v>
      </c>
      <c r="DC343">
        <f>ROUND((ROUND(AT343*AG343,2)*1),6)</f>
        <v>0</v>
      </c>
      <c r="DD343" t="s">
        <v>3</v>
      </c>
      <c r="DE343" t="s">
        <v>3</v>
      </c>
      <c r="DF343">
        <f t="shared" si="208"/>
        <v>2386.11</v>
      </c>
      <c r="DG343">
        <f t="shared" si="206"/>
        <v>0</v>
      </c>
      <c r="DH343">
        <f t="shared" si="209"/>
        <v>0</v>
      </c>
      <c r="DI343">
        <f t="shared" si="201"/>
        <v>0</v>
      </c>
      <c r="DJ343">
        <f>DF343</f>
        <v>2386.11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5">
      <c r="A344">
        <f>ROW(Source!A265)</f>
        <v>265</v>
      </c>
      <c r="B344">
        <v>55917799</v>
      </c>
      <c r="C344">
        <v>55928087</v>
      </c>
      <c r="D344">
        <v>55424304</v>
      </c>
      <c r="E344">
        <v>1081</v>
      </c>
      <c r="F344">
        <v>1</v>
      </c>
      <c r="G344">
        <v>1081</v>
      </c>
      <c r="H344">
        <v>1</v>
      </c>
      <c r="I344" t="s">
        <v>339</v>
      </c>
      <c r="J344" t="s">
        <v>3</v>
      </c>
      <c r="K344" t="s">
        <v>340</v>
      </c>
      <c r="L344">
        <v>1191</v>
      </c>
      <c r="N344">
        <v>1013</v>
      </c>
      <c r="O344" t="s">
        <v>341</v>
      </c>
      <c r="P344" t="s">
        <v>341</v>
      </c>
      <c r="Q344">
        <v>1</v>
      </c>
      <c r="W344">
        <v>0</v>
      </c>
      <c r="X344">
        <v>476480486</v>
      </c>
      <c r="Y344">
        <f>(AT344*1.2)</f>
        <v>39.6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5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33</v>
      </c>
      <c r="AU344" t="s">
        <v>56</v>
      </c>
      <c r="AV344">
        <v>1</v>
      </c>
      <c r="AW344">
        <v>2</v>
      </c>
      <c r="AX344">
        <v>55928097</v>
      </c>
      <c r="AY344">
        <v>1</v>
      </c>
      <c r="AZ344">
        <v>0</v>
      </c>
      <c r="BA344">
        <v>388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U344">
        <f>ROUND(AT344*Source!I265*AH344*AL344,2)</f>
        <v>0</v>
      </c>
      <c r="CV344">
        <f>ROUND(Y344*Source!I265,9)</f>
        <v>132.66</v>
      </c>
      <c r="CW344">
        <v>0</v>
      </c>
      <c r="CX344">
        <f>ROUND(Y344*Source!I265,9)</f>
        <v>132.66</v>
      </c>
      <c r="CY344">
        <f>AD344</f>
        <v>0</v>
      </c>
      <c r="CZ344">
        <f>AH344</f>
        <v>0</v>
      </c>
      <c r="DA344">
        <f>AL344</f>
        <v>1</v>
      </c>
      <c r="DB344">
        <f>ROUND((ROUND(AT344*CZ344,2)*1.2),6)</f>
        <v>0</v>
      </c>
      <c r="DC344">
        <f>ROUND((ROUND(AT344*AG344,2)*1.2),6)</f>
        <v>0</v>
      </c>
      <c r="DD344" t="s">
        <v>3</v>
      </c>
      <c r="DE344" t="s">
        <v>3</v>
      </c>
      <c r="DF344">
        <f t="shared" si="208"/>
        <v>0</v>
      </c>
      <c r="DG344">
        <f t="shared" si="206"/>
        <v>0</v>
      </c>
      <c r="DH344">
        <f t="shared" si="209"/>
        <v>0</v>
      </c>
      <c r="DI344">
        <f t="shared" si="201"/>
        <v>0</v>
      </c>
      <c r="DJ344">
        <f>DI344</f>
        <v>0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5">
      <c r="A345">
        <f>ROW(Source!A265)</f>
        <v>265</v>
      </c>
      <c r="B345">
        <v>55917799</v>
      </c>
      <c r="C345">
        <v>55928087</v>
      </c>
      <c r="D345">
        <v>55489910</v>
      </c>
      <c r="E345">
        <v>1</v>
      </c>
      <c r="F345">
        <v>1</v>
      </c>
      <c r="G345">
        <v>1081</v>
      </c>
      <c r="H345">
        <v>2</v>
      </c>
      <c r="I345" t="s">
        <v>456</v>
      </c>
      <c r="J345" t="s">
        <v>457</v>
      </c>
      <c r="K345" t="s">
        <v>458</v>
      </c>
      <c r="L345">
        <v>1368</v>
      </c>
      <c r="N345">
        <v>1011</v>
      </c>
      <c r="O345" t="s">
        <v>376</v>
      </c>
      <c r="P345" t="s">
        <v>376</v>
      </c>
      <c r="Q345">
        <v>1</v>
      </c>
      <c r="W345">
        <v>0</v>
      </c>
      <c r="X345">
        <v>1498588441</v>
      </c>
      <c r="Y345">
        <f>(AT345*1.2)</f>
        <v>6.3959999999999999</v>
      </c>
      <c r="AA345">
        <v>0</v>
      </c>
      <c r="AB345">
        <v>100.2</v>
      </c>
      <c r="AC345">
        <v>0</v>
      </c>
      <c r="AD345">
        <v>0</v>
      </c>
      <c r="AE345">
        <v>0</v>
      </c>
      <c r="AF345">
        <v>7.11</v>
      </c>
      <c r="AG345">
        <v>0</v>
      </c>
      <c r="AH345">
        <v>0</v>
      </c>
      <c r="AI345">
        <v>1</v>
      </c>
      <c r="AJ345">
        <v>13.46</v>
      </c>
      <c r="AK345">
        <v>1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5.33</v>
      </c>
      <c r="AU345" t="s">
        <v>56</v>
      </c>
      <c r="AV345">
        <v>0</v>
      </c>
      <c r="AW345">
        <v>2</v>
      </c>
      <c r="AX345">
        <v>55928098</v>
      </c>
      <c r="AY345">
        <v>1</v>
      </c>
      <c r="AZ345">
        <v>0</v>
      </c>
      <c r="BA345">
        <v>389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f>ROUND(Y345*Source!I265*DO345,9)</f>
        <v>0</v>
      </c>
      <c r="CX345">
        <f>ROUND(Y345*Source!I265,9)</f>
        <v>21.426600000000001</v>
      </c>
      <c r="CY345">
        <f>AB345</f>
        <v>100.2</v>
      </c>
      <c r="CZ345">
        <f>AF345</f>
        <v>7.11</v>
      </c>
      <c r="DA345">
        <f>AJ345</f>
        <v>13.46</v>
      </c>
      <c r="DB345">
        <f>ROUND((ROUND(AT345*CZ345,2)*1.2),6)</f>
        <v>45.48</v>
      </c>
      <c r="DC345">
        <f>ROUND((ROUND(AT345*AG345,2)*1.2),6)</f>
        <v>0</v>
      </c>
      <c r="DD345" t="s">
        <v>3</v>
      </c>
      <c r="DE345" t="s">
        <v>3</v>
      </c>
      <c r="DF345">
        <f t="shared" si="208"/>
        <v>0</v>
      </c>
      <c r="DG345">
        <f>ROUND(ROUND(AF345*AJ345,2)*CX345,2)</f>
        <v>2050.5300000000002</v>
      </c>
      <c r="DH345">
        <f t="shared" si="209"/>
        <v>0</v>
      </c>
      <c r="DI345">
        <f t="shared" si="201"/>
        <v>0</v>
      </c>
      <c r="DJ345">
        <f>DG345</f>
        <v>2050.5300000000002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ROW(Source!A265)</f>
        <v>265</v>
      </c>
      <c r="B346">
        <v>55917799</v>
      </c>
      <c r="C346">
        <v>55928087</v>
      </c>
      <c r="D346">
        <v>55490209</v>
      </c>
      <c r="E346">
        <v>1</v>
      </c>
      <c r="F346">
        <v>1</v>
      </c>
      <c r="G346">
        <v>1081</v>
      </c>
      <c r="H346">
        <v>2</v>
      </c>
      <c r="I346" t="s">
        <v>422</v>
      </c>
      <c r="J346" t="s">
        <v>423</v>
      </c>
      <c r="K346" t="s">
        <v>424</v>
      </c>
      <c r="L346">
        <v>1368</v>
      </c>
      <c r="N346">
        <v>1011</v>
      </c>
      <c r="O346" t="s">
        <v>376</v>
      </c>
      <c r="P346" t="s">
        <v>376</v>
      </c>
      <c r="Q346">
        <v>1</v>
      </c>
      <c r="W346">
        <v>0</v>
      </c>
      <c r="X346">
        <v>874612079</v>
      </c>
      <c r="Y346">
        <f>(AT346*1.2)</f>
        <v>0.27600000000000002</v>
      </c>
      <c r="AA346">
        <v>0</v>
      </c>
      <c r="AB346">
        <v>1485.19</v>
      </c>
      <c r="AC346">
        <v>744.56</v>
      </c>
      <c r="AD346">
        <v>0</v>
      </c>
      <c r="AE346">
        <v>0</v>
      </c>
      <c r="AF346">
        <v>83.1</v>
      </c>
      <c r="AG346">
        <v>12.62</v>
      </c>
      <c r="AH346">
        <v>0</v>
      </c>
      <c r="AI346">
        <v>1</v>
      </c>
      <c r="AJ346">
        <v>17.07</v>
      </c>
      <c r="AK346">
        <v>56.35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0.23</v>
      </c>
      <c r="AU346" t="s">
        <v>56</v>
      </c>
      <c r="AV346">
        <v>0</v>
      </c>
      <c r="AW346">
        <v>2</v>
      </c>
      <c r="AX346">
        <v>55928099</v>
      </c>
      <c r="AY346">
        <v>1</v>
      </c>
      <c r="AZ346">
        <v>0</v>
      </c>
      <c r="BA346">
        <v>390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f>ROUND(Y346*Source!I265*DO346,9)</f>
        <v>11.668452</v>
      </c>
      <c r="CX346">
        <f>ROUND(Y346*Source!I265,9)</f>
        <v>0.92459999999999998</v>
      </c>
      <c r="CY346">
        <f>AB346</f>
        <v>1485.19</v>
      </c>
      <c r="CZ346">
        <f>AF346</f>
        <v>83.1</v>
      </c>
      <c r="DA346">
        <f>AJ346</f>
        <v>17.07</v>
      </c>
      <c r="DB346">
        <f>ROUND((ROUND(AT346*CZ346,2)*1.2),6)</f>
        <v>22.931999999999999</v>
      </c>
      <c r="DC346">
        <f>ROUND((ROUND(AT346*AG346,2)*1.2),6)</f>
        <v>3.48</v>
      </c>
      <c r="DD346" t="s">
        <v>3</v>
      </c>
      <c r="DE346" t="s">
        <v>3</v>
      </c>
      <c r="DF346">
        <f t="shared" si="208"/>
        <v>0</v>
      </c>
      <c r="DG346">
        <f>ROUND(ROUND(AF346*AJ346,2)*CX346,2)</f>
        <v>1311.56</v>
      </c>
      <c r="DH346">
        <f>ROUND(ROUND(AG346*AK346,2)*CX346,2)</f>
        <v>657.52</v>
      </c>
      <c r="DI346">
        <f t="shared" si="201"/>
        <v>0</v>
      </c>
      <c r="DJ346">
        <f>DG346</f>
        <v>1311.56</v>
      </c>
      <c r="DK346">
        <v>0</v>
      </c>
      <c r="DL346" t="s">
        <v>377</v>
      </c>
      <c r="DM346">
        <v>0</v>
      </c>
      <c r="DN346" t="s">
        <v>341</v>
      </c>
      <c r="DO346">
        <v>12.62</v>
      </c>
    </row>
    <row r="347" spans="1:119" x14ac:dyDescent="0.25">
      <c r="A347">
        <f>ROW(Source!A265)</f>
        <v>265</v>
      </c>
      <c r="B347">
        <v>55917799</v>
      </c>
      <c r="C347">
        <v>55928087</v>
      </c>
      <c r="D347">
        <v>55490330</v>
      </c>
      <c r="E347">
        <v>1</v>
      </c>
      <c r="F347">
        <v>1</v>
      </c>
      <c r="G347">
        <v>1081</v>
      </c>
      <c r="H347">
        <v>2</v>
      </c>
      <c r="I347" t="s">
        <v>459</v>
      </c>
      <c r="J347" t="s">
        <v>460</v>
      </c>
      <c r="K347" t="s">
        <v>461</v>
      </c>
      <c r="L347">
        <v>1368</v>
      </c>
      <c r="N347">
        <v>1011</v>
      </c>
      <c r="O347" t="s">
        <v>376</v>
      </c>
      <c r="P347" t="s">
        <v>376</v>
      </c>
      <c r="Q347">
        <v>1</v>
      </c>
      <c r="W347">
        <v>0</v>
      </c>
      <c r="X347">
        <v>-2083101341</v>
      </c>
      <c r="Y347">
        <f>(AT347*1.2)</f>
        <v>6.323999999999999</v>
      </c>
      <c r="AA347">
        <v>0</v>
      </c>
      <c r="AB347">
        <v>7.92</v>
      </c>
      <c r="AC347">
        <v>0</v>
      </c>
      <c r="AD347">
        <v>0</v>
      </c>
      <c r="AE347">
        <v>0</v>
      </c>
      <c r="AF347">
        <v>0.8</v>
      </c>
      <c r="AG347">
        <v>0</v>
      </c>
      <c r="AH347">
        <v>0</v>
      </c>
      <c r="AI347">
        <v>1</v>
      </c>
      <c r="AJ347">
        <v>9.4600000000000009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5.27</v>
      </c>
      <c r="AU347" t="s">
        <v>56</v>
      </c>
      <c r="AV347">
        <v>0</v>
      </c>
      <c r="AW347">
        <v>2</v>
      </c>
      <c r="AX347">
        <v>55928100</v>
      </c>
      <c r="AY347">
        <v>1</v>
      </c>
      <c r="AZ347">
        <v>0</v>
      </c>
      <c r="BA347">
        <v>391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f>ROUND(Y347*Source!I265*DO347,9)</f>
        <v>0</v>
      </c>
      <c r="CX347">
        <f>ROUND(Y347*Source!I265,9)</f>
        <v>21.185400000000001</v>
      </c>
      <c r="CY347">
        <f>AB347</f>
        <v>7.92</v>
      </c>
      <c r="CZ347">
        <f>AF347</f>
        <v>0.8</v>
      </c>
      <c r="DA347">
        <f>AJ347</f>
        <v>9.4600000000000009</v>
      </c>
      <c r="DB347">
        <f>ROUND((ROUND(AT347*CZ347,2)*1.2),6)</f>
        <v>5.0640000000000001</v>
      </c>
      <c r="DC347">
        <f>ROUND((ROUND(AT347*AG347,2)*1.2),6)</f>
        <v>0</v>
      </c>
      <c r="DD347" t="s">
        <v>3</v>
      </c>
      <c r="DE347" t="s">
        <v>3</v>
      </c>
      <c r="DF347">
        <f t="shared" si="208"/>
        <v>0</v>
      </c>
      <c r="DG347">
        <f>ROUND(ROUND(AF347*AJ347,2)*CX347,2)</f>
        <v>160.37</v>
      </c>
      <c r="DH347">
        <f t="shared" ref="DH347:DH356" si="210">ROUND(ROUND(AG347,2)*CX347,2)</f>
        <v>0</v>
      </c>
      <c r="DI347">
        <f t="shared" si="201"/>
        <v>0</v>
      </c>
      <c r="DJ347">
        <f>DG347</f>
        <v>160.37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5">
      <c r="A348">
        <f>ROW(Source!A265)</f>
        <v>265</v>
      </c>
      <c r="B348">
        <v>55917799</v>
      </c>
      <c r="C348">
        <v>55928087</v>
      </c>
      <c r="D348">
        <v>55460380</v>
      </c>
      <c r="E348">
        <v>1</v>
      </c>
      <c r="F348">
        <v>1</v>
      </c>
      <c r="G348">
        <v>1081</v>
      </c>
      <c r="H348">
        <v>3</v>
      </c>
      <c r="I348" t="s">
        <v>462</v>
      </c>
      <c r="J348" t="s">
        <v>463</v>
      </c>
      <c r="K348" t="s">
        <v>464</v>
      </c>
      <c r="L348">
        <v>1348</v>
      </c>
      <c r="N348">
        <v>1009</v>
      </c>
      <c r="O348" t="s">
        <v>345</v>
      </c>
      <c r="P348" t="s">
        <v>345</v>
      </c>
      <c r="Q348">
        <v>1000</v>
      </c>
      <c r="W348">
        <v>0</v>
      </c>
      <c r="X348">
        <v>277309194</v>
      </c>
      <c r="Y348">
        <f>(AT348*1)</f>
        <v>3.0000000000000001E-3</v>
      </c>
      <c r="AA348">
        <v>141233.74</v>
      </c>
      <c r="AB348">
        <v>0</v>
      </c>
      <c r="AC348">
        <v>0</v>
      </c>
      <c r="AD348">
        <v>0</v>
      </c>
      <c r="AE348">
        <v>8590.86</v>
      </c>
      <c r="AF348">
        <v>0</v>
      </c>
      <c r="AG348">
        <v>0</v>
      </c>
      <c r="AH348">
        <v>0</v>
      </c>
      <c r="AI348">
        <v>16.440000000000001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3.0000000000000001E-3</v>
      </c>
      <c r="AU348" t="s">
        <v>55</v>
      </c>
      <c r="AV348">
        <v>0</v>
      </c>
      <c r="AW348">
        <v>2</v>
      </c>
      <c r="AX348">
        <v>55928101</v>
      </c>
      <c r="AY348">
        <v>1</v>
      </c>
      <c r="AZ348">
        <v>0</v>
      </c>
      <c r="BA348">
        <v>392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ROUND(Y348*Source!I265,9)</f>
        <v>1.005E-2</v>
      </c>
      <c r="CY348">
        <f>AA348</f>
        <v>141233.74</v>
      </c>
      <c r="CZ348">
        <f>AE348</f>
        <v>8590.86</v>
      </c>
      <c r="DA348">
        <f>AI348</f>
        <v>16.440000000000001</v>
      </c>
      <c r="DB348">
        <f>ROUND((ROUND(AT348*CZ348,2)*1),6)</f>
        <v>25.77</v>
      </c>
      <c r="DC348">
        <f>ROUND((ROUND(AT348*AG348,2)*1),6)</f>
        <v>0</v>
      </c>
      <c r="DD348" t="s">
        <v>3</v>
      </c>
      <c r="DE348" t="s">
        <v>3</v>
      </c>
      <c r="DF348">
        <f>ROUND(ROUND(AE348*AI348,2)*CX348,2)</f>
        <v>1419.4</v>
      </c>
      <c r="DG348">
        <f t="shared" ref="DG348:DG356" si="211">ROUND(ROUND(AF348,2)*CX348,2)</f>
        <v>0</v>
      </c>
      <c r="DH348">
        <f t="shared" si="210"/>
        <v>0</v>
      </c>
      <c r="DI348">
        <f t="shared" si="201"/>
        <v>0</v>
      </c>
      <c r="DJ348">
        <f>DF348</f>
        <v>1419.4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5">
      <c r="A349">
        <f>ROW(Source!A265)</f>
        <v>265</v>
      </c>
      <c r="B349">
        <v>55917799</v>
      </c>
      <c r="C349">
        <v>55928087</v>
      </c>
      <c r="D349">
        <v>55460882</v>
      </c>
      <c r="E349">
        <v>1</v>
      </c>
      <c r="F349">
        <v>1</v>
      </c>
      <c r="G349">
        <v>1081</v>
      </c>
      <c r="H349">
        <v>3</v>
      </c>
      <c r="I349" t="s">
        <v>465</v>
      </c>
      <c r="J349" t="s">
        <v>466</v>
      </c>
      <c r="K349" t="s">
        <v>467</v>
      </c>
      <c r="L349">
        <v>1348</v>
      </c>
      <c r="N349">
        <v>1009</v>
      </c>
      <c r="O349" t="s">
        <v>345</v>
      </c>
      <c r="P349" t="s">
        <v>345</v>
      </c>
      <c r="Q349">
        <v>1000</v>
      </c>
      <c r="W349">
        <v>0</v>
      </c>
      <c r="X349">
        <v>-1448166212</v>
      </c>
      <c r="Y349">
        <f>(AT349*1)</f>
        <v>5.8E-4</v>
      </c>
      <c r="AA349">
        <v>109175.63</v>
      </c>
      <c r="AB349">
        <v>0</v>
      </c>
      <c r="AC349">
        <v>0</v>
      </c>
      <c r="AD349">
        <v>0</v>
      </c>
      <c r="AE349">
        <v>14327.51</v>
      </c>
      <c r="AF349">
        <v>0</v>
      </c>
      <c r="AG349">
        <v>0</v>
      </c>
      <c r="AH349">
        <v>0</v>
      </c>
      <c r="AI349">
        <v>7.62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5.8E-4</v>
      </c>
      <c r="AU349" t="s">
        <v>55</v>
      </c>
      <c r="AV349">
        <v>0</v>
      </c>
      <c r="AW349">
        <v>2</v>
      </c>
      <c r="AX349">
        <v>55928102</v>
      </c>
      <c r="AY349">
        <v>1</v>
      </c>
      <c r="AZ349">
        <v>0</v>
      </c>
      <c r="BA349">
        <v>393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ROUND(Y349*Source!I265,9)</f>
        <v>1.9430000000000001E-3</v>
      </c>
      <c r="CY349">
        <f>AA349</f>
        <v>109175.63</v>
      </c>
      <c r="CZ349">
        <f>AE349</f>
        <v>14327.51</v>
      </c>
      <c r="DA349">
        <f>AI349</f>
        <v>7.62</v>
      </c>
      <c r="DB349">
        <f>ROUND((ROUND(AT349*CZ349,2)*1),6)</f>
        <v>8.31</v>
      </c>
      <c r="DC349">
        <f>ROUND((ROUND(AT349*AG349,2)*1),6)</f>
        <v>0</v>
      </c>
      <c r="DD349" t="s">
        <v>3</v>
      </c>
      <c r="DE349" t="s">
        <v>3</v>
      </c>
      <c r="DF349">
        <f>ROUND(ROUND(AE349*AI349,2)*CX349,2)</f>
        <v>212.13</v>
      </c>
      <c r="DG349">
        <f t="shared" si="211"/>
        <v>0</v>
      </c>
      <c r="DH349">
        <f t="shared" si="210"/>
        <v>0</v>
      </c>
      <c r="DI349">
        <f t="shared" si="201"/>
        <v>0</v>
      </c>
      <c r="DJ349">
        <f>DF349</f>
        <v>212.13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ROW(Source!A265)</f>
        <v>265</v>
      </c>
      <c r="B350">
        <v>55917799</v>
      </c>
      <c r="C350">
        <v>55928087</v>
      </c>
      <c r="D350">
        <v>55459404</v>
      </c>
      <c r="E350">
        <v>1</v>
      </c>
      <c r="F350">
        <v>1</v>
      </c>
      <c r="G350">
        <v>1081</v>
      </c>
      <c r="H350">
        <v>3</v>
      </c>
      <c r="I350" t="s">
        <v>358</v>
      </c>
      <c r="J350" t="s">
        <v>359</v>
      </c>
      <c r="K350" t="s">
        <v>360</v>
      </c>
      <c r="L350">
        <v>1346</v>
      </c>
      <c r="N350">
        <v>1009</v>
      </c>
      <c r="O350" t="s">
        <v>316</v>
      </c>
      <c r="P350" t="s">
        <v>316</v>
      </c>
      <c r="Q350">
        <v>1</v>
      </c>
      <c r="W350">
        <v>0</v>
      </c>
      <c r="X350">
        <v>669791865</v>
      </c>
      <c r="Y350">
        <f>(AT350*1)</f>
        <v>0.55000000000000004</v>
      </c>
      <c r="AA350">
        <v>158.82</v>
      </c>
      <c r="AB350">
        <v>0</v>
      </c>
      <c r="AC350">
        <v>0</v>
      </c>
      <c r="AD350">
        <v>0</v>
      </c>
      <c r="AE350">
        <v>73.53</v>
      </c>
      <c r="AF350">
        <v>0</v>
      </c>
      <c r="AG350">
        <v>0</v>
      </c>
      <c r="AH350">
        <v>0</v>
      </c>
      <c r="AI350">
        <v>2.16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0.55000000000000004</v>
      </c>
      <c r="AU350" t="s">
        <v>55</v>
      </c>
      <c r="AV350">
        <v>0</v>
      </c>
      <c r="AW350">
        <v>2</v>
      </c>
      <c r="AX350">
        <v>55928103</v>
      </c>
      <c r="AY350">
        <v>1</v>
      </c>
      <c r="AZ350">
        <v>0</v>
      </c>
      <c r="BA350">
        <v>394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ROUND(Y350*Source!I265,9)</f>
        <v>1.8425</v>
      </c>
      <c r="CY350">
        <f>AA350</f>
        <v>158.82</v>
      </c>
      <c r="CZ350">
        <f>AE350</f>
        <v>73.53</v>
      </c>
      <c r="DA350">
        <f>AI350</f>
        <v>2.16</v>
      </c>
      <c r="DB350">
        <f>ROUND((ROUND(AT350*CZ350,2)*1),6)</f>
        <v>40.44</v>
      </c>
      <c r="DC350">
        <f>ROUND((ROUND(AT350*AG350,2)*1),6)</f>
        <v>0</v>
      </c>
      <c r="DD350" t="s">
        <v>3</v>
      </c>
      <c r="DE350" t="s">
        <v>3</v>
      </c>
      <c r="DF350">
        <f>ROUND(ROUND(AE350*AI350,2)*CX350,2)</f>
        <v>292.63</v>
      </c>
      <c r="DG350">
        <f t="shared" si="211"/>
        <v>0</v>
      </c>
      <c r="DH350">
        <f t="shared" si="210"/>
        <v>0</v>
      </c>
      <c r="DI350">
        <f t="shared" si="201"/>
        <v>0</v>
      </c>
      <c r="DJ350">
        <f>DF350</f>
        <v>292.63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ROW(Source!A265)</f>
        <v>265</v>
      </c>
      <c r="B351">
        <v>55917799</v>
      </c>
      <c r="C351">
        <v>55928087</v>
      </c>
      <c r="D351">
        <v>55477681</v>
      </c>
      <c r="E351">
        <v>1</v>
      </c>
      <c r="F351">
        <v>1</v>
      </c>
      <c r="G351">
        <v>1081</v>
      </c>
      <c r="H351">
        <v>3</v>
      </c>
      <c r="I351" t="s">
        <v>285</v>
      </c>
      <c r="J351" t="s">
        <v>287</v>
      </c>
      <c r="K351" t="s">
        <v>286</v>
      </c>
      <c r="L351">
        <v>1355</v>
      </c>
      <c r="N351">
        <v>1010</v>
      </c>
      <c r="O351" t="s">
        <v>49</v>
      </c>
      <c r="P351" t="s">
        <v>49</v>
      </c>
      <c r="Q351">
        <v>100</v>
      </c>
      <c r="W351">
        <v>0</v>
      </c>
      <c r="X351">
        <v>-1630187773</v>
      </c>
      <c r="Y351">
        <f>(AT351*1)</f>
        <v>2.2000000000000002</v>
      </c>
      <c r="AA351">
        <v>50.83</v>
      </c>
      <c r="AB351">
        <v>0</v>
      </c>
      <c r="AC351">
        <v>0</v>
      </c>
      <c r="AD351">
        <v>0</v>
      </c>
      <c r="AE351">
        <v>46.63</v>
      </c>
      <c r="AF351">
        <v>0</v>
      </c>
      <c r="AG351">
        <v>0</v>
      </c>
      <c r="AH351">
        <v>0</v>
      </c>
      <c r="AI351">
        <v>1.0900000000000001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 t="s">
        <v>3</v>
      </c>
      <c r="AT351">
        <v>2.2000000000000002</v>
      </c>
      <c r="AU351" t="s">
        <v>55</v>
      </c>
      <c r="AV351">
        <v>0</v>
      </c>
      <c r="AW351">
        <v>1</v>
      </c>
      <c r="AX351">
        <v>-1</v>
      </c>
      <c r="AY351">
        <v>0</v>
      </c>
      <c r="AZ351">
        <v>0</v>
      </c>
      <c r="BA351" t="s">
        <v>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ROUND(Y351*Source!I265,9)</f>
        <v>7.37</v>
      </c>
      <c r="CY351">
        <f>AA351</f>
        <v>50.83</v>
      </c>
      <c r="CZ351">
        <f>AE351</f>
        <v>46.63</v>
      </c>
      <c r="DA351">
        <f>AI351</f>
        <v>1.0900000000000001</v>
      </c>
      <c r="DB351">
        <f>ROUND((ROUND(AT351*CZ351,2)*1),6)</f>
        <v>102.59</v>
      </c>
      <c r="DC351">
        <f>ROUND((ROUND(AT351*AG351,2)*1),6)</f>
        <v>0</v>
      </c>
      <c r="DD351" t="s">
        <v>3</v>
      </c>
      <c r="DE351" t="s">
        <v>3</v>
      </c>
      <c r="DF351">
        <f>ROUND(ROUND(AE351*AI351,2)*CX351,2)</f>
        <v>374.62</v>
      </c>
      <c r="DG351">
        <f t="shared" si="211"/>
        <v>0</v>
      </c>
      <c r="DH351">
        <f t="shared" si="210"/>
        <v>0</v>
      </c>
      <c r="DI351">
        <f t="shared" si="201"/>
        <v>0</v>
      </c>
      <c r="DJ351">
        <f>DF351</f>
        <v>374.62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ROW(Source!A265)</f>
        <v>265</v>
      </c>
      <c r="B352">
        <v>55917799</v>
      </c>
      <c r="C352">
        <v>55928087</v>
      </c>
      <c r="D352">
        <v>55482614</v>
      </c>
      <c r="E352">
        <v>1</v>
      </c>
      <c r="F352">
        <v>1</v>
      </c>
      <c r="G352">
        <v>1081</v>
      </c>
      <c r="H352">
        <v>3</v>
      </c>
      <c r="I352" t="s">
        <v>468</v>
      </c>
      <c r="J352" t="s">
        <v>469</v>
      </c>
      <c r="K352" t="s">
        <v>470</v>
      </c>
      <c r="L352">
        <v>1355</v>
      </c>
      <c r="N352">
        <v>1010</v>
      </c>
      <c r="O352" t="s">
        <v>49</v>
      </c>
      <c r="P352" t="s">
        <v>49</v>
      </c>
      <c r="Q352">
        <v>100</v>
      </c>
      <c r="W352">
        <v>0</v>
      </c>
      <c r="X352">
        <v>-1747219598</v>
      </c>
      <c r="Y352">
        <f>(AT352*1)</f>
        <v>2.2000000000000002</v>
      </c>
      <c r="AA352">
        <v>2340.7800000000002</v>
      </c>
      <c r="AB352">
        <v>0</v>
      </c>
      <c r="AC352">
        <v>0</v>
      </c>
      <c r="AD352">
        <v>0</v>
      </c>
      <c r="AE352">
        <v>323.76</v>
      </c>
      <c r="AF352">
        <v>0</v>
      </c>
      <c r="AG352">
        <v>0</v>
      </c>
      <c r="AH352">
        <v>0</v>
      </c>
      <c r="AI352">
        <v>7.23</v>
      </c>
      <c r="AJ352">
        <v>1</v>
      </c>
      <c r="AK352">
        <v>1</v>
      </c>
      <c r="AL352">
        <v>1</v>
      </c>
      <c r="AM352">
        <v>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2.2000000000000002</v>
      </c>
      <c r="AU352" t="s">
        <v>55</v>
      </c>
      <c r="AV352">
        <v>0</v>
      </c>
      <c r="AW352">
        <v>2</v>
      </c>
      <c r="AX352">
        <v>55928104</v>
      </c>
      <c r="AY352">
        <v>1</v>
      </c>
      <c r="AZ352">
        <v>0</v>
      </c>
      <c r="BA352">
        <v>395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ROUND(Y352*Source!I265,9)</f>
        <v>7.37</v>
      </c>
      <c r="CY352">
        <f>AA352</f>
        <v>2340.7800000000002</v>
      </c>
      <c r="CZ352">
        <f>AE352</f>
        <v>323.76</v>
      </c>
      <c r="DA352">
        <f>AI352</f>
        <v>7.23</v>
      </c>
      <c r="DB352">
        <f>ROUND((ROUND(AT352*CZ352,2)*1),6)</f>
        <v>712.27</v>
      </c>
      <c r="DC352">
        <f>ROUND((ROUND(AT352*AG352,2)*1),6)</f>
        <v>0</v>
      </c>
      <c r="DD352" t="s">
        <v>3</v>
      </c>
      <c r="DE352" t="s">
        <v>3</v>
      </c>
      <c r="DF352">
        <f>ROUND(ROUND(AE352*AI352,2)*CX352,2)</f>
        <v>17251.55</v>
      </c>
      <c r="DG352">
        <f t="shared" si="211"/>
        <v>0</v>
      </c>
      <c r="DH352">
        <f t="shared" si="210"/>
        <v>0</v>
      </c>
      <c r="DI352">
        <f t="shared" si="201"/>
        <v>0</v>
      </c>
      <c r="DJ352">
        <f>DF352</f>
        <v>17251.55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5">
      <c r="A353">
        <f>ROW(Source!A274)</f>
        <v>274</v>
      </c>
      <c r="B353">
        <v>55917797</v>
      </c>
      <c r="C353">
        <v>55918496</v>
      </c>
      <c r="D353">
        <v>55424304</v>
      </c>
      <c r="E353">
        <v>1081</v>
      </c>
      <c r="F353">
        <v>1</v>
      </c>
      <c r="G353">
        <v>1081</v>
      </c>
      <c r="H353">
        <v>1</v>
      </c>
      <c r="I353" t="s">
        <v>339</v>
      </c>
      <c r="J353" t="s">
        <v>3</v>
      </c>
      <c r="K353" t="s">
        <v>340</v>
      </c>
      <c r="L353">
        <v>1191</v>
      </c>
      <c r="N353">
        <v>1013</v>
      </c>
      <c r="O353" t="s">
        <v>341</v>
      </c>
      <c r="P353" t="s">
        <v>341</v>
      </c>
      <c r="Q353">
        <v>1</v>
      </c>
      <c r="W353">
        <v>0</v>
      </c>
      <c r="X353">
        <v>476480486</v>
      </c>
      <c r="Y353">
        <f>(AT353*1.2)</f>
        <v>0.26400000000000001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0.22</v>
      </c>
      <c r="AU353" t="s">
        <v>56</v>
      </c>
      <c r="AV353">
        <v>1</v>
      </c>
      <c r="AW353">
        <v>2</v>
      </c>
      <c r="AX353">
        <v>55918497</v>
      </c>
      <c r="AY353">
        <v>1</v>
      </c>
      <c r="AZ353">
        <v>0</v>
      </c>
      <c r="BA353">
        <v>399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U353">
        <f>ROUND(AT353*Source!I274*AH353*AL353,2)</f>
        <v>0</v>
      </c>
      <c r="CV353">
        <f>ROUND(Y353*Source!I274,9)</f>
        <v>1.056</v>
      </c>
      <c r="CW353">
        <v>0</v>
      </c>
      <c r="CX353">
        <f>ROUND(Y353*Source!I274,9)</f>
        <v>1.056</v>
      </c>
      <c r="CY353">
        <f>AD353</f>
        <v>0</v>
      </c>
      <c r="CZ353">
        <f>AH353</f>
        <v>0</v>
      </c>
      <c r="DA353">
        <f>AL353</f>
        <v>1</v>
      </c>
      <c r="DB353">
        <f>ROUND((ROUND(AT353*CZ353,2)*1.2),6)</f>
        <v>0</v>
      </c>
      <c r="DC353">
        <f>ROUND((ROUND(AT353*AG353,2)*1.2),6)</f>
        <v>0</v>
      </c>
      <c r="DD353" t="s">
        <v>3</v>
      </c>
      <c r="DE353" t="s">
        <v>3</v>
      </c>
      <c r="DF353">
        <f>ROUND(ROUND(AE353,2)*CX353,2)</f>
        <v>0</v>
      </c>
      <c r="DG353">
        <f t="shared" si="211"/>
        <v>0</v>
      </c>
      <c r="DH353">
        <f t="shared" si="210"/>
        <v>0</v>
      </c>
      <c r="DI353">
        <f t="shared" si="201"/>
        <v>0</v>
      </c>
      <c r="DJ353">
        <f>DI353</f>
        <v>0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ROW(Source!A275)</f>
        <v>275</v>
      </c>
      <c r="B354">
        <v>55917799</v>
      </c>
      <c r="C354">
        <v>55918496</v>
      </c>
      <c r="D354">
        <v>55424304</v>
      </c>
      <c r="E354">
        <v>1081</v>
      </c>
      <c r="F354">
        <v>1</v>
      </c>
      <c r="G354">
        <v>1081</v>
      </c>
      <c r="H354">
        <v>1</v>
      </c>
      <c r="I354" t="s">
        <v>339</v>
      </c>
      <c r="J354" t="s">
        <v>3</v>
      </c>
      <c r="K354" t="s">
        <v>340</v>
      </c>
      <c r="L354">
        <v>1191</v>
      </c>
      <c r="N354">
        <v>1013</v>
      </c>
      <c r="O354" t="s">
        <v>341</v>
      </c>
      <c r="P354" t="s">
        <v>341</v>
      </c>
      <c r="Q354">
        <v>1</v>
      </c>
      <c r="W354">
        <v>0</v>
      </c>
      <c r="X354">
        <v>476480486</v>
      </c>
      <c r="Y354">
        <f>(AT354*1.2)</f>
        <v>0.26400000000000001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5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0.22</v>
      </c>
      <c r="AU354" t="s">
        <v>56</v>
      </c>
      <c r="AV354">
        <v>1</v>
      </c>
      <c r="AW354">
        <v>2</v>
      </c>
      <c r="AX354">
        <v>55918497</v>
      </c>
      <c r="AY354">
        <v>1</v>
      </c>
      <c r="AZ354">
        <v>0</v>
      </c>
      <c r="BA354">
        <v>400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U354">
        <f>ROUND(AT354*Source!I275*AH354*AL354,2)</f>
        <v>0</v>
      </c>
      <c r="CV354">
        <f>ROUND(Y354*Source!I275,9)</f>
        <v>1.056</v>
      </c>
      <c r="CW354">
        <v>0</v>
      </c>
      <c r="CX354">
        <f>ROUND(Y354*Source!I275,9)</f>
        <v>1.056</v>
      </c>
      <c r="CY354">
        <f>AD354</f>
        <v>0</v>
      </c>
      <c r="CZ354">
        <f>AH354</f>
        <v>0</v>
      </c>
      <c r="DA354">
        <f>AL354</f>
        <v>1</v>
      </c>
      <c r="DB354">
        <f>ROUND((ROUND(AT354*CZ354,2)*1.2),6)</f>
        <v>0</v>
      </c>
      <c r="DC354">
        <f>ROUND((ROUND(AT354*AG354,2)*1.2),6)</f>
        <v>0</v>
      </c>
      <c r="DD354" t="s">
        <v>3</v>
      </c>
      <c r="DE354" t="s">
        <v>3</v>
      </c>
      <c r="DF354">
        <f>ROUND(ROUND(AE354,2)*CX354,2)</f>
        <v>0</v>
      </c>
      <c r="DG354">
        <f t="shared" si="211"/>
        <v>0</v>
      </c>
      <c r="DH354">
        <f t="shared" si="210"/>
        <v>0</v>
      </c>
      <c r="DI354">
        <f t="shared" si="201"/>
        <v>0</v>
      </c>
      <c r="DJ354">
        <f>DI354</f>
        <v>0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ROW(Source!A278)</f>
        <v>278</v>
      </c>
      <c r="B355">
        <v>55917797</v>
      </c>
      <c r="C355">
        <v>55918505</v>
      </c>
      <c r="D355">
        <v>55424304</v>
      </c>
      <c r="E355">
        <v>1081</v>
      </c>
      <c r="F355">
        <v>1</v>
      </c>
      <c r="G355">
        <v>1081</v>
      </c>
      <c r="H355">
        <v>1</v>
      </c>
      <c r="I355" t="s">
        <v>339</v>
      </c>
      <c r="J355" t="s">
        <v>3</v>
      </c>
      <c r="K355" t="s">
        <v>340</v>
      </c>
      <c r="L355">
        <v>1191</v>
      </c>
      <c r="N355">
        <v>1013</v>
      </c>
      <c r="O355" t="s">
        <v>341</v>
      </c>
      <c r="P355" t="s">
        <v>341</v>
      </c>
      <c r="Q355">
        <v>1</v>
      </c>
      <c r="W355">
        <v>0</v>
      </c>
      <c r="X355">
        <v>476480486</v>
      </c>
      <c r="Y355">
        <f>(AT355*1.2)</f>
        <v>1.512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1.26</v>
      </c>
      <c r="AU355" t="s">
        <v>56</v>
      </c>
      <c r="AV355">
        <v>1</v>
      </c>
      <c r="AW355">
        <v>2</v>
      </c>
      <c r="AX355">
        <v>55918507</v>
      </c>
      <c r="AY355">
        <v>1</v>
      </c>
      <c r="AZ355">
        <v>0</v>
      </c>
      <c r="BA355">
        <v>401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U355">
        <f>ROUND(AT355*Source!I278*AH355*AL355,2)</f>
        <v>0</v>
      </c>
      <c r="CV355">
        <f>ROUND(Y355*Source!I278,9)</f>
        <v>7.3331999999999997</v>
      </c>
      <c r="CW355">
        <v>0</v>
      </c>
      <c r="CX355">
        <f>ROUND(Y355*Source!I278,9)</f>
        <v>7.3331999999999997</v>
      </c>
      <c r="CY355">
        <f>AD355</f>
        <v>0</v>
      </c>
      <c r="CZ355">
        <f>AH355</f>
        <v>0</v>
      </c>
      <c r="DA355">
        <f>AL355</f>
        <v>1</v>
      </c>
      <c r="DB355">
        <f>ROUND((ROUND(AT355*CZ355,2)*1.2),6)</f>
        <v>0</v>
      </c>
      <c r="DC355">
        <f>ROUND((ROUND(AT355*AG355,2)*1.2),6)</f>
        <v>0</v>
      </c>
      <c r="DD355" t="s">
        <v>3</v>
      </c>
      <c r="DE355" t="s">
        <v>3</v>
      </c>
      <c r="DF355">
        <f>ROUND(ROUND(AE355,2)*CX355,2)</f>
        <v>0</v>
      </c>
      <c r="DG355">
        <f t="shared" si="211"/>
        <v>0</v>
      </c>
      <c r="DH355">
        <f t="shared" si="210"/>
        <v>0</v>
      </c>
      <c r="DI355">
        <f t="shared" si="201"/>
        <v>0</v>
      </c>
      <c r="DJ355">
        <f>DI355</f>
        <v>0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ROW(Source!A279)</f>
        <v>279</v>
      </c>
      <c r="B356">
        <v>55917799</v>
      </c>
      <c r="C356">
        <v>55918505</v>
      </c>
      <c r="D356">
        <v>55424304</v>
      </c>
      <c r="E356">
        <v>1081</v>
      </c>
      <c r="F356">
        <v>1</v>
      </c>
      <c r="G356">
        <v>1081</v>
      </c>
      <c r="H356">
        <v>1</v>
      </c>
      <c r="I356" t="s">
        <v>339</v>
      </c>
      <c r="J356" t="s">
        <v>3</v>
      </c>
      <c r="K356" t="s">
        <v>340</v>
      </c>
      <c r="L356">
        <v>1191</v>
      </c>
      <c r="N356">
        <v>1013</v>
      </c>
      <c r="O356" t="s">
        <v>341</v>
      </c>
      <c r="P356" t="s">
        <v>341</v>
      </c>
      <c r="Q356">
        <v>1</v>
      </c>
      <c r="W356">
        <v>0</v>
      </c>
      <c r="X356">
        <v>476480486</v>
      </c>
      <c r="Y356">
        <f>(AT356*1.2)</f>
        <v>1.512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5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1.26</v>
      </c>
      <c r="AU356" t="s">
        <v>56</v>
      </c>
      <c r="AV356">
        <v>1</v>
      </c>
      <c r="AW356">
        <v>2</v>
      </c>
      <c r="AX356">
        <v>55918507</v>
      </c>
      <c r="AY356">
        <v>1</v>
      </c>
      <c r="AZ356">
        <v>0</v>
      </c>
      <c r="BA356">
        <v>403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U356">
        <f>ROUND(AT356*Source!I279*AH356*AL356,2)</f>
        <v>0</v>
      </c>
      <c r="CV356">
        <f>ROUND(Y356*Source!I279,9)</f>
        <v>7.3331999999999997</v>
      </c>
      <c r="CW356">
        <v>0</v>
      </c>
      <c r="CX356">
        <f>ROUND(Y356*Source!I279,9)</f>
        <v>7.3331999999999997</v>
      </c>
      <c r="CY356">
        <f>AD356</f>
        <v>0</v>
      </c>
      <c r="CZ356">
        <f>AH356</f>
        <v>0</v>
      </c>
      <c r="DA356">
        <f>AL356</f>
        <v>1</v>
      </c>
      <c r="DB356">
        <f>ROUND((ROUND(AT356*CZ356,2)*1.2),6)</f>
        <v>0</v>
      </c>
      <c r="DC356">
        <f>ROUND((ROUND(AT356*AG356,2)*1.2),6)</f>
        <v>0</v>
      </c>
      <c r="DD356" t="s">
        <v>3</v>
      </c>
      <c r="DE356" t="s">
        <v>3</v>
      </c>
      <c r="DF356">
        <f>ROUND(ROUND(AE356,2)*CX356,2)</f>
        <v>0</v>
      </c>
      <c r="DG356">
        <f t="shared" si="211"/>
        <v>0</v>
      </c>
      <c r="DH356">
        <f t="shared" si="210"/>
        <v>0</v>
      </c>
      <c r="DI356">
        <f t="shared" si="201"/>
        <v>0</v>
      </c>
      <c r="DJ356">
        <f>DI356</f>
        <v>0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04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55983285</v>
      </c>
      <c r="C1">
        <v>55983273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339</v>
      </c>
      <c r="J1" t="s">
        <v>3</v>
      </c>
      <c r="K1" t="s">
        <v>340</v>
      </c>
      <c r="L1">
        <v>1191</v>
      </c>
      <c r="N1">
        <v>1013</v>
      </c>
      <c r="O1" t="s">
        <v>341</v>
      </c>
      <c r="P1" t="s">
        <v>341</v>
      </c>
      <c r="Q1">
        <v>1</v>
      </c>
      <c r="X1">
        <v>10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3.5999999999999996</v>
      </c>
      <c r="AH1">
        <v>2</v>
      </c>
      <c r="AI1">
        <v>55983274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55983286</v>
      </c>
      <c r="C2">
        <v>55983273</v>
      </c>
      <c r="D2">
        <v>55460508</v>
      </c>
      <c r="E2">
        <v>1</v>
      </c>
      <c r="F2">
        <v>1</v>
      </c>
      <c r="G2">
        <v>1081</v>
      </c>
      <c r="H2">
        <v>3</v>
      </c>
      <c r="I2" t="s">
        <v>342</v>
      </c>
      <c r="J2" t="s">
        <v>343</v>
      </c>
      <c r="K2" t="s">
        <v>344</v>
      </c>
      <c r="L2">
        <v>1348</v>
      </c>
      <c r="N2">
        <v>1009</v>
      </c>
      <c r="O2" t="s">
        <v>345</v>
      </c>
      <c r="P2" t="s">
        <v>345</v>
      </c>
      <c r="Q2">
        <v>1000</v>
      </c>
      <c r="X2">
        <v>2.0000000000000001E-4</v>
      </c>
      <c r="Y2">
        <v>12287.39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24</v>
      </c>
      <c r="AG2">
        <v>0</v>
      </c>
      <c r="AH2">
        <v>2</v>
      </c>
      <c r="AI2">
        <v>55983275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55983287</v>
      </c>
      <c r="C3">
        <v>55983273</v>
      </c>
      <c r="D3">
        <v>55460545</v>
      </c>
      <c r="E3">
        <v>1</v>
      </c>
      <c r="F3">
        <v>1</v>
      </c>
      <c r="G3">
        <v>1081</v>
      </c>
      <c r="H3">
        <v>3</v>
      </c>
      <c r="I3" t="s">
        <v>346</v>
      </c>
      <c r="J3" t="s">
        <v>347</v>
      </c>
      <c r="K3" t="s">
        <v>348</v>
      </c>
      <c r="L3">
        <v>1348</v>
      </c>
      <c r="N3">
        <v>1009</v>
      </c>
      <c r="O3" t="s">
        <v>345</v>
      </c>
      <c r="P3" t="s">
        <v>345</v>
      </c>
      <c r="Q3">
        <v>1000</v>
      </c>
      <c r="X3">
        <v>1.0000000000000001E-5</v>
      </c>
      <c r="Y3">
        <v>3772.37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24</v>
      </c>
      <c r="AG3">
        <v>0</v>
      </c>
      <c r="AH3">
        <v>2</v>
      </c>
      <c r="AI3">
        <v>55983276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ROW(Source!A28)</f>
        <v>28</v>
      </c>
      <c r="B4">
        <v>55983288</v>
      </c>
      <c r="C4">
        <v>55983273</v>
      </c>
      <c r="D4">
        <v>55461230</v>
      </c>
      <c r="E4">
        <v>1</v>
      </c>
      <c r="F4">
        <v>1</v>
      </c>
      <c r="G4">
        <v>1081</v>
      </c>
      <c r="H4">
        <v>3</v>
      </c>
      <c r="I4" t="s">
        <v>349</v>
      </c>
      <c r="J4" t="s">
        <v>350</v>
      </c>
      <c r="K4" t="s">
        <v>351</v>
      </c>
      <c r="L4">
        <v>1346</v>
      </c>
      <c r="N4">
        <v>1009</v>
      </c>
      <c r="O4" t="s">
        <v>316</v>
      </c>
      <c r="P4" t="s">
        <v>316</v>
      </c>
      <c r="Q4">
        <v>1</v>
      </c>
      <c r="X4">
        <v>0.02</v>
      </c>
      <c r="Y4">
        <v>15.11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0</v>
      </c>
      <c r="AH4">
        <v>2</v>
      </c>
      <c r="AI4">
        <v>55983277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ROW(Source!A28)</f>
        <v>28</v>
      </c>
      <c r="B5">
        <v>55983289</v>
      </c>
      <c r="C5">
        <v>55983273</v>
      </c>
      <c r="D5">
        <v>55461426</v>
      </c>
      <c r="E5">
        <v>1</v>
      </c>
      <c r="F5">
        <v>1</v>
      </c>
      <c r="G5">
        <v>1081</v>
      </c>
      <c r="H5">
        <v>3</v>
      </c>
      <c r="I5" t="s">
        <v>352</v>
      </c>
      <c r="J5" t="s">
        <v>353</v>
      </c>
      <c r="K5" t="s">
        <v>354</v>
      </c>
      <c r="L5">
        <v>1346</v>
      </c>
      <c r="N5">
        <v>1009</v>
      </c>
      <c r="O5" t="s">
        <v>316</v>
      </c>
      <c r="P5" t="s">
        <v>316</v>
      </c>
      <c r="Q5">
        <v>1</v>
      </c>
      <c r="X5">
        <v>0.5</v>
      </c>
      <c r="Y5">
        <v>35.590000000000003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24</v>
      </c>
      <c r="AG5">
        <v>0</v>
      </c>
      <c r="AH5">
        <v>2</v>
      </c>
      <c r="AI5">
        <v>55983278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ROW(Source!A28)</f>
        <v>28</v>
      </c>
      <c r="B6">
        <v>55983290</v>
      </c>
      <c r="C6">
        <v>55983273</v>
      </c>
      <c r="D6">
        <v>55459400</v>
      </c>
      <c r="E6">
        <v>1</v>
      </c>
      <c r="F6">
        <v>1</v>
      </c>
      <c r="G6">
        <v>1081</v>
      </c>
      <c r="H6">
        <v>3</v>
      </c>
      <c r="I6" t="s">
        <v>355</v>
      </c>
      <c r="J6" t="s">
        <v>356</v>
      </c>
      <c r="K6" t="s">
        <v>357</v>
      </c>
      <c r="L6">
        <v>1346</v>
      </c>
      <c r="N6">
        <v>1009</v>
      </c>
      <c r="O6" t="s">
        <v>316</v>
      </c>
      <c r="P6" t="s">
        <v>316</v>
      </c>
      <c r="Q6">
        <v>1</v>
      </c>
      <c r="X6">
        <v>0.05</v>
      </c>
      <c r="Y6">
        <v>16.690000000000001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24</v>
      </c>
      <c r="AG6">
        <v>0</v>
      </c>
      <c r="AH6">
        <v>2</v>
      </c>
      <c r="AI6">
        <v>55983279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ROW(Source!A28)</f>
        <v>28</v>
      </c>
      <c r="B7">
        <v>55983291</v>
      </c>
      <c r="C7">
        <v>55983273</v>
      </c>
      <c r="D7">
        <v>55459404</v>
      </c>
      <c r="E7">
        <v>1</v>
      </c>
      <c r="F7">
        <v>1</v>
      </c>
      <c r="G7">
        <v>1081</v>
      </c>
      <c r="H7">
        <v>3</v>
      </c>
      <c r="I7" t="s">
        <v>358</v>
      </c>
      <c r="J7" t="s">
        <v>359</v>
      </c>
      <c r="K7" t="s">
        <v>360</v>
      </c>
      <c r="L7">
        <v>1346</v>
      </c>
      <c r="N7">
        <v>1009</v>
      </c>
      <c r="O7" t="s">
        <v>316</v>
      </c>
      <c r="P7" t="s">
        <v>316</v>
      </c>
      <c r="Q7">
        <v>1</v>
      </c>
      <c r="X7">
        <v>0.2</v>
      </c>
      <c r="Y7">
        <v>73.53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24</v>
      </c>
      <c r="AG7">
        <v>0</v>
      </c>
      <c r="AH7">
        <v>2</v>
      </c>
      <c r="AI7">
        <v>55983280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ROW(Source!A28)</f>
        <v>28</v>
      </c>
      <c r="B8">
        <v>55983292</v>
      </c>
      <c r="C8">
        <v>55983273</v>
      </c>
      <c r="D8">
        <v>55459793</v>
      </c>
      <c r="E8">
        <v>1</v>
      </c>
      <c r="F8">
        <v>1</v>
      </c>
      <c r="G8">
        <v>1081</v>
      </c>
      <c r="H8">
        <v>3</v>
      </c>
      <c r="I8" t="s">
        <v>361</v>
      </c>
      <c r="J8" t="s">
        <v>362</v>
      </c>
      <c r="K8" t="s">
        <v>363</v>
      </c>
      <c r="L8">
        <v>1348</v>
      </c>
      <c r="N8">
        <v>1009</v>
      </c>
      <c r="O8" t="s">
        <v>345</v>
      </c>
      <c r="P8" t="s">
        <v>345</v>
      </c>
      <c r="Q8">
        <v>1000</v>
      </c>
      <c r="X8">
        <v>2.0000000000000001E-4</v>
      </c>
      <c r="Y8">
        <v>64123.05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0</v>
      </c>
      <c r="AH8">
        <v>2</v>
      </c>
      <c r="AI8">
        <v>55983281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ROW(Source!A28)</f>
        <v>28</v>
      </c>
      <c r="B9">
        <v>55983293</v>
      </c>
      <c r="C9">
        <v>55983273</v>
      </c>
      <c r="D9">
        <v>55466338</v>
      </c>
      <c r="E9">
        <v>1</v>
      </c>
      <c r="F9">
        <v>1</v>
      </c>
      <c r="G9">
        <v>1081</v>
      </c>
      <c r="H9">
        <v>3</v>
      </c>
      <c r="I9" t="s">
        <v>364</v>
      </c>
      <c r="J9" t="s">
        <v>365</v>
      </c>
      <c r="K9" t="s">
        <v>366</v>
      </c>
      <c r="L9">
        <v>1349</v>
      </c>
      <c r="N9">
        <v>1009</v>
      </c>
      <c r="O9" t="s">
        <v>367</v>
      </c>
      <c r="P9" t="s">
        <v>367</v>
      </c>
      <c r="Q9">
        <v>1E-3</v>
      </c>
      <c r="X9">
        <v>100</v>
      </c>
      <c r="Y9">
        <v>7.0000000000000007E-2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24</v>
      </c>
      <c r="AG9">
        <v>0</v>
      </c>
      <c r="AH9">
        <v>2</v>
      </c>
      <c r="AI9">
        <v>55983282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ROW(Source!A28)</f>
        <v>28</v>
      </c>
      <c r="B10">
        <v>55983294</v>
      </c>
      <c r="C10">
        <v>55983273</v>
      </c>
      <c r="D10">
        <v>55482233</v>
      </c>
      <c r="E10">
        <v>1</v>
      </c>
      <c r="F10">
        <v>1</v>
      </c>
      <c r="G10">
        <v>1081</v>
      </c>
      <c r="H10">
        <v>3</v>
      </c>
      <c r="I10" t="s">
        <v>368</v>
      </c>
      <c r="J10" t="s">
        <v>369</v>
      </c>
      <c r="K10" t="s">
        <v>370</v>
      </c>
      <c r="L10">
        <v>1346</v>
      </c>
      <c r="N10">
        <v>1009</v>
      </c>
      <c r="O10" t="s">
        <v>316</v>
      </c>
      <c r="P10" t="s">
        <v>316</v>
      </c>
      <c r="Q10">
        <v>1</v>
      </c>
      <c r="X10">
        <v>0.04</v>
      </c>
      <c r="Y10">
        <v>493.08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24</v>
      </c>
      <c r="AG10">
        <v>0</v>
      </c>
      <c r="AH10">
        <v>2</v>
      </c>
      <c r="AI10">
        <v>55983283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ROW(Source!A28)</f>
        <v>28</v>
      </c>
      <c r="B11">
        <v>55983295</v>
      </c>
      <c r="C11">
        <v>55983273</v>
      </c>
      <c r="D11">
        <v>55455535</v>
      </c>
      <c r="E11">
        <v>1081</v>
      </c>
      <c r="F11">
        <v>1</v>
      </c>
      <c r="G11">
        <v>1081</v>
      </c>
      <c r="H11">
        <v>3</v>
      </c>
      <c r="I11" t="s">
        <v>471</v>
      </c>
      <c r="J11" t="s">
        <v>3</v>
      </c>
      <c r="K11" t="s">
        <v>472</v>
      </c>
      <c r="L11">
        <v>1391</v>
      </c>
      <c r="N11">
        <v>1013</v>
      </c>
      <c r="O11" t="s">
        <v>473</v>
      </c>
      <c r="P11" t="s">
        <v>473</v>
      </c>
      <c r="Q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24</v>
      </c>
      <c r="AG11">
        <v>0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ROW(Source!A28)</f>
        <v>28</v>
      </c>
      <c r="B12">
        <v>55983296</v>
      </c>
      <c r="C12">
        <v>55983273</v>
      </c>
      <c r="D12">
        <v>55424290</v>
      </c>
      <c r="E12">
        <v>1081</v>
      </c>
      <c r="F12">
        <v>1</v>
      </c>
      <c r="G12">
        <v>1081</v>
      </c>
      <c r="H12">
        <v>3</v>
      </c>
      <c r="I12" t="s">
        <v>371</v>
      </c>
      <c r="J12" t="s">
        <v>3</v>
      </c>
      <c r="K12" t="s">
        <v>372</v>
      </c>
      <c r="L12">
        <v>1348</v>
      </c>
      <c r="N12">
        <v>1009</v>
      </c>
      <c r="O12" t="s">
        <v>345</v>
      </c>
      <c r="P12" t="s">
        <v>345</v>
      </c>
      <c r="Q12">
        <v>1000</v>
      </c>
      <c r="X12">
        <v>1.2E-2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24</v>
      </c>
      <c r="AG12">
        <v>0</v>
      </c>
      <c r="AH12">
        <v>2</v>
      </c>
      <c r="AI12">
        <v>55983284</v>
      </c>
      <c r="AJ12">
        <v>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ROW(Source!A29)</f>
        <v>29</v>
      </c>
      <c r="B13">
        <v>55983285</v>
      </c>
      <c r="C13">
        <v>55983273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339</v>
      </c>
      <c r="J13" t="s">
        <v>3</v>
      </c>
      <c r="K13" t="s">
        <v>340</v>
      </c>
      <c r="L13">
        <v>1191</v>
      </c>
      <c r="N13">
        <v>1013</v>
      </c>
      <c r="O13" t="s">
        <v>341</v>
      </c>
      <c r="P13" t="s">
        <v>341</v>
      </c>
      <c r="Q13">
        <v>1</v>
      </c>
      <c r="X13">
        <v>10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25</v>
      </c>
      <c r="AG13">
        <v>3.5999999999999996</v>
      </c>
      <c r="AH13">
        <v>2</v>
      </c>
      <c r="AI13">
        <v>55983274</v>
      </c>
      <c r="AJ13">
        <v>12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ROW(Source!A29)</f>
        <v>29</v>
      </c>
      <c r="B14">
        <v>55983286</v>
      </c>
      <c r="C14">
        <v>55983273</v>
      </c>
      <c r="D14">
        <v>55460508</v>
      </c>
      <c r="E14">
        <v>1</v>
      </c>
      <c r="F14">
        <v>1</v>
      </c>
      <c r="G14">
        <v>1081</v>
      </c>
      <c r="H14">
        <v>3</v>
      </c>
      <c r="I14" t="s">
        <v>342</v>
      </c>
      <c r="J14" t="s">
        <v>343</v>
      </c>
      <c r="K14" t="s">
        <v>344</v>
      </c>
      <c r="L14">
        <v>1348</v>
      </c>
      <c r="N14">
        <v>1009</v>
      </c>
      <c r="O14" t="s">
        <v>345</v>
      </c>
      <c r="P14" t="s">
        <v>345</v>
      </c>
      <c r="Q14">
        <v>1000</v>
      </c>
      <c r="X14">
        <v>2.0000000000000001E-4</v>
      </c>
      <c r="Y14">
        <v>12287.39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0</v>
      </c>
      <c r="AH14">
        <v>2</v>
      </c>
      <c r="AI14">
        <v>55983275</v>
      </c>
      <c r="AJ14">
        <v>13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ROW(Source!A29)</f>
        <v>29</v>
      </c>
      <c r="B15">
        <v>55983287</v>
      </c>
      <c r="C15">
        <v>55983273</v>
      </c>
      <c r="D15">
        <v>55460545</v>
      </c>
      <c r="E15">
        <v>1</v>
      </c>
      <c r="F15">
        <v>1</v>
      </c>
      <c r="G15">
        <v>1081</v>
      </c>
      <c r="H15">
        <v>3</v>
      </c>
      <c r="I15" t="s">
        <v>346</v>
      </c>
      <c r="J15" t="s">
        <v>347</v>
      </c>
      <c r="K15" t="s">
        <v>348</v>
      </c>
      <c r="L15">
        <v>1348</v>
      </c>
      <c r="N15">
        <v>1009</v>
      </c>
      <c r="O15" t="s">
        <v>345</v>
      </c>
      <c r="P15" t="s">
        <v>345</v>
      </c>
      <c r="Q15">
        <v>1000</v>
      </c>
      <c r="X15">
        <v>1.0000000000000001E-5</v>
      </c>
      <c r="Y15">
        <v>3772.37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24</v>
      </c>
      <c r="AG15">
        <v>0</v>
      </c>
      <c r="AH15">
        <v>2</v>
      </c>
      <c r="AI15">
        <v>55983276</v>
      </c>
      <c r="AJ15">
        <v>14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ROW(Source!A29)</f>
        <v>29</v>
      </c>
      <c r="B16">
        <v>55983288</v>
      </c>
      <c r="C16">
        <v>55983273</v>
      </c>
      <c r="D16">
        <v>55461230</v>
      </c>
      <c r="E16">
        <v>1</v>
      </c>
      <c r="F16">
        <v>1</v>
      </c>
      <c r="G16">
        <v>1081</v>
      </c>
      <c r="H16">
        <v>3</v>
      </c>
      <c r="I16" t="s">
        <v>349</v>
      </c>
      <c r="J16" t="s">
        <v>350</v>
      </c>
      <c r="K16" t="s">
        <v>351</v>
      </c>
      <c r="L16">
        <v>1346</v>
      </c>
      <c r="N16">
        <v>1009</v>
      </c>
      <c r="O16" t="s">
        <v>316</v>
      </c>
      <c r="P16" t="s">
        <v>316</v>
      </c>
      <c r="Q16">
        <v>1</v>
      </c>
      <c r="X16">
        <v>0.02</v>
      </c>
      <c r="Y16">
        <v>15.11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24</v>
      </c>
      <c r="AG16">
        <v>0</v>
      </c>
      <c r="AH16">
        <v>2</v>
      </c>
      <c r="AI16">
        <v>55983277</v>
      </c>
      <c r="AJ16">
        <v>15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ROW(Source!A29)</f>
        <v>29</v>
      </c>
      <c r="B17">
        <v>55983289</v>
      </c>
      <c r="C17">
        <v>55983273</v>
      </c>
      <c r="D17">
        <v>55461426</v>
      </c>
      <c r="E17">
        <v>1</v>
      </c>
      <c r="F17">
        <v>1</v>
      </c>
      <c r="G17">
        <v>1081</v>
      </c>
      <c r="H17">
        <v>3</v>
      </c>
      <c r="I17" t="s">
        <v>352</v>
      </c>
      <c r="J17" t="s">
        <v>353</v>
      </c>
      <c r="K17" t="s">
        <v>354</v>
      </c>
      <c r="L17">
        <v>1346</v>
      </c>
      <c r="N17">
        <v>1009</v>
      </c>
      <c r="O17" t="s">
        <v>316</v>
      </c>
      <c r="P17" t="s">
        <v>316</v>
      </c>
      <c r="Q17">
        <v>1</v>
      </c>
      <c r="X17">
        <v>0.5</v>
      </c>
      <c r="Y17">
        <v>35.590000000000003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24</v>
      </c>
      <c r="AG17">
        <v>0</v>
      </c>
      <c r="AH17">
        <v>2</v>
      </c>
      <c r="AI17">
        <v>55983278</v>
      </c>
      <c r="AJ17">
        <v>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ROW(Source!A29)</f>
        <v>29</v>
      </c>
      <c r="B18">
        <v>55983290</v>
      </c>
      <c r="C18">
        <v>55983273</v>
      </c>
      <c r="D18">
        <v>55459400</v>
      </c>
      <c r="E18">
        <v>1</v>
      </c>
      <c r="F18">
        <v>1</v>
      </c>
      <c r="G18">
        <v>1081</v>
      </c>
      <c r="H18">
        <v>3</v>
      </c>
      <c r="I18" t="s">
        <v>355</v>
      </c>
      <c r="J18" t="s">
        <v>356</v>
      </c>
      <c r="K18" t="s">
        <v>357</v>
      </c>
      <c r="L18">
        <v>1346</v>
      </c>
      <c r="N18">
        <v>1009</v>
      </c>
      <c r="O18" t="s">
        <v>316</v>
      </c>
      <c r="P18" t="s">
        <v>316</v>
      </c>
      <c r="Q18">
        <v>1</v>
      </c>
      <c r="X18">
        <v>0.05</v>
      </c>
      <c r="Y18">
        <v>16.690000000000001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24</v>
      </c>
      <c r="AG18">
        <v>0</v>
      </c>
      <c r="AH18">
        <v>2</v>
      </c>
      <c r="AI18">
        <v>55983279</v>
      </c>
      <c r="AJ18">
        <v>17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ROW(Source!A29)</f>
        <v>29</v>
      </c>
      <c r="B19">
        <v>55983291</v>
      </c>
      <c r="C19">
        <v>55983273</v>
      </c>
      <c r="D19">
        <v>55459404</v>
      </c>
      <c r="E19">
        <v>1</v>
      </c>
      <c r="F19">
        <v>1</v>
      </c>
      <c r="G19">
        <v>1081</v>
      </c>
      <c r="H19">
        <v>3</v>
      </c>
      <c r="I19" t="s">
        <v>358</v>
      </c>
      <c r="J19" t="s">
        <v>359</v>
      </c>
      <c r="K19" t="s">
        <v>360</v>
      </c>
      <c r="L19">
        <v>1346</v>
      </c>
      <c r="N19">
        <v>1009</v>
      </c>
      <c r="O19" t="s">
        <v>316</v>
      </c>
      <c r="P19" t="s">
        <v>316</v>
      </c>
      <c r="Q19">
        <v>1</v>
      </c>
      <c r="X19">
        <v>0.2</v>
      </c>
      <c r="Y19">
        <v>73.53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24</v>
      </c>
      <c r="AG19">
        <v>0</v>
      </c>
      <c r="AH19">
        <v>2</v>
      </c>
      <c r="AI19">
        <v>55983280</v>
      </c>
      <c r="AJ19">
        <v>18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ROW(Source!A29)</f>
        <v>29</v>
      </c>
      <c r="B20">
        <v>55983292</v>
      </c>
      <c r="C20">
        <v>55983273</v>
      </c>
      <c r="D20">
        <v>55459793</v>
      </c>
      <c r="E20">
        <v>1</v>
      </c>
      <c r="F20">
        <v>1</v>
      </c>
      <c r="G20">
        <v>1081</v>
      </c>
      <c r="H20">
        <v>3</v>
      </c>
      <c r="I20" t="s">
        <v>361</v>
      </c>
      <c r="J20" t="s">
        <v>362</v>
      </c>
      <c r="K20" t="s">
        <v>363</v>
      </c>
      <c r="L20">
        <v>1348</v>
      </c>
      <c r="N20">
        <v>1009</v>
      </c>
      <c r="O20" t="s">
        <v>345</v>
      </c>
      <c r="P20" t="s">
        <v>345</v>
      </c>
      <c r="Q20">
        <v>1000</v>
      </c>
      <c r="X20">
        <v>2.0000000000000001E-4</v>
      </c>
      <c r="Y20">
        <v>64123.05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24</v>
      </c>
      <c r="AG20">
        <v>0</v>
      </c>
      <c r="AH20">
        <v>2</v>
      </c>
      <c r="AI20">
        <v>55983281</v>
      </c>
      <c r="AJ20">
        <v>19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ROW(Source!A29)</f>
        <v>29</v>
      </c>
      <c r="B21">
        <v>55983293</v>
      </c>
      <c r="C21">
        <v>55983273</v>
      </c>
      <c r="D21">
        <v>55466338</v>
      </c>
      <c r="E21">
        <v>1</v>
      </c>
      <c r="F21">
        <v>1</v>
      </c>
      <c r="G21">
        <v>1081</v>
      </c>
      <c r="H21">
        <v>3</v>
      </c>
      <c r="I21" t="s">
        <v>364</v>
      </c>
      <c r="J21" t="s">
        <v>365</v>
      </c>
      <c r="K21" t="s">
        <v>366</v>
      </c>
      <c r="L21">
        <v>1349</v>
      </c>
      <c r="N21">
        <v>1009</v>
      </c>
      <c r="O21" t="s">
        <v>367</v>
      </c>
      <c r="P21" t="s">
        <v>367</v>
      </c>
      <c r="Q21">
        <v>1E-3</v>
      </c>
      <c r="X21">
        <v>100</v>
      </c>
      <c r="Y21">
        <v>7.0000000000000007E-2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24</v>
      </c>
      <c r="AG21">
        <v>0</v>
      </c>
      <c r="AH21">
        <v>2</v>
      </c>
      <c r="AI21">
        <v>55983282</v>
      </c>
      <c r="AJ21">
        <v>20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ROW(Source!A29)</f>
        <v>29</v>
      </c>
      <c r="B22">
        <v>55983294</v>
      </c>
      <c r="C22">
        <v>55983273</v>
      </c>
      <c r="D22">
        <v>55482233</v>
      </c>
      <c r="E22">
        <v>1</v>
      </c>
      <c r="F22">
        <v>1</v>
      </c>
      <c r="G22">
        <v>1081</v>
      </c>
      <c r="H22">
        <v>3</v>
      </c>
      <c r="I22" t="s">
        <v>368</v>
      </c>
      <c r="J22" t="s">
        <v>369</v>
      </c>
      <c r="K22" t="s">
        <v>370</v>
      </c>
      <c r="L22">
        <v>1346</v>
      </c>
      <c r="N22">
        <v>1009</v>
      </c>
      <c r="O22" t="s">
        <v>316</v>
      </c>
      <c r="P22" t="s">
        <v>316</v>
      </c>
      <c r="Q22">
        <v>1</v>
      </c>
      <c r="X22">
        <v>0.04</v>
      </c>
      <c r="Y22">
        <v>493.08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24</v>
      </c>
      <c r="AG22">
        <v>0</v>
      </c>
      <c r="AH22">
        <v>2</v>
      </c>
      <c r="AI22">
        <v>55983283</v>
      </c>
      <c r="AJ22">
        <v>21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ROW(Source!A29)</f>
        <v>29</v>
      </c>
      <c r="B23">
        <v>55983295</v>
      </c>
      <c r="C23">
        <v>55983273</v>
      </c>
      <c r="D23">
        <v>55455535</v>
      </c>
      <c r="E23">
        <v>1081</v>
      </c>
      <c r="F23">
        <v>1</v>
      </c>
      <c r="G23">
        <v>1081</v>
      </c>
      <c r="H23">
        <v>3</v>
      </c>
      <c r="I23" t="s">
        <v>471</v>
      </c>
      <c r="J23" t="s">
        <v>3</v>
      </c>
      <c r="K23" t="s">
        <v>472</v>
      </c>
      <c r="L23">
        <v>1391</v>
      </c>
      <c r="N23">
        <v>1013</v>
      </c>
      <c r="O23" t="s">
        <v>473</v>
      </c>
      <c r="P23" t="s">
        <v>473</v>
      </c>
      <c r="Q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24</v>
      </c>
      <c r="AG23">
        <v>0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ROW(Source!A29)</f>
        <v>29</v>
      </c>
      <c r="B24">
        <v>55983296</v>
      </c>
      <c r="C24">
        <v>55983273</v>
      </c>
      <c r="D24">
        <v>55424290</v>
      </c>
      <c r="E24">
        <v>1081</v>
      </c>
      <c r="F24">
        <v>1</v>
      </c>
      <c r="G24">
        <v>1081</v>
      </c>
      <c r="H24">
        <v>3</v>
      </c>
      <c r="I24" t="s">
        <v>371</v>
      </c>
      <c r="J24" t="s">
        <v>3</v>
      </c>
      <c r="K24" t="s">
        <v>372</v>
      </c>
      <c r="L24">
        <v>1348</v>
      </c>
      <c r="N24">
        <v>1009</v>
      </c>
      <c r="O24" t="s">
        <v>345</v>
      </c>
      <c r="P24" t="s">
        <v>345</v>
      </c>
      <c r="Q24">
        <v>1000</v>
      </c>
      <c r="X24">
        <v>1.2E-2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24</v>
      </c>
      <c r="AG24">
        <v>0</v>
      </c>
      <c r="AH24">
        <v>2</v>
      </c>
      <c r="AI24">
        <v>55983284</v>
      </c>
      <c r="AJ24">
        <v>22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ROW(Source!A30)</f>
        <v>30</v>
      </c>
      <c r="B25">
        <v>55983300</v>
      </c>
      <c r="C25">
        <v>55983297</v>
      </c>
      <c r="D25">
        <v>55424304</v>
      </c>
      <c r="E25">
        <v>1081</v>
      </c>
      <c r="F25">
        <v>1</v>
      </c>
      <c r="G25">
        <v>1081</v>
      </c>
      <c r="H25">
        <v>1</v>
      </c>
      <c r="I25" t="s">
        <v>339</v>
      </c>
      <c r="J25" t="s">
        <v>3</v>
      </c>
      <c r="K25" t="s">
        <v>340</v>
      </c>
      <c r="L25">
        <v>1191</v>
      </c>
      <c r="N25">
        <v>1013</v>
      </c>
      <c r="O25" t="s">
        <v>341</v>
      </c>
      <c r="P25" t="s">
        <v>341</v>
      </c>
      <c r="Q25">
        <v>1</v>
      </c>
      <c r="X25">
        <v>2.1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25</v>
      </c>
      <c r="AG25">
        <v>0.75600000000000001</v>
      </c>
      <c r="AH25">
        <v>2</v>
      </c>
      <c r="AI25">
        <v>55983298</v>
      </c>
      <c r="AJ25">
        <v>23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ROW(Source!A30)</f>
        <v>30</v>
      </c>
      <c r="B26">
        <v>55983301</v>
      </c>
      <c r="C26">
        <v>55983297</v>
      </c>
      <c r="D26">
        <v>55489513</v>
      </c>
      <c r="E26">
        <v>1</v>
      </c>
      <c r="F26">
        <v>1</v>
      </c>
      <c r="G26">
        <v>1081</v>
      </c>
      <c r="H26">
        <v>2</v>
      </c>
      <c r="I26" t="s">
        <v>373</v>
      </c>
      <c r="J26" t="s">
        <v>374</v>
      </c>
      <c r="K26" t="s">
        <v>375</v>
      </c>
      <c r="L26">
        <v>1368</v>
      </c>
      <c r="N26">
        <v>1011</v>
      </c>
      <c r="O26" t="s">
        <v>376</v>
      </c>
      <c r="P26" t="s">
        <v>376</v>
      </c>
      <c r="Q26">
        <v>1</v>
      </c>
      <c r="X26">
        <v>0.08</v>
      </c>
      <c r="Y26">
        <v>0</v>
      </c>
      <c r="Z26">
        <v>114.83</v>
      </c>
      <c r="AA26">
        <v>12.62</v>
      </c>
      <c r="AB26">
        <v>0</v>
      </c>
      <c r="AC26">
        <v>0</v>
      </c>
      <c r="AD26">
        <v>1</v>
      </c>
      <c r="AE26">
        <v>0</v>
      </c>
      <c r="AF26" t="s">
        <v>25</v>
      </c>
      <c r="AG26">
        <v>2.8799999999999999E-2</v>
      </c>
      <c r="AH26">
        <v>2</v>
      </c>
      <c r="AI26">
        <v>55983299</v>
      </c>
      <c r="AJ26">
        <v>24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ROW(Source!A30)</f>
        <v>30</v>
      </c>
      <c r="B27">
        <v>55983302</v>
      </c>
      <c r="C27">
        <v>55983297</v>
      </c>
      <c r="D27">
        <v>55440766</v>
      </c>
      <c r="E27">
        <v>1081</v>
      </c>
      <c r="F27">
        <v>1</v>
      </c>
      <c r="G27">
        <v>1081</v>
      </c>
      <c r="H27">
        <v>3</v>
      </c>
      <c r="I27" t="s">
        <v>474</v>
      </c>
      <c r="J27" t="s">
        <v>3</v>
      </c>
      <c r="K27" t="s">
        <v>475</v>
      </c>
      <c r="L27">
        <v>1354</v>
      </c>
      <c r="N27">
        <v>1010</v>
      </c>
      <c r="O27" t="s">
        <v>164</v>
      </c>
      <c r="P27" t="s">
        <v>164</v>
      </c>
      <c r="Q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24</v>
      </c>
      <c r="AG27">
        <v>0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ROW(Source!A31)</f>
        <v>31</v>
      </c>
      <c r="B28">
        <v>55983300</v>
      </c>
      <c r="C28">
        <v>55983297</v>
      </c>
      <c r="D28">
        <v>55424304</v>
      </c>
      <c r="E28">
        <v>1081</v>
      </c>
      <c r="F28">
        <v>1</v>
      </c>
      <c r="G28">
        <v>1081</v>
      </c>
      <c r="H28">
        <v>1</v>
      </c>
      <c r="I28" t="s">
        <v>339</v>
      </c>
      <c r="J28" t="s">
        <v>3</v>
      </c>
      <c r="K28" t="s">
        <v>340</v>
      </c>
      <c r="L28">
        <v>1191</v>
      </c>
      <c r="N28">
        <v>1013</v>
      </c>
      <c r="O28" t="s">
        <v>341</v>
      </c>
      <c r="P28" t="s">
        <v>341</v>
      </c>
      <c r="Q28">
        <v>1</v>
      </c>
      <c r="X28">
        <v>2.1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 t="s">
        <v>25</v>
      </c>
      <c r="AG28">
        <v>0.75600000000000001</v>
      </c>
      <c r="AH28">
        <v>2</v>
      </c>
      <c r="AI28">
        <v>55983298</v>
      </c>
      <c r="AJ28">
        <v>25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ROW(Source!A31)</f>
        <v>31</v>
      </c>
      <c r="B29">
        <v>55983301</v>
      </c>
      <c r="C29">
        <v>55983297</v>
      </c>
      <c r="D29">
        <v>55489513</v>
      </c>
      <c r="E29">
        <v>1</v>
      </c>
      <c r="F29">
        <v>1</v>
      </c>
      <c r="G29">
        <v>1081</v>
      </c>
      <c r="H29">
        <v>2</v>
      </c>
      <c r="I29" t="s">
        <v>373</v>
      </c>
      <c r="J29" t="s">
        <v>374</v>
      </c>
      <c r="K29" t="s">
        <v>375</v>
      </c>
      <c r="L29">
        <v>1368</v>
      </c>
      <c r="N29">
        <v>1011</v>
      </c>
      <c r="O29" t="s">
        <v>376</v>
      </c>
      <c r="P29" t="s">
        <v>376</v>
      </c>
      <c r="Q29">
        <v>1</v>
      </c>
      <c r="X29">
        <v>0.08</v>
      </c>
      <c r="Y29">
        <v>0</v>
      </c>
      <c r="Z29">
        <v>114.83</v>
      </c>
      <c r="AA29">
        <v>12.62</v>
      </c>
      <c r="AB29">
        <v>0</v>
      </c>
      <c r="AC29">
        <v>0</v>
      </c>
      <c r="AD29">
        <v>1</v>
      </c>
      <c r="AE29">
        <v>0</v>
      </c>
      <c r="AF29" t="s">
        <v>25</v>
      </c>
      <c r="AG29">
        <v>2.8799999999999999E-2</v>
      </c>
      <c r="AH29">
        <v>2</v>
      </c>
      <c r="AI29">
        <v>55983299</v>
      </c>
      <c r="AJ29">
        <v>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ROW(Source!A31)</f>
        <v>31</v>
      </c>
      <c r="B30">
        <v>55983302</v>
      </c>
      <c r="C30">
        <v>55983297</v>
      </c>
      <c r="D30">
        <v>55440766</v>
      </c>
      <c r="E30">
        <v>1081</v>
      </c>
      <c r="F30">
        <v>1</v>
      </c>
      <c r="G30">
        <v>1081</v>
      </c>
      <c r="H30">
        <v>3</v>
      </c>
      <c r="I30" t="s">
        <v>474</v>
      </c>
      <c r="J30" t="s">
        <v>3</v>
      </c>
      <c r="K30" t="s">
        <v>475</v>
      </c>
      <c r="L30">
        <v>1354</v>
      </c>
      <c r="N30">
        <v>1010</v>
      </c>
      <c r="O30" t="s">
        <v>164</v>
      </c>
      <c r="P30" t="s">
        <v>164</v>
      </c>
      <c r="Q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24</v>
      </c>
      <c r="AG30">
        <v>0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ROW(Source!A32)</f>
        <v>32</v>
      </c>
      <c r="B31">
        <v>55983306</v>
      </c>
      <c r="C31">
        <v>55983303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339</v>
      </c>
      <c r="J31" t="s">
        <v>3</v>
      </c>
      <c r="K31" t="s">
        <v>340</v>
      </c>
      <c r="L31">
        <v>1191</v>
      </c>
      <c r="N31">
        <v>1013</v>
      </c>
      <c r="O31" t="s">
        <v>341</v>
      </c>
      <c r="P31" t="s">
        <v>341</v>
      </c>
      <c r="Q31">
        <v>1</v>
      </c>
      <c r="X31">
        <v>5.37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25</v>
      </c>
      <c r="AG31">
        <v>1.9331999999999998</v>
      </c>
      <c r="AH31">
        <v>2</v>
      </c>
      <c r="AI31">
        <v>55983304</v>
      </c>
      <c r="AJ31">
        <v>27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ROW(Source!A32)</f>
        <v>32</v>
      </c>
      <c r="B32">
        <v>55983307</v>
      </c>
      <c r="C32">
        <v>55983303</v>
      </c>
      <c r="D32">
        <v>55459873</v>
      </c>
      <c r="E32">
        <v>1</v>
      </c>
      <c r="F32">
        <v>1</v>
      </c>
      <c r="G32">
        <v>1081</v>
      </c>
      <c r="H32">
        <v>3</v>
      </c>
      <c r="I32" t="s">
        <v>378</v>
      </c>
      <c r="J32" t="s">
        <v>379</v>
      </c>
      <c r="K32" t="s">
        <v>380</v>
      </c>
      <c r="L32">
        <v>1348</v>
      </c>
      <c r="N32">
        <v>1009</v>
      </c>
      <c r="O32" t="s">
        <v>345</v>
      </c>
      <c r="P32" t="s">
        <v>345</v>
      </c>
      <c r="Q32">
        <v>1000</v>
      </c>
      <c r="X32">
        <v>2.0000000000000002E-5</v>
      </c>
      <c r="Y32">
        <v>18495.41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24</v>
      </c>
      <c r="AG32">
        <v>0</v>
      </c>
      <c r="AH32">
        <v>2</v>
      </c>
      <c r="AI32">
        <v>55983305</v>
      </c>
      <c r="AJ32">
        <v>28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ROW(Source!A33)</f>
        <v>33</v>
      </c>
      <c r="B33">
        <v>55983306</v>
      </c>
      <c r="C33">
        <v>55983303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339</v>
      </c>
      <c r="J33" t="s">
        <v>3</v>
      </c>
      <c r="K33" t="s">
        <v>340</v>
      </c>
      <c r="L33">
        <v>1191</v>
      </c>
      <c r="N33">
        <v>1013</v>
      </c>
      <c r="O33" t="s">
        <v>341</v>
      </c>
      <c r="P33" t="s">
        <v>341</v>
      </c>
      <c r="Q33">
        <v>1</v>
      </c>
      <c r="X33">
        <v>5.37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25</v>
      </c>
      <c r="AG33">
        <v>1.9331999999999998</v>
      </c>
      <c r="AH33">
        <v>2</v>
      </c>
      <c r="AI33">
        <v>55983304</v>
      </c>
      <c r="AJ33">
        <v>29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ROW(Source!A33)</f>
        <v>33</v>
      </c>
      <c r="B34">
        <v>55983307</v>
      </c>
      <c r="C34">
        <v>55983303</v>
      </c>
      <c r="D34">
        <v>55459873</v>
      </c>
      <c r="E34">
        <v>1</v>
      </c>
      <c r="F34">
        <v>1</v>
      </c>
      <c r="G34">
        <v>1081</v>
      </c>
      <c r="H34">
        <v>3</v>
      </c>
      <c r="I34" t="s">
        <v>378</v>
      </c>
      <c r="J34" t="s">
        <v>379</v>
      </c>
      <c r="K34" t="s">
        <v>380</v>
      </c>
      <c r="L34">
        <v>1348</v>
      </c>
      <c r="N34">
        <v>1009</v>
      </c>
      <c r="O34" t="s">
        <v>345</v>
      </c>
      <c r="P34" t="s">
        <v>345</v>
      </c>
      <c r="Q34">
        <v>1000</v>
      </c>
      <c r="X34">
        <v>2.0000000000000002E-5</v>
      </c>
      <c r="Y34">
        <v>18495.41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24</v>
      </c>
      <c r="AG34">
        <v>0</v>
      </c>
      <c r="AH34">
        <v>2</v>
      </c>
      <c r="AI34">
        <v>55983305</v>
      </c>
      <c r="AJ34">
        <v>30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ROW(Source!A34)</f>
        <v>34</v>
      </c>
      <c r="B35">
        <v>55983324</v>
      </c>
      <c r="C35">
        <v>55983308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339</v>
      </c>
      <c r="J35" t="s">
        <v>3</v>
      </c>
      <c r="K35" t="s">
        <v>340</v>
      </c>
      <c r="L35">
        <v>1191</v>
      </c>
      <c r="N35">
        <v>1013</v>
      </c>
      <c r="O35" t="s">
        <v>341</v>
      </c>
      <c r="P35" t="s">
        <v>341</v>
      </c>
      <c r="Q35">
        <v>1</v>
      </c>
      <c r="X35">
        <v>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25</v>
      </c>
      <c r="AG35">
        <v>1.0799999999999998</v>
      </c>
      <c r="AH35">
        <v>2</v>
      </c>
      <c r="AI35">
        <v>55983309</v>
      </c>
      <c r="AJ35">
        <v>31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ROW(Source!A34)</f>
        <v>34</v>
      </c>
      <c r="B36">
        <v>55983325</v>
      </c>
      <c r="C36">
        <v>55983308</v>
      </c>
      <c r="D36">
        <v>55459894</v>
      </c>
      <c r="E36">
        <v>1</v>
      </c>
      <c r="F36">
        <v>1</v>
      </c>
      <c r="G36">
        <v>1081</v>
      </c>
      <c r="H36">
        <v>3</v>
      </c>
      <c r="I36" t="s">
        <v>381</v>
      </c>
      <c r="J36" t="s">
        <v>382</v>
      </c>
      <c r="K36" t="s">
        <v>383</v>
      </c>
      <c r="L36">
        <v>1348</v>
      </c>
      <c r="N36">
        <v>1009</v>
      </c>
      <c r="O36" t="s">
        <v>345</v>
      </c>
      <c r="P36" t="s">
        <v>345</v>
      </c>
      <c r="Q36">
        <v>1000</v>
      </c>
      <c r="X36">
        <v>1E-3</v>
      </c>
      <c r="Y36">
        <v>15319.65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24</v>
      </c>
      <c r="AG36">
        <v>0</v>
      </c>
      <c r="AH36">
        <v>2</v>
      </c>
      <c r="AI36">
        <v>55983310</v>
      </c>
      <c r="AJ36">
        <v>32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ROW(Source!A34)</f>
        <v>34</v>
      </c>
      <c r="B37">
        <v>55983326</v>
      </c>
      <c r="C37">
        <v>55983308</v>
      </c>
      <c r="D37">
        <v>55459261</v>
      </c>
      <c r="E37">
        <v>1</v>
      </c>
      <c r="F37">
        <v>1</v>
      </c>
      <c r="G37">
        <v>1081</v>
      </c>
      <c r="H37">
        <v>3</v>
      </c>
      <c r="I37" t="s">
        <v>384</v>
      </c>
      <c r="J37" t="s">
        <v>385</v>
      </c>
      <c r="K37" t="s">
        <v>386</v>
      </c>
      <c r="L37">
        <v>1348</v>
      </c>
      <c r="N37">
        <v>1009</v>
      </c>
      <c r="O37" t="s">
        <v>345</v>
      </c>
      <c r="P37" t="s">
        <v>345</v>
      </c>
      <c r="Q37">
        <v>1000</v>
      </c>
      <c r="X37">
        <v>5.0000000000000002E-5</v>
      </c>
      <c r="Y37">
        <v>1219.68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24</v>
      </c>
      <c r="AG37">
        <v>0</v>
      </c>
      <c r="AH37">
        <v>2</v>
      </c>
      <c r="AI37">
        <v>55983311</v>
      </c>
      <c r="AJ37">
        <v>33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ROW(Source!A34)</f>
        <v>34</v>
      </c>
      <c r="B38">
        <v>55983327</v>
      </c>
      <c r="C38">
        <v>55983308</v>
      </c>
      <c r="D38">
        <v>55460328</v>
      </c>
      <c r="E38">
        <v>1</v>
      </c>
      <c r="F38">
        <v>1</v>
      </c>
      <c r="G38">
        <v>1081</v>
      </c>
      <c r="H38">
        <v>3</v>
      </c>
      <c r="I38" t="s">
        <v>387</v>
      </c>
      <c r="J38" t="s">
        <v>388</v>
      </c>
      <c r="K38" t="s">
        <v>389</v>
      </c>
      <c r="L38">
        <v>1301</v>
      </c>
      <c r="N38">
        <v>1003</v>
      </c>
      <c r="O38" t="s">
        <v>263</v>
      </c>
      <c r="P38" t="s">
        <v>263</v>
      </c>
      <c r="Q38">
        <v>1</v>
      </c>
      <c r="X38">
        <v>5</v>
      </c>
      <c r="Y38">
        <v>0.39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24</v>
      </c>
      <c r="AG38">
        <v>0</v>
      </c>
      <c r="AH38">
        <v>2</v>
      </c>
      <c r="AI38">
        <v>55983312</v>
      </c>
      <c r="AJ38">
        <v>34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ROW(Source!A34)</f>
        <v>34</v>
      </c>
      <c r="B39">
        <v>55983328</v>
      </c>
      <c r="C39">
        <v>55983308</v>
      </c>
      <c r="D39">
        <v>55459312</v>
      </c>
      <c r="E39">
        <v>1</v>
      </c>
      <c r="F39">
        <v>1</v>
      </c>
      <c r="G39">
        <v>1081</v>
      </c>
      <c r="H39">
        <v>3</v>
      </c>
      <c r="I39" t="s">
        <v>390</v>
      </c>
      <c r="J39" t="s">
        <v>391</v>
      </c>
      <c r="K39" t="s">
        <v>392</v>
      </c>
      <c r="L39">
        <v>1339</v>
      </c>
      <c r="N39">
        <v>1007</v>
      </c>
      <c r="O39" t="s">
        <v>393</v>
      </c>
      <c r="P39" t="s">
        <v>393</v>
      </c>
      <c r="Q39">
        <v>1</v>
      </c>
      <c r="X39">
        <v>1E-3</v>
      </c>
      <c r="Y39">
        <v>1176.3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24</v>
      </c>
      <c r="AG39">
        <v>0</v>
      </c>
      <c r="AH39">
        <v>2</v>
      </c>
      <c r="AI39">
        <v>55983313</v>
      </c>
      <c r="AJ39">
        <v>35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ROW(Source!A34)</f>
        <v>34</v>
      </c>
      <c r="B40">
        <v>55983329</v>
      </c>
      <c r="C40">
        <v>55983308</v>
      </c>
      <c r="D40">
        <v>55461230</v>
      </c>
      <c r="E40">
        <v>1</v>
      </c>
      <c r="F40">
        <v>1</v>
      </c>
      <c r="G40">
        <v>1081</v>
      </c>
      <c r="H40">
        <v>3</v>
      </c>
      <c r="I40" t="s">
        <v>349</v>
      </c>
      <c r="J40" t="s">
        <v>350</v>
      </c>
      <c r="K40" t="s">
        <v>351</v>
      </c>
      <c r="L40">
        <v>1346</v>
      </c>
      <c r="N40">
        <v>1009</v>
      </c>
      <c r="O40" t="s">
        <v>316</v>
      </c>
      <c r="P40" t="s">
        <v>316</v>
      </c>
      <c r="Q40">
        <v>1</v>
      </c>
      <c r="X40">
        <v>0.01</v>
      </c>
      <c r="Y40">
        <v>15.11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24</v>
      </c>
      <c r="AG40">
        <v>0</v>
      </c>
      <c r="AH40">
        <v>2</v>
      </c>
      <c r="AI40">
        <v>55983314</v>
      </c>
      <c r="AJ40">
        <v>36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ROW(Source!A34)</f>
        <v>34</v>
      </c>
      <c r="B41">
        <v>55983330</v>
      </c>
      <c r="C41">
        <v>55983308</v>
      </c>
      <c r="D41">
        <v>55459400</v>
      </c>
      <c r="E41">
        <v>1</v>
      </c>
      <c r="F41">
        <v>1</v>
      </c>
      <c r="G41">
        <v>1081</v>
      </c>
      <c r="H41">
        <v>3</v>
      </c>
      <c r="I41" t="s">
        <v>355</v>
      </c>
      <c r="J41" t="s">
        <v>356</v>
      </c>
      <c r="K41" t="s">
        <v>357</v>
      </c>
      <c r="L41">
        <v>1346</v>
      </c>
      <c r="N41">
        <v>1009</v>
      </c>
      <c r="O41" t="s">
        <v>316</v>
      </c>
      <c r="P41" t="s">
        <v>316</v>
      </c>
      <c r="Q41">
        <v>1</v>
      </c>
      <c r="X41">
        <v>0.01</v>
      </c>
      <c r="Y41">
        <v>16.690000000000001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24</v>
      </c>
      <c r="AG41">
        <v>0</v>
      </c>
      <c r="AH41">
        <v>2</v>
      </c>
      <c r="AI41">
        <v>55983315</v>
      </c>
      <c r="AJ41">
        <v>37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ROW(Source!A34)</f>
        <v>34</v>
      </c>
      <c r="B42">
        <v>55983331</v>
      </c>
      <c r="C42">
        <v>55983308</v>
      </c>
      <c r="D42">
        <v>55461719</v>
      </c>
      <c r="E42">
        <v>1</v>
      </c>
      <c r="F42">
        <v>1</v>
      </c>
      <c r="G42">
        <v>1081</v>
      </c>
      <c r="H42">
        <v>3</v>
      </c>
      <c r="I42" t="s">
        <v>394</v>
      </c>
      <c r="J42" t="s">
        <v>395</v>
      </c>
      <c r="K42" t="s">
        <v>396</v>
      </c>
      <c r="L42">
        <v>1348</v>
      </c>
      <c r="N42">
        <v>1009</v>
      </c>
      <c r="O42" t="s">
        <v>345</v>
      </c>
      <c r="P42" t="s">
        <v>345</v>
      </c>
      <c r="Q42">
        <v>1000</v>
      </c>
      <c r="X42">
        <v>1E-4</v>
      </c>
      <c r="Y42">
        <v>10643.18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24</v>
      </c>
      <c r="AG42">
        <v>0</v>
      </c>
      <c r="AH42">
        <v>2</v>
      </c>
      <c r="AI42">
        <v>55983316</v>
      </c>
      <c r="AJ42">
        <v>38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ROW(Source!A34)</f>
        <v>34</v>
      </c>
      <c r="B43">
        <v>55983332</v>
      </c>
      <c r="C43">
        <v>55983308</v>
      </c>
      <c r="D43">
        <v>55466000</v>
      </c>
      <c r="E43">
        <v>1</v>
      </c>
      <c r="F43">
        <v>1</v>
      </c>
      <c r="G43">
        <v>1081</v>
      </c>
      <c r="H43">
        <v>3</v>
      </c>
      <c r="I43" t="s">
        <v>397</v>
      </c>
      <c r="J43" t="s">
        <v>398</v>
      </c>
      <c r="K43" t="s">
        <v>399</v>
      </c>
      <c r="L43">
        <v>1355</v>
      </c>
      <c r="N43">
        <v>1010</v>
      </c>
      <c r="O43" t="s">
        <v>49</v>
      </c>
      <c r="P43" t="s">
        <v>49</v>
      </c>
      <c r="Q43">
        <v>100</v>
      </c>
      <c r="X43">
        <v>0.01</v>
      </c>
      <c r="Y43">
        <v>120.19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24</v>
      </c>
      <c r="AG43">
        <v>0</v>
      </c>
      <c r="AH43">
        <v>2</v>
      </c>
      <c r="AI43">
        <v>55983317</v>
      </c>
      <c r="AJ43">
        <v>39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ROW(Source!A34)</f>
        <v>34</v>
      </c>
      <c r="B44">
        <v>55983333</v>
      </c>
      <c r="C44">
        <v>55983308</v>
      </c>
      <c r="D44">
        <v>55459793</v>
      </c>
      <c r="E44">
        <v>1</v>
      </c>
      <c r="F44">
        <v>1</v>
      </c>
      <c r="G44">
        <v>1081</v>
      </c>
      <c r="H44">
        <v>3</v>
      </c>
      <c r="I44" t="s">
        <v>361</v>
      </c>
      <c r="J44" t="s">
        <v>362</v>
      </c>
      <c r="K44" t="s">
        <v>363</v>
      </c>
      <c r="L44">
        <v>1348</v>
      </c>
      <c r="N44">
        <v>1009</v>
      </c>
      <c r="O44" t="s">
        <v>345</v>
      </c>
      <c r="P44" t="s">
        <v>345</v>
      </c>
      <c r="Q44">
        <v>1000</v>
      </c>
      <c r="X44">
        <v>2.0000000000000002E-5</v>
      </c>
      <c r="Y44">
        <v>64123.05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24</v>
      </c>
      <c r="AG44">
        <v>0</v>
      </c>
      <c r="AH44">
        <v>2</v>
      </c>
      <c r="AI44">
        <v>55983318</v>
      </c>
      <c r="AJ44">
        <v>40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ROW(Source!A34)</f>
        <v>34</v>
      </c>
      <c r="B45">
        <v>55983334</v>
      </c>
      <c r="C45">
        <v>55983308</v>
      </c>
      <c r="D45">
        <v>55459810</v>
      </c>
      <c r="E45">
        <v>1</v>
      </c>
      <c r="F45">
        <v>1</v>
      </c>
      <c r="G45">
        <v>1081</v>
      </c>
      <c r="H45">
        <v>3</v>
      </c>
      <c r="I45" t="s">
        <v>400</v>
      </c>
      <c r="J45" t="s">
        <v>401</v>
      </c>
      <c r="K45" t="s">
        <v>402</v>
      </c>
      <c r="L45">
        <v>1348</v>
      </c>
      <c r="N45">
        <v>1009</v>
      </c>
      <c r="O45" t="s">
        <v>345</v>
      </c>
      <c r="P45" t="s">
        <v>345</v>
      </c>
      <c r="Q45">
        <v>1000</v>
      </c>
      <c r="X45">
        <v>1E-4</v>
      </c>
      <c r="Y45">
        <v>9238.1299999999992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24</v>
      </c>
      <c r="AG45">
        <v>0</v>
      </c>
      <c r="AH45">
        <v>2</v>
      </c>
      <c r="AI45">
        <v>55983319</v>
      </c>
      <c r="AJ45">
        <v>41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ROW(Source!A34)</f>
        <v>34</v>
      </c>
      <c r="B46">
        <v>55983335</v>
      </c>
      <c r="C46">
        <v>55983308</v>
      </c>
      <c r="D46">
        <v>55482166</v>
      </c>
      <c r="E46">
        <v>1</v>
      </c>
      <c r="F46">
        <v>1</v>
      </c>
      <c r="G46">
        <v>1081</v>
      </c>
      <c r="H46">
        <v>3</v>
      </c>
      <c r="I46" t="s">
        <v>403</v>
      </c>
      <c r="J46" t="s">
        <v>404</v>
      </c>
      <c r="K46" t="s">
        <v>405</v>
      </c>
      <c r="L46">
        <v>1301</v>
      </c>
      <c r="N46">
        <v>1003</v>
      </c>
      <c r="O46" t="s">
        <v>263</v>
      </c>
      <c r="P46" t="s">
        <v>263</v>
      </c>
      <c r="Q46">
        <v>1</v>
      </c>
      <c r="X46">
        <v>1</v>
      </c>
      <c r="Y46">
        <v>0.69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24</v>
      </c>
      <c r="AG46">
        <v>0</v>
      </c>
      <c r="AH46">
        <v>2</v>
      </c>
      <c r="AI46">
        <v>55983320</v>
      </c>
      <c r="AJ46">
        <v>42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ROW(Source!A34)</f>
        <v>34</v>
      </c>
      <c r="B47">
        <v>55983336</v>
      </c>
      <c r="C47">
        <v>55983308</v>
      </c>
      <c r="D47">
        <v>55482445</v>
      </c>
      <c r="E47">
        <v>1</v>
      </c>
      <c r="F47">
        <v>1</v>
      </c>
      <c r="G47">
        <v>1081</v>
      </c>
      <c r="H47">
        <v>3</v>
      </c>
      <c r="I47" t="s">
        <v>406</v>
      </c>
      <c r="J47" t="s">
        <v>407</v>
      </c>
      <c r="K47" t="s">
        <v>408</v>
      </c>
      <c r="L47">
        <v>1356</v>
      </c>
      <c r="N47">
        <v>1010</v>
      </c>
      <c r="O47" t="s">
        <v>409</v>
      </c>
      <c r="P47" t="s">
        <v>409</v>
      </c>
      <c r="Q47">
        <v>1000</v>
      </c>
      <c r="X47">
        <v>0.01</v>
      </c>
      <c r="Y47">
        <v>294.89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24</v>
      </c>
      <c r="AG47">
        <v>0</v>
      </c>
      <c r="AH47">
        <v>2</v>
      </c>
      <c r="AI47">
        <v>55983321</v>
      </c>
      <c r="AJ47">
        <v>43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ROW(Source!A34)</f>
        <v>34</v>
      </c>
      <c r="B48">
        <v>55983337</v>
      </c>
      <c r="C48">
        <v>55983308</v>
      </c>
      <c r="D48">
        <v>55481518</v>
      </c>
      <c r="E48">
        <v>1</v>
      </c>
      <c r="F48">
        <v>1</v>
      </c>
      <c r="G48">
        <v>1081</v>
      </c>
      <c r="H48">
        <v>3</v>
      </c>
      <c r="I48" t="s">
        <v>410</v>
      </c>
      <c r="J48" t="s">
        <v>411</v>
      </c>
      <c r="K48" t="s">
        <v>412</v>
      </c>
      <c r="L48">
        <v>1354</v>
      </c>
      <c r="N48">
        <v>1010</v>
      </c>
      <c r="O48" t="s">
        <v>164</v>
      </c>
      <c r="P48" t="s">
        <v>164</v>
      </c>
      <c r="Q48">
        <v>1</v>
      </c>
      <c r="X48">
        <v>1</v>
      </c>
      <c r="Y48">
        <v>15.67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24</v>
      </c>
      <c r="AG48">
        <v>0</v>
      </c>
      <c r="AH48">
        <v>2</v>
      </c>
      <c r="AI48">
        <v>55983322</v>
      </c>
      <c r="AJ48">
        <v>44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ROW(Source!A34)</f>
        <v>34</v>
      </c>
      <c r="B49">
        <v>55983338</v>
      </c>
      <c r="C49">
        <v>55983308</v>
      </c>
      <c r="D49">
        <v>55416982</v>
      </c>
      <c r="E49">
        <v>1081</v>
      </c>
      <c r="F49">
        <v>1</v>
      </c>
      <c r="G49">
        <v>1081</v>
      </c>
      <c r="H49">
        <v>3</v>
      </c>
      <c r="I49" t="s">
        <v>476</v>
      </c>
      <c r="J49" t="s">
        <v>3</v>
      </c>
      <c r="K49" t="s">
        <v>477</v>
      </c>
      <c r="L49">
        <v>1346</v>
      </c>
      <c r="N49">
        <v>1009</v>
      </c>
      <c r="O49" t="s">
        <v>316</v>
      </c>
      <c r="P49" t="s">
        <v>316</v>
      </c>
      <c r="Q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24</v>
      </c>
      <c r="AG49">
        <v>0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ROW(Source!A34)</f>
        <v>34</v>
      </c>
      <c r="B50">
        <v>55983339</v>
      </c>
      <c r="C50">
        <v>55983308</v>
      </c>
      <c r="D50">
        <v>55455661</v>
      </c>
      <c r="E50">
        <v>1081</v>
      </c>
      <c r="F50">
        <v>1</v>
      </c>
      <c r="G50">
        <v>1081</v>
      </c>
      <c r="H50">
        <v>3</v>
      </c>
      <c r="I50" t="s">
        <v>478</v>
      </c>
      <c r="J50" t="s">
        <v>3</v>
      </c>
      <c r="K50" t="s">
        <v>479</v>
      </c>
      <c r="L50">
        <v>1391</v>
      </c>
      <c r="N50">
        <v>1013</v>
      </c>
      <c r="O50" t="s">
        <v>473</v>
      </c>
      <c r="P50" t="s">
        <v>473</v>
      </c>
      <c r="Q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24</v>
      </c>
      <c r="AG50">
        <v>0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ROW(Source!A34)</f>
        <v>34</v>
      </c>
      <c r="B51">
        <v>55983340</v>
      </c>
      <c r="C51">
        <v>55983308</v>
      </c>
      <c r="D51">
        <v>55424290</v>
      </c>
      <c r="E51">
        <v>1081</v>
      </c>
      <c r="F51">
        <v>1</v>
      </c>
      <c r="G51">
        <v>1081</v>
      </c>
      <c r="H51">
        <v>3</v>
      </c>
      <c r="I51" t="s">
        <v>371</v>
      </c>
      <c r="J51" t="s">
        <v>3</v>
      </c>
      <c r="K51" t="s">
        <v>372</v>
      </c>
      <c r="L51">
        <v>1348</v>
      </c>
      <c r="N51">
        <v>1009</v>
      </c>
      <c r="O51" t="s">
        <v>345</v>
      </c>
      <c r="P51" t="s">
        <v>345</v>
      </c>
      <c r="Q51">
        <v>1000</v>
      </c>
      <c r="X51">
        <v>1E-3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24</v>
      </c>
      <c r="AG51">
        <v>0</v>
      </c>
      <c r="AH51">
        <v>2</v>
      </c>
      <c r="AI51">
        <v>55983323</v>
      </c>
      <c r="AJ51">
        <v>45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ROW(Source!A35)</f>
        <v>35</v>
      </c>
      <c r="B52">
        <v>55983324</v>
      </c>
      <c r="C52">
        <v>55983308</v>
      </c>
      <c r="D52">
        <v>55424304</v>
      </c>
      <c r="E52">
        <v>1081</v>
      </c>
      <c r="F52">
        <v>1</v>
      </c>
      <c r="G52">
        <v>1081</v>
      </c>
      <c r="H52">
        <v>1</v>
      </c>
      <c r="I52" t="s">
        <v>339</v>
      </c>
      <c r="J52" t="s">
        <v>3</v>
      </c>
      <c r="K52" t="s">
        <v>340</v>
      </c>
      <c r="L52">
        <v>1191</v>
      </c>
      <c r="N52">
        <v>1013</v>
      </c>
      <c r="O52" t="s">
        <v>341</v>
      </c>
      <c r="P52" t="s">
        <v>341</v>
      </c>
      <c r="Q52">
        <v>1</v>
      </c>
      <c r="X52">
        <v>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 t="s">
        <v>25</v>
      </c>
      <c r="AG52">
        <v>1.0799999999999998</v>
      </c>
      <c r="AH52">
        <v>2</v>
      </c>
      <c r="AI52">
        <v>55983309</v>
      </c>
      <c r="AJ52">
        <v>46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ROW(Source!A35)</f>
        <v>35</v>
      </c>
      <c r="B53">
        <v>55983325</v>
      </c>
      <c r="C53">
        <v>55983308</v>
      </c>
      <c r="D53">
        <v>55459894</v>
      </c>
      <c r="E53">
        <v>1</v>
      </c>
      <c r="F53">
        <v>1</v>
      </c>
      <c r="G53">
        <v>1081</v>
      </c>
      <c r="H53">
        <v>3</v>
      </c>
      <c r="I53" t="s">
        <v>381</v>
      </c>
      <c r="J53" t="s">
        <v>382</v>
      </c>
      <c r="K53" t="s">
        <v>383</v>
      </c>
      <c r="L53">
        <v>1348</v>
      </c>
      <c r="N53">
        <v>1009</v>
      </c>
      <c r="O53" t="s">
        <v>345</v>
      </c>
      <c r="P53" t="s">
        <v>345</v>
      </c>
      <c r="Q53">
        <v>1000</v>
      </c>
      <c r="X53">
        <v>1E-3</v>
      </c>
      <c r="Y53">
        <v>15319.65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24</v>
      </c>
      <c r="AG53">
        <v>0</v>
      </c>
      <c r="AH53">
        <v>2</v>
      </c>
      <c r="AI53">
        <v>55983310</v>
      </c>
      <c r="AJ53">
        <v>47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ROW(Source!A35)</f>
        <v>35</v>
      </c>
      <c r="B54">
        <v>55983326</v>
      </c>
      <c r="C54">
        <v>55983308</v>
      </c>
      <c r="D54">
        <v>55459261</v>
      </c>
      <c r="E54">
        <v>1</v>
      </c>
      <c r="F54">
        <v>1</v>
      </c>
      <c r="G54">
        <v>1081</v>
      </c>
      <c r="H54">
        <v>3</v>
      </c>
      <c r="I54" t="s">
        <v>384</v>
      </c>
      <c r="J54" t="s">
        <v>385</v>
      </c>
      <c r="K54" t="s">
        <v>386</v>
      </c>
      <c r="L54">
        <v>1348</v>
      </c>
      <c r="N54">
        <v>1009</v>
      </c>
      <c r="O54" t="s">
        <v>345</v>
      </c>
      <c r="P54" t="s">
        <v>345</v>
      </c>
      <c r="Q54">
        <v>1000</v>
      </c>
      <c r="X54">
        <v>5.0000000000000002E-5</v>
      </c>
      <c r="Y54">
        <v>1219.68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24</v>
      </c>
      <c r="AG54">
        <v>0</v>
      </c>
      <c r="AH54">
        <v>2</v>
      </c>
      <c r="AI54">
        <v>55983311</v>
      </c>
      <c r="AJ54">
        <v>48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ROW(Source!A35)</f>
        <v>35</v>
      </c>
      <c r="B55">
        <v>55983327</v>
      </c>
      <c r="C55">
        <v>55983308</v>
      </c>
      <c r="D55">
        <v>55460328</v>
      </c>
      <c r="E55">
        <v>1</v>
      </c>
      <c r="F55">
        <v>1</v>
      </c>
      <c r="G55">
        <v>1081</v>
      </c>
      <c r="H55">
        <v>3</v>
      </c>
      <c r="I55" t="s">
        <v>387</v>
      </c>
      <c r="J55" t="s">
        <v>388</v>
      </c>
      <c r="K55" t="s">
        <v>389</v>
      </c>
      <c r="L55">
        <v>1301</v>
      </c>
      <c r="N55">
        <v>1003</v>
      </c>
      <c r="O55" t="s">
        <v>263</v>
      </c>
      <c r="P55" t="s">
        <v>263</v>
      </c>
      <c r="Q55">
        <v>1</v>
      </c>
      <c r="X55">
        <v>5</v>
      </c>
      <c r="Y55">
        <v>0.39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24</v>
      </c>
      <c r="AG55">
        <v>0</v>
      </c>
      <c r="AH55">
        <v>2</v>
      </c>
      <c r="AI55">
        <v>55983312</v>
      </c>
      <c r="AJ55">
        <v>49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ROW(Source!A35)</f>
        <v>35</v>
      </c>
      <c r="B56">
        <v>55983328</v>
      </c>
      <c r="C56">
        <v>55983308</v>
      </c>
      <c r="D56">
        <v>55459312</v>
      </c>
      <c r="E56">
        <v>1</v>
      </c>
      <c r="F56">
        <v>1</v>
      </c>
      <c r="G56">
        <v>1081</v>
      </c>
      <c r="H56">
        <v>3</v>
      </c>
      <c r="I56" t="s">
        <v>390</v>
      </c>
      <c r="J56" t="s">
        <v>391</v>
      </c>
      <c r="K56" t="s">
        <v>392</v>
      </c>
      <c r="L56">
        <v>1339</v>
      </c>
      <c r="N56">
        <v>1007</v>
      </c>
      <c r="O56" t="s">
        <v>393</v>
      </c>
      <c r="P56" t="s">
        <v>393</v>
      </c>
      <c r="Q56">
        <v>1</v>
      </c>
      <c r="X56">
        <v>1E-3</v>
      </c>
      <c r="Y56">
        <v>1176.3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24</v>
      </c>
      <c r="AG56">
        <v>0</v>
      </c>
      <c r="AH56">
        <v>2</v>
      </c>
      <c r="AI56">
        <v>55983313</v>
      </c>
      <c r="AJ56">
        <v>50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ROW(Source!A35)</f>
        <v>35</v>
      </c>
      <c r="B57">
        <v>55983329</v>
      </c>
      <c r="C57">
        <v>55983308</v>
      </c>
      <c r="D57">
        <v>55461230</v>
      </c>
      <c r="E57">
        <v>1</v>
      </c>
      <c r="F57">
        <v>1</v>
      </c>
      <c r="G57">
        <v>1081</v>
      </c>
      <c r="H57">
        <v>3</v>
      </c>
      <c r="I57" t="s">
        <v>349</v>
      </c>
      <c r="J57" t="s">
        <v>350</v>
      </c>
      <c r="K57" t="s">
        <v>351</v>
      </c>
      <c r="L57">
        <v>1346</v>
      </c>
      <c r="N57">
        <v>1009</v>
      </c>
      <c r="O57" t="s">
        <v>316</v>
      </c>
      <c r="P57" t="s">
        <v>316</v>
      </c>
      <c r="Q57">
        <v>1</v>
      </c>
      <c r="X57">
        <v>0.01</v>
      </c>
      <c r="Y57">
        <v>15.11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24</v>
      </c>
      <c r="AG57">
        <v>0</v>
      </c>
      <c r="AH57">
        <v>2</v>
      </c>
      <c r="AI57">
        <v>55983314</v>
      </c>
      <c r="AJ57">
        <v>51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ROW(Source!A35)</f>
        <v>35</v>
      </c>
      <c r="B58">
        <v>55983330</v>
      </c>
      <c r="C58">
        <v>55983308</v>
      </c>
      <c r="D58">
        <v>55459400</v>
      </c>
      <c r="E58">
        <v>1</v>
      </c>
      <c r="F58">
        <v>1</v>
      </c>
      <c r="G58">
        <v>1081</v>
      </c>
      <c r="H58">
        <v>3</v>
      </c>
      <c r="I58" t="s">
        <v>355</v>
      </c>
      <c r="J58" t="s">
        <v>356</v>
      </c>
      <c r="K58" t="s">
        <v>357</v>
      </c>
      <c r="L58">
        <v>1346</v>
      </c>
      <c r="N58">
        <v>1009</v>
      </c>
      <c r="O58" t="s">
        <v>316</v>
      </c>
      <c r="P58" t="s">
        <v>316</v>
      </c>
      <c r="Q58">
        <v>1</v>
      </c>
      <c r="X58">
        <v>0.01</v>
      </c>
      <c r="Y58">
        <v>16.690000000000001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24</v>
      </c>
      <c r="AG58">
        <v>0</v>
      </c>
      <c r="AH58">
        <v>2</v>
      </c>
      <c r="AI58">
        <v>55983315</v>
      </c>
      <c r="AJ58">
        <v>52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ROW(Source!A35)</f>
        <v>35</v>
      </c>
      <c r="B59">
        <v>55983331</v>
      </c>
      <c r="C59">
        <v>55983308</v>
      </c>
      <c r="D59">
        <v>55461719</v>
      </c>
      <c r="E59">
        <v>1</v>
      </c>
      <c r="F59">
        <v>1</v>
      </c>
      <c r="G59">
        <v>1081</v>
      </c>
      <c r="H59">
        <v>3</v>
      </c>
      <c r="I59" t="s">
        <v>394</v>
      </c>
      <c r="J59" t="s">
        <v>395</v>
      </c>
      <c r="K59" t="s">
        <v>396</v>
      </c>
      <c r="L59">
        <v>1348</v>
      </c>
      <c r="N59">
        <v>1009</v>
      </c>
      <c r="O59" t="s">
        <v>345</v>
      </c>
      <c r="P59" t="s">
        <v>345</v>
      </c>
      <c r="Q59">
        <v>1000</v>
      </c>
      <c r="X59">
        <v>1E-4</v>
      </c>
      <c r="Y59">
        <v>10643.18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24</v>
      </c>
      <c r="AG59">
        <v>0</v>
      </c>
      <c r="AH59">
        <v>2</v>
      </c>
      <c r="AI59">
        <v>55983316</v>
      </c>
      <c r="AJ59">
        <v>53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ROW(Source!A35)</f>
        <v>35</v>
      </c>
      <c r="B60">
        <v>55983332</v>
      </c>
      <c r="C60">
        <v>55983308</v>
      </c>
      <c r="D60">
        <v>55466000</v>
      </c>
      <c r="E60">
        <v>1</v>
      </c>
      <c r="F60">
        <v>1</v>
      </c>
      <c r="G60">
        <v>1081</v>
      </c>
      <c r="H60">
        <v>3</v>
      </c>
      <c r="I60" t="s">
        <v>397</v>
      </c>
      <c r="J60" t="s">
        <v>398</v>
      </c>
      <c r="K60" t="s">
        <v>399</v>
      </c>
      <c r="L60">
        <v>1355</v>
      </c>
      <c r="N60">
        <v>1010</v>
      </c>
      <c r="O60" t="s">
        <v>49</v>
      </c>
      <c r="P60" t="s">
        <v>49</v>
      </c>
      <c r="Q60">
        <v>100</v>
      </c>
      <c r="X60">
        <v>0.01</v>
      </c>
      <c r="Y60">
        <v>120.19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24</v>
      </c>
      <c r="AG60">
        <v>0</v>
      </c>
      <c r="AH60">
        <v>2</v>
      </c>
      <c r="AI60">
        <v>55983317</v>
      </c>
      <c r="AJ60">
        <v>54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ROW(Source!A35)</f>
        <v>35</v>
      </c>
      <c r="B61">
        <v>55983333</v>
      </c>
      <c r="C61">
        <v>55983308</v>
      </c>
      <c r="D61">
        <v>55459793</v>
      </c>
      <c r="E61">
        <v>1</v>
      </c>
      <c r="F61">
        <v>1</v>
      </c>
      <c r="G61">
        <v>1081</v>
      </c>
      <c r="H61">
        <v>3</v>
      </c>
      <c r="I61" t="s">
        <v>361</v>
      </c>
      <c r="J61" t="s">
        <v>362</v>
      </c>
      <c r="K61" t="s">
        <v>363</v>
      </c>
      <c r="L61">
        <v>1348</v>
      </c>
      <c r="N61">
        <v>1009</v>
      </c>
      <c r="O61" t="s">
        <v>345</v>
      </c>
      <c r="P61" t="s">
        <v>345</v>
      </c>
      <c r="Q61">
        <v>1000</v>
      </c>
      <c r="X61">
        <v>2.0000000000000002E-5</v>
      </c>
      <c r="Y61">
        <v>64123.05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24</v>
      </c>
      <c r="AG61">
        <v>0</v>
      </c>
      <c r="AH61">
        <v>2</v>
      </c>
      <c r="AI61">
        <v>55983318</v>
      </c>
      <c r="AJ61">
        <v>55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ROW(Source!A35)</f>
        <v>35</v>
      </c>
      <c r="B62">
        <v>55983334</v>
      </c>
      <c r="C62">
        <v>55983308</v>
      </c>
      <c r="D62">
        <v>55459810</v>
      </c>
      <c r="E62">
        <v>1</v>
      </c>
      <c r="F62">
        <v>1</v>
      </c>
      <c r="G62">
        <v>1081</v>
      </c>
      <c r="H62">
        <v>3</v>
      </c>
      <c r="I62" t="s">
        <v>400</v>
      </c>
      <c r="J62" t="s">
        <v>401</v>
      </c>
      <c r="K62" t="s">
        <v>402</v>
      </c>
      <c r="L62">
        <v>1348</v>
      </c>
      <c r="N62">
        <v>1009</v>
      </c>
      <c r="O62" t="s">
        <v>345</v>
      </c>
      <c r="P62" t="s">
        <v>345</v>
      </c>
      <c r="Q62">
        <v>1000</v>
      </c>
      <c r="X62">
        <v>1E-4</v>
      </c>
      <c r="Y62">
        <v>9238.1299999999992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24</v>
      </c>
      <c r="AG62">
        <v>0</v>
      </c>
      <c r="AH62">
        <v>2</v>
      </c>
      <c r="AI62">
        <v>55983319</v>
      </c>
      <c r="AJ62">
        <v>56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ROW(Source!A35)</f>
        <v>35</v>
      </c>
      <c r="B63">
        <v>55983335</v>
      </c>
      <c r="C63">
        <v>55983308</v>
      </c>
      <c r="D63">
        <v>55482166</v>
      </c>
      <c r="E63">
        <v>1</v>
      </c>
      <c r="F63">
        <v>1</v>
      </c>
      <c r="G63">
        <v>1081</v>
      </c>
      <c r="H63">
        <v>3</v>
      </c>
      <c r="I63" t="s">
        <v>403</v>
      </c>
      <c r="J63" t="s">
        <v>404</v>
      </c>
      <c r="K63" t="s">
        <v>405</v>
      </c>
      <c r="L63">
        <v>1301</v>
      </c>
      <c r="N63">
        <v>1003</v>
      </c>
      <c r="O63" t="s">
        <v>263</v>
      </c>
      <c r="P63" t="s">
        <v>263</v>
      </c>
      <c r="Q63">
        <v>1</v>
      </c>
      <c r="X63">
        <v>1</v>
      </c>
      <c r="Y63">
        <v>0.69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24</v>
      </c>
      <c r="AG63">
        <v>0</v>
      </c>
      <c r="AH63">
        <v>2</v>
      </c>
      <c r="AI63">
        <v>55983320</v>
      </c>
      <c r="AJ63">
        <v>57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ROW(Source!A35)</f>
        <v>35</v>
      </c>
      <c r="B64">
        <v>55983336</v>
      </c>
      <c r="C64">
        <v>55983308</v>
      </c>
      <c r="D64">
        <v>55482445</v>
      </c>
      <c r="E64">
        <v>1</v>
      </c>
      <c r="F64">
        <v>1</v>
      </c>
      <c r="G64">
        <v>1081</v>
      </c>
      <c r="H64">
        <v>3</v>
      </c>
      <c r="I64" t="s">
        <v>406</v>
      </c>
      <c r="J64" t="s">
        <v>407</v>
      </c>
      <c r="K64" t="s">
        <v>408</v>
      </c>
      <c r="L64">
        <v>1356</v>
      </c>
      <c r="N64">
        <v>1010</v>
      </c>
      <c r="O64" t="s">
        <v>409</v>
      </c>
      <c r="P64" t="s">
        <v>409</v>
      </c>
      <c r="Q64">
        <v>1000</v>
      </c>
      <c r="X64">
        <v>0.01</v>
      </c>
      <c r="Y64">
        <v>294.89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24</v>
      </c>
      <c r="AG64">
        <v>0</v>
      </c>
      <c r="AH64">
        <v>2</v>
      </c>
      <c r="AI64">
        <v>55983321</v>
      </c>
      <c r="AJ64">
        <v>58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ROW(Source!A35)</f>
        <v>35</v>
      </c>
      <c r="B65">
        <v>55983337</v>
      </c>
      <c r="C65">
        <v>55983308</v>
      </c>
      <c r="D65">
        <v>55481518</v>
      </c>
      <c r="E65">
        <v>1</v>
      </c>
      <c r="F65">
        <v>1</v>
      </c>
      <c r="G65">
        <v>1081</v>
      </c>
      <c r="H65">
        <v>3</v>
      </c>
      <c r="I65" t="s">
        <v>410</v>
      </c>
      <c r="J65" t="s">
        <v>411</v>
      </c>
      <c r="K65" t="s">
        <v>412</v>
      </c>
      <c r="L65">
        <v>1354</v>
      </c>
      <c r="N65">
        <v>1010</v>
      </c>
      <c r="O65" t="s">
        <v>164</v>
      </c>
      <c r="P65" t="s">
        <v>164</v>
      </c>
      <c r="Q65">
        <v>1</v>
      </c>
      <c r="X65">
        <v>1</v>
      </c>
      <c r="Y65">
        <v>15.67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24</v>
      </c>
      <c r="AG65">
        <v>0</v>
      </c>
      <c r="AH65">
        <v>2</v>
      </c>
      <c r="AI65">
        <v>55983322</v>
      </c>
      <c r="AJ65">
        <v>59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ROW(Source!A35)</f>
        <v>35</v>
      </c>
      <c r="B66">
        <v>55983338</v>
      </c>
      <c r="C66">
        <v>55983308</v>
      </c>
      <c r="D66">
        <v>55416982</v>
      </c>
      <c r="E66">
        <v>1081</v>
      </c>
      <c r="F66">
        <v>1</v>
      </c>
      <c r="G66">
        <v>1081</v>
      </c>
      <c r="H66">
        <v>3</v>
      </c>
      <c r="I66" t="s">
        <v>476</v>
      </c>
      <c r="J66" t="s">
        <v>3</v>
      </c>
      <c r="K66" t="s">
        <v>477</v>
      </c>
      <c r="L66">
        <v>1346</v>
      </c>
      <c r="N66">
        <v>1009</v>
      </c>
      <c r="O66" t="s">
        <v>316</v>
      </c>
      <c r="P66" t="s">
        <v>316</v>
      </c>
      <c r="Q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24</v>
      </c>
      <c r="AG66">
        <v>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ROW(Source!A35)</f>
        <v>35</v>
      </c>
      <c r="B67">
        <v>55983339</v>
      </c>
      <c r="C67">
        <v>55983308</v>
      </c>
      <c r="D67">
        <v>55455661</v>
      </c>
      <c r="E67">
        <v>1081</v>
      </c>
      <c r="F67">
        <v>1</v>
      </c>
      <c r="G67">
        <v>1081</v>
      </c>
      <c r="H67">
        <v>3</v>
      </c>
      <c r="I67" t="s">
        <v>478</v>
      </c>
      <c r="J67" t="s">
        <v>3</v>
      </c>
      <c r="K67" t="s">
        <v>479</v>
      </c>
      <c r="L67">
        <v>1391</v>
      </c>
      <c r="N67">
        <v>1013</v>
      </c>
      <c r="O67" t="s">
        <v>473</v>
      </c>
      <c r="P67" t="s">
        <v>473</v>
      </c>
      <c r="Q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24</v>
      </c>
      <c r="AG67">
        <v>0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ROW(Source!A35)</f>
        <v>35</v>
      </c>
      <c r="B68">
        <v>55983340</v>
      </c>
      <c r="C68">
        <v>55983308</v>
      </c>
      <c r="D68">
        <v>55424290</v>
      </c>
      <c r="E68">
        <v>1081</v>
      </c>
      <c r="F68">
        <v>1</v>
      </c>
      <c r="G68">
        <v>1081</v>
      </c>
      <c r="H68">
        <v>3</v>
      </c>
      <c r="I68" t="s">
        <v>371</v>
      </c>
      <c r="J68" t="s">
        <v>3</v>
      </c>
      <c r="K68" t="s">
        <v>372</v>
      </c>
      <c r="L68">
        <v>1348</v>
      </c>
      <c r="N68">
        <v>1009</v>
      </c>
      <c r="O68" t="s">
        <v>345</v>
      </c>
      <c r="P68" t="s">
        <v>345</v>
      </c>
      <c r="Q68">
        <v>1000</v>
      </c>
      <c r="X68">
        <v>1E-3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24</v>
      </c>
      <c r="AG68">
        <v>0</v>
      </c>
      <c r="AH68">
        <v>2</v>
      </c>
      <c r="AI68">
        <v>55983323</v>
      </c>
      <c r="AJ68">
        <v>60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ROW(Source!A36)</f>
        <v>36</v>
      </c>
      <c r="B69">
        <v>55983347</v>
      </c>
      <c r="C69">
        <v>55983341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339</v>
      </c>
      <c r="J69" t="s">
        <v>3</v>
      </c>
      <c r="K69" t="s">
        <v>340</v>
      </c>
      <c r="L69">
        <v>1191</v>
      </c>
      <c r="N69">
        <v>1013</v>
      </c>
      <c r="O69" t="s">
        <v>341</v>
      </c>
      <c r="P69" t="s">
        <v>341</v>
      </c>
      <c r="Q69">
        <v>1</v>
      </c>
      <c r="X69">
        <v>24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25</v>
      </c>
      <c r="AG69">
        <v>8.6399999999999988</v>
      </c>
      <c r="AH69">
        <v>2</v>
      </c>
      <c r="AI69">
        <v>55983342</v>
      </c>
      <c r="AJ69">
        <v>61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ROW(Source!A36)</f>
        <v>36</v>
      </c>
      <c r="B70">
        <v>55983348</v>
      </c>
      <c r="C70">
        <v>55983341</v>
      </c>
      <c r="D70">
        <v>55459907</v>
      </c>
      <c r="E70">
        <v>1</v>
      </c>
      <c r="F70">
        <v>1</v>
      </c>
      <c r="G70">
        <v>1081</v>
      </c>
      <c r="H70">
        <v>3</v>
      </c>
      <c r="I70" t="s">
        <v>413</v>
      </c>
      <c r="J70" t="s">
        <v>414</v>
      </c>
      <c r="K70" t="s">
        <v>415</v>
      </c>
      <c r="L70">
        <v>1348</v>
      </c>
      <c r="N70">
        <v>1009</v>
      </c>
      <c r="O70" t="s">
        <v>345</v>
      </c>
      <c r="P70" t="s">
        <v>345</v>
      </c>
      <c r="Q70">
        <v>1000</v>
      </c>
      <c r="X70">
        <v>6.0000000000000001E-3</v>
      </c>
      <c r="Y70">
        <v>7246.05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24</v>
      </c>
      <c r="AG70">
        <v>0</v>
      </c>
      <c r="AH70">
        <v>2</v>
      </c>
      <c r="AI70">
        <v>55983343</v>
      </c>
      <c r="AJ70">
        <v>62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ROW(Source!A36)</f>
        <v>36</v>
      </c>
      <c r="B71">
        <v>55983349</v>
      </c>
      <c r="C71">
        <v>55983341</v>
      </c>
      <c r="D71">
        <v>55460316</v>
      </c>
      <c r="E71">
        <v>1</v>
      </c>
      <c r="F71">
        <v>1</v>
      </c>
      <c r="G71">
        <v>1081</v>
      </c>
      <c r="H71">
        <v>3</v>
      </c>
      <c r="I71" t="s">
        <v>416</v>
      </c>
      <c r="J71" t="s">
        <v>417</v>
      </c>
      <c r="K71" t="s">
        <v>418</v>
      </c>
      <c r="L71">
        <v>1346</v>
      </c>
      <c r="N71">
        <v>1009</v>
      </c>
      <c r="O71" t="s">
        <v>316</v>
      </c>
      <c r="P71" t="s">
        <v>316</v>
      </c>
      <c r="Q71">
        <v>1</v>
      </c>
      <c r="X71">
        <v>0.2</v>
      </c>
      <c r="Y71">
        <v>104.63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24</v>
      </c>
      <c r="AG71">
        <v>0</v>
      </c>
      <c r="AH71">
        <v>2</v>
      </c>
      <c r="AI71">
        <v>55983344</v>
      </c>
      <c r="AJ71">
        <v>63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ROW(Source!A36)</f>
        <v>36</v>
      </c>
      <c r="B72">
        <v>55983350</v>
      </c>
      <c r="C72">
        <v>55983341</v>
      </c>
      <c r="D72">
        <v>55461791</v>
      </c>
      <c r="E72">
        <v>1</v>
      </c>
      <c r="F72">
        <v>1</v>
      </c>
      <c r="G72">
        <v>1081</v>
      </c>
      <c r="H72">
        <v>3</v>
      </c>
      <c r="I72" t="s">
        <v>419</v>
      </c>
      <c r="J72" t="s">
        <v>420</v>
      </c>
      <c r="K72" t="s">
        <v>421</v>
      </c>
      <c r="L72">
        <v>1355</v>
      </c>
      <c r="N72">
        <v>1010</v>
      </c>
      <c r="O72" t="s">
        <v>49</v>
      </c>
      <c r="P72" t="s">
        <v>49</v>
      </c>
      <c r="Q72">
        <v>100</v>
      </c>
      <c r="X72">
        <v>2</v>
      </c>
      <c r="Y72">
        <v>10.6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24</v>
      </c>
      <c r="AG72">
        <v>0</v>
      </c>
      <c r="AH72">
        <v>2</v>
      </c>
      <c r="AI72">
        <v>55983345</v>
      </c>
      <c r="AJ72">
        <v>64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ROW(Source!A36)</f>
        <v>36</v>
      </c>
      <c r="B73">
        <v>55983351</v>
      </c>
      <c r="C73">
        <v>55983341</v>
      </c>
      <c r="D73">
        <v>55448278</v>
      </c>
      <c r="E73">
        <v>1081</v>
      </c>
      <c r="F73">
        <v>1</v>
      </c>
      <c r="G73">
        <v>1081</v>
      </c>
      <c r="H73">
        <v>3</v>
      </c>
      <c r="I73" t="s">
        <v>480</v>
      </c>
      <c r="J73" t="s">
        <v>3</v>
      </c>
      <c r="K73" t="s">
        <v>481</v>
      </c>
      <c r="L73">
        <v>1354</v>
      </c>
      <c r="N73">
        <v>1010</v>
      </c>
      <c r="O73" t="s">
        <v>164</v>
      </c>
      <c r="P73" t="s">
        <v>164</v>
      </c>
      <c r="Q73">
        <v>1</v>
      </c>
      <c r="X73">
        <v>100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24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ROW(Source!A36)</f>
        <v>36</v>
      </c>
      <c r="B74">
        <v>55983352</v>
      </c>
      <c r="C74">
        <v>55983341</v>
      </c>
      <c r="D74">
        <v>55424290</v>
      </c>
      <c r="E74">
        <v>1081</v>
      </c>
      <c r="F74">
        <v>1</v>
      </c>
      <c r="G74">
        <v>1081</v>
      </c>
      <c r="H74">
        <v>3</v>
      </c>
      <c r="I74" t="s">
        <v>371</v>
      </c>
      <c r="J74" t="s">
        <v>3</v>
      </c>
      <c r="K74" t="s">
        <v>372</v>
      </c>
      <c r="L74">
        <v>1348</v>
      </c>
      <c r="N74">
        <v>1009</v>
      </c>
      <c r="O74" t="s">
        <v>345</v>
      </c>
      <c r="P74" t="s">
        <v>345</v>
      </c>
      <c r="Q74">
        <v>1000</v>
      </c>
      <c r="X74">
        <v>0.03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24</v>
      </c>
      <c r="AG74">
        <v>0</v>
      </c>
      <c r="AH74">
        <v>2</v>
      </c>
      <c r="AI74">
        <v>55983346</v>
      </c>
      <c r="AJ74">
        <v>65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ROW(Source!A37)</f>
        <v>37</v>
      </c>
      <c r="B75">
        <v>55983347</v>
      </c>
      <c r="C75">
        <v>55983341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339</v>
      </c>
      <c r="J75" t="s">
        <v>3</v>
      </c>
      <c r="K75" t="s">
        <v>340</v>
      </c>
      <c r="L75">
        <v>1191</v>
      </c>
      <c r="N75">
        <v>1013</v>
      </c>
      <c r="O75" t="s">
        <v>341</v>
      </c>
      <c r="P75" t="s">
        <v>341</v>
      </c>
      <c r="Q75">
        <v>1</v>
      </c>
      <c r="X75">
        <v>24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25</v>
      </c>
      <c r="AG75">
        <v>8.6399999999999988</v>
      </c>
      <c r="AH75">
        <v>2</v>
      </c>
      <c r="AI75">
        <v>55983342</v>
      </c>
      <c r="AJ75">
        <v>66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ROW(Source!A37)</f>
        <v>37</v>
      </c>
      <c r="B76">
        <v>55983348</v>
      </c>
      <c r="C76">
        <v>55983341</v>
      </c>
      <c r="D76">
        <v>55459907</v>
      </c>
      <c r="E76">
        <v>1</v>
      </c>
      <c r="F76">
        <v>1</v>
      </c>
      <c r="G76">
        <v>1081</v>
      </c>
      <c r="H76">
        <v>3</v>
      </c>
      <c r="I76" t="s">
        <v>413</v>
      </c>
      <c r="J76" t="s">
        <v>414</v>
      </c>
      <c r="K76" t="s">
        <v>415</v>
      </c>
      <c r="L76">
        <v>1348</v>
      </c>
      <c r="N76">
        <v>1009</v>
      </c>
      <c r="O76" t="s">
        <v>345</v>
      </c>
      <c r="P76" t="s">
        <v>345</v>
      </c>
      <c r="Q76">
        <v>1000</v>
      </c>
      <c r="X76">
        <v>6.0000000000000001E-3</v>
      </c>
      <c r="Y76">
        <v>7246.05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24</v>
      </c>
      <c r="AG76">
        <v>0</v>
      </c>
      <c r="AH76">
        <v>2</v>
      </c>
      <c r="AI76">
        <v>55983343</v>
      </c>
      <c r="AJ76">
        <v>67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ROW(Source!A37)</f>
        <v>37</v>
      </c>
      <c r="B77">
        <v>55983349</v>
      </c>
      <c r="C77">
        <v>55983341</v>
      </c>
      <c r="D77">
        <v>55460316</v>
      </c>
      <c r="E77">
        <v>1</v>
      </c>
      <c r="F77">
        <v>1</v>
      </c>
      <c r="G77">
        <v>1081</v>
      </c>
      <c r="H77">
        <v>3</v>
      </c>
      <c r="I77" t="s">
        <v>416</v>
      </c>
      <c r="J77" t="s">
        <v>417</v>
      </c>
      <c r="K77" t="s">
        <v>418</v>
      </c>
      <c r="L77">
        <v>1346</v>
      </c>
      <c r="N77">
        <v>1009</v>
      </c>
      <c r="O77" t="s">
        <v>316</v>
      </c>
      <c r="P77" t="s">
        <v>316</v>
      </c>
      <c r="Q77">
        <v>1</v>
      </c>
      <c r="X77">
        <v>0.2</v>
      </c>
      <c r="Y77">
        <v>104.63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24</v>
      </c>
      <c r="AG77">
        <v>0</v>
      </c>
      <c r="AH77">
        <v>2</v>
      </c>
      <c r="AI77">
        <v>55983344</v>
      </c>
      <c r="AJ77">
        <v>68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ROW(Source!A37)</f>
        <v>37</v>
      </c>
      <c r="B78">
        <v>55983350</v>
      </c>
      <c r="C78">
        <v>55983341</v>
      </c>
      <c r="D78">
        <v>55461791</v>
      </c>
      <c r="E78">
        <v>1</v>
      </c>
      <c r="F78">
        <v>1</v>
      </c>
      <c r="G78">
        <v>1081</v>
      </c>
      <c r="H78">
        <v>3</v>
      </c>
      <c r="I78" t="s">
        <v>419</v>
      </c>
      <c r="J78" t="s">
        <v>420</v>
      </c>
      <c r="K78" t="s">
        <v>421</v>
      </c>
      <c r="L78">
        <v>1355</v>
      </c>
      <c r="N78">
        <v>1010</v>
      </c>
      <c r="O78" t="s">
        <v>49</v>
      </c>
      <c r="P78" t="s">
        <v>49</v>
      </c>
      <c r="Q78">
        <v>100</v>
      </c>
      <c r="X78">
        <v>2</v>
      </c>
      <c r="Y78">
        <v>10.6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24</v>
      </c>
      <c r="AG78">
        <v>0</v>
      </c>
      <c r="AH78">
        <v>2</v>
      </c>
      <c r="AI78">
        <v>55983345</v>
      </c>
      <c r="AJ78">
        <v>69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ROW(Source!A37)</f>
        <v>37</v>
      </c>
      <c r="B79">
        <v>55983351</v>
      </c>
      <c r="C79">
        <v>55983341</v>
      </c>
      <c r="D79">
        <v>55448278</v>
      </c>
      <c r="E79">
        <v>1081</v>
      </c>
      <c r="F79">
        <v>1</v>
      </c>
      <c r="G79">
        <v>1081</v>
      </c>
      <c r="H79">
        <v>3</v>
      </c>
      <c r="I79" t="s">
        <v>480</v>
      </c>
      <c r="J79" t="s">
        <v>3</v>
      </c>
      <c r="K79" t="s">
        <v>481</v>
      </c>
      <c r="L79">
        <v>1354</v>
      </c>
      <c r="N79">
        <v>1010</v>
      </c>
      <c r="O79" t="s">
        <v>164</v>
      </c>
      <c r="P79" t="s">
        <v>164</v>
      </c>
      <c r="Q79">
        <v>1</v>
      </c>
      <c r="X79">
        <v>100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24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ROW(Source!A37)</f>
        <v>37</v>
      </c>
      <c r="B80">
        <v>55983352</v>
      </c>
      <c r="C80">
        <v>55983341</v>
      </c>
      <c r="D80">
        <v>55424290</v>
      </c>
      <c r="E80">
        <v>1081</v>
      </c>
      <c r="F80">
        <v>1</v>
      </c>
      <c r="G80">
        <v>1081</v>
      </c>
      <c r="H80">
        <v>3</v>
      </c>
      <c r="I80" t="s">
        <v>371</v>
      </c>
      <c r="J80" t="s">
        <v>3</v>
      </c>
      <c r="K80" t="s">
        <v>372</v>
      </c>
      <c r="L80">
        <v>1348</v>
      </c>
      <c r="N80">
        <v>1009</v>
      </c>
      <c r="O80" t="s">
        <v>345</v>
      </c>
      <c r="P80" t="s">
        <v>345</v>
      </c>
      <c r="Q80">
        <v>1000</v>
      </c>
      <c r="X80">
        <v>0.03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24</v>
      </c>
      <c r="AG80">
        <v>0</v>
      </c>
      <c r="AH80">
        <v>2</v>
      </c>
      <c r="AI80">
        <v>55983346</v>
      </c>
      <c r="AJ80">
        <v>70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ROW(Source!A38)</f>
        <v>38</v>
      </c>
      <c r="B81">
        <v>55983355</v>
      </c>
      <c r="C81">
        <v>55983353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339</v>
      </c>
      <c r="J81" t="s">
        <v>3</v>
      </c>
      <c r="K81" t="s">
        <v>340</v>
      </c>
      <c r="L81">
        <v>1191</v>
      </c>
      <c r="N81">
        <v>1013</v>
      </c>
      <c r="O81" t="s">
        <v>341</v>
      </c>
      <c r="P81" t="s">
        <v>341</v>
      </c>
      <c r="Q81">
        <v>1</v>
      </c>
      <c r="X81">
        <v>5.84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56</v>
      </c>
      <c r="AG81">
        <v>7.008</v>
      </c>
      <c r="AH81">
        <v>2</v>
      </c>
      <c r="AI81">
        <v>55983354</v>
      </c>
      <c r="AJ81">
        <v>71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ROW(Source!A39)</f>
        <v>39</v>
      </c>
      <c r="B82">
        <v>55983355</v>
      </c>
      <c r="C82">
        <v>55983353</v>
      </c>
      <c r="D82">
        <v>55424304</v>
      </c>
      <c r="E82">
        <v>1081</v>
      </c>
      <c r="F82">
        <v>1</v>
      </c>
      <c r="G82">
        <v>1081</v>
      </c>
      <c r="H82">
        <v>1</v>
      </c>
      <c r="I82" t="s">
        <v>339</v>
      </c>
      <c r="J82" t="s">
        <v>3</v>
      </c>
      <c r="K82" t="s">
        <v>340</v>
      </c>
      <c r="L82">
        <v>1191</v>
      </c>
      <c r="N82">
        <v>1013</v>
      </c>
      <c r="O82" t="s">
        <v>341</v>
      </c>
      <c r="P82" t="s">
        <v>341</v>
      </c>
      <c r="Q82">
        <v>1</v>
      </c>
      <c r="X82">
        <v>5.84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56</v>
      </c>
      <c r="AG82">
        <v>7.008</v>
      </c>
      <c r="AH82">
        <v>2</v>
      </c>
      <c r="AI82">
        <v>55983354</v>
      </c>
      <c r="AJ82">
        <v>72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ROW(Source!A40)</f>
        <v>40</v>
      </c>
      <c r="B83">
        <v>55983359</v>
      </c>
      <c r="C83">
        <v>55983356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339</v>
      </c>
      <c r="J83" t="s">
        <v>3</v>
      </c>
      <c r="K83" t="s">
        <v>340</v>
      </c>
      <c r="L83">
        <v>1191</v>
      </c>
      <c r="N83">
        <v>1013</v>
      </c>
      <c r="O83" t="s">
        <v>341</v>
      </c>
      <c r="P83" t="s">
        <v>341</v>
      </c>
      <c r="Q83">
        <v>1</v>
      </c>
      <c r="X83">
        <v>1.03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25</v>
      </c>
      <c r="AG83">
        <v>0.37079999999999996</v>
      </c>
      <c r="AH83">
        <v>2</v>
      </c>
      <c r="AI83">
        <v>55983357</v>
      </c>
      <c r="AJ83">
        <v>73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ROW(Source!A40)</f>
        <v>40</v>
      </c>
      <c r="B84">
        <v>55983360</v>
      </c>
      <c r="C84">
        <v>55983356</v>
      </c>
      <c r="D84">
        <v>55490209</v>
      </c>
      <c r="E84">
        <v>1</v>
      </c>
      <c r="F84">
        <v>1</v>
      </c>
      <c r="G84">
        <v>1081</v>
      </c>
      <c r="H84">
        <v>2</v>
      </c>
      <c r="I84" t="s">
        <v>422</v>
      </c>
      <c r="J84" t="s">
        <v>423</v>
      </c>
      <c r="K84" t="s">
        <v>424</v>
      </c>
      <c r="L84">
        <v>1368</v>
      </c>
      <c r="N84">
        <v>1011</v>
      </c>
      <c r="O84" t="s">
        <v>376</v>
      </c>
      <c r="P84" t="s">
        <v>376</v>
      </c>
      <c r="Q84">
        <v>1</v>
      </c>
      <c r="X84">
        <v>0.16</v>
      </c>
      <c r="Y84">
        <v>0</v>
      </c>
      <c r="Z84">
        <v>83.1</v>
      </c>
      <c r="AA84">
        <v>12.62</v>
      </c>
      <c r="AB84">
        <v>0</v>
      </c>
      <c r="AC84">
        <v>0</v>
      </c>
      <c r="AD84">
        <v>1</v>
      </c>
      <c r="AE84">
        <v>0</v>
      </c>
      <c r="AF84" t="s">
        <v>25</v>
      </c>
      <c r="AG84">
        <v>5.7599999999999998E-2</v>
      </c>
      <c r="AH84">
        <v>2</v>
      </c>
      <c r="AI84">
        <v>55983358</v>
      </c>
      <c r="AJ84">
        <v>74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ROW(Source!A40)</f>
        <v>40</v>
      </c>
      <c r="B85">
        <v>55983361</v>
      </c>
      <c r="C85">
        <v>55983356</v>
      </c>
      <c r="D85">
        <v>55440932</v>
      </c>
      <c r="E85">
        <v>1081</v>
      </c>
      <c r="F85">
        <v>1</v>
      </c>
      <c r="G85">
        <v>1081</v>
      </c>
      <c r="H85">
        <v>3</v>
      </c>
      <c r="I85" t="s">
        <v>482</v>
      </c>
      <c r="J85" t="s">
        <v>3</v>
      </c>
      <c r="K85" t="s">
        <v>483</v>
      </c>
      <c r="L85">
        <v>1354</v>
      </c>
      <c r="N85">
        <v>1010</v>
      </c>
      <c r="O85" t="s">
        <v>164</v>
      </c>
      <c r="P85" t="s">
        <v>164</v>
      </c>
      <c r="Q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24</v>
      </c>
      <c r="AG85">
        <v>0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ROW(Source!A41)</f>
        <v>41</v>
      </c>
      <c r="B86">
        <v>55983359</v>
      </c>
      <c r="C86">
        <v>55983356</v>
      </c>
      <c r="D86">
        <v>55424304</v>
      </c>
      <c r="E86">
        <v>1081</v>
      </c>
      <c r="F86">
        <v>1</v>
      </c>
      <c r="G86">
        <v>1081</v>
      </c>
      <c r="H86">
        <v>1</v>
      </c>
      <c r="I86" t="s">
        <v>339</v>
      </c>
      <c r="J86" t="s">
        <v>3</v>
      </c>
      <c r="K86" t="s">
        <v>340</v>
      </c>
      <c r="L86">
        <v>1191</v>
      </c>
      <c r="N86">
        <v>1013</v>
      </c>
      <c r="O86" t="s">
        <v>341</v>
      </c>
      <c r="P86" t="s">
        <v>341</v>
      </c>
      <c r="Q86">
        <v>1</v>
      </c>
      <c r="X86">
        <v>1.03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 t="s">
        <v>25</v>
      </c>
      <c r="AG86">
        <v>0.37079999999999996</v>
      </c>
      <c r="AH86">
        <v>2</v>
      </c>
      <c r="AI86">
        <v>55983357</v>
      </c>
      <c r="AJ86">
        <v>75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ROW(Source!A41)</f>
        <v>41</v>
      </c>
      <c r="B87">
        <v>55983360</v>
      </c>
      <c r="C87">
        <v>55983356</v>
      </c>
      <c r="D87">
        <v>55490209</v>
      </c>
      <c r="E87">
        <v>1</v>
      </c>
      <c r="F87">
        <v>1</v>
      </c>
      <c r="G87">
        <v>1081</v>
      </c>
      <c r="H87">
        <v>2</v>
      </c>
      <c r="I87" t="s">
        <v>422</v>
      </c>
      <c r="J87" t="s">
        <v>423</v>
      </c>
      <c r="K87" t="s">
        <v>424</v>
      </c>
      <c r="L87">
        <v>1368</v>
      </c>
      <c r="N87">
        <v>1011</v>
      </c>
      <c r="O87" t="s">
        <v>376</v>
      </c>
      <c r="P87" t="s">
        <v>376</v>
      </c>
      <c r="Q87">
        <v>1</v>
      </c>
      <c r="X87">
        <v>0.16</v>
      </c>
      <c r="Y87">
        <v>0</v>
      </c>
      <c r="Z87">
        <v>83.1</v>
      </c>
      <c r="AA87">
        <v>12.62</v>
      </c>
      <c r="AB87">
        <v>0</v>
      </c>
      <c r="AC87">
        <v>0</v>
      </c>
      <c r="AD87">
        <v>1</v>
      </c>
      <c r="AE87">
        <v>0</v>
      </c>
      <c r="AF87" t="s">
        <v>25</v>
      </c>
      <c r="AG87">
        <v>5.7599999999999998E-2</v>
      </c>
      <c r="AH87">
        <v>2</v>
      </c>
      <c r="AI87">
        <v>55983358</v>
      </c>
      <c r="AJ87">
        <v>76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ROW(Source!A41)</f>
        <v>41</v>
      </c>
      <c r="B88">
        <v>55983361</v>
      </c>
      <c r="C88">
        <v>55983356</v>
      </c>
      <c r="D88">
        <v>55440932</v>
      </c>
      <c r="E88">
        <v>1081</v>
      </c>
      <c r="F88">
        <v>1</v>
      </c>
      <c r="G88">
        <v>1081</v>
      </c>
      <c r="H88">
        <v>3</v>
      </c>
      <c r="I88" t="s">
        <v>482</v>
      </c>
      <c r="J88" t="s">
        <v>3</v>
      </c>
      <c r="K88" t="s">
        <v>483</v>
      </c>
      <c r="L88">
        <v>1354</v>
      </c>
      <c r="N88">
        <v>1010</v>
      </c>
      <c r="O88" t="s">
        <v>164</v>
      </c>
      <c r="P88" t="s">
        <v>164</v>
      </c>
      <c r="Q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24</v>
      </c>
      <c r="AG88">
        <v>0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ROW(Source!A42)</f>
        <v>42</v>
      </c>
      <c r="B89">
        <v>55983370</v>
      </c>
      <c r="C89">
        <v>55983362</v>
      </c>
      <c r="D89">
        <v>55424304</v>
      </c>
      <c r="E89">
        <v>1081</v>
      </c>
      <c r="F89">
        <v>1</v>
      </c>
      <c r="G89">
        <v>1081</v>
      </c>
      <c r="H89">
        <v>1</v>
      </c>
      <c r="I89" t="s">
        <v>339</v>
      </c>
      <c r="J89" t="s">
        <v>3</v>
      </c>
      <c r="K89" t="s">
        <v>340</v>
      </c>
      <c r="L89">
        <v>1191</v>
      </c>
      <c r="N89">
        <v>1013</v>
      </c>
      <c r="O89" t="s">
        <v>341</v>
      </c>
      <c r="P89" t="s">
        <v>341</v>
      </c>
      <c r="Q89">
        <v>1</v>
      </c>
      <c r="X89">
        <v>33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25</v>
      </c>
      <c r="AG89">
        <v>11.88</v>
      </c>
      <c r="AH89">
        <v>2</v>
      </c>
      <c r="AI89">
        <v>55983363</v>
      </c>
      <c r="AJ89">
        <v>77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ROW(Source!A42)</f>
        <v>42</v>
      </c>
      <c r="B90">
        <v>55983371</v>
      </c>
      <c r="C90">
        <v>55983362</v>
      </c>
      <c r="D90">
        <v>55460546</v>
      </c>
      <c r="E90">
        <v>1</v>
      </c>
      <c r="F90">
        <v>1</v>
      </c>
      <c r="G90">
        <v>1081</v>
      </c>
      <c r="H90">
        <v>3</v>
      </c>
      <c r="I90" t="s">
        <v>425</v>
      </c>
      <c r="J90" t="s">
        <v>426</v>
      </c>
      <c r="K90" t="s">
        <v>427</v>
      </c>
      <c r="L90">
        <v>1255</v>
      </c>
      <c r="N90">
        <v>1013</v>
      </c>
      <c r="O90" t="s">
        <v>428</v>
      </c>
      <c r="P90" t="s">
        <v>428</v>
      </c>
      <c r="Q90">
        <v>1</v>
      </c>
      <c r="X90">
        <v>1.1000000000000001</v>
      </c>
      <c r="Y90">
        <v>0.42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24</v>
      </c>
      <c r="AG90">
        <v>0</v>
      </c>
      <c r="AH90">
        <v>2</v>
      </c>
      <c r="AI90">
        <v>55983364</v>
      </c>
      <c r="AJ90">
        <v>78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ROW(Source!A42)</f>
        <v>42</v>
      </c>
      <c r="B91">
        <v>55983372</v>
      </c>
      <c r="C91">
        <v>55983362</v>
      </c>
      <c r="D91">
        <v>55459792</v>
      </c>
      <c r="E91">
        <v>1</v>
      </c>
      <c r="F91">
        <v>1</v>
      </c>
      <c r="G91">
        <v>1081</v>
      </c>
      <c r="H91">
        <v>3</v>
      </c>
      <c r="I91" t="s">
        <v>429</v>
      </c>
      <c r="J91" t="s">
        <v>430</v>
      </c>
      <c r="K91" t="s">
        <v>431</v>
      </c>
      <c r="L91">
        <v>1348</v>
      </c>
      <c r="N91">
        <v>1009</v>
      </c>
      <c r="O91" t="s">
        <v>345</v>
      </c>
      <c r="P91" t="s">
        <v>345</v>
      </c>
      <c r="Q91">
        <v>1000</v>
      </c>
      <c r="X91">
        <v>1.9000000000000001E-4</v>
      </c>
      <c r="Y91">
        <v>60960.43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24</v>
      </c>
      <c r="AG91">
        <v>0</v>
      </c>
      <c r="AH91">
        <v>2</v>
      </c>
      <c r="AI91">
        <v>55983365</v>
      </c>
      <c r="AJ91">
        <v>79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ROW(Source!A42)</f>
        <v>42</v>
      </c>
      <c r="B92">
        <v>55983373</v>
      </c>
      <c r="C92">
        <v>55983362</v>
      </c>
      <c r="D92">
        <v>55466338</v>
      </c>
      <c r="E92">
        <v>1</v>
      </c>
      <c r="F92">
        <v>1</v>
      </c>
      <c r="G92">
        <v>1081</v>
      </c>
      <c r="H92">
        <v>3</v>
      </c>
      <c r="I92" t="s">
        <v>364</v>
      </c>
      <c r="J92" t="s">
        <v>365</v>
      </c>
      <c r="K92" t="s">
        <v>366</v>
      </c>
      <c r="L92">
        <v>1349</v>
      </c>
      <c r="N92">
        <v>1009</v>
      </c>
      <c r="O92" t="s">
        <v>367</v>
      </c>
      <c r="P92" t="s">
        <v>367</v>
      </c>
      <c r="Q92">
        <v>1E-3</v>
      </c>
      <c r="X92">
        <v>20</v>
      </c>
      <c r="Y92">
        <v>7.0000000000000007E-2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24</v>
      </c>
      <c r="AG92">
        <v>0</v>
      </c>
      <c r="AH92">
        <v>2</v>
      </c>
      <c r="AI92">
        <v>55983366</v>
      </c>
      <c r="AJ92">
        <v>80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ROW(Source!A42)</f>
        <v>42</v>
      </c>
      <c r="B93">
        <v>55983374</v>
      </c>
      <c r="C93">
        <v>55983362</v>
      </c>
      <c r="D93">
        <v>55482203</v>
      </c>
      <c r="E93">
        <v>1</v>
      </c>
      <c r="F93">
        <v>1</v>
      </c>
      <c r="G93">
        <v>1081</v>
      </c>
      <c r="H93">
        <v>3</v>
      </c>
      <c r="I93" t="s">
        <v>432</v>
      </c>
      <c r="J93" t="s">
        <v>433</v>
      </c>
      <c r="K93" t="s">
        <v>434</v>
      </c>
      <c r="L93">
        <v>1356</v>
      </c>
      <c r="N93">
        <v>1010</v>
      </c>
      <c r="O93" t="s">
        <v>409</v>
      </c>
      <c r="P93" t="s">
        <v>409</v>
      </c>
      <c r="Q93">
        <v>1000</v>
      </c>
      <c r="X93">
        <v>0.04</v>
      </c>
      <c r="Y93">
        <v>226.66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24</v>
      </c>
      <c r="AG93">
        <v>0</v>
      </c>
      <c r="AH93">
        <v>2</v>
      </c>
      <c r="AI93">
        <v>55983367</v>
      </c>
      <c r="AJ93">
        <v>81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ROW(Source!A42)</f>
        <v>42</v>
      </c>
      <c r="B94">
        <v>55983375</v>
      </c>
      <c r="C94">
        <v>55983362</v>
      </c>
      <c r="D94">
        <v>55482233</v>
      </c>
      <c r="E94">
        <v>1</v>
      </c>
      <c r="F94">
        <v>1</v>
      </c>
      <c r="G94">
        <v>1081</v>
      </c>
      <c r="H94">
        <v>3</v>
      </c>
      <c r="I94" t="s">
        <v>368</v>
      </c>
      <c r="J94" t="s">
        <v>369</v>
      </c>
      <c r="K94" t="s">
        <v>370</v>
      </c>
      <c r="L94">
        <v>1346</v>
      </c>
      <c r="N94">
        <v>1009</v>
      </c>
      <c r="O94" t="s">
        <v>316</v>
      </c>
      <c r="P94" t="s">
        <v>316</v>
      </c>
      <c r="Q94">
        <v>1</v>
      </c>
      <c r="X94">
        <v>0.11</v>
      </c>
      <c r="Y94">
        <v>493.08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24</v>
      </c>
      <c r="AG94">
        <v>0</v>
      </c>
      <c r="AH94">
        <v>2</v>
      </c>
      <c r="AI94">
        <v>55983368</v>
      </c>
      <c r="AJ94">
        <v>82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ROW(Source!A42)</f>
        <v>42</v>
      </c>
      <c r="B95">
        <v>55983376</v>
      </c>
      <c r="C95">
        <v>55983362</v>
      </c>
      <c r="D95">
        <v>55455573</v>
      </c>
      <c r="E95">
        <v>1081</v>
      </c>
      <c r="F95">
        <v>1</v>
      </c>
      <c r="G95">
        <v>1081</v>
      </c>
      <c r="H95">
        <v>3</v>
      </c>
      <c r="I95" t="s">
        <v>484</v>
      </c>
      <c r="J95" t="s">
        <v>3</v>
      </c>
      <c r="K95" t="s">
        <v>485</v>
      </c>
      <c r="L95">
        <v>1354</v>
      </c>
      <c r="N95">
        <v>1010</v>
      </c>
      <c r="O95" t="s">
        <v>164</v>
      </c>
      <c r="P95" t="s">
        <v>164</v>
      </c>
      <c r="Q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24</v>
      </c>
      <c r="AG95">
        <v>0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ROW(Source!A42)</f>
        <v>42</v>
      </c>
      <c r="B96">
        <v>55983377</v>
      </c>
      <c r="C96">
        <v>55983362</v>
      </c>
      <c r="D96">
        <v>55424290</v>
      </c>
      <c r="E96">
        <v>1081</v>
      </c>
      <c r="F96">
        <v>1</v>
      </c>
      <c r="G96">
        <v>1081</v>
      </c>
      <c r="H96">
        <v>3</v>
      </c>
      <c r="I96" t="s">
        <v>371</v>
      </c>
      <c r="J96" t="s">
        <v>3</v>
      </c>
      <c r="K96" t="s">
        <v>372</v>
      </c>
      <c r="L96">
        <v>1348</v>
      </c>
      <c r="N96">
        <v>1009</v>
      </c>
      <c r="O96" t="s">
        <v>345</v>
      </c>
      <c r="P96" t="s">
        <v>345</v>
      </c>
      <c r="Q96">
        <v>1000</v>
      </c>
      <c r="X96">
        <v>7.4999999999999997E-2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24</v>
      </c>
      <c r="AG96">
        <v>0</v>
      </c>
      <c r="AH96">
        <v>2</v>
      </c>
      <c r="AI96">
        <v>55983369</v>
      </c>
      <c r="AJ96">
        <v>83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ROW(Source!A43)</f>
        <v>43</v>
      </c>
      <c r="B97">
        <v>55983370</v>
      </c>
      <c r="C97">
        <v>55983362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339</v>
      </c>
      <c r="J97" t="s">
        <v>3</v>
      </c>
      <c r="K97" t="s">
        <v>340</v>
      </c>
      <c r="L97">
        <v>1191</v>
      </c>
      <c r="N97">
        <v>1013</v>
      </c>
      <c r="O97" t="s">
        <v>341</v>
      </c>
      <c r="P97" t="s">
        <v>341</v>
      </c>
      <c r="Q97">
        <v>1</v>
      </c>
      <c r="X97">
        <v>33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25</v>
      </c>
      <c r="AG97">
        <v>11.88</v>
      </c>
      <c r="AH97">
        <v>2</v>
      </c>
      <c r="AI97">
        <v>55983363</v>
      </c>
      <c r="AJ97">
        <v>84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ROW(Source!A43)</f>
        <v>43</v>
      </c>
      <c r="B98">
        <v>55983371</v>
      </c>
      <c r="C98">
        <v>55983362</v>
      </c>
      <c r="D98">
        <v>55460546</v>
      </c>
      <c r="E98">
        <v>1</v>
      </c>
      <c r="F98">
        <v>1</v>
      </c>
      <c r="G98">
        <v>1081</v>
      </c>
      <c r="H98">
        <v>3</v>
      </c>
      <c r="I98" t="s">
        <v>425</v>
      </c>
      <c r="J98" t="s">
        <v>426</v>
      </c>
      <c r="K98" t="s">
        <v>427</v>
      </c>
      <c r="L98">
        <v>1255</v>
      </c>
      <c r="N98">
        <v>1013</v>
      </c>
      <c r="O98" t="s">
        <v>428</v>
      </c>
      <c r="P98" t="s">
        <v>428</v>
      </c>
      <c r="Q98">
        <v>1</v>
      </c>
      <c r="X98">
        <v>1.1000000000000001</v>
      </c>
      <c r="Y98">
        <v>0.42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24</v>
      </c>
      <c r="AG98">
        <v>0</v>
      </c>
      <c r="AH98">
        <v>2</v>
      </c>
      <c r="AI98">
        <v>55983364</v>
      </c>
      <c r="AJ98">
        <v>85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ROW(Source!A43)</f>
        <v>43</v>
      </c>
      <c r="B99">
        <v>55983372</v>
      </c>
      <c r="C99">
        <v>55983362</v>
      </c>
      <c r="D99">
        <v>55459792</v>
      </c>
      <c r="E99">
        <v>1</v>
      </c>
      <c r="F99">
        <v>1</v>
      </c>
      <c r="G99">
        <v>1081</v>
      </c>
      <c r="H99">
        <v>3</v>
      </c>
      <c r="I99" t="s">
        <v>429</v>
      </c>
      <c r="J99" t="s">
        <v>430</v>
      </c>
      <c r="K99" t="s">
        <v>431</v>
      </c>
      <c r="L99">
        <v>1348</v>
      </c>
      <c r="N99">
        <v>1009</v>
      </c>
      <c r="O99" t="s">
        <v>345</v>
      </c>
      <c r="P99" t="s">
        <v>345</v>
      </c>
      <c r="Q99">
        <v>1000</v>
      </c>
      <c r="X99">
        <v>1.9000000000000001E-4</v>
      </c>
      <c r="Y99">
        <v>60960.43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24</v>
      </c>
      <c r="AG99">
        <v>0</v>
      </c>
      <c r="AH99">
        <v>2</v>
      </c>
      <c r="AI99">
        <v>55983365</v>
      </c>
      <c r="AJ99">
        <v>86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ROW(Source!A43)</f>
        <v>43</v>
      </c>
      <c r="B100">
        <v>55983373</v>
      </c>
      <c r="C100">
        <v>55983362</v>
      </c>
      <c r="D100">
        <v>55466338</v>
      </c>
      <c r="E100">
        <v>1</v>
      </c>
      <c r="F100">
        <v>1</v>
      </c>
      <c r="G100">
        <v>1081</v>
      </c>
      <c r="H100">
        <v>3</v>
      </c>
      <c r="I100" t="s">
        <v>364</v>
      </c>
      <c r="J100" t="s">
        <v>365</v>
      </c>
      <c r="K100" t="s">
        <v>366</v>
      </c>
      <c r="L100">
        <v>1349</v>
      </c>
      <c r="N100">
        <v>1009</v>
      </c>
      <c r="O100" t="s">
        <v>367</v>
      </c>
      <c r="P100" t="s">
        <v>367</v>
      </c>
      <c r="Q100">
        <v>1E-3</v>
      </c>
      <c r="X100">
        <v>20</v>
      </c>
      <c r="Y100">
        <v>7.0000000000000007E-2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24</v>
      </c>
      <c r="AG100">
        <v>0</v>
      </c>
      <c r="AH100">
        <v>2</v>
      </c>
      <c r="AI100">
        <v>55983366</v>
      </c>
      <c r="AJ100">
        <v>87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ROW(Source!A43)</f>
        <v>43</v>
      </c>
      <c r="B101">
        <v>55983374</v>
      </c>
      <c r="C101">
        <v>55983362</v>
      </c>
      <c r="D101">
        <v>55482203</v>
      </c>
      <c r="E101">
        <v>1</v>
      </c>
      <c r="F101">
        <v>1</v>
      </c>
      <c r="G101">
        <v>1081</v>
      </c>
      <c r="H101">
        <v>3</v>
      </c>
      <c r="I101" t="s">
        <v>432</v>
      </c>
      <c r="J101" t="s">
        <v>433</v>
      </c>
      <c r="K101" t="s">
        <v>434</v>
      </c>
      <c r="L101">
        <v>1356</v>
      </c>
      <c r="N101">
        <v>1010</v>
      </c>
      <c r="O101" t="s">
        <v>409</v>
      </c>
      <c r="P101" t="s">
        <v>409</v>
      </c>
      <c r="Q101">
        <v>1000</v>
      </c>
      <c r="X101">
        <v>0.04</v>
      </c>
      <c r="Y101">
        <v>226.66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24</v>
      </c>
      <c r="AG101">
        <v>0</v>
      </c>
      <c r="AH101">
        <v>2</v>
      </c>
      <c r="AI101">
        <v>55983367</v>
      </c>
      <c r="AJ101">
        <v>88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ROW(Source!A43)</f>
        <v>43</v>
      </c>
      <c r="B102">
        <v>55983375</v>
      </c>
      <c r="C102">
        <v>55983362</v>
      </c>
      <c r="D102">
        <v>55482233</v>
      </c>
      <c r="E102">
        <v>1</v>
      </c>
      <c r="F102">
        <v>1</v>
      </c>
      <c r="G102">
        <v>1081</v>
      </c>
      <c r="H102">
        <v>3</v>
      </c>
      <c r="I102" t="s">
        <v>368</v>
      </c>
      <c r="J102" t="s">
        <v>369</v>
      </c>
      <c r="K102" t="s">
        <v>370</v>
      </c>
      <c r="L102">
        <v>1346</v>
      </c>
      <c r="N102">
        <v>1009</v>
      </c>
      <c r="O102" t="s">
        <v>316</v>
      </c>
      <c r="P102" t="s">
        <v>316</v>
      </c>
      <c r="Q102">
        <v>1</v>
      </c>
      <c r="X102">
        <v>0.11</v>
      </c>
      <c r="Y102">
        <v>493.08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24</v>
      </c>
      <c r="AG102">
        <v>0</v>
      </c>
      <c r="AH102">
        <v>2</v>
      </c>
      <c r="AI102">
        <v>55983368</v>
      </c>
      <c r="AJ102">
        <v>89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ROW(Source!A43)</f>
        <v>43</v>
      </c>
      <c r="B103">
        <v>55983376</v>
      </c>
      <c r="C103">
        <v>55983362</v>
      </c>
      <c r="D103">
        <v>55455573</v>
      </c>
      <c r="E103">
        <v>1081</v>
      </c>
      <c r="F103">
        <v>1</v>
      </c>
      <c r="G103">
        <v>1081</v>
      </c>
      <c r="H103">
        <v>3</v>
      </c>
      <c r="I103" t="s">
        <v>484</v>
      </c>
      <c r="J103" t="s">
        <v>3</v>
      </c>
      <c r="K103" t="s">
        <v>485</v>
      </c>
      <c r="L103">
        <v>1354</v>
      </c>
      <c r="N103">
        <v>1010</v>
      </c>
      <c r="O103" t="s">
        <v>164</v>
      </c>
      <c r="P103" t="s">
        <v>164</v>
      </c>
      <c r="Q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24</v>
      </c>
      <c r="AG103">
        <v>0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ROW(Source!A43)</f>
        <v>43</v>
      </c>
      <c r="B104">
        <v>55983377</v>
      </c>
      <c r="C104">
        <v>55983362</v>
      </c>
      <c r="D104">
        <v>55424290</v>
      </c>
      <c r="E104">
        <v>1081</v>
      </c>
      <c r="F104">
        <v>1</v>
      </c>
      <c r="G104">
        <v>1081</v>
      </c>
      <c r="H104">
        <v>3</v>
      </c>
      <c r="I104" t="s">
        <v>371</v>
      </c>
      <c r="J104" t="s">
        <v>3</v>
      </c>
      <c r="K104" t="s">
        <v>372</v>
      </c>
      <c r="L104">
        <v>1348</v>
      </c>
      <c r="N104">
        <v>1009</v>
      </c>
      <c r="O104" t="s">
        <v>345</v>
      </c>
      <c r="P104" t="s">
        <v>345</v>
      </c>
      <c r="Q104">
        <v>1000</v>
      </c>
      <c r="X104">
        <v>7.4999999999999997E-2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24</v>
      </c>
      <c r="AG104">
        <v>0</v>
      </c>
      <c r="AH104">
        <v>2</v>
      </c>
      <c r="AI104">
        <v>55983369</v>
      </c>
      <c r="AJ104">
        <v>90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ROW(Source!A44)</f>
        <v>44</v>
      </c>
      <c r="B105">
        <v>55983390</v>
      </c>
      <c r="C105">
        <v>55983378</v>
      </c>
      <c r="D105">
        <v>55424304</v>
      </c>
      <c r="E105">
        <v>1081</v>
      </c>
      <c r="F105">
        <v>1</v>
      </c>
      <c r="G105">
        <v>1081</v>
      </c>
      <c r="H105">
        <v>1</v>
      </c>
      <c r="I105" t="s">
        <v>339</v>
      </c>
      <c r="J105" t="s">
        <v>3</v>
      </c>
      <c r="K105" t="s">
        <v>340</v>
      </c>
      <c r="L105">
        <v>1191</v>
      </c>
      <c r="N105">
        <v>1013</v>
      </c>
      <c r="O105" t="s">
        <v>341</v>
      </c>
      <c r="P105" t="s">
        <v>341</v>
      </c>
      <c r="Q105">
        <v>1</v>
      </c>
      <c r="X105">
        <v>10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25</v>
      </c>
      <c r="AG105">
        <v>3.5999999999999996</v>
      </c>
      <c r="AH105">
        <v>2</v>
      </c>
      <c r="AI105">
        <v>55983379</v>
      </c>
      <c r="AJ105">
        <v>91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ROW(Source!A44)</f>
        <v>44</v>
      </c>
      <c r="B106">
        <v>55983391</v>
      </c>
      <c r="C106">
        <v>55983378</v>
      </c>
      <c r="D106">
        <v>55460508</v>
      </c>
      <c r="E106">
        <v>1</v>
      </c>
      <c r="F106">
        <v>1</v>
      </c>
      <c r="G106">
        <v>1081</v>
      </c>
      <c r="H106">
        <v>3</v>
      </c>
      <c r="I106" t="s">
        <v>342</v>
      </c>
      <c r="J106" t="s">
        <v>343</v>
      </c>
      <c r="K106" t="s">
        <v>344</v>
      </c>
      <c r="L106">
        <v>1348</v>
      </c>
      <c r="N106">
        <v>1009</v>
      </c>
      <c r="O106" t="s">
        <v>345</v>
      </c>
      <c r="P106" t="s">
        <v>345</v>
      </c>
      <c r="Q106">
        <v>1000</v>
      </c>
      <c r="X106">
        <v>2.0000000000000001E-4</v>
      </c>
      <c r="Y106">
        <v>12287.39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24</v>
      </c>
      <c r="AG106">
        <v>0</v>
      </c>
      <c r="AH106">
        <v>2</v>
      </c>
      <c r="AI106">
        <v>55983380</v>
      </c>
      <c r="AJ106">
        <v>92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ROW(Source!A44)</f>
        <v>44</v>
      </c>
      <c r="B107">
        <v>55983392</v>
      </c>
      <c r="C107">
        <v>55983378</v>
      </c>
      <c r="D107">
        <v>55460545</v>
      </c>
      <c r="E107">
        <v>1</v>
      </c>
      <c r="F107">
        <v>1</v>
      </c>
      <c r="G107">
        <v>1081</v>
      </c>
      <c r="H107">
        <v>3</v>
      </c>
      <c r="I107" t="s">
        <v>346</v>
      </c>
      <c r="J107" t="s">
        <v>347</v>
      </c>
      <c r="K107" t="s">
        <v>348</v>
      </c>
      <c r="L107">
        <v>1348</v>
      </c>
      <c r="N107">
        <v>1009</v>
      </c>
      <c r="O107" t="s">
        <v>345</v>
      </c>
      <c r="P107" t="s">
        <v>345</v>
      </c>
      <c r="Q107">
        <v>1000</v>
      </c>
      <c r="X107">
        <v>1.0000000000000001E-5</v>
      </c>
      <c r="Y107">
        <v>3772.37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24</v>
      </c>
      <c r="AG107">
        <v>0</v>
      </c>
      <c r="AH107">
        <v>2</v>
      </c>
      <c r="AI107">
        <v>55983381</v>
      </c>
      <c r="AJ107">
        <v>93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ROW(Source!A44)</f>
        <v>44</v>
      </c>
      <c r="B108">
        <v>55983393</v>
      </c>
      <c r="C108">
        <v>55983378</v>
      </c>
      <c r="D108">
        <v>55461230</v>
      </c>
      <c r="E108">
        <v>1</v>
      </c>
      <c r="F108">
        <v>1</v>
      </c>
      <c r="G108">
        <v>1081</v>
      </c>
      <c r="H108">
        <v>3</v>
      </c>
      <c r="I108" t="s">
        <v>349</v>
      </c>
      <c r="J108" t="s">
        <v>350</v>
      </c>
      <c r="K108" t="s">
        <v>351</v>
      </c>
      <c r="L108">
        <v>1346</v>
      </c>
      <c r="N108">
        <v>1009</v>
      </c>
      <c r="O108" t="s">
        <v>316</v>
      </c>
      <c r="P108" t="s">
        <v>316</v>
      </c>
      <c r="Q108">
        <v>1</v>
      </c>
      <c r="X108">
        <v>0.02</v>
      </c>
      <c r="Y108">
        <v>15.11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24</v>
      </c>
      <c r="AG108">
        <v>0</v>
      </c>
      <c r="AH108">
        <v>2</v>
      </c>
      <c r="AI108">
        <v>55983382</v>
      </c>
      <c r="AJ108">
        <v>94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ROW(Source!A44)</f>
        <v>44</v>
      </c>
      <c r="B109">
        <v>55983394</v>
      </c>
      <c r="C109">
        <v>55983378</v>
      </c>
      <c r="D109">
        <v>55461426</v>
      </c>
      <c r="E109">
        <v>1</v>
      </c>
      <c r="F109">
        <v>1</v>
      </c>
      <c r="G109">
        <v>1081</v>
      </c>
      <c r="H109">
        <v>3</v>
      </c>
      <c r="I109" t="s">
        <v>352</v>
      </c>
      <c r="J109" t="s">
        <v>353</v>
      </c>
      <c r="K109" t="s">
        <v>354</v>
      </c>
      <c r="L109">
        <v>1346</v>
      </c>
      <c r="N109">
        <v>1009</v>
      </c>
      <c r="O109" t="s">
        <v>316</v>
      </c>
      <c r="P109" t="s">
        <v>316</v>
      </c>
      <c r="Q109">
        <v>1</v>
      </c>
      <c r="X109">
        <v>0.5</v>
      </c>
      <c r="Y109">
        <v>35.590000000000003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24</v>
      </c>
      <c r="AG109">
        <v>0</v>
      </c>
      <c r="AH109">
        <v>2</v>
      </c>
      <c r="AI109">
        <v>55983383</v>
      </c>
      <c r="AJ109">
        <v>95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ROW(Source!A44)</f>
        <v>44</v>
      </c>
      <c r="B110">
        <v>55983395</v>
      </c>
      <c r="C110">
        <v>55983378</v>
      </c>
      <c r="D110">
        <v>55459400</v>
      </c>
      <c r="E110">
        <v>1</v>
      </c>
      <c r="F110">
        <v>1</v>
      </c>
      <c r="G110">
        <v>1081</v>
      </c>
      <c r="H110">
        <v>3</v>
      </c>
      <c r="I110" t="s">
        <v>355</v>
      </c>
      <c r="J110" t="s">
        <v>356</v>
      </c>
      <c r="K110" t="s">
        <v>357</v>
      </c>
      <c r="L110">
        <v>1346</v>
      </c>
      <c r="N110">
        <v>1009</v>
      </c>
      <c r="O110" t="s">
        <v>316</v>
      </c>
      <c r="P110" t="s">
        <v>316</v>
      </c>
      <c r="Q110">
        <v>1</v>
      </c>
      <c r="X110">
        <v>0.05</v>
      </c>
      <c r="Y110">
        <v>16.690000000000001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24</v>
      </c>
      <c r="AG110">
        <v>0</v>
      </c>
      <c r="AH110">
        <v>2</v>
      </c>
      <c r="AI110">
        <v>55983384</v>
      </c>
      <c r="AJ110">
        <v>96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ROW(Source!A44)</f>
        <v>44</v>
      </c>
      <c r="B111">
        <v>55983396</v>
      </c>
      <c r="C111">
        <v>55983378</v>
      </c>
      <c r="D111">
        <v>55459404</v>
      </c>
      <c r="E111">
        <v>1</v>
      </c>
      <c r="F111">
        <v>1</v>
      </c>
      <c r="G111">
        <v>1081</v>
      </c>
      <c r="H111">
        <v>3</v>
      </c>
      <c r="I111" t="s">
        <v>358</v>
      </c>
      <c r="J111" t="s">
        <v>359</v>
      </c>
      <c r="K111" t="s">
        <v>360</v>
      </c>
      <c r="L111">
        <v>1346</v>
      </c>
      <c r="N111">
        <v>1009</v>
      </c>
      <c r="O111" t="s">
        <v>316</v>
      </c>
      <c r="P111" t="s">
        <v>316</v>
      </c>
      <c r="Q111">
        <v>1</v>
      </c>
      <c r="X111">
        <v>0.2</v>
      </c>
      <c r="Y111">
        <v>73.53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24</v>
      </c>
      <c r="AG111">
        <v>0</v>
      </c>
      <c r="AH111">
        <v>2</v>
      </c>
      <c r="AI111">
        <v>55983385</v>
      </c>
      <c r="AJ111">
        <v>97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ROW(Source!A44)</f>
        <v>44</v>
      </c>
      <c r="B112">
        <v>55983397</v>
      </c>
      <c r="C112">
        <v>55983378</v>
      </c>
      <c r="D112">
        <v>55459793</v>
      </c>
      <c r="E112">
        <v>1</v>
      </c>
      <c r="F112">
        <v>1</v>
      </c>
      <c r="G112">
        <v>1081</v>
      </c>
      <c r="H112">
        <v>3</v>
      </c>
      <c r="I112" t="s">
        <v>361</v>
      </c>
      <c r="J112" t="s">
        <v>362</v>
      </c>
      <c r="K112" t="s">
        <v>363</v>
      </c>
      <c r="L112">
        <v>1348</v>
      </c>
      <c r="N112">
        <v>1009</v>
      </c>
      <c r="O112" t="s">
        <v>345</v>
      </c>
      <c r="P112" t="s">
        <v>345</v>
      </c>
      <c r="Q112">
        <v>1000</v>
      </c>
      <c r="X112">
        <v>2.0000000000000001E-4</v>
      </c>
      <c r="Y112">
        <v>64123.05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24</v>
      </c>
      <c r="AG112">
        <v>0</v>
      </c>
      <c r="AH112">
        <v>2</v>
      </c>
      <c r="AI112">
        <v>55983386</v>
      </c>
      <c r="AJ112">
        <v>98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ROW(Source!A44)</f>
        <v>44</v>
      </c>
      <c r="B113">
        <v>55983398</v>
      </c>
      <c r="C113">
        <v>55983378</v>
      </c>
      <c r="D113">
        <v>55466338</v>
      </c>
      <c r="E113">
        <v>1</v>
      </c>
      <c r="F113">
        <v>1</v>
      </c>
      <c r="G113">
        <v>1081</v>
      </c>
      <c r="H113">
        <v>3</v>
      </c>
      <c r="I113" t="s">
        <v>364</v>
      </c>
      <c r="J113" t="s">
        <v>365</v>
      </c>
      <c r="K113" t="s">
        <v>366</v>
      </c>
      <c r="L113">
        <v>1349</v>
      </c>
      <c r="N113">
        <v>1009</v>
      </c>
      <c r="O113" t="s">
        <v>367</v>
      </c>
      <c r="P113" t="s">
        <v>367</v>
      </c>
      <c r="Q113">
        <v>1E-3</v>
      </c>
      <c r="X113">
        <v>100</v>
      </c>
      <c r="Y113">
        <v>7.0000000000000007E-2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24</v>
      </c>
      <c r="AG113">
        <v>0</v>
      </c>
      <c r="AH113">
        <v>2</v>
      </c>
      <c r="AI113">
        <v>55983387</v>
      </c>
      <c r="AJ113">
        <v>99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ROW(Source!A44)</f>
        <v>44</v>
      </c>
      <c r="B114">
        <v>55983399</v>
      </c>
      <c r="C114">
        <v>55983378</v>
      </c>
      <c r="D114">
        <v>55482233</v>
      </c>
      <c r="E114">
        <v>1</v>
      </c>
      <c r="F114">
        <v>1</v>
      </c>
      <c r="G114">
        <v>1081</v>
      </c>
      <c r="H114">
        <v>3</v>
      </c>
      <c r="I114" t="s">
        <v>368</v>
      </c>
      <c r="J114" t="s">
        <v>369</v>
      </c>
      <c r="K114" t="s">
        <v>370</v>
      </c>
      <c r="L114">
        <v>1346</v>
      </c>
      <c r="N114">
        <v>1009</v>
      </c>
      <c r="O114" t="s">
        <v>316</v>
      </c>
      <c r="P114" t="s">
        <v>316</v>
      </c>
      <c r="Q114">
        <v>1</v>
      </c>
      <c r="X114">
        <v>0.04</v>
      </c>
      <c r="Y114">
        <v>493.08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24</v>
      </c>
      <c r="AG114">
        <v>0</v>
      </c>
      <c r="AH114">
        <v>2</v>
      </c>
      <c r="AI114">
        <v>55983388</v>
      </c>
      <c r="AJ114">
        <v>100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ROW(Source!A44)</f>
        <v>44</v>
      </c>
      <c r="B115">
        <v>55983400</v>
      </c>
      <c r="C115">
        <v>55983378</v>
      </c>
      <c r="D115">
        <v>55455535</v>
      </c>
      <c r="E115">
        <v>1081</v>
      </c>
      <c r="F115">
        <v>1</v>
      </c>
      <c r="G115">
        <v>1081</v>
      </c>
      <c r="H115">
        <v>3</v>
      </c>
      <c r="I115" t="s">
        <v>471</v>
      </c>
      <c r="J115" t="s">
        <v>3</v>
      </c>
      <c r="K115" t="s">
        <v>472</v>
      </c>
      <c r="L115">
        <v>1391</v>
      </c>
      <c r="N115">
        <v>1013</v>
      </c>
      <c r="O115" t="s">
        <v>473</v>
      </c>
      <c r="P115" t="s">
        <v>473</v>
      </c>
      <c r="Q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24</v>
      </c>
      <c r="AG115">
        <v>0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ROW(Source!A44)</f>
        <v>44</v>
      </c>
      <c r="B116">
        <v>55983401</v>
      </c>
      <c r="C116">
        <v>55983378</v>
      </c>
      <c r="D116">
        <v>55424290</v>
      </c>
      <c r="E116">
        <v>1081</v>
      </c>
      <c r="F116">
        <v>1</v>
      </c>
      <c r="G116">
        <v>1081</v>
      </c>
      <c r="H116">
        <v>3</v>
      </c>
      <c r="I116" t="s">
        <v>371</v>
      </c>
      <c r="J116" t="s">
        <v>3</v>
      </c>
      <c r="K116" t="s">
        <v>372</v>
      </c>
      <c r="L116">
        <v>1348</v>
      </c>
      <c r="N116">
        <v>1009</v>
      </c>
      <c r="O116" t="s">
        <v>345</v>
      </c>
      <c r="P116" t="s">
        <v>345</v>
      </c>
      <c r="Q116">
        <v>1000</v>
      </c>
      <c r="X116">
        <v>1.2E-2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24</v>
      </c>
      <c r="AG116">
        <v>0</v>
      </c>
      <c r="AH116">
        <v>2</v>
      </c>
      <c r="AI116">
        <v>55983389</v>
      </c>
      <c r="AJ116">
        <v>101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ROW(Source!A45)</f>
        <v>45</v>
      </c>
      <c r="B117">
        <v>55983390</v>
      </c>
      <c r="C117">
        <v>55983378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339</v>
      </c>
      <c r="J117" t="s">
        <v>3</v>
      </c>
      <c r="K117" t="s">
        <v>340</v>
      </c>
      <c r="L117">
        <v>1191</v>
      </c>
      <c r="N117">
        <v>1013</v>
      </c>
      <c r="O117" t="s">
        <v>341</v>
      </c>
      <c r="P117" t="s">
        <v>341</v>
      </c>
      <c r="Q117">
        <v>1</v>
      </c>
      <c r="X117">
        <v>10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25</v>
      </c>
      <c r="AG117">
        <v>3.5999999999999996</v>
      </c>
      <c r="AH117">
        <v>2</v>
      </c>
      <c r="AI117">
        <v>55983379</v>
      </c>
      <c r="AJ117">
        <v>102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ROW(Source!A45)</f>
        <v>45</v>
      </c>
      <c r="B118">
        <v>55983391</v>
      </c>
      <c r="C118">
        <v>55983378</v>
      </c>
      <c r="D118">
        <v>55460508</v>
      </c>
      <c r="E118">
        <v>1</v>
      </c>
      <c r="F118">
        <v>1</v>
      </c>
      <c r="G118">
        <v>1081</v>
      </c>
      <c r="H118">
        <v>3</v>
      </c>
      <c r="I118" t="s">
        <v>342</v>
      </c>
      <c r="J118" t="s">
        <v>343</v>
      </c>
      <c r="K118" t="s">
        <v>344</v>
      </c>
      <c r="L118">
        <v>1348</v>
      </c>
      <c r="N118">
        <v>1009</v>
      </c>
      <c r="O118" t="s">
        <v>345</v>
      </c>
      <c r="P118" t="s">
        <v>345</v>
      </c>
      <c r="Q118">
        <v>1000</v>
      </c>
      <c r="X118">
        <v>2.0000000000000001E-4</v>
      </c>
      <c r="Y118">
        <v>12287.39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24</v>
      </c>
      <c r="AG118">
        <v>0</v>
      </c>
      <c r="AH118">
        <v>2</v>
      </c>
      <c r="AI118">
        <v>55983380</v>
      </c>
      <c r="AJ118">
        <v>103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ROW(Source!A45)</f>
        <v>45</v>
      </c>
      <c r="B119">
        <v>55983392</v>
      </c>
      <c r="C119">
        <v>55983378</v>
      </c>
      <c r="D119">
        <v>55460545</v>
      </c>
      <c r="E119">
        <v>1</v>
      </c>
      <c r="F119">
        <v>1</v>
      </c>
      <c r="G119">
        <v>1081</v>
      </c>
      <c r="H119">
        <v>3</v>
      </c>
      <c r="I119" t="s">
        <v>346</v>
      </c>
      <c r="J119" t="s">
        <v>347</v>
      </c>
      <c r="K119" t="s">
        <v>348</v>
      </c>
      <c r="L119">
        <v>1348</v>
      </c>
      <c r="N119">
        <v>1009</v>
      </c>
      <c r="O119" t="s">
        <v>345</v>
      </c>
      <c r="P119" t="s">
        <v>345</v>
      </c>
      <c r="Q119">
        <v>1000</v>
      </c>
      <c r="X119">
        <v>1.0000000000000001E-5</v>
      </c>
      <c r="Y119">
        <v>3772.37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24</v>
      </c>
      <c r="AG119">
        <v>0</v>
      </c>
      <c r="AH119">
        <v>2</v>
      </c>
      <c r="AI119">
        <v>55983381</v>
      </c>
      <c r="AJ119">
        <v>104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ROW(Source!A45)</f>
        <v>45</v>
      </c>
      <c r="B120">
        <v>55983393</v>
      </c>
      <c r="C120">
        <v>55983378</v>
      </c>
      <c r="D120">
        <v>55461230</v>
      </c>
      <c r="E120">
        <v>1</v>
      </c>
      <c r="F120">
        <v>1</v>
      </c>
      <c r="G120">
        <v>1081</v>
      </c>
      <c r="H120">
        <v>3</v>
      </c>
      <c r="I120" t="s">
        <v>349</v>
      </c>
      <c r="J120" t="s">
        <v>350</v>
      </c>
      <c r="K120" t="s">
        <v>351</v>
      </c>
      <c r="L120">
        <v>1346</v>
      </c>
      <c r="N120">
        <v>1009</v>
      </c>
      <c r="O120" t="s">
        <v>316</v>
      </c>
      <c r="P120" t="s">
        <v>316</v>
      </c>
      <c r="Q120">
        <v>1</v>
      </c>
      <c r="X120">
        <v>0.02</v>
      </c>
      <c r="Y120">
        <v>15.11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24</v>
      </c>
      <c r="AG120">
        <v>0</v>
      </c>
      <c r="AH120">
        <v>2</v>
      </c>
      <c r="AI120">
        <v>55983382</v>
      </c>
      <c r="AJ120">
        <v>105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ROW(Source!A45)</f>
        <v>45</v>
      </c>
      <c r="B121">
        <v>55983394</v>
      </c>
      <c r="C121">
        <v>55983378</v>
      </c>
      <c r="D121">
        <v>55461426</v>
      </c>
      <c r="E121">
        <v>1</v>
      </c>
      <c r="F121">
        <v>1</v>
      </c>
      <c r="G121">
        <v>1081</v>
      </c>
      <c r="H121">
        <v>3</v>
      </c>
      <c r="I121" t="s">
        <v>352</v>
      </c>
      <c r="J121" t="s">
        <v>353</v>
      </c>
      <c r="K121" t="s">
        <v>354</v>
      </c>
      <c r="L121">
        <v>1346</v>
      </c>
      <c r="N121">
        <v>1009</v>
      </c>
      <c r="O121" t="s">
        <v>316</v>
      </c>
      <c r="P121" t="s">
        <v>316</v>
      </c>
      <c r="Q121">
        <v>1</v>
      </c>
      <c r="X121">
        <v>0.5</v>
      </c>
      <c r="Y121">
        <v>35.590000000000003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24</v>
      </c>
      <c r="AG121">
        <v>0</v>
      </c>
      <c r="AH121">
        <v>2</v>
      </c>
      <c r="AI121">
        <v>55983383</v>
      </c>
      <c r="AJ121">
        <v>106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ROW(Source!A45)</f>
        <v>45</v>
      </c>
      <c r="B122">
        <v>55983395</v>
      </c>
      <c r="C122">
        <v>55983378</v>
      </c>
      <c r="D122">
        <v>55459400</v>
      </c>
      <c r="E122">
        <v>1</v>
      </c>
      <c r="F122">
        <v>1</v>
      </c>
      <c r="G122">
        <v>1081</v>
      </c>
      <c r="H122">
        <v>3</v>
      </c>
      <c r="I122" t="s">
        <v>355</v>
      </c>
      <c r="J122" t="s">
        <v>356</v>
      </c>
      <c r="K122" t="s">
        <v>357</v>
      </c>
      <c r="L122">
        <v>1346</v>
      </c>
      <c r="N122">
        <v>1009</v>
      </c>
      <c r="O122" t="s">
        <v>316</v>
      </c>
      <c r="P122" t="s">
        <v>316</v>
      </c>
      <c r="Q122">
        <v>1</v>
      </c>
      <c r="X122">
        <v>0.05</v>
      </c>
      <c r="Y122">
        <v>16.690000000000001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24</v>
      </c>
      <c r="AG122">
        <v>0</v>
      </c>
      <c r="AH122">
        <v>2</v>
      </c>
      <c r="AI122">
        <v>55983384</v>
      </c>
      <c r="AJ122">
        <v>107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ROW(Source!A45)</f>
        <v>45</v>
      </c>
      <c r="B123">
        <v>55983396</v>
      </c>
      <c r="C123">
        <v>55983378</v>
      </c>
      <c r="D123">
        <v>55459404</v>
      </c>
      <c r="E123">
        <v>1</v>
      </c>
      <c r="F123">
        <v>1</v>
      </c>
      <c r="G123">
        <v>1081</v>
      </c>
      <c r="H123">
        <v>3</v>
      </c>
      <c r="I123" t="s">
        <v>358</v>
      </c>
      <c r="J123" t="s">
        <v>359</v>
      </c>
      <c r="K123" t="s">
        <v>360</v>
      </c>
      <c r="L123">
        <v>1346</v>
      </c>
      <c r="N123">
        <v>1009</v>
      </c>
      <c r="O123" t="s">
        <v>316</v>
      </c>
      <c r="P123" t="s">
        <v>316</v>
      </c>
      <c r="Q123">
        <v>1</v>
      </c>
      <c r="X123">
        <v>0.2</v>
      </c>
      <c r="Y123">
        <v>73.53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24</v>
      </c>
      <c r="AG123">
        <v>0</v>
      </c>
      <c r="AH123">
        <v>2</v>
      </c>
      <c r="AI123">
        <v>55983385</v>
      </c>
      <c r="AJ123">
        <v>108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ROW(Source!A45)</f>
        <v>45</v>
      </c>
      <c r="B124">
        <v>55983397</v>
      </c>
      <c r="C124">
        <v>55983378</v>
      </c>
      <c r="D124">
        <v>55459793</v>
      </c>
      <c r="E124">
        <v>1</v>
      </c>
      <c r="F124">
        <v>1</v>
      </c>
      <c r="G124">
        <v>1081</v>
      </c>
      <c r="H124">
        <v>3</v>
      </c>
      <c r="I124" t="s">
        <v>361</v>
      </c>
      <c r="J124" t="s">
        <v>362</v>
      </c>
      <c r="K124" t="s">
        <v>363</v>
      </c>
      <c r="L124">
        <v>1348</v>
      </c>
      <c r="N124">
        <v>1009</v>
      </c>
      <c r="O124" t="s">
        <v>345</v>
      </c>
      <c r="P124" t="s">
        <v>345</v>
      </c>
      <c r="Q124">
        <v>1000</v>
      </c>
      <c r="X124">
        <v>2.0000000000000001E-4</v>
      </c>
      <c r="Y124">
        <v>64123.05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24</v>
      </c>
      <c r="AG124">
        <v>0</v>
      </c>
      <c r="AH124">
        <v>2</v>
      </c>
      <c r="AI124">
        <v>55983386</v>
      </c>
      <c r="AJ124">
        <v>109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ROW(Source!A45)</f>
        <v>45</v>
      </c>
      <c r="B125">
        <v>55983398</v>
      </c>
      <c r="C125">
        <v>55983378</v>
      </c>
      <c r="D125">
        <v>55466338</v>
      </c>
      <c r="E125">
        <v>1</v>
      </c>
      <c r="F125">
        <v>1</v>
      </c>
      <c r="G125">
        <v>1081</v>
      </c>
      <c r="H125">
        <v>3</v>
      </c>
      <c r="I125" t="s">
        <v>364</v>
      </c>
      <c r="J125" t="s">
        <v>365</v>
      </c>
      <c r="K125" t="s">
        <v>366</v>
      </c>
      <c r="L125">
        <v>1349</v>
      </c>
      <c r="N125">
        <v>1009</v>
      </c>
      <c r="O125" t="s">
        <v>367</v>
      </c>
      <c r="P125" t="s">
        <v>367</v>
      </c>
      <c r="Q125">
        <v>1E-3</v>
      </c>
      <c r="X125">
        <v>100</v>
      </c>
      <c r="Y125">
        <v>7.0000000000000007E-2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24</v>
      </c>
      <c r="AG125">
        <v>0</v>
      </c>
      <c r="AH125">
        <v>2</v>
      </c>
      <c r="AI125">
        <v>55983387</v>
      </c>
      <c r="AJ125">
        <v>110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ROW(Source!A45)</f>
        <v>45</v>
      </c>
      <c r="B126">
        <v>55983399</v>
      </c>
      <c r="C126">
        <v>55983378</v>
      </c>
      <c r="D126">
        <v>55482233</v>
      </c>
      <c r="E126">
        <v>1</v>
      </c>
      <c r="F126">
        <v>1</v>
      </c>
      <c r="G126">
        <v>1081</v>
      </c>
      <c r="H126">
        <v>3</v>
      </c>
      <c r="I126" t="s">
        <v>368</v>
      </c>
      <c r="J126" t="s">
        <v>369</v>
      </c>
      <c r="K126" t="s">
        <v>370</v>
      </c>
      <c r="L126">
        <v>1346</v>
      </c>
      <c r="N126">
        <v>1009</v>
      </c>
      <c r="O126" t="s">
        <v>316</v>
      </c>
      <c r="P126" t="s">
        <v>316</v>
      </c>
      <c r="Q126">
        <v>1</v>
      </c>
      <c r="X126">
        <v>0.04</v>
      </c>
      <c r="Y126">
        <v>493.08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24</v>
      </c>
      <c r="AG126">
        <v>0</v>
      </c>
      <c r="AH126">
        <v>2</v>
      </c>
      <c r="AI126">
        <v>55983388</v>
      </c>
      <c r="AJ126">
        <v>111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ROW(Source!A45)</f>
        <v>45</v>
      </c>
      <c r="B127">
        <v>55983400</v>
      </c>
      <c r="C127">
        <v>55983378</v>
      </c>
      <c r="D127">
        <v>55455535</v>
      </c>
      <c r="E127">
        <v>1081</v>
      </c>
      <c r="F127">
        <v>1</v>
      </c>
      <c r="G127">
        <v>1081</v>
      </c>
      <c r="H127">
        <v>3</v>
      </c>
      <c r="I127" t="s">
        <v>471</v>
      </c>
      <c r="J127" t="s">
        <v>3</v>
      </c>
      <c r="K127" t="s">
        <v>472</v>
      </c>
      <c r="L127">
        <v>1391</v>
      </c>
      <c r="N127">
        <v>1013</v>
      </c>
      <c r="O127" t="s">
        <v>473</v>
      </c>
      <c r="P127" t="s">
        <v>473</v>
      </c>
      <c r="Q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24</v>
      </c>
      <c r="AG127">
        <v>0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ROW(Source!A45)</f>
        <v>45</v>
      </c>
      <c r="B128">
        <v>55983401</v>
      </c>
      <c r="C128">
        <v>55983378</v>
      </c>
      <c r="D128">
        <v>55424290</v>
      </c>
      <c r="E128">
        <v>1081</v>
      </c>
      <c r="F128">
        <v>1</v>
      </c>
      <c r="G128">
        <v>1081</v>
      </c>
      <c r="H128">
        <v>3</v>
      </c>
      <c r="I128" t="s">
        <v>371</v>
      </c>
      <c r="J128" t="s">
        <v>3</v>
      </c>
      <c r="K128" t="s">
        <v>372</v>
      </c>
      <c r="L128">
        <v>1348</v>
      </c>
      <c r="N128">
        <v>1009</v>
      </c>
      <c r="O128" t="s">
        <v>345</v>
      </c>
      <c r="P128" t="s">
        <v>345</v>
      </c>
      <c r="Q128">
        <v>1000</v>
      </c>
      <c r="X128">
        <v>1.2E-2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24</v>
      </c>
      <c r="AG128">
        <v>0</v>
      </c>
      <c r="AH128">
        <v>2</v>
      </c>
      <c r="AI128">
        <v>55983389</v>
      </c>
      <c r="AJ128">
        <v>112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ROW(Source!A46)</f>
        <v>46</v>
      </c>
      <c r="B129">
        <v>55983405</v>
      </c>
      <c r="C129">
        <v>55983402</v>
      </c>
      <c r="D129">
        <v>55424304</v>
      </c>
      <c r="E129">
        <v>1081</v>
      </c>
      <c r="F129">
        <v>1</v>
      </c>
      <c r="G129">
        <v>1081</v>
      </c>
      <c r="H129">
        <v>1</v>
      </c>
      <c r="I129" t="s">
        <v>339</v>
      </c>
      <c r="J129" t="s">
        <v>3</v>
      </c>
      <c r="K129" t="s">
        <v>340</v>
      </c>
      <c r="L129">
        <v>1191</v>
      </c>
      <c r="N129">
        <v>1013</v>
      </c>
      <c r="O129" t="s">
        <v>341</v>
      </c>
      <c r="P129" t="s">
        <v>341</v>
      </c>
      <c r="Q129">
        <v>1</v>
      </c>
      <c r="X129">
        <v>2.77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 t="s">
        <v>25</v>
      </c>
      <c r="AG129">
        <v>0.99719999999999986</v>
      </c>
      <c r="AH129">
        <v>2</v>
      </c>
      <c r="AI129">
        <v>55983403</v>
      </c>
      <c r="AJ129">
        <v>113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ROW(Source!A46)</f>
        <v>46</v>
      </c>
      <c r="B130">
        <v>55983406</v>
      </c>
      <c r="C130">
        <v>55983402</v>
      </c>
      <c r="D130">
        <v>55459873</v>
      </c>
      <c r="E130">
        <v>1</v>
      </c>
      <c r="F130">
        <v>1</v>
      </c>
      <c r="G130">
        <v>1081</v>
      </c>
      <c r="H130">
        <v>3</v>
      </c>
      <c r="I130" t="s">
        <v>378</v>
      </c>
      <c r="J130" t="s">
        <v>379</v>
      </c>
      <c r="K130" t="s">
        <v>380</v>
      </c>
      <c r="L130">
        <v>1348</v>
      </c>
      <c r="N130">
        <v>1009</v>
      </c>
      <c r="O130" t="s">
        <v>345</v>
      </c>
      <c r="P130" t="s">
        <v>345</v>
      </c>
      <c r="Q130">
        <v>1000</v>
      </c>
      <c r="X130">
        <v>1.0000000000000001E-5</v>
      </c>
      <c r="Y130">
        <v>18495.41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24</v>
      </c>
      <c r="AG130">
        <v>0</v>
      </c>
      <c r="AH130">
        <v>2</v>
      </c>
      <c r="AI130">
        <v>55983404</v>
      </c>
      <c r="AJ130">
        <v>114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ROW(Source!A47)</f>
        <v>47</v>
      </c>
      <c r="B131">
        <v>55983405</v>
      </c>
      <c r="C131">
        <v>55983402</v>
      </c>
      <c r="D131">
        <v>55424304</v>
      </c>
      <c r="E131">
        <v>1081</v>
      </c>
      <c r="F131">
        <v>1</v>
      </c>
      <c r="G131">
        <v>1081</v>
      </c>
      <c r="H131">
        <v>1</v>
      </c>
      <c r="I131" t="s">
        <v>339</v>
      </c>
      <c r="J131" t="s">
        <v>3</v>
      </c>
      <c r="K131" t="s">
        <v>340</v>
      </c>
      <c r="L131">
        <v>1191</v>
      </c>
      <c r="N131">
        <v>1013</v>
      </c>
      <c r="O131" t="s">
        <v>341</v>
      </c>
      <c r="P131" t="s">
        <v>341</v>
      </c>
      <c r="Q131">
        <v>1</v>
      </c>
      <c r="X131">
        <v>2.77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25</v>
      </c>
      <c r="AG131">
        <v>0.99719999999999986</v>
      </c>
      <c r="AH131">
        <v>2</v>
      </c>
      <c r="AI131">
        <v>55983403</v>
      </c>
      <c r="AJ131">
        <v>115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ROW(Source!A47)</f>
        <v>47</v>
      </c>
      <c r="B132">
        <v>55983406</v>
      </c>
      <c r="C132">
        <v>55983402</v>
      </c>
      <c r="D132">
        <v>55459873</v>
      </c>
      <c r="E132">
        <v>1</v>
      </c>
      <c r="F132">
        <v>1</v>
      </c>
      <c r="G132">
        <v>1081</v>
      </c>
      <c r="H132">
        <v>3</v>
      </c>
      <c r="I132" t="s">
        <v>378</v>
      </c>
      <c r="J132" t="s">
        <v>379</v>
      </c>
      <c r="K132" t="s">
        <v>380</v>
      </c>
      <c r="L132">
        <v>1348</v>
      </c>
      <c r="N132">
        <v>1009</v>
      </c>
      <c r="O132" t="s">
        <v>345</v>
      </c>
      <c r="P132" t="s">
        <v>345</v>
      </c>
      <c r="Q132">
        <v>1000</v>
      </c>
      <c r="X132">
        <v>1.0000000000000001E-5</v>
      </c>
      <c r="Y132">
        <v>18495.41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24</v>
      </c>
      <c r="AG132">
        <v>0</v>
      </c>
      <c r="AH132">
        <v>2</v>
      </c>
      <c r="AI132">
        <v>55983404</v>
      </c>
      <c r="AJ132">
        <v>116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ROW(Source!A48)</f>
        <v>48</v>
      </c>
      <c r="B133">
        <v>55983423</v>
      </c>
      <c r="C133">
        <v>55983407</v>
      </c>
      <c r="D133">
        <v>55424304</v>
      </c>
      <c r="E133">
        <v>1081</v>
      </c>
      <c r="F133">
        <v>1</v>
      </c>
      <c r="G133">
        <v>1081</v>
      </c>
      <c r="H133">
        <v>1</v>
      </c>
      <c r="I133" t="s">
        <v>339</v>
      </c>
      <c r="J133" t="s">
        <v>3</v>
      </c>
      <c r="K133" t="s">
        <v>340</v>
      </c>
      <c r="L133">
        <v>1191</v>
      </c>
      <c r="N133">
        <v>1013</v>
      </c>
      <c r="O133" t="s">
        <v>341</v>
      </c>
      <c r="P133" t="s">
        <v>341</v>
      </c>
      <c r="Q133">
        <v>1</v>
      </c>
      <c r="X133">
        <v>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25</v>
      </c>
      <c r="AG133">
        <v>1.0799999999999998</v>
      </c>
      <c r="AH133">
        <v>2</v>
      </c>
      <c r="AI133">
        <v>55983408</v>
      </c>
      <c r="AJ133">
        <v>117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ROW(Source!A48)</f>
        <v>48</v>
      </c>
      <c r="B134">
        <v>55983424</v>
      </c>
      <c r="C134">
        <v>55983407</v>
      </c>
      <c r="D134">
        <v>55459894</v>
      </c>
      <c r="E134">
        <v>1</v>
      </c>
      <c r="F134">
        <v>1</v>
      </c>
      <c r="G134">
        <v>1081</v>
      </c>
      <c r="H134">
        <v>3</v>
      </c>
      <c r="I134" t="s">
        <v>381</v>
      </c>
      <c r="J134" t="s">
        <v>382</v>
      </c>
      <c r="K134" t="s">
        <v>383</v>
      </c>
      <c r="L134">
        <v>1348</v>
      </c>
      <c r="N134">
        <v>1009</v>
      </c>
      <c r="O134" t="s">
        <v>345</v>
      </c>
      <c r="P134" t="s">
        <v>345</v>
      </c>
      <c r="Q134">
        <v>1000</v>
      </c>
      <c r="X134">
        <v>1E-3</v>
      </c>
      <c r="Y134">
        <v>15319.65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24</v>
      </c>
      <c r="AG134">
        <v>0</v>
      </c>
      <c r="AH134">
        <v>2</v>
      </c>
      <c r="AI134">
        <v>55983409</v>
      </c>
      <c r="AJ134">
        <v>118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ROW(Source!A48)</f>
        <v>48</v>
      </c>
      <c r="B135">
        <v>55983425</v>
      </c>
      <c r="C135">
        <v>55983407</v>
      </c>
      <c r="D135">
        <v>55459261</v>
      </c>
      <c r="E135">
        <v>1</v>
      </c>
      <c r="F135">
        <v>1</v>
      </c>
      <c r="G135">
        <v>1081</v>
      </c>
      <c r="H135">
        <v>3</v>
      </c>
      <c r="I135" t="s">
        <v>384</v>
      </c>
      <c r="J135" t="s">
        <v>385</v>
      </c>
      <c r="K135" t="s">
        <v>386</v>
      </c>
      <c r="L135">
        <v>1348</v>
      </c>
      <c r="N135">
        <v>1009</v>
      </c>
      <c r="O135" t="s">
        <v>345</v>
      </c>
      <c r="P135" t="s">
        <v>345</v>
      </c>
      <c r="Q135">
        <v>1000</v>
      </c>
      <c r="X135">
        <v>5.0000000000000002E-5</v>
      </c>
      <c r="Y135">
        <v>1219.68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24</v>
      </c>
      <c r="AG135">
        <v>0</v>
      </c>
      <c r="AH135">
        <v>2</v>
      </c>
      <c r="AI135">
        <v>55983410</v>
      </c>
      <c r="AJ135">
        <v>119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ROW(Source!A48)</f>
        <v>48</v>
      </c>
      <c r="B136">
        <v>55983426</v>
      </c>
      <c r="C136">
        <v>55983407</v>
      </c>
      <c r="D136">
        <v>55460328</v>
      </c>
      <c r="E136">
        <v>1</v>
      </c>
      <c r="F136">
        <v>1</v>
      </c>
      <c r="G136">
        <v>1081</v>
      </c>
      <c r="H136">
        <v>3</v>
      </c>
      <c r="I136" t="s">
        <v>387</v>
      </c>
      <c r="J136" t="s">
        <v>388</v>
      </c>
      <c r="K136" t="s">
        <v>389</v>
      </c>
      <c r="L136">
        <v>1301</v>
      </c>
      <c r="N136">
        <v>1003</v>
      </c>
      <c r="O136" t="s">
        <v>263</v>
      </c>
      <c r="P136" t="s">
        <v>263</v>
      </c>
      <c r="Q136">
        <v>1</v>
      </c>
      <c r="X136">
        <v>5</v>
      </c>
      <c r="Y136">
        <v>0.39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24</v>
      </c>
      <c r="AG136">
        <v>0</v>
      </c>
      <c r="AH136">
        <v>2</v>
      </c>
      <c r="AI136">
        <v>55983411</v>
      </c>
      <c r="AJ136">
        <v>120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ROW(Source!A48)</f>
        <v>48</v>
      </c>
      <c r="B137">
        <v>55983427</v>
      </c>
      <c r="C137">
        <v>55983407</v>
      </c>
      <c r="D137">
        <v>55459312</v>
      </c>
      <c r="E137">
        <v>1</v>
      </c>
      <c r="F137">
        <v>1</v>
      </c>
      <c r="G137">
        <v>1081</v>
      </c>
      <c r="H137">
        <v>3</v>
      </c>
      <c r="I137" t="s">
        <v>390</v>
      </c>
      <c r="J137" t="s">
        <v>391</v>
      </c>
      <c r="K137" t="s">
        <v>392</v>
      </c>
      <c r="L137">
        <v>1339</v>
      </c>
      <c r="N137">
        <v>1007</v>
      </c>
      <c r="O137" t="s">
        <v>393</v>
      </c>
      <c r="P137" t="s">
        <v>393</v>
      </c>
      <c r="Q137">
        <v>1</v>
      </c>
      <c r="X137">
        <v>1E-3</v>
      </c>
      <c r="Y137">
        <v>1176.3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24</v>
      </c>
      <c r="AG137">
        <v>0</v>
      </c>
      <c r="AH137">
        <v>2</v>
      </c>
      <c r="AI137">
        <v>55983412</v>
      </c>
      <c r="AJ137">
        <v>121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ROW(Source!A48)</f>
        <v>48</v>
      </c>
      <c r="B138">
        <v>55983428</v>
      </c>
      <c r="C138">
        <v>55983407</v>
      </c>
      <c r="D138">
        <v>55461230</v>
      </c>
      <c r="E138">
        <v>1</v>
      </c>
      <c r="F138">
        <v>1</v>
      </c>
      <c r="G138">
        <v>1081</v>
      </c>
      <c r="H138">
        <v>3</v>
      </c>
      <c r="I138" t="s">
        <v>349</v>
      </c>
      <c r="J138" t="s">
        <v>350</v>
      </c>
      <c r="K138" t="s">
        <v>351</v>
      </c>
      <c r="L138">
        <v>1346</v>
      </c>
      <c r="N138">
        <v>1009</v>
      </c>
      <c r="O138" t="s">
        <v>316</v>
      </c>
      <c r="P138" t="s">
        <v>316</v>
      </c>
      <c r="Q138">
        <v>1</v>
      </c>
      <c r="X138">
        <v>0.01</v>
      </c>
      <c r="Y138">
        <v>15.11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24</v>
      </c>
      <c r="AG138">
        <v>0</v>
      </c>
      <c r="AH138">
        <v>2</v>
      </c>
      <c r="AI138">
        <v>55983413</v>
      </c>
      <c r="AJ138">
        <v>122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ROW(Source!A48)</f>
        <v>48</v>
      </c>
      <c r="B139">
        <v>55983429</v>
      </c>
      <c r="C139">
        <v>55983407</v>
      </c>
      <c r="D139">
        <v>55459400</v>
      </c>
      <c r="E139">
        <v>1</v>
      </c>
      <c r="F139">
        <v>1</v>
      </c>
      <c r="G139">
        <v>1081</v>
      </c>
      <c r="H139">
        <v>3</v>
      </c>
      <c r="I139" t="s">
        <v>355</v>
      </c>
      <c r="J139" t="s">
        <v>356</v>
      </c>
      <c r="K139" t="s">
        <v>357</v>
      </c>
      <c r="L139">
        <v>1346</v>
      </c>
      <c r="N139">
        <v>1009</v>
      </c>
      <c r="O139" t="s">
        <v>316</v>
      </c>
      <c r="P139" t="s">
        <v>316</v>
      </c>
      <c r="Q139">
        <v>1</v>
      </c>
      <c r="X139">
        <v>0.01</v>
      </c>
      <c r="Y139">
        <v>16.690000000000001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24</v>
      </c>
      <c r="AG139">
        <v>0</v>
      </c>
      <c r="AH139">
        <v>2</v>
      </c>
      <c r="AI139">
        <v>55983414</v>
      </c>
      <c r="AJ139">
        <v>123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ROW(Source!A48)</f>
        <v>48</v>
      </c>
      <c r="B140">
        <v>55983430</v>
      </c>
      <c r="C140">
        <v>55983407</v>
      </c>
      <c r="D140">
        <v>55461719</v>
      </c>
      <c r="E140">
        <v>1</v>
      </c>
      <c r="F140">
        <v>1</v>
      </c>
      <c r="G140">
        <v>1081</v>
      </c>
      <c r="H140">
        <v>3</v>
      </c>
      <c r="I140" t="s">
        <v>394</v>
      </c>
      <c r="J140" t="s">
        <v>395</v>
      </c>
      <c r="K140" t="s">
        <v>396</v>
      </c>
      <c r="L140">
        <v>1348</v>
      </c>
      <c r="N140">
        <v>1009</v>
      </c>
      <c r="O140" t="s">
        <v>345</v>
      </c>
      <c r="P140" t="s">
        <v>345</v>
      </c>
      <c r="Q140">
        <v>1000</v>
      </c>
      <c r="X140">
        <v>1E-4</v>
      </c>
      <c r="Y140">
        <v>10643.18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24</v>
      </c>
      <c r="AG140">
        <v>0</v>
      </c>
      <c r="AH140">
        <v>2</v>
      </c>
      <c r="AI140">
        <v>55983415</v>
      </c>
      <c r="AJ140">
        <v>124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ROW(Source!A48)</f>
        <v>48</v>
      </c>
      <c r="B141">
        <v>55983431</v>
      </c>
      <c r="C141">
        <v>55983407</v>
      </c>
      <c r="D141">
        <v>55466000</v>
      </c>
      <c r="E141">
        <v>1</v>
      </c>
      <c r="F141">
        <v>1</v>
      </c>
      <c r="G141">
        <v>1081</v>
      </c>
      <c r="H141">
        <v>3</v>
      </c>
      <c r="I141" t="s">
        <v>397</v>
      </c>
      <c r="J141" t="s">
        <v>398</v>
      </c>
      <c r="K141" t="s">
        <v>399</v>
      </c>
      <c r="L141">
        <v>1355</v>
      </c>
      <c r="N141">
        <v>1010</v>
      </c>
      <c r="O141" t="s">
        <v>49</v>
      </c>
      <c r="P141" t="s">
        <v>49</v>
      </c>
      <c r="Q141">
        <v>100</v>
      </c>
      <c r="X141">
        <v>0.01</v>
      </c>
      <c r="Y141">
        <v>120.19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24</v>
      </c>
      <c r="AG141">
        <v>0</v>
      </c>
      <c r="AH141">
        <v>2</v>
      </c>
      <c r="AI141">
        <v>55983416</v>
      </c>
      <c r="AJ141">
        <v>125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ROW(Source!A48)</f>
        <v>48</v>
      </c>
      <c r="B142">
        <v>55983432</v>
      </c>
      <c r="C142">
        <v>55983407</v>
      </c>
      <c r="D142">
        <v>55459793</v>
      </c>
      <c r="E142">
        <v>1</v>
      </c>
      <c r="F142">
        <v>1</v>
      </c>
      <c r="G142">
        <v>1081</v>
      </c>
      <c r="H142">
        <v>3</v>
      </c>
      <c r="I142" t="s">
        <v>361</v>
      </c>
      <c r="J142" t="s">
        <v>362</v>
      </c>
      <c r="K142" t="s">
        <v>363</v>
      </c>
      <c r="L142">
        <v>1348</v>
      </c>
      <c r="N142">
        <v>1009</v>
      </c>
      <c r="O142" t="s">
        <v>345</v>
      </c>
      <c r="P142" t="s">
        <v>345</v>
      </c>
      <c r="Q142">
        <v>1000</v>
      </c>
      <c r="X142">
        <v>2.0000000000000002E-5</v>
      </c>
      <c r="Y142">
        <v>64123.05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24</v>
      </c>
      <c r="AG142">
        <v>0</v>
      </c>
      <c r="AH142">
        <v>2</v>
      </c>
      <c r="AI142">
        <v>55983417</v>
      </c>
      <c r="AJ142">
        <v>126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ROW(Source!A48)</f>
        <v>48</v>
      </c>
      <c r="B143">
        <v>55983433</v>
      </c>
      <c r="C143">
        <v>55983407</v>
      </c>
      <c r="D143">
        <v>55459810</v>
      </c>
      <c r="E143">
        <v>1</v>
      </c>
      <c r="F143">
        <v>1</v>
      </c>
      <c r="G143">
        <v>1081</v>
      </c>
      <c r="H143">
        <v>3</v>
      </c>
      <c r="I143" t="s">
        <v>400</v>
      </c>
      <c r="J143" t="s">
        <v>401</v>
      </c>
      <c r="K143" t="s">
        <v>402</v>
      </c>
      <c r="L143">
        <v>1348</v>
      </c>
      <c r="N143">
        <v>1009</v>
      </c>
      <c r="O143" t="s">
        <v>345</v>
      </c>
      <c r="P143" t="s">
        <v>345</v>
      </c>
      <c r="Q143">
        <v>1000</v>
      </c>
      <c r="X143">
        <v>1E-4</v>
      </c>
      <c r="Y143">
        <v>9238.1299999999992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24</v>
      </c>
      <c r="AG143">
        <v>0</v>
      </c>
      <c r="AH143">
        <v>2</v>
      </c>
      <c r="AI143">
        <v>55983418</v>
      </c>
      <c r="AJ143">
        <v>127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ROW(Source!A48)</f>
        <v>48</v>
      </c>
      <c r="B144">
        <v>55983434</v>
      </c>
      <c r="C144">
        <v>55983407</v>
      </c>
      <c r="D144">
        <v>55482166</v>
      </c>
      <c r="E144">
        <v>1</v>
      </c>
      <c r="F144">
        <v>1</v>
      </c>
      <c r="G144">
        <v>1081</v>
      </c>
      <c r="H144">
        <v>3</v>
      </c>
      <c r="I144" t="s">
        <v>403</v>
      </c>
      <c r="J144" t="s">
        <v>404</v>
      </c>
      <c r="K144" t="s">
        <v>405</v>
      </c>
      <c r="L144">
        <v>1301</v>
      </c>
      <c r="N144">
        <v>1003</v>
      </c>
      <c r="O144" t="s">
        <v>263</v>
      </c>
      <c r="P144" t="s">
        <v>263</v>
      </c>
      <c r="Q144">
        <v>1</v>
      </c>
      <c r="X144">
        <v>1</v>
      </c>
      <c r="Y144">
        <v>0.69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24</v>
      </c>
      <c r="AG144">
        <v>0</v>
      </c>
      <c r="AH144">
        <v>2</v>
      </c>
      <c r="AI144">
        <v>55983419</v>
      </c>
      <c r="AJ144">
        <v>128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ROW(Source!A48)</f>
        <v>48</v>
      </c>
      <c r="B145">
        <v>55983435</v>
      </c>
      <c r="C145">
        <v>55983407</v>
      </c>
      <c r="D145">
        <v>55482445</v>
      </c>
      <c r="E145">
        <v>1</v>
      </c>
      <c r="F145">
        <v>1</v>
      </c>
      <c r="G145">
        <v>1081</v>
      </c>
      <c r="H145">
        <v>3</v>
      </c>
      <c r="I145" t="s">
        <v>406</v>
      </c>
      <c r="J145" t="s">
        <v>407</v>
      </c>
      <c r="K145" t="s">
        <v>408</v>
      </c>
      <c r="L145">
        <v>1356</v>
      </c>
      <c r="N145">
        <v>1010</v>
      </c>
      <c r="O145" t="s">
        <v>409</v>
      </c>
      <c r="P145" t="s">
        <v>409</v>
      </c>
      <c r="Q145">
        <v>1000</v>
      </c>
      <c r="X145">
        <v>0.01</v>
      </c>
      <c r="Y145">
        <v>294.89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24</v>
      </c>
      <c r="AG145">
        <v>0</v>
      </c>
      <c r="AH145">
        <v>2</v>
      </c>
      <c r="AI145">
        <v>55983420</v>
      </c>
      <c r="AJ145">
        <v>129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ROW(Source!A48)</f>
        <v>48</v>
      </c>
      <c r="B146">
        <v>55983436</v>
      </c>
      <c r="C146">
        <v>55983407</v>
      </c>
      <c r="D146">
        <v>55481518</v>
      </c>
      <c r="E146">
        <v>1</v>
      </c>
      <c r="F146">
        <v>1</v>
      </c>
      <c r="G146">
        <v>1081</v>
      </c>
      <c r="H146">
        <v>3</v>
      </c>
      <c r="I146" t="s">
        <v>410</v>
      </c>
      <c r="J146" t="s">
        <v>411</v>
      </c>
      <c r="K146" t="s">
        <v>412</v>
      </c>
      <c r="L146">
        <v>1354</v>
      </c>
      <c r="N146">
        <v>1010</v>
      </c>
      <c r="O146" t="s">
        <v>164</v>
      </c>
      <c r="P146" t="s">
        <v>164</v>
      </c>
      <c r="Q146">
        <v>1</v>
      </c>
      <c r="X146">
        <v>1</v>
      </c>
      <c r="Y146">
        <v>15.67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24</v>
      </c>
      <c r="AG146">
        <v>0</v>
      </c>
      <c r="AH146">
        <v>2</v>
      </c>
      <c r="AI146">
        <v>55983421</v>
      </c>
      <c r="AJ146">
        <v>130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ROW(Source!A48)</f>
        <v>48</v>
      </c>
      <c r="B147">
        <v>55983437</v>
      </c>
      <c r="C147">
        <v>55983407</v>
      </c>
      <c r="D147">
        <v>55416982</v>
      </c>
      <c r="E147">
        <v>1081</v>
      </c>
      <c r="F147">
        <v>1</v>
      </c>
      <c r="G147">
        <v>1081</v>
      </c>
      <c r="H147">
        <v>3</v>
      </c>
      <c r="I147" t="s">
        <v>476</v>
      </c>
      <c r="J147" t="s">
        <v>3</v>
      </c>
      <c r="K147" t="s">
        <v>477</v>
      </c>
      <c r="L147">
        <v>1346</v>
      </c>
      <c r="N147">
        <v>1009</v>
      </c>
      <c r="O147" t="s">
        <v>316</v>
      </c>
      <c r="P147" t="s">
        <v>316</v>
      </c>
      <c r="Q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24</v>
      </c>
      <c r="AG147">
        <v>0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ROW(Source!A48)</f>
        <v>48</v>
      </c>
      <c r="B148">
        <v>55983438</v>
      </c>
      <c r="C148">
        <v>55983407</v>
      </c>
      <c r="D148">
        <v>55455661</v>
      </c>
      <c r="E148">
        <v>1081</v>
      </c>
      <c r="F148">
        <v>1</v>
      </c>
      <c r="G148">
        <v>1081</v>
      </c>
      <c r="H148">
        <v>3</v>
      </c>
      <c r="I148" t="s">
        <v>478</v>
      </c>
      <c r="J148" t="s">
        <v>3</v>
      </c>
      <c r="K148" t="s">
        <v>479</v>
      </c>
      <c r="L148">
        <v>1391</v>
      </c>
      <c r="N148">
        <v>1013</v>
      </c>
      <c r="O148" t="s">
        <v>473</v>
      </c>
      <c r="P148" t="s">
        <v>473</v>
      </c>
      <c r="Q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24</v>
      </c>
      <c r="AG148">
        <v>0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ROW(Source!A48)</f>
        <v>48</v>
      </c>
      <c r="B149">
        <v>55983439</v>
      </c>
      <c r="C149">
        <v>55983407</v>
      </c>
      <c r="D149">
        <v>55424290</v>
      </c>
      <c r="E149">
        <v>1081</v>
      </c>
      <c r="F149">
        <v>1</v>
      </c>
      <c r="G149">
        <v>1081</v>
      </c>
      <c r="H149">
        <v>3</v>
      </c>
      <c r="I149" t="s">
        <v>371</v>
      </c>
      <c r="J149" t="s">
        <v>3</v>
      </c>
      <c r="K149" t="s">
        <v>372</v>
      </c>
      <c r="L149">
        <v>1348</v>
      </c>
      <c r="N149">
        <v>1009</v>
      </c>
      <c r="O149" t="s">
        <v>345</v>
      </c>
      <c r="P149" t="s">
        <v>345</v>
      </c>
      <c r="Q149">
        <v>1000</v>
      </c>
      <c r="X149">
        <v>1E-3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24</v>
      </c>
      <c r="AG149">
        <v>0</v>
      </c>
      <c r="AH149">
        <v>2</v>
      </c>
      <c r="AI149">
        <v>55983422</v>
      </c>
      <c r="AJ149">
        <v>131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ROW(Source!A49)</f>
        <v>49</v>
      </c>
      <c r="B150">
        <v>55983423</v>
      </c>
      <c r="C150">
        <v>55983407</v>
      </c>
      <c r="D150">
        <v>55424304</v>
      </c>
      <c r="E150">
        <v>1081</v>
      </c>
      <c r="F150">
        <v>1</v>
      </c>
      <c r="G150">
        <v>1081</v>
      </c>
      <c r="H150">
        <v>1</v>
      </c>
      <c r="I150" t="s">
        <v>339</v>
      </c>
      <c r="J150" t="s">
        <v>3</v>
      </c>
      <c r="K150" t="s">
        <v>340</v>
      </c>
      <c r="L150">
        <v>1191</v>
      </c>
      <c r="N150">
        <v>1013</v>
      </c>
      <c r="O150" t="s">
        <v>341</v>
      </c>
      <c r="P150" t="s">
        <v>341</v>
      </c>
      <c r="Q150">
        <v>1</v>
      </c>
      <c r="X150">
        <v>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 t="s">
        <v>25</v>
      </c>
      <c r="AG150">
        <v>1.0799999999999998</v>
      </c>
      <c r="AH150">
        <v>2</v>
      </c>
      <c r="AI150">
        <v>55983408</v>
      </c>
      <c r="AJ150">
        <v>132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ROW(Source!A49)</f>
        <v>49</v>
      </c>
      <c r="B151">
        <v>55983424</v>
      </c>
      <c r="C151">
        <v>55983407</v>
      </c>
      <c r="D151">
        <v>55459894</v>
      </c>
      <c r="E151">
        <v>1</v>
      </c>
      <c r="F151">
        <v>1</v>
      </c>
      <c r="G151">
        <v>1081</v>
      </c>
      <c r="H151">
        <v>3</v>
      </c>
      <c r="I151" t="s">
        <v>381</v>
      </c>
      <c r="J151" t="s">
        <v>382</v>
      </c>
      <c r="K151" t="s">
        <v>383</v>
      </c>
      <c r="L151">
        <v>1348</v>
      </c>
      <c r="N151">
        <v>1009</v>
      </c>
      <c r="O151" t="s">
        <v>345</v>
      </c>
      <c r="P151" t="s">
        <v>345</v>
      </c>
      <c r="Q151">
        <v>1000</v>
      </c>
      <c r="X151">
        <v>1E-3</v>
      </c>
      <c r="Y151">
        <v>15319.65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24</v>
      </c>
      <c r="AG151">
        <v>0</v>
      </c>
      <c r="AH151">
        <v>2</v>
      </c>
      <c r="AI151">
        <v>55983409</v>
      </c>
      <c r="AJ151">
        <v>133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ROW(Source!A49)</f>
        <v>49</v>
      </c>
      <c r="B152">
        <v>55983425</v>
      </c>
      <c r="C152">
        <v>55983407</v>
      </c>
      <c r="D152">
        <v>55459261</v>
      </c>
      <c r="E152">
        <v>1</v>
      </c>
      <c r="F152">
        <v>1</v>
      </c>
      <c r="G152">
        <v>1081</v>
      </c>
      <c r="H152">
        <v>3</v>
      </c>
      <c r="I152" t="s">
        <v>384</v>
      </c>
      <c r="J152" t="s">
        <v>385</v>
      </c>
      <c r="K152" t="s">
        <v>386</v>
      </c>
      <c r="L152">
        <v>1348</v>
      </c>
      <c r="N152">
        <v>1009</v>
      </c>
      <c r="O152" t="s">
        <v>345</v>
      </c>
      <c r="P152" t="s">
        <v>345</v>
      </c>
      <c r="Q152">
        <v>1000</v>
      </c>
      <c r="X152">
        <v>5.0000000000000002E-5</v>
      </c>
      <c r="Y152">
        <v>1219.68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24</v>
      </c>
      <c r="AG152">
        <v>0</v>
      </c>
      <c r="AH152">
        <v>2</v>
      </c>
      <c r="AI152">
        <v>55983410</v>
      </c>
      <c r="AJ152">
        <v>134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ROW(Source!A49)</f>
        <v>49</v>
      </c>
      <c r="B153">
        <v>55983426</v>
      </c>
      <c r="C153">
        <v>55983407</v>
      </c>
      <c r="D153">
        <v>55460328</v>
      </c>
      <c r="E153">
        <v>1</v>
      </c>
      <c r="F153">
        <v>1</v>
      </c>
      <c r="G153">
        <v>1081</v>
      </c>
      <c r="H153">
        <v>3</v>
      </c>
      <c r="I153" t="s">
        <v>387</v>
      </c>
      <c r="J153" t="s">
        <v>388</v>
      </c>
      <c r="K153" t="s">
        <v>389</v>
      </c>
      <c r="L153">
        <v>1301</v>
      </c>
      <c r="N153">
        <v>1003</v>
      </c>
      <c r="O153" t="s">
        <v>263</v>
      </c>
      <c r="P153" t="s">
        <v>263</v>
      </c>
      <c r="Q153">
        <v>1</v>
      </c>
      <c r="X153">
        <v>5</v>
      </c>
      <c r="Y153">
        <v>0.39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24</v>
      </c>
      <c r="AG153">
        <v>0</v>
      </c>
      <c r="AH153">
        <v>2</v>
      </c>
      <c r="AI153">
        <v>55983411</v>
      </c>
      <c r="AJ153">
        <v>135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ROW(Source!A49)</f>
        <v>49</v>
      </c>
      <c r="B154">
        <v>55983427</v>
      </c>
      <c r="C154">
        <v>55983407</v>
      </c>
      <c r="D154">
        <v>55459312</v>
      </c>
      <c r="E154">
        <v>1</v>
      </c>
      <c r="F154">
        <v>1</v>
      </c>
      <c r="G154">
        <v>1081</v>
      </c>
      <c r="H154">
        <v>3</v>
      </c>
      <c r="I154" t="s">
        <v>390</v>
      </c>
      <c r="J154" t="s">
        <v>391</v>
      </c>
      <c r="K154" t="s">
        <v>392</v>
      </c>
      <c r="L154">
        <v>1339</v>
      </c>
      <c r="N154">
        <v>1007</v>
      </c>
      <c r="O154" t="s">
        <v>393</v>
      </c>
      <c r="P154" t="s">
        <v>393</v>
      </c>
      <c r="Q154">
        <v>1</v>
      </c>
      <c r="X154">
        <v>1E-3</v>
      </c>
      <c r="Y154">
        <v>1176.3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24</v>
      </c>
      <c r="AG154">
        <v>0</v>
      </c>
      <c r="AH154">
        <v>2</v>
      </c>
      <c r="AI154">
        <v>55983412</v>
      </c>
      <c r="AJ154">
        <v>136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ROW(Source!A49)</f>
        <v>49</v>
      </c>
      <c r="B155">
        <v>55983428</v>
      </c>
      <c r="C155">
        <v>55983407</v>
      </c>
      <c r="D155">
        <v>55461230</v>
      </c>
      <c r="E155">
        <v>1</v>
      </c>
      <c r="F155">
        <v>1</v>
      </c>
      <c r="G155">
        <v>1081</v>
      </c>
      <c r="H155">
        <v>3</v>
      </c>
      <c r="I155" t="s">
        <v>349</v>
      </c>
      <c r="J155" t="s">
        <v>350</v>
      </c>
      <c r="K155" t="s">
        <v>351</v>
      </c>
      <c r="L155">
        <v>1346</v>
      </c>
      <c r="N155">
        <v>1009</v>
      </c>
      <c r="O155" t="s">
        <v>316</v>
      </c>
      <c r="P155" t="s">
        <v>316</v>
      </c>
      <c r="Q155">
        <v>1</v>
      </c>
      <c r="X155">
        <v>0.01</v>
      </c>
      <c r="Y155">
        <v>15.11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24</v>
      </c>
      <c r="AG155">
        <v>0</v>
      </c>
      <c r="AH155">
        <v>2</v>
      </c>
      <c r="AI155">
        <v>55983413</v>
      </c>
      <c r="AJ155">
        <v>137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ROW(Source!A49)</f>
        <v>49</v>
      </c>
      <c r="B156">
        <v>55983429</v>
      </c>
      <c r="C156">
        <v>55983407</v>
      </c>
      <c r="D156">
        <v>55459400</v>
      </c>
      <c r="E156">
        <v>1</v>
      </c>
      <c r="F156">
        <v>1</v>
      </c>
      <c r="G156">
        <v>1081</v>
      </c>
      <c r="H156">
        <v>3</v>
      </c>
      <c r="I156" t="s">
        <v>355</v>
      </c>
      <c r="J156" t="s">
        <v>356</v>
      </c>
      <c r="K156" t="s">
        <v>357</v>
      </c>
      <c r="L156">
        <v>1346</v>
      </c>
      <c r="N156">
        <v>1009</v>
      </c>
      <c r="O156" t="s">
        <v>316</v>
      </c>
      <c r="P156" t="s">
        <v>316</v>
      </c>
      <c r="Q156">
        <v>1</v>
      </c>
      <c r="X156">
        <v>0.01</v>
      </c>
      <c r="Y156">
        <v>16.690000000000001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24</v>
      </c>
      <c r="AG156">
        <v>0</v>
      </c>
      <c r="AH156">
        <v>2</v>
      </c>
      <c r="AI156">
        <v>55983414</v>
      </c>
      <c r="AJ156">
        <v>138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ROW(Source!A49)</f>
        <v>49</v>
      </c>
      <c r="B157">
        <v>55983430</v>
      </c>
      <c r="C157">
        <v>55983407</v>
      </c>
      <c r="D157">
        <v>55461719</v>
      </c>
      <c r="E157">
        <v>1</v>
      </c>
      <c r="F157">
        <v>1</v>
      </c>
      <c r="G157">
        <v>1081</v>
      </c>
      <c r="H157">
        <v>3</v>
      </c>
      <c r="I157" t="s">
        <v>394</v>
      </c>
      <c r="J157" t="s">
        <v>395</v>
      </c>
      <c r="K157" t="s">
        <v>396</v>
      </c>
      <c r="L157">
        <v>1348</v>
      </c>
      <c r="N157">
        <v>1009</v>
      </c>
      <c r="O157" t="s">
        <v>345</v>
      </c>
      <c r="P157" t="s">
        <v>345</v>
      </c>
      <c r="Q157">
        <v>1000</v>
      </c>
      <c r="X157">
        <v>1E-4</v>
      </c>
      <c r="Y157">
        <v>10643.18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24</v>
      </c>
      <c r="AG157">
        <v>0</v>
      </c>
      <c r="AH157">
        <v>2</v>
      </c>
      <c r="AI157">
        <v>55983415</v>
      </c>
      <c r="AJ157">
        <v>139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ROW(Source!A49)</f>
        <v>49</v>
      </c>
      <c r="B158">
        <v>55983431</v>
      </c>
      <c r="C158">
        <v>55983407</v>
      </c>
      <c r="D158">
        <v>55466000</v>
      </c>
      <c r="E158">
        <v>1</v>
      </c>
      <c r="F158">
        <v>1</v>
      </c>
      <c r="G158">
        <v>1081</v>
      </c>
      <c r="H158">
        <v>3</v>
      </c>
      <c r="I158" t="s">
        <v>397</v>
      </c>
      <c r="J158" t="s">
        <v>398</v>
      </c>
      <c r="K158" t="s">
        <v>399</v>
      </c>
      <c r="L158">
        <v>1355</v>
      </c>
      <c r="N158">
        <v>1010</v>
      </c>
      <c r="O158" t="s">
        <v>49</v>
      </c>
      <c r="P158" t="s">
        <v>49</v>
      </c>
      <c r="Q158">
        <v>100</v>
      </c>
      <c r="X158">
        <v>0.01</v>
      </c>
      <c r="Y158">
        <v>120.19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24</v>
      </c>
      <c r="AG158">
        <v>0</v>
      </c>
      <c r="AH158">
        <v>2</v>
      </c>
      <c r="AI158">
        <v>55983416</v>
      </c>
      <c r="AJ158">
        <v>140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ROW(Source!A49)</f>
        <v>49</v>
      </c>
      <c r="B159">
        <v>55983432</v>
      </c>
      <c r="C159">
        <v>55983407</v>
      </c>
      <c r="D159">
        <v>55459793</v>
      </c>
      <c r="E159">
        <v>1</v>
      </c>
      <c r="F159">
        <v>1</v>
      </c>
      <c r="G159">
        <v>1081</v>
      </c>
      <c r="H159">
        <v>3</v>
      </c>
      <c r="I159" t="s">
        <v>361</v>
      </c>
      <c r="J159" t="s">
        <v>362</v>
      </c>
      <c r="K159" t="s">
        <v>363</v>
      </c>
      <c r="L159">
        <v>1348</v>
      </c>
      <c r="N159">
        <v>1009</v>
      </c>
      <c r="O159" t="s">
        <v>345</v>
      </c>
      <c r="P159" t="s">
        <v>345</v>
      </c>
      <c r="Q159">
        <v>1000</v>
      </c>
      <c r="X159">
        <v>2.0000000000000002E-5</v>
      </c>
      <c r="Y159">
        <v>64123.05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24</v>
      </c>
      <c r="AG159">
        <v>0</v>
      </c>
      <c r="AH159">
        <v>2</v>
      </c>
      <c r="AI159">
        <v>55983417</v>
      </c>
      <c r="AJ159">
        <v>141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ROW(Source!A49)</f>
        <v>49</v>
      </c>
      <c r="B160">
        <v>55983433</v>
      </c>
      <c r="C160">
        <v>55983407</v>
      </c>
      <c r="D160">
        <v>55459810</v>
      </c>
      <c r="E160">
        <v>1</v>
      </c>
      <c r="F160">
        <v>1</v>
      </c>
      <c r="G160">
        <v>1081</v>
      </c>
      <c r="H160">
        <v>3</v>
      </c>
      <c r="I160" t="s">
        <v>400</v>
      </c>
      <c r="J160" t="s">
        <v>401</v>
      </c>
      <c r="K160" t="s">
        <v>402</v>
      </c>
      <c r="L160">
        <v>1348</v>
      </c>
      <c r="N160">
        <v>1009</v>
      </c>
      <c r="O160" t="s">
        <v>345</v>
      </c>
      <c r="P160" t="s">
        <v>345</v>
      </c>
      <c r="Q160">
        <v>1000</v>
      </c>
      <c r="X160">
        <v>1E-4</v>
      </c>
      <c r="Y160">
        <v>9238.1299999999992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24</v>
      </c>
      <c r="AG160">
        <v>0</v>
      </c>
      <c r="AH160">
        <v>2</v>
      </c>
      <c r="AI160">
        <v>55983418</v>
      </c>
      <c r="AJ160">
        <v>142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ROW(Source!A49)</f>
        <v>49</v>
      </c>
      <c r="B161">
        <v>55983434</v>
      </c>
      <c r="C161">
        <v>55983407</v>
      </c>
      <c r="D161">
        <v>55482166</v>
      </c>
      <c r="E161">
        <v>1</v>
      </c>
      <c r="F161">
        <v>1</v>
      </c>
      <c r="G161">
        <v>1081</v>
      </c>
      <c r="H161">
        <v>3</v>
      </c>
      <c r="I161" t="s">
        <v>403</v>
      </c>
      <c r="J161" t="s">
        <v>404</v>
      </c>
      <c r="K161" t="s">
        <v>405</v>
      </c>
      <c r="L161">
        <v>1301</v>
      </c>
      <c r="N161">
        <v>1003</v>
      </c>
      <c r="O161" t="s">
        <v>263</v>
      </c>
      <c r="P161" t="s">
        <v>263</v>
      </c>
      <c r="Q161">
        <v>1</v>
      </c>
      <c r="X161">
        <v>1</v>
      </c>
      <c r="Y161">
        <v>0.69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24</v>
      </c>
      <c r="AG161">
        <v>0</v>
      </c>
      <c r="AH161">
        <v>2</v>
      </c>
      <c r="AI161">
        <v>55983419</v>
      </c>
      <c r="AJ161">
        <v>143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ROW(Source!A49)</f>
        <v>49</v>
      </c>
      <c r="B162">
        <v>55983435</v>
      </c>
      <c r="C162">
        <v>55983407</v>
      </c>
      <c r="D162">
        <v>55482445</v>
      </c>
      <c r="E162">
        <v>1</v>
      </c>
      <c r="F162">
        <v>1</v>
      </c>
      <c r="G162">
        <v>1081</v>
      </c>
      <c r="H162">
        <v>3</v>
      </c>
      <c r="I162" t="s">
        <v>406</v>
      </c>
      <c r="J162" t="s">
        <v>407</v>
      </c>
      <c r="K162" t="s">
        <v>408</v>
      </c>
      <c r="L162">
        <v>1356</v>
      </c>
      <c r="N162">
        <v>1010</v>
      </c>
      <c r="O162" t="s">
        <v>409</v>
      </c>
      <c r="P162" t="s">
        <v>409</v>
      </c>
      <c r="Q162">
        <v>1000</v>
      </c>
      <c r="X162">
        <v>0.01</v>
      </c>
      <c r="Y162">
        <v>294.89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24</v>
      </c>
      <c r="AG162">
        <v>0</v>
      </c>
      <c r="AH162">
        <v>2</v>
      </c>
      <c r="AI162">
        <v>55983420</v>
      </c>
      <c r="AJ162">
        <v>144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ROW(Source!A49)</f>
        <v>49</v>
      </c>
      <c r="B163">
        <v>55983436</v>
      </c>
      <c r="C163">
        <v>55983407</v>
      </c>
      <c r="D163">
        <v>55481518</v>
      </c>
      <c r="E163">
        <v>1</v>
      </c>
      <c r="F163">
        <v>1</v>
      </c>
      <c r="G163">
        <v>1081</v>
      </c>
      <c r="H163">
        <v>3</v>
      </c>
      <c r="I163" t="s">
        <v>410</v>
      </c>
      <c r="J163" t="s">
        <v>411</v>
      </c>
      <c r="K163" t="s">
        <v>412</v>
      </c>
      <c r="L163">
        <v>1354</v>
      </c>
      <c r="N163">
        <v>1010</v>
      </c>
      <c r="O163" t="s">
        <v>164</v>
      </c>
      <c r="P163" t="s">
        <v>164</v>
      </c>
      <c r="Q163">
        <v>1</v>
      </c>
      <c r="X163">
        <v>1</v>
      </c>
      <c r="Y163">
        <v>15.67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24</v>
      </c>
      <c r="AG163">
        <v>0</v>
      </c>
      <c r="AH163">
        <v>2</v>
      </c>
      <c r="AI163">
        <v>55983421</v>
      </c>
      <c r="AJ163">
        <v>145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ROW(Source!A49)</f>
        <v>49</v>
      </c>
      <c r="B164">
        <v>55983437</v>
      </c>
      <c r="C164">
        <v>55983407</v>
      </c>
      <c r="D164">
        <v>55416982</v>
      </c>
      <c r="E164">
        <v>1081</v>
      </c>
      <c r="F164">
        <v>1</v>
      </c>
      <c r="G164">
        <v>1081</v>
      </c>
      <c r="H164">
        <v>3</v>
      </c>
      <c r="I164" t="s">
        <v>476</v>
      </c>
      <c r="J164" t="s">
        <v>3</v>
      </c>
      <c r="K164" t="s">
        <v>477</v>
      </c>
      <c r="L164">
        <v>1346</v>
      </c>
      <c r="N164">
        <v>1009</v>
      </c>
      <c r="O164" t="s">
        <v>316</v>
      </c>
      <c r="P164" t="s">
        <v>316</v>
      </c>
      <c r="Q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24</v>
      </c>
      <c r="AG164">
        <v>0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ROW(Source!A49)</f>
        <v>49</v>
      </c>
      <c r="B165">
        <v>55983438</v>
      </c>
      <c r="C165">
        <v>55983407</v>
      </c>
      <c r="D165">
        <v>55455661</v>
      </c>
      <c r="E165">
        <v>1081</v>
      </c>
      <c r="F165">
        <v>1</v>
      </c>
      <c r="G165">
        <v>1081</v>
      </c>
      <c r="H165">
        <v>3</v>
      </c>
      <c r="I165" t="s">
        <v>478</v>
      </c>
      <c r="J165" t="s">
        <v>3</v>
      </c>
      <c r="K165" t="s">
        <v>479</v>
      </c>
      <c r="L165">
        <v>1391</v>
      </c>
      <c r="N165">
        <v>1013</v>
      </c>
      <c r="O165" t="s">
        <v>473</v>
      </c>
      <c r="P165" t="s">
        <v>473</v>
      </c>
      <c r="Q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24</v>
      </c>
      <c r="AG165">
        <v>0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ROW(Source!A49)</f>
        <v>49</v>
      </c>
      <c r="B166">
        <v>55983439</v>
      </c>
      <c r="C166">
        <v>55983407</v>
      </c>
      <c r="D166">
        <v>55424290</v>
      </c>
      <c r="E166">
        <v>1081</v>
      </c>
      <c r="F166">
        <v>1</v>
      </c>
      <c r="G166">
        <v>1081</v>
      </c>
      <c r="H166">
        <v>3</v>
      </c>
      <c r="I166" t="s">
        <v>371</v>
      </c>
      <c r="J166" t="s">
        <v>3</v>
      </c>
      <c r="K166" t="s">
        <v>372</v>
      </c>
      <c r="L166">
        <v>1348</v>
      </c>
      <c r="N166">
        <v>1009</v>
      </c>
      <c r="O166" t="s">
        <v>345</v>
      </c>
      <c r="P166" t="s">
        <v>345</v>
      </c>
      <c r="Q166">
        <v>1000</v>
      </c>
      <c r="X166">
        <v>1E-3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24</v>
      </c>
      <c r="AG166">
        <v>0</v>
      </c>
      <c r="AH166">
        <v>2</v>
      </c>
      <c r="AI166">
        <v>55983422</v>
      </c>
      <c r="AJ166">
        <v>146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ROW(Source!A50)</f>
        <v>50</v>
      </c>
      <c r="B167">
        <v>55983445</v>
      </c>
      <c r="C167">
        <v>55983440</v>
      </c>
      <c r="D167">
        <v>55424304</v>
      </c>
      <c r="E167">
        <v>1081</v>
      </c>
      <c r="F167">
        <v>1</v>
      </c>
      <c r="G167">
        <v>1081</v>
      </c>
      <c r="H167">
        <v>1</v>
      </c>
      <c r="I167" t="s">
        <v>339</v>
      </c>
      <c r="J167" t="s">
        <v>3</v>
      </c>
      <c r="K167" t="s">
        <v>340</v>
      </c>
      <c r="L167">
        <v>1191</v>
      </c>
      <c r="N167">
        <v>1013</v>
      </c>
      <c r="O167" t="s">
        <v>341</v>
      </c>
      <c r="P167" t="s">
        <v>341</v>
      </c>
      <c r="Q167">
        <v>1</v>
      </c>
      <c r="X167">
        <v>32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25</v>
      </c>
      <c r="AG167">
        <v>11.52</v>
      </c>
      <c r="AH167">
        <v>2</v>
      </c>
      <c r="AI167">
        <v>55983441</v>
      </c>
      <c r="AJ167">
        <v>147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ROW(Source!A50)</f>
        <v>50</v>
      </c>
      <c r="B168">
        <v>55983446</v>
      </c>
      <c r="C168">
        <v>55983440</v>
      </c>
      <c r="D168">
        <v>55489528</v>
      </c>
      <c r="E168">
        <v>1</v>
      </c>
      <c r="F168">
        <v>1</v>
      </c>
      <c r="G168">
        <v>1081</v>
      </c>
      <c r="H168">
        <v>2</v>
      </c>
      <c r="I168" t="s">
        <v>435</v>
      </c>
      <c r="J168" t="s">
        <v>436</v>
      </c>
      <c r="K168" t="s">
        <v>437</v>
      </c>
      <c r="L168">
        <v>1368</v>
      </c>
      <c r="N168">
        <v>1011</v>
      </c>
      <c r="O168" t="s">
        <v>376</v>
      </c>
      <c r="P168" t="s">
        <v>376</v>
      </c>
      <c r="Q168">
        <v>1</v>
      </c>
      <c r="X168">
        <v>0.28999999999999998</v>
      </c>
      <c r="Y168">
        <v>0</v>
      </c>
      <c r="Z168">
        <v>6.68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25</v>
      </c>
      <c r="AG168">
        <v>0.10439999999999999</v>
      </c>
      <c r="AH168">
        <v>2</v>
      </c>
      <c r="AI168">
        <v>55983442</v>
      </c>
      <c r="AJ168">
        <v>148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ROW(Source!A50)</f>
        <v>50</v>
      </c>
      <c r="B169">
        <v>55983447</v>
      </c>
      <c r="C169">
        <v>55983440</v>
      </c>
      <c r="D169">
        <v>55459873</v>
      </c>
      <c r="E169">
        <v>1</v>
      </c>
      <c r="F169">
        <v>1</v>
      </c>
      <c r="G169">
        <v>1081</v>
      </c>
      <c r="H169">
        <v>3</v>
      </c>
      <c r="I169" t="s">
        <v>378</v>
      </c>
      <c r="J169" t="s">
        <v>379</v>
      </c>
      <c r="K169" t="s">
        <v>380</v>
      </c>
      <c r="L169">
        <v>1348</v>
      </c>
      <c r="N169">
        <v>1009</v>
      </c>
      <c r="O169" t="s">
        <v>345</v>
      </c>
      <c r="P169" t="s">
        <v>345</v>
      </c>
      <c r="Q169">
        <v>1000</v>
      </c>
      <c r="X169">
        <v>5.6099999999999998E-4</v>
      </c>
      <c r="Y169">
        <v>18495.41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24</v>
      </c>
      <c r="AG169">
        <v>0</v>
      </c>
      <c r="AH169">
        <v>2</v>
      </c>
      <c r="AI169">
        <v>55983443</v>
      </c>
      <c r="AJ169">
        <v>149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ROW(Source!A50)</f>
        <v>50</v>
      </c>
      <c r="B170">
        <v>55983448</v>
      </c>
      <c r="C170">
        <v>55983440</v>
      </c>
      <c r="D170">
        <v>55459206</v>
      </c>
      <c r="E170">
        <v>1</v>
      </c>
      <c r="F170">
        <v>1</v>
      </c>
      <c r="G170">
        <v>1081</v>
      </c>
      <c r="H170">
        <v>3</v>
      </c>
      <c r="I170" t="s">
        <v>438</v>
      </c>
      <c r="J170" t="s">
        <v>439</v>
      </c>
      <c r="K170" t="s">
        <v>440</v>
      </c>
      <c r="L170">
        <v>1339</v>
      </c>
      <c r="N170">
        <v>1007</v>
      </c>
      <c r="O170" t="s">
        <v>393</v>
      </c>
      <c r="P170" t="s">
        <v>393</v>
      </c>
      <c r="Q170">
        <v>1</v>
      </c>
      <c r="X170">
        <v>0.04</v>
      </c>
      <c r="Y170">
        <v>2464.94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24</v>
      </c>
      <c r="AG170">
        <v>0</v>
      </c>
      <c r="AH170">
        <v>2</v>
      </c>
      <c r="AI170">
        <v>55983444</v>
      </c>
      <c r="AJ170">
        <v>150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ROW(Source!A51)</f>
        <v>51</v>
      </c>
      <c r="B171">
        <v>55983445</v>
      </c>
      <c r="C171">
        <v>55983440</v>
      </c>
      <c r="D171">
        <v>55424304</v>
      </c>
      <c r="E171">
        <v>1081</v>
      </c>
      <c r="F171">
        <v>1</v>
      </c>
      <c r="G171">
        <v>1081</v>
      </c>
      <c r="H171">
        <v>1</v>
      </c>
      <c r="I171" t="s">
        <v>339</v>
      </c>
      <c r="J171" t="s">
        <v>3</v>
      </c>
      <c r="K171" t="s">
        <v>340</v>
      </c>
      <c r="L171">
        <v>1191</v>
      </c>
      <c r="N171">
        <v>1013</v>
      </c>
      <c r="O171" t="s">
        <v>341</v>
      </c>
      <c r="P171" t="s">
        <v>341</v>
      </c>
      <c r="Q171">
        <v>1</v>
      </c>
      <c r="X171">
        <v>32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25</v>
      </c>
      <c r="AG171">
        <v>11.52</v>
      </c>
      <c r="AH171">
        <v>2</v>
      </c>
      <c r="AI171">
        <v>55983441</v>
      </c>
      <c r="AJ171">
        <v>151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ROW(Source!A51)</f>
        <v>51</v>
      </c>
      <c r="B172">
        <v>55983446</v>
      </c>
      <c r="C172">
        <v>55983440</v>
      </c>
      <c r="D172">
        <v>55489528</v>
      </c>
      <c r="E172">
        <v>1</v>
      </c>
      <c r="F172">
        <v>1</v>
      </c>
      <c r="G172">
        <v>1081</v>
      </c>
      <c r="H172">
        <v>2</v>
      </c>
      <c r="I172" t="s">
        <v>435</v>
      </c>
      <c r="J172" t="s">
        <v>436</v>
      </c>
      <c r="K172" t="s">
        <v>437</v>
      </c>
      <c r="L172">
        <v>1368</v>
      </c>
      <c r="N172">
        <v>1011</v>
      </c>
      <c r="O172" t="s">
        <v>376</v>
      </c>
      <c r="P172" t="s">
        <v>376</v>
      </c>
      <c r="Q172">
        <v>1</v>
      </c>
      <c r="X172">
        <v>0.28999999999999998</v>
      </c>
      <c r="Y172">
        <v>0</v>
      </c>
      <c r="Z172">
        <v>6.68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25</v>
      </c>
      <c r="AG172">
        <v>0.10439999999999999</v>
      </c>
      <c r="AH172">
        <v>2</v>
      </c>
      <c r="AI172">
        <v>55983442</v>
      </c>
      <c r="AJ172">
        <v>152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ROW(Source!A51)</f>
        <v>51</v>
      </c>
      <c r="B173">
        <v>55983447</v>
      </c>
      <c r="C173">
        <v>55983440</v>
      </c>
      <c r="D173">
        <v>55459873</v>
      </c>
      <c r="E173">
        <v>1</v>
      </c>
      <c r="F173">
        <v>1</v>
      </c>
      <c r="G173">
        <v>1081</v>
      </c>
      <c r="H173">
        <v>3</v>
      </c>
      <c r="I173" t="s">
        <v>378</v>
      </c>
      <c r="J173" t="s">
        <v>379</v>
      </c>
      <c r="K173" t="s">
        <v>380</v>
      </c>
      <c r="L173">
        <v>1348</v>
      </c>
      <c r="N173">
        <v>1009</v>
      </c>
      <c r="O173" t="s">
        <v>345</v>
      </c>
      <c r="P173" t="s">
        <v>345</v>
      </c>
      <c r="Q173">
        <v>1000</v>
      </c>
      <c r="X173">
        <v>5.6099999999999998E-4</v>
      </c>
      <c r="Y173">
        <v>18495.41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24</v>
      </c>
      <c r="AG173">
        <v>0</v>
      </c>
      <c r="AH173">
        <v>2</v>
      </c>
      <c r="AI173">
        <v>55983443</v>
      </c>
      <c r="AJ173">
        <v>153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ROW(Source!A51)</f>
        <v>51</v>
      </c>
      <c r="B174">
        <v>55983448</v>
      </c>
      <c r="C174">
        <v>55983440</v>
      </c>
      <c r="D174">
        <v>55459206</v>
      </c>
      <c r="E174">
        <v>1</v>
      </c>
      <c r="F174">
        <v>1</v>
      </c>
      <c r="G174">
        <v>1081</v>
      </c>
      <c r="H174">
        <v>3</v>
      </c>
      <c r="I174" t="s">
        <v>438</v>
      </c>
      <c r="J174" t="s">
        <v>439</v>
      </c>
      <c r="K174" t="s">
        <v>440</v>
      </c>
      <c r="L174">
        <v>1339</v>
      </c>
      <c r="N174">
        <v>1007</v>
      </c>
      <c r="O174" t="s">
        <v>393</v>
      </c>
      <c r="P174" t="s">
        <v>393</v>
      </c>
      <c r="Q174">
        <v>1</v>
      </c>
      <c r="X174">
        <v>0.04</v>
      </c>
      <c r="Y174">
        <v>2464.94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24</v>
      </c>
      <c r="AG174">
        <v>0</v>
      </c>
      <c r="AH174">
        <v>2</v>
      </c>
      <c r="AI174">
        <v>55983444</v>
      </c>
      <c r="AJ174">
        <v>154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ROW(Source!A52)</f>
        <v>52</v>
      </c>
      <c r="B175">
        <v>55983451</v>
      </c>
      <c r="C175">
        <v>55983449</v>
      </c>
      <c r="D175">
        <v>55424304</v>
      </c>
      <c r="E175">
        <v>1081</v>
      </c>
      <c r="F175">
        <v>1</v>
      </c>
      <c r="G175">
        <v>1081</v>
      </c>
      <c r="H175">
        <v>1</v>
      </c>
      <c r="I175" t="s">
        <v>339</v>
      </c>
      <c r="J175" t="s">
        <v>3</v>
      </c>
      <c r="K175" t="s">
        <v>340</v>
      </c>
      <c r="L175">
        <v>1191</v>
      </c>
      <c r="N175">
        <v>1013</v>
      </c>
      <c r="O175" t="s">
        <v>341</v>
      </c>
      <c r="P175" t="s">
        <v>341</v>
      </c>
      <c r="Q175">
        <v>1</v>
      </c>
      <c r="X175">
        <v>9.64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56</v>
      </c>
      <c r="AG175">
        <v>11.568</v>
      </c>
      <c r="AH175">
        <v>2</v>
      </c>
      <c r="AI175">
        <v>55983450</v>
      </c>
      <c r="AJ175">
        <v>155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ROW(Source!A53)</f>
        <v>53</v>
      </c>
      <c r="B176">
        <v>55983451</v>
      </c>
      <c r="C176">
        <v>55983449</v>
      </c>
      <c r="D176">
        <v>55424304</v>
      </c>
      <c r="E176">
        <v>1081</v>
      </c>
      <c r="F176">
        <v>1</v>
      </c>
      <c r="G176">
        <v>1081</v>
      </c>
      <c r="H176">
        <v>1</v>
      </c>
      <c r="I176" t="s">
        <v>339</v>
      </c>
      <c r="J176" t="s">
        <v>3</v>
      </c>
      <c r="K176" t="s">
        <v>340</v>
      </c>
      <c r="L176">
        <v>1191</v>
      </c>
      <c r="N176">
        <v>1013</v>
      </c>
      <c r="O176" t="s">
        <v>341</v>
      </c>
      <c r="P176" t="s">
        <v>341</v>
      </c>
      <c r="Q176">
        <v>1</v>
      </c>
      <c r="X176">
        <v>9.64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 t="s">
        <v>56</v>
      </c>
      <c r="AG176">
        <v>11.568</v>
      </c>
      <c r="AH176">
        <v>2</v>
      </c>
      <c r="AI176">
        <v>55983450</v>
      </c>
      <c r="AJ176">
        <v>156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ROW(Source!A89)</f>
        <v>89</v>
      </c>
      <c r="B177">
        <v>55917980</v>
      </c>
      <c r="C177">
        <v>55917979</v>
      </c>
      <c r="D177">
        <v>55424304</v>
      </c>
      <c r="E177">
        <v>1081</v>
      </c>
      <c r="F177">
        <v>1</v>
      </c>
      <c r="G177">
        <v>1081</v>
      </c>
      <c r="H177">
        <v>1</v>
      </c>
      <c r="I177" t="s">
        <v>339</v>
      </c>
      <c r="J177" t="s">
        <v>3</v>
      </c>
      <c r="K177" t="s">
        <v>340</v>
      </c>
      <c r="L177">
        <v>1191</v>
      </c>
      <c r="N177">
        <v>1013</v>
      </c>
      <c r="O177" t="s">
        <v>341</v>
      </c>
      <c r="P177" t="s">
        <v>341</v>
      </c>
      <c r="Q177">
        <v>1</v>
      </c>
      <c r="X177">
        <v>10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56</v>
      </c>
      <c r="AG177">
        <v>12</v>
      </c>
      <c r="AH177">
        <v>2</v>
      </c>
      <c r="AI177">
        <v>55917980</v>
      </c>
      <c r="AJ177">
        <v>157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ROW(Source!A89)</f>
        <v>89</v>
      </c>
      <c r="B178">
        <v>55917981</v>
      </c>
      <c r="C178">
        <v>55917979</v>
      </c>
      <c r="D178">
        <v>55460508</v>
      </c>
      <c r="E178">
        <v>1</v>
      </c>
      <c r="F178">
        <v>1</v>
      </c>
      <c r="G178">
        <v>1081</v>
      </c>
      <c r="H178">
        <v>3</v>
      </c>
      <c r="I178" t="s">
        <v>342</v>
      </c>
      <c r="J178" t="s">
        <v>343</v>
      </c>
      <c r="K178" t="s">
        <v>344</v>
      </c>
      <c r="L178">
        <v>1348</v>
      </c>
      <c r="N178">
        <v>1009</v>
      </c>
      <c r="O178" t="s">
        <v>345</v>
      </c>
      <c r="P178" t="s">
        <v>345</v>
      </c>
      <c r="Q178">
        <v>1000</v>
      </c>
      <c r="X178">
        <v>2.0000000000000001E-4</v>
      </c>
      <c r="Y178">
        <v>12287.39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55</v>
      </c>
      <c r="AG178">
        <v>2.0000000000000001E-4</v>
      </c>
      <c r="AH178">
        <v>2</v>
      </c>
      <c r="AI178">
        <v>55917981</v>
      </c>
      <c r="AJ178">
        <v>158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ROW(Source!A89)</f>
        <v>89</v>
      </c>
      <c r="B179">
        <v>55917982</v>
      </c>
      <c r="C179">
        <v>55917979</v>
      </c>
      <c r="D179">
        <v>55460545</v>
      </c>
      <c r="E179">
        <v>1</v>
      </c>
      <c r="F179">
        <v>1</v>
      </c>
      <c r="G179">
        <v>1081</v>
      </c>
      <c r="H179">
        <v>3</v>
      </c>
      <c r="I179" t="s">
        <v>346</v>
      </c>
      <c r="J179" t="s">
        <v>347</v>
      </c>
      <c r="K179" t="s">
        <v>348</v>
      </c>
      <c r="L179">
        <v>1348</v>
      </c>
      <c r="N179">
        <v>1009</v>
      </c>
      <c r="O179" t="s">
        <v>345</v>
      </c>
      <c r="P179" t="s">
        <v>345</v>
      </c>
      <c r="Q179">
        <v>1000</v>
      </c>
      <c r="X179">
        <v>1.0000000000000001E-5</v>
      </c>
      <c r="Y179">
        <v>3772.37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55</v>
      </c>
      <c r="AG179">
        <v>1.0000000000000001E-5</v>
      </c>
      <c r="AH179">
        <v>2</v>
      </c>
      <c r="AI179">
        <v>55917982</v>
      </c>
      <c r="AJ179">
        <v>159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ROW(Source!A89)</f>
        <v>89</v>
      </c>
      <c r="B180">
        <v>55917983</v>
      </c>
      <c r="C180">
        <v>55917979</v>
      </c>
      <c r="D180">
        <v>55461230</v>
      </c>
      <c r="E180">
        <v>1</v>
      </c>
      <c r="F180">
        <v>1</v>
      </c>
      <c r="G180">
        <v>1081</v>
      </c>
      <c r="H180">
        <v>3</v>
      </c>
      <c r="I180" t="s">
        <v>349</v>
      </c>
      <c r="J180" t="s">
        <v>350</v>
      </c>
      <c r="K180" t="s">
        <v>351</v>
      </c>
      <c r="L180">
        <v>1346</v>
      </c>
      <c r="N180">
        <v>1009</v>
      </c>
      <c r="O180" t="s">
        <v>316</v>
      </c>
      <c r="P180" t="s">
        <v>316</v>
      </c>
      <c r="Q180">
        <v>1</v>
      </c>
      <c r="X180">
        <v>0.02</v>
      </c>
      <c r="Y180">
        <v>15.11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55</v>
      </c>
      <c r="AG180">
        <v>0.02</v>
      </c>
      <c r="AH180">
        <v>2</v>
      </c>
      <c r="AI180">
        <v>55917983</v>
      </c>
      <c r="AJ180">
        <v>160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ROW(Source!A89)</f>
        <v>89</v>
      </c>
      <c r="B181">
        <v>55917984</v>
      </c>
      <c r="C181">
        <v>55917979</v>
      </c>
      <c r="D181">
        <v>55461426</v>
      </c>
      <c r="E181">
        <v>1</v>
      </c>
      <c r="F181">
        <v>1</v>
      </c>
      <c r="G181">
        <v>1081</v>
      </c>
      <c r="H181">
        <v>3</v>
      </c>
      <c r="I181" t="s">
        <v>352</v>
      </c>
      <c r="J181" t="s">
        <v>353</v>
      </c>
      <c r="K181" t="s">
        <v>354</v>
      </c>
      <c r="L181">
        <v>1346</v>
      </c>
      <c r="N181">
        <v>1009</v>
      </c>
      <c r="O181" t="s">
        <v>316</v>
      </c>
      <c r="P181" t="s">
        <v>316</v>
      </c>
      <c r="Q181">
        <v>1</v>
      </c>
      <c r="X181">
        <v>0.5</v>
      </c>
      <c r="Y181">
        <v>35.590000000000003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55</v>
      </c>
      <c r="AG181">
        <v>0.5</v>
      </c>
      <c r="AH181">
        <v>2</v>
      </c>
      <c r="AI181">
        <v>55917984</v>
      </c>
      <c r="AJ181">
        <v>161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ROW(Source!A89)</f>
        <v>89</v>
      </c>
      <c r="B182">
        <v>55917985</v>
      </c>
      <c r="C182">
        <v>55917979</v>
      </c>
      <c r="D182">
        <v>55459400</v>
      </c>
      <c r="E182">
        <v>1</v>
      </c>
      <c r="F182">
        <v>1</v>
      </c>
      <c r="G182">
        <v>1081</v>
      </c>
      <c r="H182">
        <v>3</v>
      </c>
      <c r="I182" t="s">
        <v>355</v>
      </c>
      <c r="J182" t="s">
        <v>356</v>
      </c>
      <c r="K182" t="s">
        <v>357</v>
      </c>
      <c r="L182">
        <v>1346</v>
      </c>
      <c r="N182">
        <v>1009</v>
      </c>
      <c r="O182" t="s">
        <v>316</v>
      </c>
      <c r="P182" t="s">
        <v>316</v>
      </c>
      <c r="Q182">
        <v>1</v>
      </c>
      <c r="X182">
        <v>0.05</v>
      </c>
      <c r="Y182">
        <v>16.690000000000001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55</v>
      </c>
      <c r="AG182">
        <v>0.05</v>
      </c>
      <c r="AH182">
        <v>2</v>
      </c>
      <c r="AI182">
        <v>55917985</v>
      </c>
      <c r="AJ182">
        <v>162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ROW(Source!A89)</f>
        <v>89</v>
      </c>
      <c r="B183">
        <v>55917986</v>
      </c>
      <c r="C183">
        <v>55917979</v>
      </c>
      <c r="D183">
        <v>55459404</v>
      </c>
      <c r="E183">
        <v>1</v>
      </c>
      <c r="F183">
        <v>1</v>
      </c>
      <c r="G183">
        <v>1081</v>
      </c>
      <c r="H183">
        <v>3</v>
      </c>
      <c r="I183" t="s">
        <v>358</v>
      </c>
      <c r="J183" t="s">
        <v>359</v>
      </c>
      <c r="K183" t="s">
        <v>360</v>
      </c>
      <c r="L183">
        <v>1346</v>
      </c>
      <c r="N183">
        <v>1009</v>
      </c>
      <c r="O183" t="s">
        <v>316</v>
      </c>
      <c r="P183" t="s">
        <v>316</v>
      </c>
      <c r="Q183">
        <v>1</v>
      </c>
      <c r="X183">
        <v>0.2</v>
      </c>
      <c r="Y183">
        <v>73.53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55</v>
      </c>
      <c r="AG183">
        <v>0.2</v>
      </c>
      <c r="AH183">
        <v>2</v>
      </c>
      <c r="AI183">
        <v>55917986</v>
      </c>
      <c r="AJ183">
        <v>163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ROW(Source!A89)</f>
        <v>89</v>
      </c>
      <c r="B184">
        <v>55917987</v>
      </c>
      <c r="C184">
        <v>55917979</v>
      </c>
      <c r="D184">
        <v>55459793</v>
      </c>
      <c r="E184">
        <v>1</v>
      </c>
      <c r="F184">
        <v>1</v>
      </c>
      <c r="G184">
        <v>1081</v>
      </c>
      <c r="H184">
        <v>3</v>
      </c>
      <c r="I184" t="s">
        <v>361</v>
      </c>
      <c r="J184" t="s">
        <v>362</v>
      </c>
      <c r="K184" t="s">
        <v>363</v>
      </c>
      <c r="L184">
        <v>1348</v>
      </c>
      <c r="N184">
        <v>1009</v>
      </c>
      <c r="O184" t="s">
        <v>345</v>
      </c>
      <c r="P184" t="s">
        <v>345</v>
      </c>
      <c r="Q184">
        <v>1000</v>
      </c>
      <c r="X184">
        <v>2.0000000000000001E-4</v>
      </c>
      <c r="Y184">
        <v>64123.05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55</v>
      </c>
      <c r="AG184">
        <v>2.0000000000000001E-4</v>
      </c>
      <c r="AH184">
        <v>2</v>
      </c>
      <c r="AI184">
        <v>55917987</v>
      </c>
      <c r="AJ184">
        <v>164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ROW(Source!A89)</f>
        <v>89</v>
      </c>
      <c r="B185">
        <v>55917988</v>
      </c>
      <c r="C185">
        <v>55917979</v>
      </c>
      <c r="D185">
        <v>55466338</v>
      </c>
      <c r="E185">
        <v>1</v>
      </c>
      <c r="F185">
        <v>1</v>
      </c>
      <c r="G185">
        <v>1081</v>
      </c>
      <c r="H185">
        <v>3</v>
      </c>
      <c r="I185" t="s">
        <v>364</v>
      </c>
      <c r="J185" t="s">
        <v>365</v>
      </c>
      <c r="K185" t="s">
        <v>366</v>
      </c>
      <c r="L185">
        <v>1349</v>
      </c>
      <c r="N185">
        <v>1009</v>
      </c>
      <c r="O185" t="s">
        <v>367</v>
      </c>
      <c r="P185" t="s">
        <v>367</v>
      </c>
      <c r="Q185">
        <v>1E-3</v>
      </c>
      <c r="X185">
        <v>100</v>
      </c>
      <c r="Y185">
        <v>7.0000000000000007E-2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55</v>
      </c>
      <c r="AG185">
        <v>100</v>
      </c>
      <c r="AH185">
        <v>2</v>
      </c>
      <c r="AI185">
        <v>55917988</v>
      </c>
      <c r="AJ185">
        <v>165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ROW(Source!A89)</f>
        <v>89</v>
      </c>
      <c r="B186">
        <v>55917989</v>
      </c>
      <c r="C186">
        <v>55917979</v>
      </c>
      <c r="D186">
        <v>55482233</v>
      </c>
      <c r="E186">
        <v>1</v>
      </c>
      <c r="F186">
        <v>1</v>
      </c>
      <c r="G186">
        <v>1081</v>
      </c>
      <c r="H186">
        <v>3</v>
      </c>
      <c r="I186" t="s">
        <v>368</v>
      </c>
      <c r="J186" t="s">
        <v>369</v>
      </c>
      <c r="K186" t="s">
        <v>370</v>
      </c>
      <c r="L186">
        <v>1346</v>
      </c>
      <c r="N186">
        <v>1009</v>
      </c>
      <c r="O186" t="s">
        <v>316</v>
      </c>
      <c r="P186" t="s">
        <v>316</v>
      </c>
      <c r="Q186">
        <v>1</v>
      </c>
      <c r="X186">
        <v>0.04</v>
      </c>
      <c r="Y186">
        <v>493.08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55</v>
      </c>
      <c r="AG186">
        <v>0.04</v>
      </c>
      <c r="AH186">
        <v>2</v>
      </c>
      <c r="AI186">
        <v>55917989</v>
      </c>
      <c r="AJ186">
        <v>166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ROW(Source!A89)</f>
        <v>89</v>
      </c>
      <c r="B187">
        <v>55917990</v>
      </c>
      <c r="C187">
        <v>55917979</v>
      </c>
      <c r="D187">
        <v>55455536</v>
      </c>
      <c r="E187">
        <v>1081</v>
      </c>
      <c r="F187">
        <v>1</v>
      </c>
      <c r="G187">
        <v>1081</v>
      </c>
      <c r="H187">
        <v>3</v>
      </c>
      <c r="I187" t="s">
        <v>471</v>
      </c>
      <c r="J187" t="s">
        <v>3</v>
      </c>
      <c r="K187" t="s">
        <v>472</v>
      </c>
      <c r="L187">
        <v>1391</v>
      </c>
      <c r="N187">
        <v>1013</v>
      </c>
      <c r="O187" t="s">
        <v>473</v>
      </c>
      <c r="P187" t="s">
        <v>473</v>
      </c>
      <c r="Q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55</v>
      </c>
      <c r="AG187">
        <v>1</v>
      </c>
      <c r="AH187">
        <v>3</v>
      </c>
      <c r="AI187">
        <v>-1</v>
      </c>
      <c r="AJ187" t="s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ROW(Source!A89)</f>
        <v>89</v>
      </c>
      <c r="B188">
        <v>55917991</v>
      </c>
      <c r="C188">
        <v>55917979</v>
      </c>
      <c r="D188">
        <v>55424290</v>
      </c>
      <c r="E188">
        <v>1081</v>
      </c>
      <c r="F188">
        <v>1</v>
      </c>
      <c r="G188">
        <v>1081</v>
      </c>
      <c r="H188">
        <v>3</v>
      </c>
      <c r="I188" t="s">
        <v>371</v>
      </c>
      <c r="J188" t="s">
        <v>3</v>
      </c>
      <c r="K188" t="s">
        <v>372</v>
      </c>
      <c r="L188">
        <v>1348</v>
      </c>
      <c r="N188">
        <v>1009</v>
      </c>
      <c r="O188" t="s">
        <v>345</v>
      </c>
      <c r="P188" t="s">
        <v>345</v>
      </c>
      <c r="Q188">
        <v>1000</v>
      </c>
      <c r="X188">
        <v>1.2E-2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55</v>
      </c>
      <c r="AG188">
        <v>1.2E-2</v>
      </c>
      <c r="AH188">
        <v>2</v>
      </c>
      <c r="AI188">
        <v>55917991</v>
      </c>
      <c r="AJ188">
        <v>167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ROW(Source!A90)</f>
        <v>90</v>
      </c>
      <c r="B189">
        <v>55917980</v>
      </c>
      <c r="C189">
        <v>55917979</v>
      </c>
      <c r="D189">
        <v>55424304</v>
      </c>
      <c r="E189">
        <v>1081</v>
      </c>
      <c r="F189">
        <v>1</v>
      </c>
      <c r="G189">
        <v>1081</v>
      </c>
      <c r="H189">
        <v>1</v>
      </c>
      <c r="I189" t="s">
        <v>339</v>
      </c>
      <c r="J189" t="s">
        <v>3</v>
      </c>
      <c r="K189" t="s">
        <v>340</v>
      </c>
      <c r="L189">
        <v>1191</v>
      </c>
      <c r="N189">
        <v>1013</v>
      </c>
      <c r="O189" t="s">
        <v>341</v>
      </c>
      <c r="P189" t="s">
        <v>341</v>
      </c>
      <c r="Q189">
        <v>1</v>
      </c>
      <c r="X189">
        <v>10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 t="s">
        <v>56</v>
      </c>
      <c r="AG189">
        <v>12</v>
      </c>
      <c r="AH189">
        <v>2</v>
      </c>
      <c r="AI189">
        <v>55917980</v>
      </c>
      <c r="AJ189">
        <v>168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ROW(Source!A90)</f>
        <v>90</v>
      </c>
      <c r="B190">
        <v>55917981</v>
      </c>
      <c r="C190">
        <v>55917979</v>
      </c>
      <c r="D190">
        <v>55460508</v>
      </c>
      <c r="E190">
        <v>1</v>
      </c>
      <c r="F190">
        <v>1</v>
      </c>
      <c r="G190">
        <v>1081</v>
      </c>
      <c r="H190">
        <v>3</v>
      </c>
      <c r="I190" t="s">
        <v>342</v>
      </c>
      <c r="J190" t="s">
        <v>343</v>
      </c>
      <c r="K190" t="s">
        <v>344</v>
      </c>
      <c r="L190">
        <v>1348</v>
      </c>
      <c r="N190">
        <v>1009</v>
      </c>
      <c r="O190" t="s">
        <v>345</v>
      </c>
      <c r="P190" t="s">
        <v>345</v>
      </c>
      <c r="Q190">
        <v>1000</v>
      </c>
      <c r="X190">
        <v>2.0000000000000001E-4</v>
      </c>
      <c r="Y190">
        <v>12287.39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55</v>
      </c>
      <c r="AG190">
        <v>2.0000000000000001E-4</v>
      </c>
      <c r="AH190">
        <v>2</v>
      </c>
      <c r="AI190">
        <v>55917981</v>
      </c>
      <c r="AJ190">
        <v>169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ROW(Source!A90)</f>
        <v>90</v>
      </c>
      <c r="B191">
        <v>55917982</v>
      </c>
      <c r="C191">
        <v>55917979</v>
      </c>
      <c r="D191">
        <v>55460545</v>
      </c>
      <c r="E191">
        <v>1</v>
      </c>
      <c r="F191">
        <v>1</v>
      </c>
      <c r="G191">
        <v>1081</v>
      </c>
      <c r="H191">
        <v>3</v>
      </c>
      <c r="I191" t="s">
        <v>346</v>
      </c>
      <c r="J191" t="s">
        <v>347</v>
      </c>
      <c r="K191" t="s">
        <v>348</v>
      </c>
      <c r="L191">
        <v>1348</v>
      </c>
      <c r="N191">
        <v>1009</v>
      </c>
      <c r="O191" t="s">
        <v>345</v>
      </c>
      <c r="P191" t="s">
        <v>345</v>
      </c>
      <c r="Q191">
        <v>1000</v>
      </c>
      <c r="X191">
        <v>1.0000000000000001E-5</v>
      </c>
      <c r="Y191">
        <v>3772.37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55</v>
      </c>
      <c r="AG191">
        <v>1.0000000000000001E-5</v>
      </c>
      <c r="AH191">
        <v>2</v>
      </c>
      <c r="AI191">
        <v>55917982</v>
      </c>
      <c r="AJ191">
        <v>170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ROW(Source!A90)</f>
        <v>90</v>
      </c>
      <c r="B192">
        <v>55917983</v>
      </c>
      <c r="C192">
        <v>55917979</v>
      </c>
      <c r="D192">
        <v>55461230</v>
      </c>
      <c r="E192">
        <v>1</v>
      </c>
      <c r="F192">
        <v>1</v>
      </c>
      <c r="G192">
        <v>1081</v>
      </c>
      <c r="H192">
        <v>3</v>
      </c>
      <c r="I192" t="s">
        <v>349</v>
      </c>
      <c r="J192" t="s">
        <v>350</v>
      </c>
      <c r="K192" t="s">
        <v>351</v>
      </c>
      <c r="L192">
        <v>1346</v>
      </c>
      <c r="N192">
        <v>1009</v>
      </c>
      <c r="O192" t="s">
        <v>316</v>
      </c>
      <c r="P192" t="s">
        <v>316</v>
      </c>
      <c r="Q192">
        <v>1</v>
      </c>
      <c r="X192">
        <v>0.02</v>
      </c>
      <c r="Y192">
        <v>15.11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55</v>
      </c>
      <c r="AG192">
        <v>0.02</v>
      </c>
      <c r="AH192">
        <v>2</v>
      </c>
      <c r="AI192">
        <v>55917983</v>
      </c>
      <c r="AJ192">
        <v>171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ROW(Source!A90)</f>
        <v>90</v>
      </c>
      <c r="B193">
        <v>55917984</v>
      </c>
      <c r="C193">
        <v>55917979</v>
      </c>
      <c r="D193">
        <v>55461426</v>
      </c>
      <c r="E193">
        <v>1</v>
      </c>
      <c r="F193">
        <v>1</v>
      </c>
      <c r="G193">
        <v>1081</v>
      </c>
      <c r="H193">
        <v>3</v>
      </c>
      <c r="I193" t="s">
        <v>352</v>
      </c>
      <c r="J193" t="s">
        <v>353</v>
      </c>
      <c r="K193" t="s">
        <v>354</v>
      </c>
      <c r="L193">
        <v>1346</v>
      </c>
      <c r="N193">
        <v>1009</v>
      </c>
      <c r="O193" t="s">
        <v>316</v>
      </c>
      <c r="P193" t="s">
        <v>316</v>
      </c>
      <c r="Q193">
        <v>1</v>
      </c>
      <c r="X193">
        <v>0.5</v>
      </c>
      <c r="Y193">
        <v>35.590000000000003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55</v>
      </c>
      <c r="AG193">
        <v>0.5</v>
      </c>
      <c r="AH193">
        <v>2</v>
      </c>
      <c r="AI193">
        <v>55917984</v>
      </c>
      <c r="AJ193">
        <v>172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ROW(Source!A90)</f>
        <v>90</v>
      </c>
      <c r="B194">
        <v>55917985</v>
      </c>
      <c r="C194">
        <v>55917979</v>
      </c>
      <c r="D194">
        <v>55459400</v>
      </c>
      <c r="E194">
        <v>1</v>
      </c>
      <c r="F194">
        <v>1</v>
      </c>
      <c r="G194">
        <v>1081</v>
      </c>
      <c r="H194">
        <v>3</v>
      </c>
      <c r="I194" t="s">
        <v>355</v>
      </c>
      <c r="J194" t="s">
        <v>356</v>
      </c>
      <c r="K194" t="s">
        <v>357</v>
      </c>
      <c r="L194">
        <v>1346</v>
      </c>
      <c r="N194">
        <v>1009</v>
      </c>
      <c r="O194" t="s">
        <v>316</v>
      </c>
      <c r="P194" t="s">
        <v>316</v>
      </c>
      <c r="Q194">
        <v>1</v>
      </c>
      <c r="X194">
        <v>0.05</v>
      </c>
      <c r="Y194">
        <v>16.690000000000001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55</v>
      </c>
      <c r="AG194">
        <v>0.05</v>
      </c>
      <c r="AH194">
        <v>2</v>
      </c>
      <c r="AI194">
        <v>55917985</v>
      </c>
      <c r="AJ194">
        <v>173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ROW(Source!A90)</f>
        <v>90</v>
      </c>
      <c r="B195">
        <v>55917986</v>
      </c>
      <c r="C195">
        <v>55917979</v>
      </c>
      <c r="D195">
        <v>55459404</v>
      </c>
      <c r="E195">
        <v>1</v>
      </c>
      <c r="F195">
        <v>1</v>
      </c>
      <c r="G195">
        <v>1081</v>
      </c>
      <c r="H195">
        <v>3</v>
      </c>
      <c r="I195" t="s">
        <v>358</v>
      </c>
      <c r="J195" t="s">
        <v>359</v>
      </c>
      <c r="K195" t="s">
        <v>360</v>
      </c>
      <c r="L195">
        <v>1346</v>
      </c>
      <c r="N195">
        <v>1009</v>
      </c>
      <c r="O195" t="s">
        <v>316</v>
      </c>
      <c r="P195" t="s">
        <v>316</v>
      </c>
      <c r="Q195">
        <v>1</v>
      </c>
      <c r="X195">
        <v>0.2</v>
      </c>
      <c r="Y195">
        <v>73.53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55</v>
      </c>
      <c r="AG195">
        <v>0.2</v>
      </c>
      <c r="AH195">
        <v>2</v>
      </c>
      <c r="AI195">
        <v>55917986</v>
      </c>
      <c r="AJ195">
        <v>174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ROW(Source!A90)</f>
        <v>90</v>
      </c>
      <c r="B196">
        <v>55917987</v>
      </c>
      <c r="C196">
        <v>55917979</v>
      </c>
      <c r="D196">
        <v>55459793</v>
      </c>
      <c r="E196">
        <v>1</v>
      </c>
      <c r="F196">
        <v>1</v>
      </c>
      <c r="G196">
        <v>1081</v>
      </c>
      <c r="H196">
        <v>3</v>
      </c>
      <c r="I196" t="s">
        <v>361</v>
      </c>
      <c r="J196" t="s">
        <v>362</v>
      </c>
      <c r="K196" t="s">
        <v>363</v>
      </c>
      <c r="L196">
        <v>1348</v>
      </c>
      <c r="N196">
        <v>1009</v>
      </c>
      <c r="O196" t="s">
        <v>345</v>
      </c>
      <c r="P196" t="s">
        <v>345</v>
      </c>
      <c r="Q196">
        <v>1000</v>
      </c>
      <c r="X196">
        <v>2.0000000000000001E-4</v>
      </c>
      <c r="Y196">
        <v>64123.05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55</v>
      </c>
      <c r="AG196">
        <v>2.0000000000000001E-4</v>
      </c>
      <c r="AH196">
        <v>2</v>
      </c>
      <c r="AI196">
        <v>55917987</v>
      </c>
      <c r="AJ196">
        <v>175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ROW(Source!A90)</f>
        <v>90</v>
      </c>
      <c r="B197">
        <v>55917988</v>
      </c>
      <c r="C197">
        <v>55917979</v>
      </c>
      <c r="D197">
        <v>55466338</v>
      </c>
      <c r="E197">
        <v>1</v>
      </c>
      <c r="F197">
        <v>1</v>
      </c>
      <c r="G197">
        <v>1081</v>
      </c>
      <c r="H197">
        <v>3</v>
      </c>
      <c r="I197" t="s">
        <v>364</v>
      </c>
      <c r="J197" t="s">
        <v>365</v>
      </c>
      <c r="K197" t="s">
        <v>366</v>
      </c>
      <c r="L197">
        <v>1349</v>
      </c>
      <c r="N197">
        <v>1009</v>
      </c>
      <c r="O197" t="s">
        <v>367</v>
      </c>
      <c r="P197" t="s">
        <v>367</v>
      </c>
      <c r="Q197">
        <v>1E-3</v>
      </c>
      <c r="X197">
        <v>100</v>
      </c>
      <c r="Y197">
        <v>7.0000000000000007E-2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55</v>
      </c>
      <c r="AG197">
        <v>100</v>
      </c>
      <c r="AH197">
        <v>2</v>
      </c>
      <c r="AI197">
        <v>55917988</v>
      </c>
      <c r="AJ197">
        <v>176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ROW(Source!A90)</f>
        <v>90</v>
      </c>
      <c r="B198">
        <v>55917989</v>
      </c>
      <c r="C198">
        <v>55917979</v>
      </c>
      <c r="D198">
        <v>55482233</v>
      </c>
      <c r="E198">
        <v>1</v>
      </c>
      <c r="F198">
        <v>1</v>
      </c>
      <c r="G198">
        <v>1081</v>
      </c>
      <c r="H198">
        <v>3</v>
      </c>
      <c r="I198" t="s">
        <v>368</v>
      </c>
      <c r="J198" t="s">
        <v>369</v>
      </c>
      <c r="K198" t="s">
        <v>370</v>
      </c>
      <c r="L198">
        <v>1346</v>
      </c>
      <c r="N198">
        <v>1009</v>
      </c>
      <c r="O198" t="s">
        <v>316</v>
      </c>
      <c r="P198" t="s">
        <v>316</v>
      </c>
      <c r="Q198">
        <v>1</v>
      </c>
      <c r="X198">
        <v>0.04</v>
      </c>
      <c r="Y198">
        <v>493.08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55</v>
      </c>
      <c r="AG198">
        <v>0.04</v>
      </c>
      <c r="AH198">
        <v>2</v>
      </c>
      <c r="AI198">
        <v>55917989</v>
      </c>
      <c r="AJ198">
        <v>177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ROW(Source!A90)</f>
        <v>90</v>
      </c>
      <c r="B199">
        <v>55917990</v>
      </c>
      <c r="C199">
        <v>55917979</v>
      </c>
      <c r="D199">
        <v>55455536</v>
      </c>
      <c r="E199">
        <v>1081</v>
      </c>
      <c r="F199">
        <v>1</v>
      </c>
      <c r="G199">
        <v>1081</v>
      </c>
      <c r="H199">
        <v>3</v>
      </c>
      <c r="I199" t="s">
        <v>471</v>
      </c>
      <c r="J199" t="s">
        <v>3</v>
      </c>
      <c r="K199" t="s">
        <v>472</v>
      </c>
      <c r="L199">
        <v>1391</v>
      </c>
      <c r="N199">
        <v>1013</v>
      </c>
      <c r="O199" t="s">
        <v>473</v>
      </c>
      <c r="P199" t="s">
        <v>473</v>
      </c>
      <c r="Q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55</v>
      </c>
      <c r="AG199">
        <v>1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ROW(Source!A90)</f>
        <v>90</v>
      </c>
      <c r="B200">
        <v>55917991</v>
      </c>
      <c r="C200">
        <v>55917979</v>
      </c>
      <c r="D200">
        <v>55424290</v>
      </c>
      <c r="E200">
        <v>1081</v>
      </c>
      <c r="F200">
        <v>1</v>
      </c>
      <c r="G200">
        <v>1081</v>
      </c>
      <c r="H200">
        <v>3</v>
      </c>
      <c r="I200" t="s">
        <v>371</v>
      </c>
      <c r="J200" t="s">
        <v>3</v>
      </c>
      <c r="K200" t="s">
        <v>372</v>
      </c>
      <c r="L200">
        <v>1348</v>
      </c>
      <c r="N200">
        <v>1009</v>
      </c>
      <c r="O200" t="s">
        <v>345</v>
      </c>
      <c r="P200" t="s">
        <v>345</v>
      </c>
      <c r="Q200">
        <v>1000</v>
      </c>
      <c r="X200">
        <v>1.2E-2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55</v>
      </c>
      <c r="AG200">
        <v>1.2E-2</v>
      </c>
      <c r="AH200">
        <v>2</v>
      </c>
      <c r="AI200">
        <v>55917991</v>
      </c>
      <c r="AJ200">
        <v>178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ROW(Source!A93)</f>
        <v>93</v>
      </c>
      <c r="B201">
        <v>55918071</v>
      </c>
      <c r="C201">
        <v>55918070</v>
      </c>
      <c r="D201">
        <v>55424304</v>
      </c>
      <c r="E201">
        <v>1081</v>
      </c>
      <c r="F201">
        <v>1</v>
      </c>
      <c r="G201">
        <v>1081</v>
      </c>
      <c r="H201">
        <v>1</v>
      </c>
      <c r="I201" t="s">
        <v>339</v>
      </c>
      <c r="J201" t="s">
        <v>3</v>
      </c>
      <c r="K201" t="s">
        <v>340</v>
      </c>
      <c r="L201">
        <v>1191</v>
      </c>
      <c r="N201">
        <v>1013</v>
      </c>
      <c r="O201" t="s">
        <v>341</v>
      </c>
      <c r="P201" t="s">
        <v>341</v>
      </c>
      <c r="Q201">
        <v>1</v>
      </c>
      <c r="X201">
        <v>2.1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56</v>
      </c>
      <c r="AG201">
        <v>2.52</v>
      </c>
      <c r="AH201">
        <v>2</v>
      </c>
      <c r="AI201">
        <v>55918071</v>
      </c>
      <c r="AJ201">
        <v>179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ROW(Source!A93)</f>
        <v>93</v>
      </c>
      <c r="B202">
        <v>55918072</v>
      </c>
      <c r="C202">
        <v>55918070</v>
      </c>
      <c r="D202">
        <v>55489513</v>
      </c>
      <c r="E202">
        <v>1</v>
      </c>
      <c r="F202">
        <v>1</v>
      </c>
      <c r="G202">
        <v>1081</v>
      </c>
      <c r="H202">
        <v>2</v>
      </c>
      <c r="I202" t="s">
        <v>373</v>
      </c>
      <c r="J202" t="s">
        <v>374</v>
      </c>
      <c r="K202" t="s">
        <v>375</v>
      </c>
      <c r="L202">
        <v>1368</v>
      </c>
      <c r="N202">
        <v>1011</v>
      </c>
      <c r="O202" t="s">
        <v>376</v>
      </c>
      <c r="P202" t="s">
        <v>376</v>
      </c>
      <c r="Q202">
        <v>1</v>
      </c>
      <c r="X202">
        <v>0.08</v>
      </c>
      <c r="Y202">
        <v>0</v>
      </c>
      <c r="Z202">
        <v>114.83</v>
      </c>
      <c r="AA202">
        <v>12.62</v>
      </c>
      <c r="AB202">
        <v>0</v>
      </c>
      <c r="AC202">
        <v>0</v>
      </c>
      <c r="AD202">
        <v>1</v>
      </c>
      <c r="AE202">
        <v>0</v>
      </c>
      <c r="AF202" t="s">
        <v>56</v>
      </c>
      <c r="AG202">
        <v>9.6000000000000002E-2</v>
      </c>
      <c r="AH202">
        <v>2</v>
      </c>
      <c r="AI202">
        <v>55918072</v>
      </c>
      <c r="AJ202">
        <v>180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ROW(Source!A93)</f>
        <v>93</v>
      </c>
      <c r="B203">
        <v>55918073</v>
      </c>
      <c r="C203">
        <v>55918070</v>
      </c>
      <c r="D203">
        <v>55440770</v>
      </c>
      <c r="E203">
        <v>1081</v>
      </c>
      <c r="F203">
        <v>1</v>
      </c>
      <c r="G203">
        <v>1081</v>
      </c>
      <c r="H203">
        <v>3</v>
      </c>
      <c r="I203" t="s">
        <v>474</v>
      </c>
      <c r="J203" t="s">
        <v>3</v>
      </c>
      <c r="K203" t="s">
        <v>475</v>
      </c>
      <c r="L203">
        <v>1354</v>
      </c>
      <c r="N203">
        <v>1010</v>
      </c>
      <c r="O203" t="s">
        <v>164</v>
      </c>
      <c r="P203" t="s">
        <v>164</v>
      </c>
      <c r="Q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55</v>
      </c>
      <c r="AG203">
        <v>1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ROW(Source!A94)</f>
        <v>94</v>
      </c>
      <c r="B204">
        <v>55918071</v>
      </c>
      <c r="C204">
        <v>55918070</v>
      </c>
      <c r="D204">
        <v>55424304</v>
      </c>
      <c r="E204">
        <v>1081</v>
      </c>
      <c r="F204">
        <v>1</v>
      </c>
      <c r="G204">
        <v>1081</v>
      </c>
      <c r="H204">
        <v>1</v>
      </c>
      <c r="I204" t="s">
        <v>339</v>
      </c>
      <c r="J204" t="s">
        <v>3</v>
      </c>
      <c r="K204" t="s">
        <v>340</v>
      </c>
      <c r="L204">
        <v>1191</v>
      </c>
      <c r="N204">
        <v>1013</v>
      </c>
      <c r="O204" t="s">
        <v>341</v>
      </c>
      <c r="P204" t="s">
        <v>341</v>
      </c>
      <c r="Q204">
        <v>1</v>
      </c>
      <c r="X204">
        <v>2.1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 t="s">
        <v>56</v>
      </c>
      <c r="AG204">
        <v>2.52</v>
      </c>
      <c r="AH204">
        <v>2</v>
      </c>
      <c r="AI204">
        <v>55918071</v>
      </c>
      <c r="AJ204">
        <v>181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ROW(Source!A94)</f>
        <v>94</v>
      </c>
      <c r="B205">
        <v>55918072</v>
      </c>
      <c r="C205">
        <v>55918070</v>
      </c>
      <c r="D205">
        <v>55489513</v>
      </c>
      <c r="E205">
        <v>1</v>
      </c>
      <c r="F205">
        <v>1</v>
      </c>
      <c r="G205">
        <v>1081</v>
      </c>
      <c r="H205">
        <v>2</v>
      </c>
      <c r="I205" t="s">
        <v>373</v>
      </c>
      <c r="J205" t="s">
        <v>374</v>
      </c>
      <c r="K205" t="s">
        <v>375</v>
      </c>
      <c r="L205">
        <v>1368</v>
      </c>
      <c r="N205">
        <v>1011</v>
      </c>
      <c r="O205" t="s">
        <v>376</v>
      </c>
      <c r="P205" t="s">
        <v>376</v>
      </c>
      <c r="Q205">
        <v>1</v>
      </c>
      <c r="X205">
        <v>0.08</v>
      </c>
      <c r="Y205">
        <v>0</v>
      </c>
      <c r="Z205">
        <v>114.83</v>
      </c>
      <c r="AA205">
        <v>12.62</v>
      </c>
      <c r="AB205">
        <v>0</v>
      </c>
      <c r="AC205">
        <v>0</v>
      </c>
      <c r="AD205">
        <v>1</v>
      </c>
      <c r="AE205">
        <v>0</v>
      </c>
      <c r="AF205" t="s">
        <v>56</v>
      </c>
      <c r="AG205">
        <v>9.6000000000000002E-2</v>
      </c>
      <c r="AH205">
        <v>2</v>
      </c>
      <c r="AI205">
        <v>55918072</v>
      </c>
      <c r="AJ205">
        <v>182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ROW(Source!A94)</f>
        <v>94</v>
      </c>
      <c r="B206">
        <v>55918073</v>
      </c>
      <c r="C206">
        <v>55918070</v>
      </c>
      <c r="D206">
        <v>55440770</v>
      </c>
      <c r="E206">
        <v>1081</v>
      </c>
      <c r="F206">
        <v>1</v>
      </c>
      <c r="G206">
        <v>1081</v>
      </c>
      <c r="H206">
        <v>3</v>
      </c>
      <c r="I206" t="s">
        <v>474</v>
      </c>
      <c r="J206" t="s">
        <v>3</v>
      </c>
      <c r="K206" t="s">
        <v>475</v>
      </c>
      <c r="L206">
        <v>1354</v>
      </c>
      <c r="N206">
        <v>1010</v>
      </c>
      <c r="O206" t="s">
        <v>164</v>
      </c>
      <c r="P206" t="s">
        <v>164</v>
      </c>
      <c r="Q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55</v>
      </c>
      <c r="AG206">
        <v>1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ROW(Source!A97)</f>
        <v>97</v>
      </c>
      <c r="B207">
        <v>55918011</v>
      </c>
      <c r="C207">
        <v>55918010</v>
      </c>
      <c r="D207">
        <v>55424304</v>
      </c>
      <c r="E207">
        <v>1081</v>
      </c>
      <c r="F207">
        <v>1</v>
      </c>
      <c r="G207">
        <v>1081</v>
      </c>
      <c r="H207">
        <v>1</v>
      </c>
      <c r="I207" t="s">
        <v>339</v>
      </c>
      <c r="J207" t="s">
        <v>3</v>
      </c>
      <c r="K207" t="s">
        <v>340</v>
      </c>
      <c r="L207">
        <v>1191</v>
      </c>
      <c r="N207">
        <v>1013</v>
      </c>
      <c r="O207" t="s">
        <v>341</v>
      </c>
      <c r="P207" t="s">
        <v>341</v>
      </c>
      <c r="Q207">
        <v>1</v>
      </c>
      <c r="X207">
        <v>5.37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56</v>
      </c>
      <c r="AG207">
        <v>6.444</v>
      </c>
      <c r="AH207">
        <v>2</v>
      </c>
      <c r="AI207">
        <v>55918011</v>
      </c>
      <c r="AJ207">
        <v>183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ROW(Source!A97)</f>
        <v>97</v>
      </c>
      <c r="B208">
        <v>55918012</v>
      </c>
      <c r="C208">
        <v>55918010</v>
      </c>
      <c r="D208">
        <v>55459873</v>
      </c>
      <c r="E208">
        <v>1</v>
      </c>
      <c r="F208">
        <v>1</v>
      </c>
      <c r="G208">
        <v>1081</v>
      </c>
      <c r="H208">
        <v>3</v>
      </c>
      <c r="I208" t="s">
        <v>378</v>
      </c>
      <c r="J208" t="s">
        <v>379</v>
      </c>
      <c r="K208" t="s">
        <v>380</v>
      </c>
      <c r="L208">
        <v>1348</v>
      </c>
      <c r="N208">
        <v>1009</v>
      </c>
      <c r="O208" t="s">
        <v>345</v>
      </c>
      <c r="P208" t="s">
        <v>345</v>
      </c>
      <c r="Q208">
        <v>1000</v>
      </c>
      <c r="X208">
        <v>2.0000000000000002E-5</v>
      </c>
      <c r="Y208">
        <v>18495.41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55</v>
      </c>
      <c r="AG208">
        <v>2.0000000000000002E-5</v>
      </c>
      <c r="AH208">
        <v>2</v>
      </c>
      <c r="AI208">
        <v>55918012</v>
      </c>
      <c r="AJ208">
        <v>184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ROW(Source!A98)</f>
        <v>98</v>
      </c>
      <c r="B209">
        <v>55918011</v>
      </c>
      <c r="C209">
        <v>55918010</v>
      </c>
      <c r="D209">
        <v>55424304</v>
      </c>
      <c r="E209">
        <v>1081</v>
      </c>
      <c r="F209">
        <v>1</v>
      </c>
      <c r="G209">
        <v>1081</v>
      </c>
      <c r="H209">
        <v>1</v>
      </c>
      <c r="I209" t="s">
        <v>339</v>
      </c>
      <c r="J209" t="s">
        <v>3</v>
      </c>
      <c r="K209" t="s">
        <v>340</v>
      </c>
      <c r="L209">
        <v>1191</v>
      </c>
      <c r="N209">
        <v>1013</v>
      </c>
      <c r="O209" t="s">
        <v>341</v>
      </c>
      <c r="P209" t="s">
        <v>341</v>
      </c>
      <c r="Q209">
        <v>1</v>
      </c>
      <c r="X209">
        <v>5.37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 t="s">
        <v>56</v>
      </c>
      <c r="AG209">
        <v>6.444</v>
      </c>
      <c r="AH209">
        <v>2</v>
      </c>
      <c r="AI209">
        <v>55918011</v>
      </c>
      <c r="AJ209">
        <v>185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ROW(Source!A98)</f>
        <v>98</v>
      </c>
      <c r="B210">
        <v>55918012</v>
      </c>
      <c r="C210">
        <v>55918010</v>
      </c>
      <c r="D210">
        <v>55459873</v>
      </c>
      <c r="E210">
        <v>1</v>
      </c>
      <c r="F210">
        <v>1</v>
      </c>
      <c r="G210">
        <v>1081</v>
      </c>
      <c r="H210">
        <v>3</v>
      </c>
      <c r="I210" t="s">
        <v>378</v>
      </c>
      <c r="J210" t="s">
        <v>379</v>
      </c>
      <c r="K210" t="s">
        <v>380</v>
      </c>
      <c r="L210">
        <v>1348</v>
      </c>
      <c r="N210">
        <v>1009</v>
      </c>
      <c r="O210" t="s">
        <v>345</v>
      </c>
      <c r="P210" t="s">
        <v>345</v>
      </c>
      <c r="Q210">
        <v>1000</v>
      </c>
      <c r="X210">
        <v>2.0000000000000002E-5</v>
      </c>
      <c r="Y210">
        <v>18495.41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55</v>
      </c>
      <c r="AG210">
        <v>2.0000000000000002E-5</v>
      </c>
      <c r="AH210">
        <v>2</v>
      </c>
      <c r="AI210">
        <v>55918012</v>
      </c>
      <c r="AJ210">
        <v>186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ROW(Source!A101)</f>
        <v>101</v>
      </c>
      <c r="B211">
        <v>55918018</v>
      </c>
      <c r="C211">
        <v>55918017</v>
      </c>
      <c r="D211">
        <v>55424304</v>
      </c>
      <c r="E211">
        <v>1081</v>
      </c>
      <c r="F211">
        <v>1</v>
      </c>
      <c r="G211">
        <v>1081</v>
      </c>
      <c r="H211">
        <v>1</v>
      </c>
      <c r="I211" t="s">
        <v>339</v>
      </c>
      <c r="J211" t="s">
        <v>3</v>
      </c>
      <c r="K211" t="s">
        <v>340</v>
      </c>
      <c r="L211">
        <v>1191</v>
      </c>
      <c r="N211">
        <v>1013</v>
      </c>
      <c r="O211" t="s">
        <v>341</v>
      </c>
      <c r="P211" t="s">
        <v>341</v>
      </c>
      <c r="Q211">
        <v>1</v>
      </c>
      <c r="X211">
        <v>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56</v>
      </c>
      <c r="AG211">
        <v>3.5999999999999996</v>
      </c>
      <c r="AH211">
        <v>2</v>
      </c>
      <c r="AI211">
        <v>55918018</v>
      </c>
      <c r="AJ211">
        <v>187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ROW(Source!A101)</f>
        <v>101</v>
      </c>
      <c r="B212">
        <v>55918019</v>
      </c>
      <c r="C212">
        <v>55918017</v>
      </c>
      <c r="D212">
        <v>55459894</v>
      </c>
      <c r="E212">
        <v>1</v>
      </c>
      <c r="F212">
        <v>1</v>
      </c>
      <c r="G212">
        <v>1081</v>
      </c>
      <c r="H212">
        <v>3</v>
      </c>
      <c r="I212" t="s">
        <v>381</v>
      </c>
      <c r="J212" t="s">
        <v>382</v>
      </c>
      <c r="K212" t="s">
        <v>383</v>
      </c>
      <c r="L212">
        <v>1348</v>
      </c>
      <c r="N212">
        <v>1009</v>
      </c>
      <c r="O212" t="s">
        <v>345</v>
      </c>
      <c r="P212" t="s">
        <v>345</v>
      </c>
      <c r="Q212">
        <v>1000</v>
      </c>
      <c r="X212">
        <v>1E-3</v>
      </c>
      <c r="Y212">
        <v>15319.65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55</v>
      </c>
      <c r="AG212">
        <v>1E-3</v>
      </c>
      <c r="AH212">
        <v>2</v>
      </c>
      <c r="AI212">
        <v>55918019</v>
      </c>
      <c r="AJ212">
        <v>188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ROW(Source!A101)</f>
        <v>101</v>
      </c>
      <c r="B213">
        <v>55918020</v>
      </c>
      <c r="C213">
        <v>55918017</v>
      </c>
      <c r="D213">
        <v>55459261</v>
      </c>
      <c r="E213">
        <v>1</v>
      </c>
      <c r="F213">
        <v>1</v>
      </c>
      <c r="G213">
        <v>1081</v>
      </c>
      <c r="H213">
        <v>3</v>
      </c>
      <c r="I213" t="s">
        <v>384</v>
      </c>
      <c r="J213" t="s">
        <v>385</v>
      </c>
      <c r="K213" t="s">
        <v>386</v>
      </c>
      <c r="L213">
        <v>1348</v>
      </c>
      <c r="N213">
        <v>1009</v>
      </c>
      <c r="O213" t="s">
        <v>345</v>
      </c>
      <c r="P213" t="s">
        <v>345</v>
      </c>
      <c r="Q213">
        <v>1000</v>
      </c>
      <c r="X213">
        <v>5.0000000000000002E-5</v>
      </c>
      <c r="Y213">
        <v>1219.68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55</v>
      </c>
      <c r="AG213">
        <v>5.0000000000000002E-5</v>
      </c>
      <c r="AH213">
        <v>2</v>
      </c>
      <c r="AI213">
        <v>55918020</v>
      </c>
      <c r="AJ213">
        <v>189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ROW(Source!A101)</f>
        <v>101</v>
      </c>
      <c r="B214">
        <v>55918021</v>
      </c>
      <c r="C214">
        <v>55918017</v>
      </c>
      <c r="D214">
        <v>55460328</v>
      </c>
      <c r="E214">
        <v>1</v>
      </c>
      <c r="F214">
        <v>1</v>
      </c>
      <c r="G214">
        <v>1081</v>
      </c>
      <c r="H214">
        <v>3</v>
      </c>
      <c r="I214" t="s">
        <v>387</v>
      </c>
      <c r="J214" t="s">
        <v>388</v>
      </c>
      <c r="K214" t="s">
        <v>389</v>
      </c>
      <c r="L214">
        <v>1301</v>
      </c>
      <c r="N214">
        <v>1003</v>
      </c>
      <c r="O214" t="s">
        <v>263</v>
      </c>
      <c r="P214" t="s">
        <v>263</v>
      </c>
      <c r="Q214">
        <v>1</v>
      </c>
      <c r="X214">
        <v>5</v>
      </c>
      <c r="Y214">
        <v>0.39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55</v>
      </c>
      <c r="AG214">
        <v>5</v>
      </c>
      <c r="AH214">
        <v>2</v>
      </c>
      <c r="AI214">
        <v>55918021</v>
      </c>
      <c r="AJ214">
        <v>190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ROW(Source!A101)</f>
        <v>101</v>
      </c>
      <c r="B215">
        <v>55918022</v>
      </c>
      <c r="C215">
        <v>55918017</v>
      </c>
      <c r="D215">
        <v>55459312</v>
      </c>
      <c r="E215">
        <v>1</v>
      </c>
      <c r="F215">
        <v>1</v>
      </c>
      <c r="G215">
        <v>1081</v>
      </c>
      <c r="H215">
        <v>3</v>
      </c>
      <c r="I215" t="s">
        <v>390</v>
      </c>
      <c r="J215" t="s">
        <v>391</v>
      </c>
      <c r="K215" t="s">
        <v>392</v>
      </c>
      <c r="L215">
        <v>1339</v>
      </c>
      <c r="N215">
        <v>1007</v>
      </c>
      <c r="O215" t="s">
        <v>393</v>
      </c>
      <c r="P215" t="s">
        <v>393</v>
      </c>
      <c r="Q215">
        <v>1</v>
      </c>
      <c r="X215">
        <v>1E-3</v>
      </c>
      <c r="Y215">
        <v>1176.3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55</v>
      </c>
      <c r="AG215">
        <v>1E-3</v>
      </c>
      <c r="AH215">
        <v>2</v>
      </c>
      <c r="AI215">
        <v>55918022</v>
      </c>
      <c r="AJ215">
        <v>191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ROW(Source!A101)</f>
        <v>101</v>
      </c>
      <c r="B216">
        <v>55918023</v>
      </c>
      <c r="C216">
        <v>55918017</v>
      </c>
      <c r="D216">
        <v>55461230</v>
      </c>
      <c r="E216">
        <v>1</v>
      </c>
      <c r="F216">
        <v>1</v>
      </c>
      <c r="G216">
        <v>1081</v>
      </c>
      <c r="H216">
        <v>3</v>
      </c>
      <c r="I216" t="s">
        <v>349</v>
      </c>
      <c r="J216" t="s">
        <v>350</v>
      </c>
      <c r="K216" t="s">
        <v>351</v>
      </c>
      <c r="L216">
        <v>1346</v>
      </c>
      <c r="N216">
        <v>1009</v>
      </c>
      <c r="O216" t="s">
        <v>316</v>
      </c>
      <c r="P216" t="s">
        <v>316</v>
      </c>
      <c r="Q216">
        <v>1</v>
      </c>
      <c r="X216">
        <v>0.01</v>
      </c>
      <c r="Y216">
        <v>15.11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55</v>
      </c>
      <c r="AG216">
        <v>0.01</v>
      </c>
      <c r="AH216">
        <v>2</v>
      </c>
      <c r="AI216">
        <v>55918023</v>
      </c>
      <c r="AJ216">
        <v>192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ROW(Source!A101)</f>
        <v>101</v>
      </c>
      <c r="B217">
        <v>55918024</v>
      </c>
      <c r="C217">
        <v>55918017</v>
      </c>
      <c r="D217">
        <v>55459400</v>
      </c>
      <c r="E217">
        <v>1</v>
      </c>
      <c r="F217">
        <v>1</v>
      </c>
      <c r="G217">
        <v>1081</v>
      </c>
      <c r="H217">
        <v>3</v>
      </c>
      <c r="I217" t="s">
        <v>355</v>
      </c>
      <c r="J217" t="s">
        <v>356</v>
      </c>
      <c r="K217" t="s">
        <v>357</v>
      </c>
      <c r="L217">
        <v>1346</v>
      </c>
      <c r="N217">
        <v>1009</v>
      </c>
      <c r="O217" t="s">
        <v>316</v>
      </c>
      <c r="P217" t="s">
        <v>316</v>
      </c>
      <c r="Q217">
        <v>1</v>
      </c>
      <c r="X217">
        <v>0.01</v>
      </c>
      <c r="Y217">
        <v>16.690000000000001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55</v>
      </c>
      <c r="AG217">
        <v>0.01</v>
      </c>
      <c r="AH217">
        <v>2</v>
      </c>
      <c r="AI217">
        <v>55918024</v>
      </c>
      <c r="AJ217">
        <v>193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ROW(Source!A101)</f>
        <v>101</v>
      </c>
      <c r="B218">
        <v>55918025</v>
      </c>
      <c r="C218">
        <v>55918017</v>
      </c>
      <c r="D218">
        <v>55461719</v>
      </c>
      <c r="E218">
        <v>1</v>
      </c>
      <c r="F218">
        <v>1</v>
      </c>
      <c r="G218">
        <v>1081</v>
      </c>
      <c r="H218">
        <v>3</v>
      </c>
      <c r="I218" t="s">
        <v>394</v>
      </c>
      <c r="J218" t="s">
        <v>395</v>
      </c>
      <c r="K218" t="s">
        <v>396</v>
      </c>
      <c r="L218">
        <v>1348</v>
      </c>
      <c r="N218">
        <v>1009</v>
      </c>
      <c r="O218" t="s">
        <v>345</v>
      </c>
      <c r="P218" t="s">
        <v>345</v>
      </c>
      <c r="Q218">
        <v>1000</v>
      </c>
      <c r="X218">
        <v>1E-4</v>
      </c>
      <c r="Y218">
        <v>10643.18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55</v>
      </c>
      <c r="AG218">
        <v>1E-4</v>
      </c>
      <c r="AH218">
        <v>2</v>
      </c>
      <c r="AI218">
        <v>55918025</v>
      </c>
      <c r="AJ218">
        <v>194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ROW(Source!A101)</f>
        <v>101</v>
      </c>
      <c r="B219">
        <v>55918026</v>
      </c>
      <c r="C219">
        <v>55918017</v>
      </c>
      <c r="D219">
        <v>55466000</v>
      </c>
      <c r="E219">
        <v>1</v>
      </c>
      <c r="F219">
        <v>1</v>
      </c>
      <c r="G219">
        <v>1081</v>
      </c>
      <c r="H219">
        <v>3</v>
      </c>
      <c r="I219" t="s">
        <v>397</v>
      </c>
      <c r="J219" t="s">
        <v>398</v>
      </c>
      <c r="K219" t="s">
        <v>399</v>
      </c>
      <c r="L219">
        <v>1355</v>
      </c>
      <c r="N219">
        <v>1010</v>
      </c>
      <c r="O219" t="s">
        <v>49</v>
      </c>
      <c r="P219" t="s">
        <v>49</v>
      </c>
      <c r="Q219">
        <v>100</v>
      </c>
      <c r="X219">
        <v>0.01</v>
      </c>
      <c r="Y219">
        <v>120.19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55</v>
      </c>
      <c r="AG219">
        <v>0.01</v>
      </c>
      <c r="AH219">
        <v>2</v>
      </c>
      <c r="AI219">
        <v>55918026</v>
      </c>
      <c r="AJ219">
        <v>195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ROW(Source!A101)</f>
        <v>101</v>
      </c>
      <c r="B220">
        <v>55918027</v>
      </c>
      <c r="C220">
        <v>55918017</v>
      </c>
      <c r="D220">
        <v>55459793</v>
      </c>
      <c r="E220">
        <v>1</v>
      </c>
      <c r="F220">
        <v>1</v>
      </c>
      <c r="G220">
        <v>1081</v>
      </c>
      <c r="H220">
        <v>3</v>
      </c>
      <c r="I220" t="s">
        <v>361</v>
      </c>
      <c r="J220" t="s">
        <v>362</v>
      </c>
      <c r="K220" t="s">
        <v>363</v>
      </c>
      <c r="L220">
        <v>1348</v>
      </c>
      <c r="N220">
        <v>1009</v>
      </c>
      <c r="O220" t="s">
        <v>345</v>
      </c>
      <c r="P220" t="s">
        <v>345</v>
      </c>
      <c r="Q220">
        <v>1000</v>
      </c>
      <c r="X220">
        <v>2.0000000000000002E-5</v>
      </c>
      <c r="Y220">
        <v>64123.05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55</v>
      </c>
      <c r="AG220">
        <v>2.0000000000000002E-5</v>
      </c>
      <c r="AH220">
        <v>2</v>
      </c>
      <c r="AI220">
        <v>55918027</v>
      </c>
      <c r="AJ220">
        <v>196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ROW(Source!A101)</f>
        <v>101</v>
      </c>
      <c r="B221">
        <v>55918028</v>
      </c>
      <c r="C221">
        <v>55918017</v>
      </c>
      <c r="D221">
        <v>55459810</v>
      </c>
      <c r="E221">
        <v>1</v>
      </c>
      <c r="F221">
        <v>1</v>
      </c>
      <c r="G221">
        <v>1081</v>
      </c>
      <c r="H221">
        <v>3</v>
      </c>
      <c r="I221" t="s">
        <v>400</v>
      </c>
      <c r="J221" t="s">
        <v>401</v>
      </c>
      <c r="K221" t="s">
        <v>402</v>
      </c>
      <c r="L221">
        <v>1348</v>
      </c>
      <c r="N221">
        <v>1009</v>
      </c>
      <c r="O221" t="s">
        <v>345</v>
      </c>
      <c r="P221" t="s">
        <v>345</v>
      </c>
      <c r="Q221">
        <v>1000</v>
      </c>
      <c r="X221">
        <v>1E-4</v>
      </c>
      <c r="Y221">
        <v>9238.1299999999992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55</v>
      </c>
      <c r="AG221">
        <v>1E-4</v>
      </c>
      <c r="AH221">
        <v>2</v>
      </c>
      <c r="AI221">
        <v>55918028</v>
      </c>
      <c r="AJ221">
        <v>197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ROW(Source!A101)</f>
        <v>101</v>
      </c>
      <c r="B222">
        <v>55918029</v>
      </c>
      <c r="C222">
        <v>55918017</v>
      </c>
      <c r="D222">
        <v>55482166</v>
      </c>
      <c r="E222">
        <v>1</v>
      </c>
      <c r="F222">
        <v>1</v>
      </c>
      <c r="G222">
        <v>1081</v>
      </c>
      <c r="H222">
        <v>3</v>
      </c>
      <c r="I222" t="s">
        <v>403</v>
      </c>
      <c r="J222" t="s">
        <v>404</v>
      </c>
      <c r="K222" t="s">
        <v>405</v>
      </c>
      <c r="L222">
        <v>1301</v>
      </c>
      <c r="N222">
        <v>1003</v>
      </c>
      <c r="O222" t="s">
        <v>263</v>
      </c>
      <c r="P222" t="s">
        <v>263</v>
      </c>
      <c r="Q222">
        <v>1</v>
      </c>
      <c r="X222">
        <v>1</v>
      </c>
      <c r="Y222">
        <v>0.69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55</v>
      </c>
      <c r="AG222">
        <v>1</v>
      </c>
      <c r="AH222">
        <v>2</v>
      </c>
      <c r="AI222">
        <v>55918029</v>
      </c>
      <c r="AJ222">
        <v>198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ROW(Source!A101)</f>
        <v>101</v>
      </c>
      <c r="B223">
        <v>55918030</v>
      </c>
      <c r="C223">
        <v>55918017</v>
      </c>
      <c r="D223">
        <v>55482445</v>
      </c>
      <c r="E223">
        <v>1</v>
      </c>
      <c r="F223">
        <v>1</v>
      </c>
      <c r="G223">
        <v>1081</v>
      </c>
      <c r="H223">
        <v>3</v>
      </c>
      <c r="I223" t="s">
        <v>406</v>
      </c>
      <c r="J223" t="s">
        <v>407</v>
      </c>
      <c r="K223" t="s">
        <v>408</v>
      </c>
      <c r="L223">
        <v>1356</v>
      </c>
      <c r="N223">
        <v>1010</v>
      </c>
      <c r="O223" t="s">
        <v>409</v>
      </c>
      <c r="P223" t="s">
        <v>409</v>
      </c>
      <c r="Q223">
        <v>1000</v>
      </c>
      <c r="X223">
        <v>0.01</v>
      </c>
      <c r="Y223">
        <v>294.89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55</v>
      </c>
      <c r="AG223">
        <v>0.01</v>
      </c>
      <c r="AH223">
        <v>2</v>
      </c>
      <c r="AI223">
        <v>55918030</v>
      </c>
      <c r="AJ223">
        <v>199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ROW(Source!A101)</f>
        <v>101</v>
      </c>
      <c r="B224">
        <v>55918031</v>
      </c>
      <c r="C224">
        <v>55918017</v>
      </c>
      <c r="D224">
        <v>55481518</v>
      </c>
      <c r="E224">
        <v>1</v>
      </c>
      <c r="F224">
        <v>1</v>
      </c>
      <c r="G224">
        <v>1081</v>
      </c>
      <c r="H224">
        <v>3</v>
      </c>
      <c r="I224" t="s">
        <v>410</v>
      </c>
      <c r="J224" t="s">
        <v>411</v>
      </c>
      <c r="K224" t="s">
        <v>412</v>
      </c>
      <c r="L224">
        <v>1354</v>
      </c>
      <c r="N224">
        <v>1010</v>
      </c>
      <c r="O224" t="s">
        <v>164</v>
      </c>
      <c r="P224" t="s">
        <v>164</v>
      </c>
      <c r="Q224">
        <v>1</v>
      </c>
      <c r="X224">
        <v>1</v>
      </c>
      <c r="Y224">
        <v>15.67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55</v>
      </c>
      <c r="AG224">
        <v>1</v>
      </c>
      <c r="AH224">
        <v>2</v>
      </c>
      <c r="AI224">
        <v>55918031</v>
      </c>
      <c r="AJ224">
        <v>200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ROW(Source!A101)</f>
        <v>101</v>
      </c>
      <c r="B225">
        <v>55918032</v>
      </c>
      <c r="C225">
        <v>55918017</v>
      </c>
      <c r="D225">
        <v>55417010</v>
      </c>
      <c r="E225">
        <v>1081</v>
      </c>
      <c r="F225">
        <v>1</v>
      </c>
      <c r="G225">
        <v>1081</v>
      </c>
      <c r="H225">
        <v>3</v>
      </c>
      <c r="I225" t="s">
        <v>476</v>
      </c>
      <c r="J225" t="s">
        <v>3</v>
      </c>
      <c r="K225" t="s">
        <v>477</v>
      </c>
      <c r="L225">
        <v>1346</v>
      </c>
      <c r="N225">
        <v>1009</v>
      </c>
      <c r="O225" t="s">
        <v>316</v>
      </c>
      <c r="P225" t="s">
        <v>316</v>
      </c>
      <c r="Q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55</v>
      </c>
      <c r="AG225">
        <v>0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ROW(Source!A101)</f>
        <v>101</v>
      </c>
      <c r="B226">
        <v>55918033</v>
      </c>
      <c r="C226">
        <v>55918017</v>
      </c>
      <c r="D226">
        <v>55455661</v>
      </c>
      <c r="E226">
        <v>1081</v>
      </c>
      <c r="F226">
        <v>1</v>
      </c>
      <c r="G226">
        <v>1081</v>
      </c>
      <c r="H226">
        <v>3</v>
      </c>
      <c r="I226" t="s">
        <v>478</v>
      </c>
      <c r="J226" t="s">
        <v>3</v>
      </c>
      <c r="K226" t="s">
        <v>479</v>
      </c>
      <c r="L226">
        <v>1391</v>
      </c>
      <c r="N226">
        <v>1013</v>
      </c>
      <c r="O226" t="s">
        <v>473</v>
      </c>
      <c r="P226" t="s">
        <v>473</v>
      </c>
      <c r="Q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55</v>
      </c>
      <c r="AG226">
        <v>1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ROW(Source!A101)</f>
        <v>101</v>
      </c>
      <c r="B227">
        <v>55918034</v>
      </c>
      <c r="C227">
        <v>55918017</v>
      </c>
      <c r="D227">
        <v>55424290</v>
      </c>
      <c r="E227">
        <v>1081</v>
      </c>
      <c r="F227">
        <v>1</v>
      </c>
      <c r="G227">
        <v>1081</v>
      </c>
      <c r="H227">
        <v>3</v>
      </c>
      <c r="I227" t="s">
        <v>371</v>
      </c>
      <c r="J227" t="s">
        <v>3</v>
      </c>
      <c r="K227" t="s">
        <v>372</v>
      </c>
      <c r="L227">
        <v>1348</v>
      </c>
      <c r="N227">
        <v>1009</v>
      </c>
      <c r="O227" t="s">
        <v>345</v>
      </c>
      <c r="P227" t="s">
        <v>345</v>
      </c>
      <c r="Q227">
        <v>1000</v>
      </c>
      <c r="X227">
        <v>1E-3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55</v>
      </c>
      <c r="AG227">
        <v>1E-3</v>
      </c>
      <c r="AH227">
        <v>2</v>
      </c>
      <c r="AI227">
        <v>55918034</v>
      </c>
      <c r="AJ227">
        <v>201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ROW(Source!A102)</f>
        <v>102</v>
      </c>
      <c r="B228">
        <v>55918018</v>
      </c>
      <c r="C228">
        <v>55918017</v>
      </c>
      <c r="D228">
        <v>55424304</v>
      </c>
      <c r="E228">
        <v>1081</v>
      </c>
      <c r="F228">
        <v>1</v>
      </c>
      <c r="G228">
        <v>1081</v>
      </c>
      <c r="H228">
        <v>1</v>
      </c>
      <c r="I228" t="s">
        <v>339</v>
      </c>
      <c r="J228" t="s">
        <v>3</v>
      </c>
      <c r="K228" t="s">
        <v>340</v>
      </c>
      <c r="L228">
        <v>1191</v>
      </c>
      <c r="N228">
        <v>1013</v>
      </c>
      <c r="O228" t="s">
        <v>341</v>
      </c>
      <c r="P228" t="s">
        <v>341</v>
      </c>
      <c r="Q228">
        <v>1</v>
      </c>
      <c r="X228">
        <v>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 t="s">
        <v>56</v>
      </c>
      <c r="AG228">
        <v>3.5999999999999996</v>
      </c>
      <c r="AH228">
        <v>2</v>
      </c>
      <c r="AI228">
        <v>55918018</v>
      </c>
      <c r="AJ228">
        <v>202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ROW(Source!A102)</f>
        <v>102</v>
      </c>
      <c r="B229">
        <v>55918019</v>
      </c>
      <c r="C229">
        <v>55918017</v>
      </c>
      <c r="D229">
        <v>55459894</v>
      </c>
      <c r="E229">
        <v>1</v>
      </c>
      <c r="F229">
        <v>1</v>
      </c>
      <c r="G229">
        <v>1081</v>
      </c>
      <c r="H229">
        <v>3</v>
      </c>
      <c r="I229" t="s">
        <v>381</v>
      </c>
      <c r="J229" t="s">
        <v>382</v>
      </c>
      <c r="K229" t="s">
        <v>383</v>
      </c>
      <c r="L229">
        <v>1348</v>
      </c>
      <c r="N229">
        <v>1009</v>
      </c>
      <c r="O229" t="s">
        <v>345</v>
      </c>
      <c r="P229" t="s">
        <v>345</v>
      </c>
      <c r="Q229">
        <v>1000</v>
      </c>
      <c r="X229">
        <v>1E-3</v>
      </c>
      <c r="Y229">
        <v>15319.65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55</v>
      </c>
      <c r="AG229">
        <v>1E-3</v>
      </c>
      <c r="AH229">
        <v>2</v>
      </c>
      <c r="AI229">
        <v>55918019</v>
      </c>
      <c r="AJ229">
        <v>203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ROW(Source!A102)</f>
        <v>102</v>
      </c>
      <c r="B230">
        <v>55918020</v>
      </c>
      <c r="C230">
        <v>55918017</v>
      </c>
      <c r="D230">
        <v>55459261</v>
      </c>
      <c r="E230">
        <v>1</v>
      </c>
      <c r="F230">
        <v>1</v>
      </c>
      <c r="G230">
        <v>1081</v>
      </c>
      <c r="H230">
        <v>3</v>
      </c>
      <c r="I230" t="s">
        <v>384</v>
      </c>
      <c r="J230" t="s">
        <v>385</v>
      </c>
      <c r="K230" t="s">
        <v>386</v>
      </c>
      <c r="L230">
        <v>1348</v>
      </c>
      <c r="N230">
        <v>1009</v>
      </c>
      <c r="O230" t="s">
        <v>345</v>
      </c>
      <c r="P230" t="s">
        <v>345</v>
      </c>
      <c r="Q230">
        <v>1000</v>
      </c>
      <c r="X230">
        <v>5.0000000000000002E-5</v>
      </c>
      <c r="Y230">
        <v>1219.68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55</v>
      </c>
      <c r="AG230">
        <v>5.0000000000000002E-5</v>
      </c>
      <c r="AH230">
        <v>2</v>
      </c>
      <c r="AI230">
        <v>55918020</v>
      </c>
      <c r="AJ230">
        <v>204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ROW(Source!A102)</f>
        <v>102</v>
      </c>
      <c r="B231">
        <v>55918021</v>
      </c>
      <c r="C231">
        <v>55918017</v>
      </c>
      <c r="D231">
        <v>55460328</v>
      </c>
      <c r="E231">
        <v>1</v>
      </c>
      <c r="F231">
        <v>1</v>
      </c>
      <c r="G231">
        <v>1081</v>
      </c>
      <c r="H231">
        <v>3</v>
      </c>
      <c r="I231" t="s">
        <v>387</v>
      </c>
      <c r="J231" t="s">
        <v>388</v>
      </c>
      <c r="K231" t="s">
        <v>389</v>
      </c>
      <c r="L231">
        <v>1301</v>
      </c>
      <c r="N231">
        <v>1003</v>
      </c>
      <c r="O231" t="s">
        <v>263</v>
      </c>
      <c r="P231" t="s">
        <v>263</v>
      </c>
      <c r="Q231">
        <v>1</v>
      </c>
      <c r="X231">
        <v>5</v>
      </c>
      <c r="Y231">
        <v>0.39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55</v>
      </c>
      <c r="AG231">
        <v>5</v>
      </c>
      <c r="AH231">
        <v>2</v>
      </c>
      <c r="AI231">
        <v>55918021</v>
      </c>
      <c r="AJ231">
        <v>205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ROW(Source!A102)</f>
        <v>102</v>
      </c>
      <c r="B232">
        <v>55918022</v>
      </c>
      <c r="C232">
        <v>55918017</v>
      </c>
      <c r="D232">
        <v>55459312</v>
      </c>
      <c r="E232">
        <v>1</v>
      </c>
      <c r="F232">
        <v>1</v>
      </c>
      <c r="G232">
        <v>1081</v>
      </c>
      <c r="H232">
        <v>3</v>
      </c>
      <c r="I232" t="s">
        <v>390</v>
      </c>
      <c r="J232" t="s">
        <v>391</v>
      </c>
      <c r="K232" t="s">
        <v>392</v>
      </c>
      <c r="L232">
        <v>1339</v>
      </c>
      <c r="N232">
        <v>1007</v>
      </c>
      <c r="O232" t="s">
        <v>393</v>
      </c>
      <c r="P232" t="s">
        <v>393</v>
      </c>
      <c r="Q232">
        <v>1</v>
      </c>
      <c r="X232">
        <v>1E-3</v>
      </c>
      <c r="Y232">
        <v>1176.3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55</v>
      </c>
      <c r="AG232">
        <v>1E-3</v>
      </c>
      <c r="AH232">
        <v>2</v>
      </c>
      <c r="AI232">
        <v>55918022</v>
      </c>
      <c r="AJ232">
        <v>206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ROW(Source!A102)</f>
        <v>102</v>
      </c>
      <c r="B233">
        <v>55918023</v>
      </c>
      <c r="C233">
        <v>55918017</v>
      </c>
      <c r="D233">
        <v>55461230</v>
      </c>
      <c r="E233">
        <v>1</v>
      </c>
      <c r="F233">
        <v>1</v>
      </c>
      <c r="G233">
        <v>1081</v>
      </c>
      <c r="H233">
        <v>3</v>
      </c>
      <c r="I233" t="s">
        <v>349</v>
      </c>
      <c r="J233" t="s">
        <v>350</v>
      </c>
      <c r="K233" t="s">
        <v>351</v>
      </c>
      <c r="L233">
        <v>1346</v>
      </c>
      <c r="N233">
        <v>1009</v>
      </c>
      <c r="O233" t="s">
        <v>316</v>
      </c>
      <c r="P233" t="s">
        <v>316</v>
      </c>
      <c r="Q233">
        <v>1</v>
      </c>
      <c r="X233">
        <v>0.01</v>
      </c>
      <c r="Y233">
        <v>15.11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55</v>
      </c>
      <c r="AG233">
        <v>0.01</v>
      </c>
      <c r="AH233">
        <v>2</v>
      </c>
      <c r="AI233">
        <v>55918023</v>
      </c>
      <c r="AJ233">
        <v>207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ROW(Source!A102)</f>
        <v>102</v>
      </c>
      <c r="B234">
        <v>55918024</v>
      </c>
      <c r="C234">
        <v>55918017</v>
      </c>
      <c r="D234">
        <v>55459400</v>
      </c>
      <c r="E234">
        <v>1</v>
      </c>
      <c r="F234">
        <v>1</v>
      </c>
      <c r="G234">
        <v>1081</v>
      </c>
      <c r="H234">
        <v>3</v>
      </c>
      <c r="I234" t="s">
        <v>355</v>
      </c>
      <c r="J234" t="s">
        <v>356</v>
      </c>
      <c r="K234" t="s">
        <v>357</v>
      </c>
      <c r="L234">
        <v>1346</v>
      </c>
      <c r="N234">
        <v>1009</v>
      </c>
      <c r="O234" t="s">
        <v>316</v>
      </c>
      <c r="P234" t="s">
        <v>316</v>
      </c>
      <c r="Q234">
        <v>1</v>
      </c>
      <c r="X234">
        <v>0.01</v>
      </c>
      <c r="Y234">
        <v>16.690000000000001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55</v>
      </c>
      <c r="AG234">
        <v>0.01</v>
      </c>
      <c r="AH234">
        <v>2</v>
      </c>
      <c r="AI234">
        <v>55918024</v>
      </c>
      <c r="AJ234">
        <v>208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ROW(Source!A102)</f>
        <v>102</v>
      </c>
      <c r="B235">
        <v>55918025</v>
      </c>
      <c r="C235">
        <v>55918017</v>
      </c>
      <c r="D235">
        <v>55461719</v>
      </c>
      <c r="E235">
        <v>1</v>
      </c>
      <c r="F235">
        <v>1</v>
      </c>
      <c r="G235">
        <v>1081</v>
      </c>
      <c r="H235">
        <v>3</v>
      </c>
      <c r="I235" t="s">
        <v>394</v>
      </c>
      <c r="J235" t="s">
        <v>395</v>
      </c>
      <c r="K235" t="s">
        <v>396</v>
      </c>
      <c r="L235">
        <v>1348</v>
      </c>
      <c r="N235">
        <v>1009</v>
      </c>
      <c r="O235" t="s">
        <v>345</v>
      </c>
      <c r="P235" t="s">
        <v>345</v>
      </c>
      <c r="Q235">
        <v>1000</v>
      </c>
      <c r="X235">
        <v>1E-4</v>
      </c>
      <c r="Y235">
        <v>10643.18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55</v>
      </c>
      <c r="AG235">
        <v>1E-4</v>
      </c>
      <c r="AH235">
        <v>2</v>
      </c>
      <c r="AI235">
        <v>55918025</v>
      </c>
      <c r="AJ235">
        <v>209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ROW(Source!A102)</f>
        <v>102</v>
      </c>
      <c r="B236">
        <v>55918026</v>
      </c>
      <c r="C236">
        <v>55918017</v>
      </c>
      <c r="D236">
        <v>55466000</v>
      </c>
      <c r="E236">
        <v>1</v>
      </c>
      <c r="F236">
        <v>1</v>
      </c>
      <c r="G236">
        <v>1081</v>
      </c>
      <c r="H236">
        <v>3</v>
      </c>
      <c r="I236" t="s">
        <v>397</v>
      </c>
      <c r="J236" t="s">
        <v>398</v>
      </c>
      <c r="K236" t="s">
        <v>399</v>
      </c>
      <c r="L236">
        <v>1355</v>
      </c>
      <c r="N236">
        <v>1010</v>
      </c>
      <c r="O236" t="s">
        <v>49</v>
      </c>
      <c r="P236" t="s">
        <v>49</v>
      </c>
      <c r="Q236">
        <v>100</v>
      </c>
      <c r="X236">
        <v>0.01</v>
      </c>
      <c r="Y236">
        <v>120.19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55</v>
      </c>
      <c r="AG236">
        <v>0.01</v>
      </c>
      <c r="AH236">
        <v>2</v>
      </c>
      <c r="AI236">
        <v>55918026</v>
      </c>
      <c r="AJ236">
        <v>210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ROW(Source!A102)</f>
        <v>102</v>
      </c>
      <c r="B237">
        <v>55918027</v>
      </c>
      <c r="C237">
        <v>55918017</v>
      </c>
      <c r="D237">
        <v>55459793</v>
      </c>
      <c r="E237">
        <v>1</v>
      </c>
      <c r="F237">
        <v>1</v>
      </c>
      <c r="G237">
        <v>1081</v>
      </c>
      <c r="H237">
        <v>3</v>
      </c>
      <c r="I237" t="s">
        <v>361</v>
      </c>
      <c r="J237" t="s">
        <v>362</v>
      </c>
      <c r="K237" t="s">
        <v>363</v>
      </c>
      <c r="L237">
        <v>1348</v>
      </c>
      <c r="N237">
        <v>1009</v>
      </c>
      <c r="O237" t="s">
        <v>345</v>
      </c>
      <c r="P237" t="s">
        <v>345</v>
      </c>
      <c r="Q237">
        <v>1000</v>
      </c>
      <c r="X237">
        <v>2.0000000000000002E-5</v>
      </c>
      <c r="Y237">
        <v>64123.05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55</v>
      </c>
      <c r="AG237">
        <v>2.0000000000000002E-5</v>
      </c>
      <c r="AH237">
        <v>2</v>
      </c>
      <c r="AI237">
        <v>55918027</v>
      </c>
      <c r="AJ237">
        <v>211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ROW(Source!A102)</f>
        <v>102</v>
      </c>
      <c r="B238">
        <v>55918028</v>
      </c>
      <c r="C238">
        <v>55918017</v>
      </c>
      <c r="D238">
        <v>55459810</v>
      </c>
      <c r="E238">
        <v>1</v>
      </c>
      <c r="F238">
        <v>1</v>
      </c>
      <c r="G238">
        <v>1081</v>
      </c>
      <c r="H238">
        <v>3</v>
      </c>
      <c r="I238" t="s">
        <v>400</v>
      </c>
      <c r="J238" t="s">
        <v>401</v>
      </c>
      <c r="K238" t="s">
        <v>402</v>
      </c>
      <c r="L238">
        <v>1348</v>
      </c>
      <c r="N238">
        <v>1009</v>
      </c>
      <c r="O238" t="s">
        <v>345</v>
      </c>
      <c r="P238" t="s">
        <v>345</v>
      </c>
      <c r="Q238">
        <v>1000</v>
      </c>
      <c r="X238">
        <v>1E-4</v>
      </c>
      <c r="Y238">
        <v>9238.1299999999992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55</v>
      </c>
      <c r="AG238">
        <v>1E-4</v>
      </c>
      <c r="AH238">
        <v>2</v>
      </c>
      <c r="AI238">
        <v>55918028</v>
      </c>
      <c r="AJ238">
        <v>212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ROW(Source!A102)</f>
        <v>102</v>
      </c>
      <c r="B239">
        <v>55918029</v>
      </c>
      <c r="C239">
        <v>55918017</v>
      </c>
      <c r="D239">
        <v>55482166</v>
      </c>
      <c r="E239">
        <v>1</v>
      </c>
      <c r="F239">
        <v>1</v>
      </c>
      <c r="G239">
        <v>1081</v>
      </c>
      <c r="H239">
        <v>3</v>
      </c>
      <c r="I239" t="s">
        <v>403</v>
      </c>
      <c r="J239" t="s">
        <v>404</v>
      </c>
      <c r="K239" t="s">
        <v>405</v>
      </c>
      <c r="L239">
        <v>1301</v>
      </c>
      <c r="N239">
        <v>1003</v>
      </c>
      <c r="O239" t="s">
        <v>263</v>
      </c>
      <c r="P239" t="s">
        <v>263</v>
      </c>
      <c r="Q239">
        <v>1</v>
      </c>
      <c r="X239">
        <v>1</v>
      </c>
      <c r="Y239">
        <v>0.69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55</v>
      </c>
      <c r="AG239">
        <v>1</v>
      </c>
      <c r="AH239">
        <v>2</v>
      </c>
      <c r="AI239">
        <v>55918029</v>
      </c>
      <c r="AJ239">
        <v>213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ROW(Source!A102)</f>
        <v>102</v>
      </c>
      <c r="B240">
        <v>55918030</v>
      </c>
      <c r="C240">
        <v>55918017</v>
      </c>
      <c r="D240">
        <v>55482445</v>
      </c>
      <c r="E240">
        <v>1</v>
      </c>
      <c r="F240">
        <v>1</v>
      </c>
      <c r="G240">
        <v>1081</v>
      </c>
      <c r="H240">
        <v>3</v>
      </c>
      <c r="I240" t="s">
        <v>406</v>
      </c>
      <c r="J240" t="s">
        <v>407</v>
      </c>
      <c r="K240" t="s">
        <v>408</v>
      </c>
      <c r="L240">
        <v>1356</v>
      </c>
      <c r="N240">
        <v>1010</v>
      </c>
      <c r="O240" t="s">
        <v>409</v>
      </c>
      <c r="P240" t="s">
        <v>409</v>
      </c>
      <c r="Q240">
        <v>1000</v>
      </c>
      <c r="X240">
        <v>0.01</v>
      </c>
      <c r="Y240">
        <v>294.89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55</v>
      </c>
      <c r="AG240">
        <v>0.01</v>
      </c>
      <c r="AH240">
        <v>2</v>
      </c>
      <c r="AI240">
        <v>55918030</v>
      </c>
      <c r="AJ240">
        <v>214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ROW(Source!A102)</f>
        <v>102</v>
      </c>
      <c r="B241">
        <v>55918031</v>
      </c>
      <c r="C241">
        <v>55918017</v>
      </c>
      <c r="D241">
        <v>55481518</v>
      </c>
      <c r="E241">
        <v>1</v>
      </c>
      <c r="F241">
        <v>1</v>
      </c>
      <c r="G241">
        <v>1081</v>
      </c>
      <c r="H241">
        <v>3</v>
      </c>
      <c r="I241" t="s">
        <v>410</v>
      </c>
      <c r="J241" t="s">
        <v>411</v>
      </c>
      <c r="K241" t="s">
        <v>412</v>
      </c>
      <c r="L241">
        <v>1354</v>
      </c>
      <c r="N241">
        <v>1010</v>
      </c>
      <c r="O241" t="s">
        <v>164</v>
      </c>
      <c r="P241" t="s">
        <v>164</v>
      </c>
      <c r="Q241">
        <v>1</v>
      </c>
      <c r="X241">
        <v>1</v>
      </c>
      <c r="Y241">
        <v>15.67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55</v>
      </c>
      <c r="AG241">
        <v>1</v>
      </c>
      <c r="AH241">
        <v>2</v>
      </c>
      <c r="AI241">
        <v>55918031</v>
      </c>
      <c r="AJ241">
        <v>215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ROW(Source!A102)</f>
        <v>102</v>
      </c>
      <c r="B242">
        <v>55918032</v>
      </c>
      <c r="C242">
        <v>55918017</v>
      </c>
      <c r="D242">
        <v>55417010</v>
      </c>
      <c r="E242">
        <v>1081</v>
      </c>
      <c r="F242">
        <v>1</v>
      </c>
      <c r="G242">
        <v>1081</v>
      </c>
      <c r="H242">
        <v>3</v>
      </c>
      <c r="I242" t="s">
        <v>476</v>
      </c>
      <c r="J242" t="s">
        <v>3</v>
      </c>
      <c r="K242" t="s">
        <v>477</v>
      </c>
      <c r="L242">
        <v>1346</v>
      </c>
      <c r="N242">
        <v>1009</v>
      </c>
      <c r="O242" t="s">
        <v>316</v>
      </c>
      <c r="P242" t="s">
        <v>316</v>
      </c>
      <c r="Q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55</v>
      </c>
      <c r="AG242">
        <v>0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ROW(Source!A102)</f>
        <v>102</v>
      </c>
      <c r="B243">
        <v>55918033</v>
      </c>
      <c r="C243">
        <v>55918017</v>
      </c>
      <c r="D243">
        <v>55455661</v>
      </c>
      <c r="E243">
        <v>1081</v>
      </c>
      <c r="F243">
        <v>1</v>
      </c>
      <c r="G243">
        <v>1081</v>
      </c>
      <c r="H243">
        <v>3</v>
      </c>
      <c r="I243" t="s">
        <v>478</v>
      </c>
      <c r="J243" t="s">
        <v>3</v>
      </c>
      <c r="K243" t="s">
        <v>479</v>
      </c>
      <c r="L243">
        <v>1391</v>
      </c>
      <c r="N243">
        <v>1013</v>
      </c>
      <c r="O243" t="s">
        <v>473</v>
      </c>
      <c r="P243" t="s">
        <v>473</v>
      </c>
      <c r="Q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s">
        <v>55</v>
      </c>
      <c r="AG243">
        <v>1</v>
      </c>
      <c r="AH243">
        <v>3</v>
      </c>
      <c r="AI243">
        <v>-1</v>
      </c>
      <c r="AJ243" t="s">
        <v>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ROW(Source!A102)</f>
        <v>102</v>
      </c>
      <c r="B244">
        <v>55918034</v>
      </c>
      <c r="C244">
        <v>55918017</v>
      </c>
      <c r="D244">
        <v>55424290</v>
      </c>
      <c r="E244">
        <v>1081</v>
      </c>
      <c r="F244">
        <v>1</v>
      </c>
      <c r="G244">
        <v>1081</v>
      </c>
      <c r="H244">
        <v>3</v>
      </c>
      <c r="I244" t="s">
        <v>371</v>
      </c>
      <c r="J244" t="s">
        <v>3</v>
      </c>
      <c r="K244" t="s">
        <v>372</v>
      </c>
      <c r="L244">
        <v>1348</v>
      </c>
      <c r="N244">
        <v>1009</v>
      </c>
      <c r="O244" t="s">
        <v>345</v>
      </c>
      <c r="P244" t="s">
        <v>345</v>
      </c>
      <c r="Q244">
        <v>1000</v>
      </c>
      <c r="X244">
        <v>1E-3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55</v>
      </c>
      <c r="AG244">
        <v>1E-3</v>
      </c>
      <c r="AH244">
        <v>2</v>
      </c>
      <c r="AI244">
        <v>55918034</v>
      </c>
      <c r="AJ244">
        <v>216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ROW(Source!A107)</f>
        <v>107</v>
      </c>
      <c r="B245">
        <v>55918049</v>
      </c>
      <c r="C245">
        <v>55918048</v>
      </c>
      <c r="D245">
        <v>55424304</v>
      </c>
      <c r="E245">
        <v>1081</v>
      </c>
      <c r="F245">
        <v>1</v>
      </c>
      <c r="G245">
        <v>1081</v>
      </c>
      <c r="H245">
        <v>1</v>
      </c>
      <c r="I245" t="s">
        <v>339</v>
      </c>
      <c r="J245" t="s">
        <v>3</v>
      </c>
      <c r="K245" t="s">
        <v>340</v>
      </c>
      <c r="L245">
        <v>1191</v>
      </c>
      <c r="N245">
        <v>1013</v>
      </c>
      <c r="O245" t="s">
        <v>341</v>
      </c>
      <c r="P245" t="s">
        <v>341</v>
      </c>
      <c r="Q245">
        <v>1</v>
      </c>
      <c r="X245">
        <v>24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 t="s">
        <v>56</v>
      </c>
      <c r="AG245">
        <v>28.799999999999997</v>
      </c>
      <c r="AH245">
        <v>2</v>
      </c>
      <c r="AI245">
        <v>55918049</v>
      </c>
      <c r="AJ245">
        <v>217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ROW(Source!A107)</f>
        <v>107</v>
      </c>
      <c r="B246">
        <v>55918050</v>
      </c>
      <c r="C246">
        <v>55918048</v>
      </c>
      <c r="D246">
        <v>55459907</v>
      </c>
      <c r="E246">
        <v>1</v>
      </c>
      <c r="F246">
        <v>1</v>
      </c>
      <c r="G246">
        <v>1081</v>
      </c>
      <c r="H246">
        <v>3</v>
      </c>
      <c r="I246" t="s">
        <v>413</v>
      </c>
      <c r="J246" t="s">
        <v>414</v>
      </c>
      <c r="K246" t="s">
        <v>415</v>
      </c>
      <c r="L246">
        <v>1348</v>
      </c>
      <c r="N246">
        <v>1009</v>
      </c>
      <c r="O246" t="s">
        <v>345</v>
      </c>
      <c r="P246" t="s">
        <v>345</v>
      </c>
      <c r="Q246">
        <v>1000</v>
      </c>
      <c r="X246">
        <v>6.0000000000000001E-3</v>
      </c>
      <c r="Y246">
        <v>7246.05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55</v>
      </c>
      <c r="AG246">
        <v>6.0000000000000001E-3</v>
      </c>
      <c r="AH246">
        <v>2</v>
      </c>
      <c r="AI246">
        <v>55918050</v>
      </c>
      <c r="AJ246">
        <v>218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ROW(Source!A107)</f>
        <v>107</v>
      </c>
      <c r="B247">
        <v>55918051</v>
      </c>
      <c r="C247">
        <v>55918048</v>
      </c>
      <c r="D247">
        <v>55460316</v>
      </c>
      <c r="E247">
        <v>1</v>
      </c>
      <c r="F247">
        <v>1</v>
      </c>
      <c r="G247">
        <v>1081</v>
      </c>
      <c r="H247">
        <v>3</v>
      </c>
      <c r="I247" t="s">
        <v>416</v>
      </c>
      <c r="J247" t="s">
        <v>417</v>
      </c>
      <c r="K247" t="s">
        <v>418</v>
      </c>
      <c r="L247">
        <v>1346</v>
      </c>
      <c r="N247">
        <v>1009</v>
      </c>
      <c r="O247" t="s">
        <v>316</v>
      </c>
      <c r="P247" t="s">
        <v>316</v>
      </c>
      <c r="Q247">
        <v>1</v>
      </c>
      <c r="X247">
        <v>0.2</v>
      </c>
      <c r="Y247">
        <v>104.63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55</v>
      </c>
      <c r="AG247">
        <v>0.2</v>
      </c>
      <c r="AH247">
        <v>2</v>
      </c>
      <c r="AI247">
        <v>55918051</v>
      </c>
      <c r="AJ247">
        <v>219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ROW(Source!A107)</f>
        <v>107</v>
      </c>
      <c r="B248">
        <v>55918052</v>
      </c>
      <c r="C248">
        <v>55918048</v>
      </c>
      <c r="D248">
        <v>55461791</v>
      </c>
      <c r="E248">
        <v>1</v>
      </c>
      <c r="F248">
        <v>1</v>
      </c>
      <c r="G248">
        <v>1081</v>
      </c>
      <c r="H248">
        <v>3</v>
      </c>
      <c r="I248" t="s">
        <v>419</v>
      </c>
      <c r="J248" t="s">
        <v>420</v>
      </c>
      <c r="K248" t="s">
        <v>421</v>
      </c>
      <c r="L248">
        <v>1355</v>
      </c>
      <c r="N248">
        <v>1010</v>
      </c>
      <c r="O248" t="s">
        <v>49</v>
      </c>
      <c r="P248" t="s">
        <v>49</v>
      </c>
      <c r="Q248">
        <v>100</v>
      </c>
      <c r="X248">
        <v>2</v>
      </c>
      <c r="Y248">
        <v>10.6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55</v>
      </c>
      <c r="AG248">
        <v>2</v>
      </c>
      <c r="AH248">
        <v>2</v>
      </c>
      <c r="AI248">
        <v>55918052</v>
      </c>
      <c r="AJ248">
        <v>220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ROW(Source!A107)</f>
        <v>107</v>
      </c>
      <c r="B249">
        <v>55918053</v>
      </c>
      <c r="C249">
        <v>55918048</v>
      </c>
      <c r="D249">
        <v>55448278</v>
      </c>
      <c r="E249">
        <v>1081</v>
      </c>
      <c r="F249">
        <v>1</v>
      </c>
      <c r="G249">
        <v>1081</v>
      </c>
      <c r="H249">
        <v>3</v>
      </c>
      <c r="I249" t="s">
        <v>480</v>
      </c>
      <c r="J249" t="s">
        <v>3</v>
      </c>
      <c r="K249" t="s">
        <v>481</v>
      </c>
      <c r="L249">
        <v>1354</v>
      </c>
      <c r="N249">
        <v>1010</v>
      </c>
      <c r="O249" t="s">
        <v>164</v>
      </c>
      <c r="P249" t="s">
        <v>164</v>
      </c>
      <c r="Q249">
        <v>1</v>
      </c>
      <c r="X249">
        <v>100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55</v>
      </c>
      <c r="AG249">
        <v>100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ROW(Source!A107)</f>
        <v>107</v>
      </c>
      <c r="B250">
        <v>55918054</v>
      </c>
      <c r="C250">
        <v>55918048</v>
      </c>
      <c r="D250">
        <v>55424290</v>
      </c>
      <c r="E250">
        <v>1081</v>
      </c>
      <c r="F250">
        <v>1</v>
      </c>
      <c r="G250">
        <v>1081</v>
      </c>
      <c r="H250">
        <v>3</v>
      </c>
      <c r="I250" t="s">
        <v>371</v>
      </c>
      <c r="J250" t="s">
        <v>3</v>
      </c>
      <c r="K250" t="s">
        <v>372</v>
      </c>
      <c r="L250">
        <v>1348</v>
      </c>
      <c r="N250">
        <v>1009</v>
      </c>
      <c r="O250" t="s">
        <v>345</v>
      </c>
      <c r="P250" t="s">
        <v>345</v>
      </c>
      <c r="Q250">
        <v>1000</v>
      </c>
      <c r="X250">
        <v>0.03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55</v>
      </c>
      <c r="AG250">
        <v>0.03</v>
      </c>
      <c r="AH250">
        <v>2</v>
      </c>
      <c r="AI250">
        <v>55918054</v>
      </c>
      <c r="AJ250">
        <v>222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ROW(Source!A108)</f>
        <v>108</v>
      </c>
      <c r="B251">
        <v>55918049</v>
      </c>
      <c r="C251">
        <v>55918048</v>
      </c>
      <c r="D251">
        <v>55424304</v>
      </c>
      <c r="E251">
        <v>1081</v>
      </c>
      <c r="F251">
        <v>1</v>
      </c>
      <c r="G251">
        <v>1081</v>
      </c>
      <c r="H251">
        <v>1</v>
      </c>
      <c r="I251" t="s">
        <v>339</v>
      </c>
      <c r="J251" t="s">
        <v>3</v>
      </c>
      <c r="K251" t="s">
        <v>340</v>
      </c>
      <c r="L251">
        <v>1191</v>
      </c>
      <c r="N251">
        <v>1013</v>
      </c>
      <c r="O251" t="s">
        <v>341</v>
      </c>
      <c r="P251" t="s">
        <v>341</v>
      </c>
      <c r="Q251">
        <v>1</v>
      </c>
      <c r="X251">
        <v>24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56</v>
      </c>
      <c r="AG251">
        <v>28.799999999999997</v>
      </c>
      <c r="AH251">
        <v>2</v>
      </c>
      <c r="AI251">
        <v>55918049</v>
      </c>
      <c r="AJ251">
        <v>223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ROW(Source!A108)</f>
        <v>108</v>
      </c>
      <c r="B252">
        <v>55918050</v>
      </c>
      <c r="C252">
        <v>55918048</v>
      </c>
      <c r="D252">
        <v>55459907</v>
      </c>
      <c r="E252">
        <v>1</v>
      </c>
      <c r="F252">
        <v>1</v>
      </c>
      <c r="G252">
        <v>1081</v>
      </c>
      <c r="H252">
        <v>3</v>
      </c>
      <c r="I252" t="s">
        <v>413</v>
      </c>
      <c r="J252" t="s">
        <v>414</v>
      </c>
      <c r="K252" t="s">
        <v>415</v>
      </c>
      <c r="L252">
        <v>1348</v>
      </c>
      <c r="N252">
        <v>1009</v>
      </c>
      <c r="O252" t="s">
        <v>345</v>
      </c>
      <c r="P252" t="s">
        <v>345</v>
      </c>
      <c r="Q252">
        <v>1000</v>
      </c>
      <c r="X252">
        <v>6.0000000000000001E-3</v>
      </c>
      <c r="Y252">
        <v>7246.05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55</v>
      </c>
      <c r="AG252">
        <v>6.0000000000000001E-3</v>
      </c>
      <c r="AH252">
        <v>2</v>
      </c>
      <c r="AI252">
        <v>55918050</v>
      </c>
      <c r="AJ252">
        <v>224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ROW(Source!A108)</f>
        <v>108</v>
      </c>
      <c r="B253">
        <v>55918051</v>
      </c>
      <c r="C253">
        <v>55918048</v>
      </c>
      <c r="D253">
        <v>55460316</v>
      </c>
      <c r="E253">
        <v>1</v>
      </c>
      <c r="F253">
        <v>1</v>
      </c>
      <c r="G253">
        <v>1081</v>
      </c>
      <c r="H253">
        <v>3</v>
      </c>
      <c r="I253" t="s">
        <v>416</v>
      </c>
      <c r="J253" t="s">
        <v>417</v>
      </c>
      <c r="K253" t="s">
        <v>418</v>
      </c>
      <c r="L253">
        <v>1346</v>
      </c>
      <c r="N253">
        <v>1009</v>
      </c>
      <c r="O253" t="s">
        <v>316</v>
      </c>
      <c r="P253" t="s">
        <v>316</v>
      </c>
      <c r="Q253">
        <v>1</v>
      </c>
      <c r="X253">
        <v>0.2</v>
      </c>
      <c r="Y253">
        <v>104.63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55</v>
      </c>
      <c r="AG253">
        <v>0.2</v>
      </c>
      <c r="AH253">
        <v>2</v>
      </c>
      <c r="AI253">
        <v>55918051</v>
      </c>
      <c r="AJ253">
        <v>225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ROW(Source!A108)</f>
        <v>108</v>
      </c>
      <c r="B254">
        <v>55918052</v>
      </c>
      <c r="C254">
        <v>55918048</v>
      </c>
      <c r="D254">
        <v>55461791</v>
      </c>
      <c r="E254">
        <v>1</v>
      </c>
      <c r="F254">
        <v>1</v>
      </c>
      <c r="G254">
        <v>1081</v>
      </c>
      <c r="H254">
        <v>3</v>
      </c>
      <c r="I254" t="s">
        <v>419</v>
      </c>
      <c r="J254" t="s">
        <v>420</v>
      </c>
      <c r="K254" t="s">
        <v>421</v>
      </c>
      <c r="L254">
        <v>1355</v>
      </c>
      <c r="N254">
        <v>1010</v>
      </c>
      <c r="O254" t="s">
        <v>49</v>
      </c>
      <c r="P254" t="s">
        <v>49</v>
      </c>
      <c r="Q254">
        <v>100</v>
      </c>
      <c r="X254">
        <v>2</v>
      </c>
      <c r="Y254">
        <v>10.6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55</v>
      </c>
      <c r="AG254">
        <v>2</v>
      </c>
      <c r="AH254">
        <v>2</v>
      </c>
      <c r="AI254">
        <v>55918052</v>
      </c>
      <c r="AJ254">
        <v>226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ROW(Source!A108)</f>
        <v>108</v>
      </c>
      <c r="B255">
        <v>55918053</v>
      </c>
      <c r="C255">
        <v>55918048</v>
      </c>
      <c r="D255">
        <v>55448278</v>
      </c>
      <c r="E255">
        <v>1081</v>
      </c>
      <c r="F255">
        <v>1</v>
      </c>
      <c r="G255">
        <v>1081</v>
      </c>
      <c r="H255">
        <v>3</v>
      </c>
      <c r="I255" t="s">
        <v>480</v>
      </c>
      <c r="J255" t="s">
        <v>3</v>
      </c>
      <c r="K255" t="s">
        <v>481</v>
      </c>
      <c r="L255">
        <v>1354</v>
      </c>
      <c r="N255">
        <v>1010</v>
      </c>
      <c r="O255" t="s">
        <v>164</v>
      </c>
      <c r="P255" t="s">
        <v>164</v>
      </c>
      <c r="Q255">
        <v>1</v>
      </c>
      <c r="X255">
        <v>100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55</v>
      </c>
      <c r="AG255">
        <v>100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ROW(Source!A108)</f>
        <v>108</v>
      </c>
      <c r="B256">
        <v>55918054</v>
      </c>
      <c r="C256">
        <v>55918048</v>
      </c>
      <c r="D256">
        <v>55424290</v>
      </c>
      <c r="E256">
        <v>1081</v>
      </c>
      <c r="F256">
        <v>1</v>
      </c>
      <c r="G256">
        <v>1081</v>
      </c>
      <c r="H256">
        <v>3</v>
      </c>
      <c r="I256" t="s">
        <v>371</v>
      </c>
      <c r="J256" t="s">
        <v>3</v>
      </c>
      <c r="K256" t="s">
        <v>372</v>
      </c>
      <c r="L256">
        <v>1348</v>
      </c>
      <c r="N256">
        <v>1009</v>
      </c>
      <c r="O256" t="s">
        <v>345</v>
      </c>
      <c r="P256" t="s">
        <v>345</v>
      </c>
      <c r="Q256">
        <v>1000</v>
      </c>
      <c r="X256">
        <v>0.03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55</v>
      </c>
      <c r="AG256">
        <v>0.03</v>
      </c>
      <c r="AH256">
        <v>2</v>
      </c>
      <c r="AI256">
        <v>55918054</v>
      </c>
      <c r="AJ256">
        <v>228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ROW(Source!A111)</f>
        <v>111</v>
      </c>
      <c r="B257">
        <v>55918057</v>
      </c>
      <c r="C257">
        <v>55918056</v>
      </c>
      <c r="D257">
        <v>55424304</v>
      </c>
      <c r="E257">
        <v>1081</v>
      </c>
      <c r="F257">
        <v>1</v>
      </c>
      <c r="G257">
        <v>1081</v>
      </c>
      <c r="H257">
        <v>1</v>
      </c>
      <c r="I257" t="s">
        <v>339</v>
      </c>
      <c r="J257" t="s">
        <v>3</v>
      </c>
      <c r="K257" t="s">
        <v>340</v>
      </c>
      <c r="L257">
        <v>1191</v>
      </c>
      <c r="N257">
        <v>1013</v>
      </c>
      <c r="O257" t="s">
        <v>341</v>
      </c>
      <c r="P257" t="s">
        <v>341</v>
      </c>
      <c r="Q257">
        <v>1</v>
      </c>
      <c r="X257">
        <v>18.84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 t="s">
        <v>56</v>
      </c>
      <c r="AG257">
        <v>22.608000000000001</v>
      </c>
      <c r="AH257">
        <v>2</v>
      </c>
      <c r="AI257">
        <v>55918057</v>
      </c>
      <c r="AJ257">
        <v>229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ROW(Source!A111)</f>
        <v>111</v>
      </c>
      <c r="B258">
        <v>55918058</v>
      </c>
      <c r="C258">
        <v>55918056</v>
      </c>
      <c r="D258">
        <v>55490209</v>
      </c>
      <c r="E258">
        <v>1</v>
      </c>
      <c r="F258">
        <v>1</v>
      </c>
      <c r="G258">
        <v>1081</v>
      </c>
      <c r="H258">
        <v>2</v>
      </c>
      <c r="I258" t="s">
        <v>422</v>
      </c>
      <c r="J258" t="s">
        <v>423</v>
      </c>
      <c r="K258" t="s">
        <v>424</v>
      </c>
      <c r="L258">
        <v>1368</v>
      </c>
      <c r="N258">
        <v>1011</v>
      </c>
      <c r="O258" t="s">
        <v>376</v>
      </c>
      <c r="P258" t="s">
        <v>376</v>
      </c>
      <c r="Q258">
        <v>1</v>
      </c>
      <c r="X258">
        <v>0.01</v>
      </c>
      <c r="Y258">
        <v>0</v>
      </c>
      <c r="Z258">
        <v>83.1</v>
      </c>
      <c r="AA258">
        <v>12.62</v>
      </c>
      <c r="AB258">
        <v>0</v>
      </c>
      <c r="AC258">
        <v>0</v>
      </c>
      <c r="AD258">
        <v>1</v>
      </c>
      <c r="AE258">
        <v>0</v>
      </c>
      <c r="AF258" t="s">
        <v>56</v>
      </c>
      <c r="AG258">
        <v>1.2E-2</v>
      </c>
      <c r="AH258">
        <v>2</v>
      </c>
      <c r="AI258">
        <v>55918058</v>
      </c>
      <c r="AJ258">
        <v>230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ROW(Source!A111)</f>
        <v>111</v>
      </c>
      <c r="B259">
        <v>55918059</v>
      </c>
      <c r="C259">
        <v>55918056</v>
      </c>
      <c r="D259">
        <v>55434107</v>
      </c>
      <c r="E259">
        <v>1081</v>
      </c>
      <c r="F259">
        <v>1</v>
      </c>
      <c r="G259">
        <v>1081</v>
      </c>
      <c r="H259">
        <v>3</v>
      </c>
      <c r="I259" t="s">
        <v>486</v>
      </c>
      <c r="J259" t="s">
        <v>3</v>
      </c>
      <c r="K259" t="s">
        <v>487</v>
      </c>
      <c r="L259">
        <v>1354</v>
      </c>
      <c r="N259">
        <v>1010</v>
      </c>
      <c r="O259" t="s">
        <v>164</v>
      </c>
      <c r="P259" t="s">
        <v>164</v>
      </c>
      <c r="Q259">
        <v>1</v>
      </c>
      <c r="X259">
        <v>102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55</v>
      </c>
      <c r="AG259">
        <v>102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ROW(Source!A112)</f>
        <v>112</v>
      </c>
      <c r="B260">
        <v>55918057</v>
      </c>
      <c r="C260">
        <v>55918056</v>
      </c>
      <c r="D260">
        <v>55424304</v>
      </c>
      <c r="E260">
        <v>1081</v>
      </c>
      <c r="F260">
        <v>1</v>
      </c>
      <c r="G260">
        <v>1081</v>
      </c>
      <c r="H260">
        <v>1</v>
      </c>
      <c r="I260" t="s">
        <v>339</v>
      </c>
      <c r="J260" t="s">
        <v>3</v>
      </c>
      <c r="K260" t="s">
        <v>340</v>
      </c>
      <c r="L260">
        <v>1191</v>
      </c>
      <c r="N260">
        <v>1013</v>
      </c>
      <c r="O260" t="s">
        <v>341</v>
      </c>
      <c r="P260" t="s">
        <v>341</v>
      </c>
      <c r="Q260">
        <v>1</v>
      </c>
      <c r="X260">
        <v>18.84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 t="s">
        <v>56</v>
      </c>
      <c r="AG260">
        <v>22.608000000000001</v>
      </c>
      <c r="AH260">
        <v>2</v>
      </c>
      <c r="AI260">
        <v>55918057</v>
      </c>
      <c r="AJ260">
        <v>232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ROW(Source!A112)</f>
        <v>112</v>
      </c>
      <c r="B261">
        <v>55918058</v>
      </c>
      <c r="C261">
        <v>55918056</v>
      </c>
      <c r="D261">
        <v>55490209</v>
      </c>
      <c r="E261">
        <v>1</v>
      </c>
      <c r="F261">
        <v>1</v>
      </c>
      <c r="G261">
        <v>1081</v>
      </c>
      <c r="H261">
        <v>2</v>
      </c>
      <c r="I261" t="s">
        <v>422</v>
      </c>
      <c r="J261" t="s">
        <v>423</v>
      </c>
      <c r="K261" t="s">
        <v>424</v>
      </c>
      <c r="L261">
        <v>1368</v>
      </c>
      <c r="N261">
        <v>1011</v>
      </c>
      <c r="O261" t="s">
        <v>376</v>
      </c>
      <c r="P261" t="s">
        <v>376</v>
      </c>
      <c r="Q261">
        <v>1</v>
      </c>
      <c r="X261">
        <v>0.01</v>
      </c>
      <c r="Y261">
        <v>0</v>
      </c>
      <c r="Z261">
        <v>83.1</v>
      </c>
      <c r="AA261">
        <v>12.62</v>
      </c>
      <c r="AB261">
        <v>0</v>
      </c>
      <c r="AC261">
        <v>0</v>
      </c>
      <c r="AD261">
        <v>1</v>
      </c>
      <c r="AE261">
        <v>0</v>
      </c>
      <c r="AF261" t="s">
        <v>56</v>
      </c>
      <c r="AG261">
        <v>1.2E-2</v>
      </c>
      <c r="AH261">
        <v>2</v>
      </c>
      <c r="AI261">
        <v>55918058</v>
      </c>
      <c r="AJ261">
        <v>233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ROW(Source!A112)</f>
        <v>112</v>
      </c>
      <c r="B262">
        <v>55918059</v>
      </c>
      <c r="C262">
        <v>55918056</v>
      </c>
      <c r="D262">
        <v>55434107</v>
      </c>
      <c r="E262">
        <v>1081</v>
      </c>
      <c r="F262">
        <v>1</v>
      </c>
      <c r="G262">
        <v>1081</v>
      </c>
      <c r="H262">
        <v>3</v>
      </c>
      <c r="I262" t="s">
        <v>486</v>
      </c>
      <c r="J262" t="s">
        <v>3</v>
      </c>
      <c r="K262" t="s">
        <v>487</v>
      </c>
      <c r="L262">
        <v>1354</v>
      </c>
      <c r="N262">
        <v>1010</v>
      </c>
      <c r="O262" t="s">
        <v>164</v>
      </c>
      <c r="P262" t="s">
        <v>164</v>
      </c>
      <c r="Q262">
        <v>1</v>
      </c>
      <c r="X262">
        <v>102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55</v>
      </c>
      <c r="AG262">
        <v>102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ROW(Source!A115)</f>
        <v>115</v>
      </c>
      <c r="B263">
        <v>55918112</v>
      </c>
      <c r="C263">
        <v>55918111</v>
      </c>
      <c r="D263">
        <v>55424304</v>
      </c>
      <c r="E263">
        <v>1081</v>
      </c>
      <c r="F263">
        <v>1</v>
      </c>
      <c r="G263">
        <v>1081</v>
      </c>
      <c r="H263">
        <v>1</v>
      </c>
      <c r="I263" t="s">
        <v>339</v>
      </c>
      <c r="J263" t="s">
        <v>3</v>
      </c>
      <c r="K263" t="s">
        <v>340</v>
      </c>
      <c r="L263">
        <v>1191</v>
      </c>
      <c r="N263">
        <v>1013</v>
      </c>
      <c r="O263" t="s">
        <v>341</v>
      </c>
      <c r="P263" t="s">
        <v>341</v>
      </c>
      <c r="Q263">
        <v>1</v>
      </c>
      <c r="X263">
        <v>1.03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 t="s">
        <v>56</v>
      </c>
      <c r="AG263">
        <v>1.236</v>
      </c>
      <c r="AH263">
        <v>2</v>
      </c>
      <c r="AI263">
        <v>55918112</v>
      </c>
      <c r="AJ263">
        <v>235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ROW(Source!A115)</f>
        <v>115</v>
      </c>
      <c r="B264">
        <v>55918113</v>
      </c>
      <c r="C264">
        <v>55918111</v>
      </c>
      <c r="D264">
        <v>55490209</v>
      </c>
      <c r="E264">
        <v>1</v>
      </c>
      <c r="F264">
        <v>1</v>
      </c>
      <c r="G264">
        <v>1081</v>
      </c>
      <c r="H264">
        <v>2</v>
      </c>
      <c r="I264" t="s">
        <v>422</v>
      </c>
      <c r="J264" t="s">
        <v>423</v>
      </c>
      <c r="K264" t="s">
        <v>424</v>
      </c>
      <c r="L264">
        <v>1368</v>
      </c>
      <c r="N264">
        <v>1011</v>
      </c>
      <c r="O264" t="s">
        <v>376</v>
      </c>
      <c r="P264" t="s">
        <v>376</v>
      </c>
      <c r="Q264">
        <v>1</v>
      </c>
      <c r="X264">
        <v>0.16</v>
      </c>
      <c r="Y264">
        <v>0</v>
      </c>
      <c r="Z264">
        <v>83.1</v>
      </c>
      <c r="AA264">
        <v>12.62</v>
      </c>
      <c r="AB264">
        <v>0</v>
      </c>
      <c r="AC264">
        <v>0</v>
      </c>
      <c r="AD264">
        <v>1</v>
      </c>
      <c r="AE264">
        <v>0</v>
      </c>
      <c r="AF264" t="s">
        <v>56</v>
      </c>
      <c r="AG264">
        <v>0.192</v>
      </c>
      <c r="AH264">
        <v>2</v>
      </c>
      <c r="AI264">
        <v>55918113</v>
      </c>
      <c r="AJ264">
        <v>236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ROW(Source!A115)</f>
        <v>115</v>
      </c>
      <c r="B265">
        <v>55918114</v>
      </c>
      <c r="C265">
        <v>55918111</v>
      </c>
      <c r="D265">
        <v>55440934</v>
      </c>
      <c r="E265">
        <v>1081</v>
      </c>
      <c r="F265">
        <v>1</v>
      </c>
      <c r="G265">
        <v>1081</v>
      </c>
      <c r="H265">
        <v>3</v>
      </c>
      <c r="I265" t="s">
        <v>482</v>
      </c>
      <c r="J265" t="s">
        <v>3</v>
      </c>
      <c r="K265" t="s">
        <v>483</v>
      </c>
      <c r="L265">
        <v>1354</v>
      </c>
      <c r="N265">
        <v>1010</v>
      </c>
      <c r="O265" t="s">
        <v>164</v>
      </c>
      <c r="P265" t="s">
        <v>164</v>
      </c>
      <c r="Q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55</v>
      </c>
      <c r="AG265">
        <v>1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ROW(Source!A116)</f>
        <v>116</v>
      </c>
      <c r="B266">
        <v>55918112</v>
      </c>
      <c r="C266">
        <v>55918111</v>
      </c>
      <c r="D266">
        <v>55424304</v>
      </c>
      <c r="E266">
        <v>1081</v>
      </c>
      <c r="F266">
        <v>1</v>
      </c>
      <c r="G266">
        <v>1081</v>
      </c>
      <c r="H266">
        <v>1</v>
      </c>
      <c r="I266" t="s">
        <v>339</v>
      </c>
      <c r="J266" t="s">
        <v>3</v>
      </c>
      <c r="K266" t="s">
        <v>340</v>
      </c>
      <c r="L266">
        <v>1191</v>
      </c>
      <c r="N266">
        <v>1013</v>
      </c>
      <c r="O266" t="s">
        <v>341</v>
      </c>
      <c r="P266" t="s">
        <v>341</v>
      </c>
      <c r="Q266">
        <v>1</v>
      </c>
      <c r="X266">
        <v>1.03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 t="s">
        <v>56</v>
      </c>
      <c r="AG266">
        <v>1.236</v>
      </c>
      <c r="AH266">
        <v>2</v>
      </c>
      <c r="AI266">
        <v>55918112</v>
      </c>
      <c r="AJ266">
        <v>237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ROW(Source!A116)</f>
        <v>116</v>
      </c>
      <c r="B267">
        <v>55918113</v>
      </c>
      <c r="C267">
        <v>55918111</v>
      </c>
      <c r="D267">
        <v>55490209</v>
      </c>
      <c r="E267">
        <v>1</v>
      </c>
      <c r="F267">
        <v>1</v>
      </c>
      <c r="G267">
        <v>1081</v>
      </c>
      <c r="H267">
        <v>2</v>
      </c>
      <c r="I267" t="s">
        <v>422</v>
      </c>
      <c r="J267" t="s">
        <v>423</v>
      </c>
      <c r="K267" t="s">
        <v>424</v>
      </c>
      <c r="L267">
        <v>1368</v>
      </c>
      <c r="N267">
        <v>1011</v>
      </c>
      <c r="O267" t="s">
        <v>376</v>
      </c>
      <c r="P267" t="s">
        <v>376</v>
      </c>
      <c r="Q267">
        <v>1</v>
      </c>
      <c r="X267">
        <v>0.16</v>
      </c>
      <c r="Y267">
        <v>0</v>
      </c>
      <c r="Z267">
        <v>83.1</v>
      </c>
      <c r="AA267">
        <v>12.62</v>
      </c>
      <c r="AB267">
        <v>0</v>
      </c>
      <c r="AC267">
        <v>0</v>
      </c>
      <c r="AD267">
        <v>1</v>
      </c>
      <c r="AE267">
        <v>0</v>
      </c>
      <c r="AF267" t="s">
        <v>56</v>
      </c>
      <c r="AG267">
        <v>0.192</v>
      </c>
      <c r="AH267">
        <v>2</v>
      </c>
      <c r="AI267">
        <v>55918113</v>
      </c>
      <c r="AJ267">
        <v>238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ROW(Source!A116)</f>
        <v>116</v>
      </c>
      <c r="B268">
        <v>55918114</v>
      </c>
      <c r="C268">
        <v>55918111</v>
      </c>
      <c r="D268">
        <v>55440934</v>
      </c>
      <c r="E268">
        <v>1081</v>
      </c>
      <c r="F268">
        <v>1</v>
      </c>
      <c r="G268">
        <v>1081</v>
      </c>
      <c r="H268">
        <v>3</v>
      </c>
      <c r="I268" t="s">
        <v>482</v>
      </c>
      <c r="J268" t="s">
        <v>3</v>
      </c>
      <c r="K268" t="s">
        <v>483</v>
      </c>
      <c r="L268">
        <v>1354</v>
      </c>
      <c r="N268">
        <v>1010</v>
      </c>
      <c r="O268" t="s">
        <v>164</v>
      </c>
      <c r="P268" t="s">
        <v>164</v>
      </c>
      <c r="Q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55</v>
      </c>
      <c r="AG268">
        <v>1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ROW(Source!A154)</f>
        <v>154</v>
      </c>
      <c r="B269">
        <v>55918183</v>
      </c>
      <c r="C269">
        <v>55918182</v>
      </c>
      <c r="D269">
        <v>55424304</v>
      </c>
      <c r="E269">
        <v>1081</v>
      </c>
      <c r="F269">
        <v>1</v>
      </c>
      <c r="G269">
        <v>1081</v>
      </c>
      <c r="H269">
        <v>1</v>
      </c>
      <c r="I269" t="s">
        <v>339</v>
      </c>
      <c r="J269" t="s">
        <v>3</v>
      </c>
      <c r="K269" t="s">
        <v>340</v>
      </c>
      <c r="L269">
        <v>1191</v>
      </c>
      <c r="N269">
        <v>1013</v>
      </c>
      <c r="O269" t="s">
        <v>341</v>
      </c>
      <c r="P269" t="s">
        <v>341</v>
      </c>
      <c r="Q269">
        <v>1</v>
      </c>
      <c r="X269">
        <v>33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56</v>
      </c>
      <c r="AG269">
        <v>39.6</v>
      </c>
      <c r="AH269">
        <v>2</v>
      </c>
      <c r="AI269">
        <v>55918183</v>
      </c>
      <c r="AJ269">
        <v>239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ROW(Source!A154)</f>
        <v>154</v>
      </c>
      <c r="B270">
        <v>55918184</v>
      </c>
      <c r="C270">
        <v>55918182</v>
      </c>
      <c r="D270">
        <v>55460546</v>
      </c>
      <c r="E270">
        <v>1</v>
      </c>
      <c r="F270">
        <v>1</v>
      </c>
      <c r="G270">
        <v>1081</v>
      </c>
      <c r="H270">
        <v>3</v>
      </c>
      <c r="I270" t="s">
        <v>425</v>
      </c>
      <c r="J270" t="s">
        <v>426</v>
      </c>
      <c r="K270" t="s">
        <v>427</v>
      </c>
      <c r="L270">
        <v>1255</v>
      </c>
      <c r="N270">
        <v>1013</v>
      </c>
      <c r="O270" t="s">
        <v>428</v>
      </c>
      <c r="P270" t="s">
        <v>428</v>
      </c>
      <c r="Q270">
        <v>1</v>
      </c>
      <c r="X270">
        <v>1.1000000000000001</v>
      </c>
      <c r="Y270">
        <v>0.42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55</v>
      </c>
      <c r="AG270">
        <v>1.1000000000000001</v>
      </c>
      <c r="AH270">
        <v>2</v>
      </c>
      <c r="AI270">
        <v>55918184</v>
      </c>
      <c r="AJ270">
        <v>240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ROW(Source!A154)</f>
        <v>154</v>
      </c>
      <c r="B271">
        <v>55918185</v>
      </c>
      <c r="C271">
        <v>55918182</v>
      </c>
      <c r="D271">
        <v>55459792</v>
      </c>
      <c r="E271">
        <v>1</v>
      </c>
      <c r="F271">
        <v>1</v>
      </c>
      <c r="G271">
        <v>1081</v>
      </c>
      <c r="H271">
        <v>3</v>
      </c>
      <c r="I271" t="s">
        <v>429</v>
      </c>
      <c r="J271" t="s">
        <v>430</v>
      </c>
      <c r="K271" t="s">
        <v>431</v>
      </c>
      <c r="L271">
        <v>1348</v>
      </c>
      <c r="N271">
        <v>1009</v>
      </c>
      <c r="O271" t="s">
        <v>345</v>
      </c>
      <c r="P271" t="s">
        <v>345</v>
      </c>
      <c r="Q271">
        <v>1000</v>
      </c>
      <c r="X271">
        <v>1.9000000000000001E-4</v>
      </c>
      <c r="Y271">
        <v>60960.43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55</v>
      </c>
      <c r="AG271">
        <v>1.9000000000000001E-4</v>
      </c>
      <c r="AH271">
        <v>2</v>
      </c>
      <c r="AI271">
        <v>55918185</v>
      </c>
      <c r="AJ271">
        <v>241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ROW(Source!A154)</f>
        <v>154</v>
      </c>
      <c r="B272">
        <v>55918186</v>
      </c>
      <c r="C272">
        <v>55918182</v>
      </c>
      <c r="D272">
        <v>55466338</v>
      </c>
      <c r="E272">
        <v>1</v>
      </c>
      <c r="F272">
        <v>1</v>
      </c>
      <c r="G272">
        <v>1081</v>
      </c>
      <c r="H272">
        <v>3</v>
      </c>
      <c r="I272" t="s">
        <v>364</v>
      </c>
      <c r="J272" t="s">
        <v>365</v>
      </c>
      <c r="K272" t="s">
        <v>366</v>
      </c>
      <c r="L272">
        <v>1349</v>
      </c>
      <c r="N272">
        <v>1009</v>
      </c>
      <c r="O272" t="s">
        <v>367</v>
      </c>
      <c r="P272" t="s">
        <v>367</v>
      </c>
      <c r="Q272">
        <v>1E-3</v>
      </c>
      <c r="X272">
        <v>20</v>
      </c>
      <c r="Y272">
        <v>7.0000000000000007E-2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55</v>
      </c>
      <c r="AG272">
        <v>20</v>
      </c>
      <c r="AH272">
        <v>2</v>
      </c>
      <c r="AI272">
        <v>55918186</v>
      </c>
      <c r="AJ272">
        <v>242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ROW(Source!A154)</f>
        <v>154</v>
      </c>
      <c r="B273">
        <v>55918187</v>
      </c>
      <c r="C273">
        <v>55918182</v>
      </c>
      <c r="D273">
        <v>55482203</v>
      </c>
      <c r="E273">
        <v>1</v>
      </c>
      <c r="F273">
        <v>1</v>
      </c>
      <c r="G273">
        <v>1081</v>
      </c>
      <c r="H273">
        <v>3</v>
      </c>
      <c r="I273" t="s">
        <v>432</v>
      </c>
      <c r="J273" t="s">
        <v>433</v>
      </c>
      <c r="K273" t="s">
        <v>434</v>
      </c>
      <c r="L273">
        <v>1356</v>
      </c>
      <c r="N273">
        <v>1010</v>
      </c>
      <c r="O273" t="s">
        <v>409</v>
      </c>
      <c r="P273" t="s">
        <v>409</v>
      </c>
      <c r="Q273">
        <v>1000</v>
      </c>
      <c r="X273">
        <v>0.04</v>
      </c>
      <c r="Y273">
        <v>226.66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55</v>
      </c>
      <c r="AG273">
        <v>0.04</v>
      </c>
      <c r="AH273">
        <v>2</v>
      </c>
      <c r="AI273">
        <v>55918187</v>
      </c>
      <c r="AJ273">
        <v>243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ROW(Source!A154)</f>
        <v>154</v>
      </c>
      <c r="B274">
        <v>55918188</v>
      </c>
      <c r="C274">
        <v>55918182</v>
      </c>
      <c r="D274">
        <v>55482233</v>
      </c>
      <c r="E274">
        <v>1</v>
      </c>
      <c r="F274">
        <v>1</v>
      </c>
      <c r="G274">
        <v>1081</v>
      </c>
      <c r="H274">
        <v>3</v>
      </c>
      <c r="I274" t="s">
        <v>368</v>
      </c>
      <c r="J274" t="s">
        <v>369</v>
      </c>
      <c r="K274" t="s">
        <v>370</v>
      </c>
      <c r="L274">
        <v>1346</v>
      </c>
      <c r="N274">
        <v>1009</v>
      </c>
      <c r="O274" t="s">
        <v>316</v>
      </c>
      <c r="P274" t="s">
        <v>316</v>
      </c>
      <c r="Q274">
        <v>1</v>
      </c>
      <c r="X274">
        <v>0.11</v>
      </c>
      <c r="Y274">
        <v>493.08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55</v>
      </c>
      <c r="AG274">
        <v>0.11</v>
      </c>
      <c r="AH274">
        <v>2</v>
      </c>
      <c r="AI274">
        <v>55918188</v>
      </c>
      <c r="AJ274">
        <v>244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ROW(Source!A154)</f>
        <v>154</v>
      </c>
      <c r="B275">
        <v>55918189</v>
      </c>
      <c r="C275">
        <v>55918182</v>
      </c>
      <c r="D275">
        <v>55455593</v>
      </c>
      <c r="E275">
        <v>1081</v>
      </c>
      <c r="F275">
        <v>1</v>
      </c>
      <c r="G275">
        <v>1081</v>
      </c>
      <c r="H275">
        <v>3</v>
      </c>
      <c r="I275" t="s">
        <v>484</v>
      </c>
      <c r="J275" t="s">
        <v>3</v>
      </c>
      <c r="K275" t="s">
        <v>485</v>
      </c>
      <c r="L275">
        <v>1354</v>
      </c>
      <c r="N275">
        <v>1010</v>
      </c>
      <c r="O275" t="s">
        <v>164</v>
      </c>
      <c r="P275" t="s">
        <v>164</v>
      </c>
      <c r="Q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55</v>
      </c>
      <c r="AG275">
        <v>1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ROW(Source!A154)</f>
        <v>154</v>
      </c>
      <c r="B276">
        <v>55918190</v>
      </c>
      <c r="C276">
        <v>55918182</v>
      </c>
      <c r="D276">
        <v>55424290</v>
      </c>
      <c r="E276">
        <v>1081</v>
      </c>
      <c r="F276">
        <v>1</v>
      </c>
      <c r="G276">
        <v>1081</v>
      </c>
      <c r="H276">
        <v>3</v>
      </c>
      <c r="I276" t="s">
        <v>371</v>
      </c>
      <c r="J276" t="s">
        <v>3</v>
      </c>
      <c r="K276" t="s">
        <v>372</v>
      </c>
      <c r="L276">
        <v>1348</v>
      </c>
      <c r="N276">
        <v>1009</v>
      </c>
      <c r="O276" t="s">
        <v>345</v>
      </c>
      <c r="P276" t="s">
        <v>345</v>
      </c>
      <c r="Q276">
        <v>1000</v>
      </c>
      <c r="X276">
        <v>7.4999999999999997E-2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55</v>
      </c>
      <c r="AG276">
        <v>7.4999999999999997E-2</v>
      </c>
      <c r="AH276">
        <v>2</v>
      </c>
      <c r="AI276">
        <v>55918190</v>
      </c>
      <c r="AJ276">
        <v>245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ROW(Source!A155)</f>
        <v>155</v>
      </c>
      <c r="B277">
        <v>55918183</v>
      </c>
      <c r="C277">
        <v>55918182</v>
      </c>
      <c r="D277">
        <v>55424304</v>
      </c>
      <c r="E277">
        <v>1081</v>
      </c>
      <c r="F277">
        <v>1</v>
      </c>
      <c r="G277">
        <v>1081</v>
      </c>
      <c r="H277">
        <v>1</v>
      </c>
      <c r="I277" t="s">
        <v>339</v>
      </c>
      <c r="J277" t="s">
        <v>3</v>
      </c>
      <c r="K277" t="s">
        <v>340</v>
      </c>
      <c r="L277">
        <v>1191</v>
      </c>
      <c r="N277">
        <v>1013</v>
      </c>
      <c r="O277" t="s">
        <v>341</v>
      </c>
      <c r="P277" t="s">
        <v>341</v>
      </c>
      <c r="Q277">
        <v>1</v>
      </c>
      <c r="X277">
        <v>33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 t="s">
        <v>56</v>
      </c>
      <c r="AG277">
        <v>39.6</v>
      </c>
      <c r="AH277">
        <v>2</v>
      </c>
      <c r="AI277">
        <v>55918183</v>
      </c>
      <c r="AJ277">
        <v>246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ROW(Source!A155)</f>
        <v>155</v>
      </c>
      <c r="B278">
        <v>55918184</v>
      </c>
      <c r="C278">
        <v>55918182</v>
      </c>
      <c r="D278">
        <v>55460546</v>
      </c>
      <c r="E278">
        <v>1</v>
      </c>
      <c r="F278">
        <v>1</v>
      </c>
      <c r="G278">
        <v>1081</v>
      </c>
      <c r="H278">
        <v>3</v>
      </c>
      <c r="I278" t="s">
        <v>425</v>
      </c>
      <c r="J278" t="s">
        <v>426</v>
      </c>
      <c r="K278" t="s">
        <v>427</v>
      </c>
      <c r="L278">
        <v>1255</v>
      </c>
      <c r="N278">
        <v>1013</v>
      </c>
      <c r="O278" t="s">
        <v>428</v>
      </c>
      <c r="P278" t="s">
        <v>428</v>
      </c>
      <c r="Q278">
        <v>1</v>
      </c>
      <c r="X278">
        <v>1.1000000000000001</v>
      </c>
      <c r="Y278">
        <v>0.42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55</v>
      </c>
      <c r="AG278">
        <v>1.1000000000000001</v>
      </c>
      <c r="AH278">
        <v>2</v>
      </c>
      <c r="AI278">
        <v>55918184</v>
      </c>
      <c r="AJ278">
        <v>247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ROW(Source!A155)</f>
        <v>155</v>
      </c>
      <c r="B279">
        <v>55918185</v>
      </c>
      <c r="C279">
        <v>55918182</v>
      </c>
      <c r="D279">
        <v>55459792</v>
      </c>
      <c r="E279">
        <v>1</v>
      </c>
      <c r="F279">
        <v>1</v>
      </c>
      <c r="G279">
        <v>1081</v>
      </c>
      <c r="H279">
        <v>3</v>
      </c>
      <c r="I279" t="s">
        <v>429</v>
      </c>
      <c r="J279" t="s">
        <v>430</v>
      </c>
      <c r="K279" t="s">
        <v>431</v>
      </c>
      <c r="L279">
        <v>1348</v>
      </c>
      <c r="N279">
        <v>1009</v>
      </c>
      <c r="O279" t="s">
        <v>345</v>
      </c>
      <c r="P279" t="s">
        <v>345</v>
      </c>
      <c r="Q279">
        <v>1000</v>
      </c>
      <c r="X279">
        <v>1.9000000000000001E-4</v>
      </c>
      <c r="Y279">
        <v>60960.43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55</v>
      </c>
      <c r="AG279">
        <v>1.9000000000000001E-4</v>
      </c>
      <c r="AH279">
        <v>2</v>
      </c>
      <c r="AI279">
        <v>55918185</v>
      </c>
      <c r="AJ279">
        <v>248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ROW(Source!A155)</f>
        <v>155</v>
      </c>
      <c r="B280">
        <v>55918186</v>
      </c>
      <c r="C280">
        <v>55918182</v>
      </c>
      <c r="D280">
        <v>55466338</v>
      </c>
      <c r="E280">
        <v>1</v>
      </c>
      <c r="F280">
        <v>1</v>
      </c>
      <c r="G280">
        <v>1081</v>
      </c>
      <c r="H280">
        <v>3</v>
      </c>
      <c r="I280" t="s">
        <v>364</v>
      </c>
      <c r="J280" t="s">
        <v>365</v>
      </c>
      <c r="K280" t="s">
        <v>366</v>
      </c>
      <c r="L280">
        <v>1349</v>
      </c>
      <c r="N280">
        <v>1009</v>
      </c>
      <c r="O280" t="s">
        <v>367</v>
      </c>
      <c r="P280" t="s">
        <v>367</v>
      </c>
      <c r="Q280">
        <v>1E-3</v>
      </c>
      <c r="X280">
        <v>20</v>
      </c>
      <c r="Y280">
        <v>7.0000000000000007E-2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55</v>
      </c>
      <c r="AG280">
        <v>20</v>
      </c>
      <c r="AH280">
        <v>2</v>
      </c>
      <c r="AI280">
        <v>55918186</v>
      </c>
      <c r="AJ280">
        <v>249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ROW(Source!A155)</f>
        <v>155</v>
      </c>
      <c r="B281">
        <v>55918187</v>
      </c>
      <c r="C281">
        <v>55918182</v>
      </c>
      <c r="D281">
        <v>55482203</v>
      </c>
      <c r="E281">
        <v>1</v>
      </c>
      <c r="F281">
        <v>1</v>
      </c>
      <c r="G281">
        <v>1081</v>
      </c>
      <c r="H281">
        <v>3</v>
      </c>
      <c r="I281" t="s">
        <v>432</v>
      </c>
      <c r="J281" t="s">
        <v>433</v>
      </c>
      <c r="K281" t="s">
        <v>434</v>
      </c>
      <c r="L281">
        <v>1356</v>
      </c>
      <c r="N281">
        <v>1010</v>
      </c>
      <c r="O281" t="s">
        <v>409</v>
      </c>
      <c r="P281" t="s">
        <v>409</v>
      </c>
      <c r="Q281">
        <v>1000</v>
      </c>
      <c r="X281">
        <v>0.04</v>
      </c>
      <c r="Y281">
        <v>226.66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55</v>
      </c>
      <c r="AG281">
        <v>0.04</v>
      </c>
      <c r="AH281">
        <v>2</v>
      </c>
      <c r="AI281">
        <v>55918187</v>
      </c>
      <c r="AJ281">
        <v>250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ROW(Source!A155)</f>
        <v>155</v>
      </c>
      <c r="B282">
        <v>55918188</v>
      </c>
      <c r="C282">
        <v>55918182</v>
      </c>
      <c r="D282">
        <v>55482233</v>
      </c>
      <c r="E282">
        <v>1</v>
      </c>
      <c r="F282">
        <v>1</v>
      </c>
      <c r="G282">
        <v>1081</v>
      </c>
      <c r="H282">
        <v>3</v>
      </c>
      <c r="I282" t="s">
        <v>368</v>
      </c>
      <c r="J282" t="s">
        <v>369</v>
      </c>
      <c r="K282" t="s">
        <v>370</v>
      </c>
      <c r="L282">
        <v>1346</v>
      </c>
      <c r="N282">
        <v>1009</v>
      </c>
      <c r="O282" t="s">
        <v>316</v>
      </c>
      <c r="P282" t="s">
        <v>316</v>
      </c>
      <c r="Q282">
        <v>1</v>
      </c>
      <c r="X282">
        <v>0.11</v>
      </c>
      <c r="Y282">
        <v>493.08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55</v>
      </c>
      <c r="AG282">
        <v>0.11</v>
      </c>
      <c r="AH282">
        <v>2</v>
      </c>
      <c r="AI282">
        <v>55918188</v>
      </c>
      <c r="AJ282">
        <v>251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ROW(Source!A155)</f>
        <v>155</v>
      </c>
      <c r="B283">
        <v>55918189</v>
      </c>
      <c r="C283">
        <v>55918182</v>
      </c>
      <c r="D283">
        <v>55455593</v>
      </c>
      <c r="E283">
        <v>1081</v>
      </c>
      <c r="F283">
        <v>1</v>
      </c>
      <c r="G283">
        <v>1081</v>
      </c>
      <c r="H283">
        <v>3</v>
      </c>
      <c r="I283" t="s">
        <v>484</v>
      </c>
      <c r="J283" t="s">
        <v>3</v>
      </c>
      <c r="K283" t="s">
        <v>485</v>
      </c>
      <c r="L283">
        <v>1354</v>
      </c>
      <c r="N283">
        <v>1010</v>
      </c>
      <c r="O283" t="s">
        <v>164</v>
      </c>
      <c r="P283" t="s">
        <v>164</v>
      </c>
      <c r="Q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55</v>
      </c>
      <c r="AG283">
        <v>1</v>
      </c>
      <c r="AH283">
        <v>3</v>
      </c>
      <c r="AI283">
        <v>-1</v>
      </c>
      <c r="AJ283" t="s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ROW(Source!A155)</f>
        <v>155</v>
      </c>
      <c r="B284">
        <v>55918190</v>
      </c>
      <c r="C284">
        <v>55918182</v>
      </c>
      <c r="D284">
        <v>55424290</v>
      </c>
      <c r="E284">
        <v>1081</v>
      </c>
      <c r="F284">
        <v>1</v>
      </c>
      <c r="G284">
        <v>1081</v>
      </c>
      <c r="H284">
        <v>3</v>
      </c>
      <c r="I284" t="s">
        <v>371</v>
      </c>
      <c r="J284" t="s">
        <v>3</v>
      </c>
      <c r="K284" t="s">
        <v>372</v>
      </c>
      <c r="L284">
        <v>1348</v>
      </c>
      <c r="N284">
        <v>1009</v>
      </c>
      <c r="O284" t="s">
        <v>345</v>
      </c>
      <c r="P284" t="s">
        <v>345</v>
      </c>
      <c r="Q284">
        <v>1000</v>
      </c>
      <c r="X284">
        <v>7.4999999999999997E-2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55</v>
      </c>
      <c r="AG284">
        <v>7.4999999999999997E-2</v>
      </c>
      <c r="AH284">
        <v>2</v>
      </c>
      <c r="AI284">
        <v>55918190</v>
      </c>
      <c r="AJ284">
        <v>252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ROW(Source!A158)</f>
        <v>158</v>
      </c>
      <c r="B285">
        <v>55918200</v>
      </c>
      <c r="C285">
        <v>55918199</v>
      </c>
      <c r="D285">
        <v>55424304</v>
      </c>
      <c r="E285">
        <v>1081</v>
      </c>
      <c r="F285">
        <v>1</v>
      </c>
      <c r="G285">
        <v>1081</v>
      </c>
      <c r="H285">
        <v>1</v>
      </c>
      <c r="I285" t="s">
        <v>339</v>
      </c>
      <c r="J285" t="s">
        <v>3</v>
      </c>
      <c r="K285" t="s">
        <v>340</v>
      </c>
      <c r="L285">
        <v>1191</v>
      </c>
      <c r="N285">
        <v>1013</v>
      </c>
      <c r="O285" t="s">
        <v>341</v>
      </c>
      <c r="P285" t="s">
        <v>341</v>
      </c>
      <c r="Q285">
        <v>1</v>
      </c>
      <c r="X285">
        <v>10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 t="s">
        <v>56</v>
      </c>
      <c r="AG285">
        <v>12</v>
      </c>
      <c r="AH285">
        <v>2</v>
      </c>
      <c r="AI285">
        <v>55918200</v>
      </c>
      <c r="AJ285">
        <v>253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ROW(Source!A158)</f>
        <v>158</v>
      </c>
      <c r="B286">
        <v>55918201</v>
      </c>
      <c r="C286">
        <v>55918199</v>
      </c>
      <c r="D286">
        <v>55460508</v>
      </c>
      <c r="E286">
        <v>1</v>
      </c>
      <c r="F286">
        <v>1</v>
      </c>
      <c r="G286">
        <v>1081</v>
      </c>
      <c r="H286">
        <v>3</v>
      </c>
      <c r="I286" t="s">
        <v>342</v>
      </c>
      <c r="J286" t="s">
        <v>343</v>
      </c>
      <c r="K286" t="s">
        <v>344</v>
      </c>
      <c r="L286">
        <v>1348</v>
      </c>
      <c r="N286">
        <v>1009</v>
      </c>
      <c r="O286" t="s">
        <v>345</v>
      </c>
      <c r="P286" t="s">
        <v>345</v>
      </c>
      <c r="Q286">
        <v>1000</v>
      </c>
      <c r="X286">
        <v>2.0000000000000001E-4</v>
      </c>
      <c r="Y286">
        <v>12287.39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55</v>
      </c>
      <c r="AG286">
        <v>2.0000000000000001E-4</v>
      </c>
      <c r="AH286">
        <v>2</v>
      </c>
      <c r="AI286">
        <v>55918201</v>
      </c>
      <c r="AJ286">
        <v>254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ROW(Source!A158)</f>
        <v>158</v>
      </c>
      <c r="B287">
        <v>55918202</v>
      </c>
      <c r="C287">
        <v>55918199</v>
      </c>
      <c r="D287">
        <v>55460545</v>
      </c>
      <c r="E287">
        <v>1</v>
      </c>
      <c r="F287">
        <v>1</v>
      </c>
      <c r="G287">
        <v>1081</v>
      </c>
      <c r="H287">
        <v>3</v>
      </c>
      <c r="I287" t="s">
        <v>346</v>
      </c>
      <c r="J287" t="s">
        <v>347</v>
      </c>
      <c r="K287" t="s">
        <v>348</v>
      </c>
      <c r="L287">
        <v>1348</v>
      </c>
      <c r="N287">
        <v>1009</v>
      </c>
      <c r="O287" t="s">
        <v>345</v>
      </c>
      <c r="P287" t="s">
        <v>345</v>
      </c>
      <c r="Q287">
        <v>1000</v>
      </c>
      <c r="X287">
        <v>1.0000000000000001E-5</v>
      </c>
      <c r="Y287">
        <v>3772.37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55</v>
      </c>
      <c r="AG287">
        <v>1.0000000000000001E-5</v>
      </c>
      <c r="AH287">
        <v>2</v>
      </c>
      <c r="AI287">
        <v>55918202</v>
      </c>
      <c r="AJ287">
        <v>255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ROW(Source!A158)</f>
        <v>158</v>
      </c>
      <c r="B288">
        <v>55918203</v>
      </c>
      <c r="C288">
        <v>55918199</v>
      </c>
      <c r="D288">
        <v>55461230</v>
      </c>
      <c r="E288">
        <v>1</v>
      </c>
      <c r="F288">
        <v>1</v>
      </c>
      <c r="G288">
        <v>1081</v>
      </c>
      <c r="H288">
        <v>3</v>
      </c>
      <c r="I288" t="s">
        <v>349</v>
      </c>
      <c r="J288" t="s">
        <v>350</v>
      </c>
      <c r="K288" t="s">
        <v>351</v>
      </c>
      <c r="L288">
        <v>1346</v>
      </c>
      <c r="N288">
        <v>1009</v>
      </c>
      <c r="O288" t="s">
        <v>316</v>
      </c>
      <c r="P288" t="s">
        <v>316</v>
      </c>
      <c r="Q288">
        <v>1</v>
      </c>
      <c r="X288">
        <v>0.02</v>
      </c>
      <c r="Y288">
        <v>15.11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55</v>
      </c>
      <c r="AG288">
        <v>0.02</v>
      </c>
      <c r="AH288">
        <v>2</v>
      </c>
      <c r="AI288">
        <v>55918203</v>
      </c>
      <c r="AJ288">
        <v>256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ROW(Source!A158)</f>
        <v>158</v>
      </c>
      <c r="B289">
        <v>55918204</v>
      </c>
      <c r="C289">
        <v>55918199</v>
      </c>
      <c r="D289">
        <v>55461426</v>
      </c>
      <c r="E289">
        <v>1</v>
      </c>
      <c r="F289">
        <v>1</v>
      </c>
      <c r="G289">
        <v>1081</v>
      </c>
      <c r="H289">
        <v>3</v>
      </c>
      <c r="I289" t="s">
        <v>352</v>
      </c>
      <c r="J289" t="s">
        <v>353</v>
      </c>
      <c r="K289" t="s">
        <v>354</v>
      </c>
      <c r="L289">
        <v>1346</v>
      </c>
      <c r="N289">
        <v>1009</v>
      </c>
      <c r="O289" t="s">
        <v>316</v>
      </c>
      <c r="P289" t="s">
        <v>316</v>
      </c>
      <c r="Q289">
        <v>1</v>
      </c>
      <c r="X289">
        <v>0.5</v>
      </c>
      <c r="Y289">
        <v>35.590000000000003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55</v>
      </c>
      <c r="AG289">
        <v>0.5</v>
      </c>
      <c r="AH289">
        <v>2</v>
      </c>
      <c r="AI289">
        <v>55918204</v>
      </c>
      <c r="AJ289">
        <v>257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ROW(Source!A158)</f>
        <v>158</v>
      </c>
      <c r="B290">
        <v>55918205</v>
      </c>
      <c r="C290">
        <v>55918199</v>
      </c>
      <c r="D290">
        <v>55459400</v>
      </c>
      <c r="E290">
        <v>1</v>
      </c>
      <c r="F290">
        <v>1</v>
      </c>
      <c r="G290">
        <v>1081</v>
      </c>
      <c r="H290">
        <v>3</v>
      </c>
      <c r="I290" t="s">
        <v>355</v>
      </c>
      <c r="J290" t="s">
        <v>356</v>
      </c>
      <c r="K290" t="s">
        <v>357</v>
      </c>
      <c r="L290">
        <v>1346</v>
      </c>
      <c r="N290">
        <v>1009</v>
      </c>
      <c r="O290" t="s">
        <v>316</v>
      </c>
      <c r="P290" t="s">
        <v>316</v>
      </c>
      <c r="Q290">
        <v>1</v>
      </c>
      <c r="X290">
        <v>0.05</v>
      </c>
      <c r="Y290">
        <v>16.690000000000001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55</v>
      </c>
      <c r="AG290">
        <v>0.05</v>
      </c>
      <c r="AH290">
        <v>2</v>
      </c>
      <c r="AI290">
        <v>55918205</v>
      </c>
      <c r="AJ290">
        <v>258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ROW(Source!A158)</f>
        <v>158</v>
      </c>
      <c r="B291">
        <v>55918206</v>
      </c>
      <c r="C291">
        <v>55918199</v>
      </c>
      <c r="D291">
        <v>55459404</v>
      </c>
      <c r="E291">
        <v>1</v>
      </c>
      <c r="F291">
        <v>1</v>
      </c>
      <c r="G291">
        <v>1081</v>
      </c>
      <c r="H291">
        <v>3</v>
      </c>
      <c r="I291" t="s">
        <v>358</v>
      </c>
      <c r="J291" t="s">
        <v>359</v>
      </c>
      <c r="K291" t="s">
        <v>360</v>
      </c>
      <c r="L291">
        <v>1346</v>
      </c>
      <c r="N291">
        <v>1009</v>
      </c>
      <c r="O291" t="s">
        <v>316</v>
      </c>
      <c r="P291" t="s">
        <v>316</v>
      </c>
      <c r="Q291">
        <v>1</v>
      </c>
      <c r="X291">
        <v>0.2</v>
      </c>
      <c r="Y291">
        <v>73.53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55</v>
      </c>
      <c r="AG291">
        <v>0.2</v>
      </c>
      <c r="AH291">
        <v>2</v>
      </c>
      <c r="AI291">
        <v>55918206</v>
      </c>
      <c r="AJ291">
        <v>259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ROW(Source!A158)</f>
        <v>158</v>
      </c>
      <c r="B292">
        <v>55918207</v>
      </c>
      <c r="C292">
        <v>55918199</v>
      </c>
      <c r="D292">
        <v>55459793</v>
      </c>
      <c r="E292">
        <v>1</v>
      </c>
      <c r="F292">
        <v>1</v>
      </c>
      <c r="G292">
        <v>1081</v>
      </c>
      <c r="H292">
        <v>3</v>
      </c>
      <c r="I292" t="s">
        <v>361</v>
      </c>
      <c r="J292" t="s">
        <v>362</v>
      </c>
      <c r="K292" t="s">
        <v>363</v>
      </c>
      <c r="L292">
        <v>1348</v>
      </c>
      <c r="N292">
        <v>1009</v>
      </c>
      <c r="O292" t="s">
        <v>345</v>
      </c>
      <c r="P292" t="s">
        <v>345</v>
      </c>
      <c r="Q292">
        <v>1000</v>
      </c>
      <c r="X292">
        <v>2.0000000000000001E-4</v>
      </c>
      <c r="Y292">
        <v>64123.05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55</v>
      </c>
      <c r="AG292">
        <v>2.0000000000000001E-4</v>
      </c>
      <c r="AH292">
        <v>2</v>
      </c>
      <c r="AI292">
        <v>55918207</v>
      </c>
      <c r="AJ292">
        <v>260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ROW(Source!A158)</f>
        <v>158</v>
      </c>
      <c r="B293">
        <v>55918208</v>
      </c>
      <c r="C293">
        <v>55918199</v>
      </c>
      <c r="D293">
        <v>55466338</v>
      </c>
      <c r="E293">
        <v>1</v>
      </c>
      <c r="F293">
        <v>1</v>
      </c>
      <c r="G293">
        <v>1081</v>
      </c>
      <c r="H293">
        <v>3</v>
      </c>
      <c r="I293" t="s">
        <v>364</v>
      </c>
      <c r="J293" t="s">
        <v>365</v>
      </c>
      <c r="K293" t="s">
        <v>366</v>
      </c>
      <c r="L293">
        <v>1349</v>
      </c>
      <c r="N293">
        <v>1009</v>
      </c>
      <c r="O293" t="s">
        <v>367</v>
      </c>
      <c r="P293" t="s">
        <v>367</v>
      </c>
      <c r="Q293">
        <v>1E-3</v>
      </c>
      <c r="X293">
        <v>100</v>
      </c>
      <c r="Y293">
        <v>7.0000000000000007E-2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55</v>
      </c>
      <c r="AG293">
        <v>100</v>
      </c>
      <c r="AH293">
        <v>2</v>
      </c>
      <c r="AI293">
        <v>55918208</v>
      </c>
      <c r="AJ293">
        <v>261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ROW(Source!A158)</f>
        <v>158</v>
      </c>
      <c r="B294">
        <v>55918209</v>
      </c>
      <c r="C294">
        <v>55918199</v>
      </c>
      <c r="D294">
        <v>55482233</v>
      </c>
      <c r="E294">
        <v>1</v>
      </c>
      <c r="F294">
        <v>1</v>
      </c>
      <c r="G294">
        <v>1081</v>
      </c>
      <c r="H294">
        <v>3</v>
      </c>
      <c r="I294" t="s">
        <v>368</v>
      </c>
      <c r="J294" t="s">
        <v>369</v>
      </c>
      <c r="K294" t="s">
        <v>370</v>
      </c>
      <c r="L294">
        <v>1346</v>
      </c>
      <c r="N294">
        <v>1009</v>
      </c>
      <c r="O294" t="s">
        <v>316</v>
      </c>
      <c r="P294" t="s">
        <v>316</v>
      </c>
      <c r="Q294">
        <v>1</v>
      </c>
      <c r="X294">
        <v>0.04</v>
      </c>
      <c r="Y294">
        <v>493.08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55</v>
      </c>
      <c r="AG294">
        <v>0.04</v>
      </c>
      <c r="AH294">
        <v>2</v>
      </c>
      <c r="AI294">
        <v>55918209</v>
      </c>
      <c r="AJ294">
        <v>262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ROW(Source!A158)</f>
        <v>158</v>
      </c>
      <c r="B295">
        <v>55918210</v>
      </c>
      <c r="C295">
        <v>55918199</v>
      </c>
      <c r="D295">
        <v>55455536</v>
      </c>
      <c r="E295">
        <v>1081</v>
      </c>
      <c r="F295">
        <v>1</v>
      </c>
      <c r="G295">
        <v>1081</v>
      </c>
      <c r="H295">
        <v>3</v>
      </c>
      <c r="I295" t="s">
        <v>471</v>
      </c>
      <c r="J295" t="s">
        <v>3</v>
      </c>
      <c r="K295" t="s">
        <v>472</v>
      </c>
      <c r="L295">
        <v>1391</v>
      </c>
      <c r="N295">
        <v>1013</v>
      </c>
      <c r="O295" t="s">
        <v>473</v>
      </c>
      <c r="P295" t="s">
        <v>473</v>
      </c>
      <c r="Q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55</v>
      </c>
      <c r="AG295">
        <v>1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ROW(Source!A158)</f>
        <v>158</v>
      </c>
      <c r="B296">
        <v>55918211</v>
      </c>
      <c r="C296">
        <v>55918199</v>
      </c>
      <c r="D296">
        <v>55424290</v>
      </c>
      <c r="E296">
        <v>1081</v>
      </c>
      <c r="F296">
        <v>1</v>
      </c>
      <c r="G296">
        <v>1081</v>
      </c>
      <c r="H296">
        <v>3</v>
      </c>
      <c r="I296" t="s">
        <v>371</v>
      </c>
      <c r="J296" t="s">
        <v>3</v>
      </c>
      <c r="K296" t="s">
        <v>372</v>
      </c>
      <c r="L296">
        <v>1348</v>
      </c>
      <c r="N296">
        <v>1009</v>
      </c>
      <c r="O296" t="s">
        <v>345</v>
      </c>
      <c r="P296" t="s">
        <v>345</v>
      </c>
      <c r="Q296">
        <v>1000</v>
      </c>
      <c r="X296">
        <v>1.2E-2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55</v>
      </c>
      <c r="AG296">
        <v>1.2E-2</v>
      </c>
      <c r="AH296">
        <v>2</v>
      </c>
      <c r="AI296">
        <v>55918211</v>
      </c>
      <c r="AJ296">
        <v>263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ROW(Source!A159)</f>
        <v>159</v>
      </c>
      <c r="B297">
        <v>55918200</v>
      </c>
      <c r="C297">
        <v>55918199</v>
      </c>
      <c r="D297">
        <v>55424304</v>
      </c>
      <c r="E297">
        <v>1081</v>
      </c>
      <c r="F297">
        <v>1</v>
      </c>
      <c r="G297">
        <v>1081</v>
      </c>
      <c r="H297">
        <v>1</v>
      </c>
      <c r="I297" t="s">
        <v>339</v>
      </c>
      <c r="J297" t="s">
        <v>3</v>
      </c>
      <c r="K297" t="s">
        <v>340</v>
      </c>
      <c r="L297">
        <v>1191</v>
      </c>
      <c r="N297">
        <v>1013</v>
      </c>
      <c r="O297" t="s">
        <v>341</v>
      </c>
      <c r="P297" t="s">
        <v>341</v>
      </c>
      <c r="Q297">
        <v>1</v>
      </c>
      <c r="X297">
        <v>10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 t="s">
        <v>56</v>
      </c>
      <c r="AG297">
        <v>12</v>
      </c>
      <c r="AH297">
        <v>2</v>
      </c>
      <c r="AI297">
        <v>55918200</v>
      </c>
      <c r="AJ297">
        <v>264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ROW(Source!A159)</f>
        <v>159</v>
      </c>
      <c r="B298">
        <v>55918201</v>
      </c>
      <c r="C298">
        <v>55918199</v>
      </c>
      <c r="D298">
        <v>55460508</v>
      </c>
      <c r="E298">
        <v>1</v>
      </c>
      <c r="F298">
        <v>1</v>
      </c>
      <c r="G298">
        <v>1081</v>
      </c>
      <c r="H298">
        <v>3</v>
      </c>
      <c r="I298" t="s">
        <v>342</v>
      </c>
      <c r="J298" t="s">
        <v>343</v>
      </c>
      <c r="K298" t="s">
        <v>344</v>
      </c>
      <c r="L298">
        <v>1348</v>
      </c>
      <c r="N298">
        <v>1009</v>
      </c>
      <c r="O298" t="s">
        <v>345</v>
      </c>
      <c r="P298" t="s">
        <v>345</v>
      </c>
      <c r="Q298">
        <v>1000</v>
      </c>
      <c r="X298">
        <v>2.0000000000000001E-4</v>
      </c>
      <c r="Y298">
        <v>12287.39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55</v>
      </c>
      <c r="AG298">
        <v>2.0000000000000001E-4</v>
      </c>
      <c r="AH298">
        <v>2</v>
      </c>
      <c r="AI298">
        <v>55918201</v>
      </c>
      <c r="AJ298">
        <v>265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ROW(Source!A159)</f>
        <v>159</v>
      </c>
      <c r="B299">
        <v>55918202</v>
      </c>
      <c r="C299">
        <v>55918199</v>
      </c>
      <c r="D299">
        <v>55460545</v>
      </c>
      <c r="E299">
        <v>1</v>
      </c>
      <c r="F299">
        <v>1</v>
      </c>
      <c r="G299">
        <v>1081</v>
      </c>
      <c r="H299">
        <v>3</v>
      </c>
      <c r="I299" t="s">
        <v>346</v>
      </c>
      <c r="J299" t="s">
        <v>347</v>
      </c>
      <c r="K299" t="s">
        <v>348</v>
      </c>
      <c r="L299">
        <v>1348</v>
      </c>
      <c r="N299">
        <v>1009</v>
      </c>
      <c r="O299" t="s">
        <v>345</v>
      </c>
      <c r="P299" t="s">
        <v>345</v>
      </c>
      <c r="Q299">
        <v>1000</v>
      </c>
      <c r="X299">
        <v>1.0000000000000001E-5</v>
      </c>
      <c r="Y299">
        <v>3772.37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55</v>
      </c>
      <c r="AG299">
        <v>1.0000000000000001E-5</v>
      </c>
      <c r="AH299">
        <v>2</v>
      </c>
      <c r="AI299">
        <v>55918202</v>
      </c>
      <c r="AJ299">
        <v>266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ROW(Source!A159)</f>
        <v>159</v>
      </c>
      <c r="B300">
        <v>55918203</v>
      </c>
      <c r="C300">
        <v>55918199</v>
      </c>
      <c r="D300">
        <v>55461230</v>
      </c>
      <c r="E300">
        <v>1</v>
      </c>
      <c r="F300">
        <v>1</v>
      </c>
      <c r="G300">
        <v>1081</v>
      </c>
      <c r="H300">
        <v>3</v>
      </c>
      <c r="I300" t="s">
        <v>349</v>
      </c>
      <c r="J300" t="s">
        <v>350</v>
      </c>
      <c r="K300" t="s">
        <v>351</v>
      </c>
      <c r="L300">
        <v>1346</v>
      </c>
      <c r="N300">
        <v>1009</v>
      </c>
      <c r="O300" t="s">
        <v>316</v>
      </c>
      <c r="P300" t="s">
        <v>316</v>
      </c>
      <c r="Q300">
        <v>1</v>
      </c>
      <c r="X300">
        <v>0.02</v>
      </c>
      <c r="Y300">
        <v>15.11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55</v>
      </c>
      <c r="AG300">
        <v>0.02</v>
      </c>
      <c r="AH300">
        <v>2</v>
      </c>
      <c r="AI300">
        <v>55918203</v>
      </c>
      <c r="AJ300">
        <v>267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ROW(Source!A159)</f>
        <v>159</v>
      </c>
      <c r="B301">
        <v>55918204</v>
      </c>
      <c r="C301">
        <v>55918199</v>
      </c>
      <c r="D301">
        <v>55461426</v>
      </c>
      <c r="E301">
        <v>1</v>
      </c>
      <c r="F301">
        <v>1</v>
      </c>
      <c r="G301">
        <v>1081</v>
      </c>
      <c r="H301">
        <v>3</v>
      </c>
      <c r="I301" t="s">
        <v>352</v>
      </c>
      <c r="J301" t="s">
        <v>353</v>
      </c>
      <c r="K301" t="s">
        <v>354</v>
      </c>
      <c r="L301">
        <v>1346</v>
      </c>
      <c r="N301">
        <v>1009</v>
      </c>
      <c r="O301" t="s">
        <v>316</v>
      </c>
      <c r="P301" t="s">
        <v>316</v>
      </c>
      <c r="Q301">
        <v>1</v>
      </c>
      <c r="X301">
        <v>0.5</v>
      </c>
      <c r="Y301">
        <v>35.590000000000003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55</v>
      </c>
      <c r="AG301">
        <v>0.5</v>
      </c>
      <c r="AH301">
        <v>2</v>
      </c>
      <c r="AI301">
        <v>55918204</v>
      </c>
      <c r="AJ301">
        <v>268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ROW(Source!A159)</f>
        <v>159</v>
      </c>
      <c r="B302">
        <v>55918205</v>
      </c>
      <c r="C302">
        <v>55918199</v>
      </c>
      <c r="D302">
        <v>55459400</v>
      </c>
      <c r="E302">
        <v>1</v>
      </c>
      <c r="F302">
        <v>1</v>
      </c>
      <c r="G302">
        <v>1081</v>
      </c>
      <c r="H302">
        <v>3</v>
      </c>
      <c r="I302" t="s">
        <v>355</v>
      </c>
      <c r="J302" t="s">
        <v>356</v>
      </c>
      <c r="K302" t="s">
        <v>357</v>
      </c>
      <c r="L302">
        <v>1346</v>
      </c>
      <c r="N302">
        <v>1009</v>
      </c>
      <c r="O302" t="s">
        <v>316</v>
      </c>
      <c r="P302" t="s">
        <v>316</v>
      </c>
      <c r="Q302">
        <v>1</v>
      </c>
      <c r="X302">
        <v>0.05</v>
      </c>
      <c r="Y302">
        <v>16.690000000000001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55</v>
      </c>
      <c r="AG302">
        <v>0.05</v>
      </c>
      <c r="AH302">
        <v>2</v>
      </c>
      <c r="AI302">
        <v>55918205</v>
      </c>
      <c r="AJ302">
        <v>269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ROW(Source!A159)</f>
        <v>159</v>
      </c>
      <c r="B303">
        <v>55918206</v>
      </c>
      <c r="C303">
        <v>55918199</v>
      </c>
      <c r="D303">
        <v>55459404</v>
      </c>
      <c r="E303">
        <v>1</v>
      </c>
      <c r="F303">
        <v>1</v>
      </c>
      <c r="G303">
        <v>1081</v>
      </c>
      <c r="H303">
        <v>3</v>
      </c>
      <c r="I303" t="s">
        <v>358</v>
      </c>
      <c r="J303" t="s">
        <v>359</v>
      </c>
      <c r="K303" t="s">
        <v>360</v>
      </c>
      <c r="L303">
        <v>1346</v>
      </c>
      <c r="N303">
        <v>1009</v>
      </c>
      <c r="O303" t="s">
        <v>316</v>
      </c>
      <c r="P303" t="s">
        <v>316</v>
      </c>
      <c r="Q303">
        <v>1</v>
      </c>
      <c r="X303">
        <v>0.2</v>
      </c>
      <c r="Y303">
        <v>73.53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55</v>
      </c>
      <c r="AG303">
        <v>0.2</v>
      </c>
      <c r="AH303">
        <v>2</v>
      </c>
      <c r="AI303">
        <v>55918206</v>
      </c>
      <c r="AJ303">
        <v>270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ROW(Source!A159)</f>
        <v>159</v>
      </c>
      <c r="B304">
        <v>55918207</v>
      </c>
      <c r="C304">
        <v>55918199</v>
      </c>
      <c r="D304">
        <v>55459793</v>
      </c>
      <c r="E304">
        <v>1</v>
      </c>
      <c r="F304">
        <v>1</v>
      </c>
      <c r="G304">
        <v>1081</v>
      </c>
      <c r="H304">
        <v>3</v>
      </c>
      <c r="I304" t="s">
        <v>361</v>
      </c>
      <c r="J304" t="s">
        <v>362</v>
      </c>
      <c r="K304" t="s">
        <v>363</v>
      </c>
      <c r="L304">
        <v>1348</v>
      </c>
      <c r="N304">
        <v>1009</v>
      </c>
      <c r="O304" t="s">
        <v>345</v>
      </c>
      <c r="P304" t="s">
        <v>345</v>
      </c>
      <c r="Q304">
        <v>1000</v>
      </c>
      <c r="X304">
        <v>2.0000000000000001E-4</v>
      </c>
      <c r="Y304">
        <v>64123.05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55</v>
      </c>
      <c r="AG304">
        <v>2.0000000000000001E-4</v>
      </c>
      <c r="AH304">
        <v>2</v>
      </c>
      <c r="AI304">
        <v>55918207</v>
      </c>
      <c r="AJ304">
        <v>271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ROW(Source!A159)</f>
        <v>159</v>
      </c>
      <c r="B305">
        <v>55918208</v>
      </c>
      <c r="C305">
        <v>55918199</v>
      </c>
      <c r="D305">
        <v>55466338</v>
      </c>
      <c r="E305">
        <v>1</v>
      </c>
      <c r="F305">
        <v>1</v>
      </c>
      <c r="G305">
        <v>1081</v>
      </c>
      <c r="H305">
        <v>3</v>
      </c>
      <c r="I305" t="s">
        <v>364</v>
      </c>
      <c r="J305" t="s">
        <v>365</v>
      </c>
      <c r="K305" t="s">
        <v>366</v>
      </c>
      <c r="L305">
        <v>1349</v>
      </c>
      <c r="N305">
        <v>1009</v>
      </c>
      <c r="O305" t="s">
        <v>367</v>
      </c>
      <c r="P305" t="s">
        <v>367</v>
      </c>
      <c r="Q305">
        <v>1E-3</v>
      </c>
      <c r="X305">
        <v>100</v>
      </c>
      <c r="Y305">
        <v>7.0000000000000007E-2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55</v>
      </c>
      <c r="AG305">
        <v>100</v>
      </c>
      <c r="AH305">
        <v>2</v>
      </c>
      <c r="AI305">
        <v>55918208</v>
      </c>
      <c r="AJ305">
        <v>272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ROW(Source!A159)</f>
        <v>159</v>
      </c>
      <c r="B306">
        <v>55918209</v>
      </c>
      <c r="C306">
        <v>55918199</v>
      </c>
      <c r="D306">
        <v>55482233</v>
      </c>
      <c r="E306">
        <v>1</v>
      </c>
      <c r="F306">
        <v>1</v>
      </c>
      <c r="G306">
        <v>1081</v>
      </c>
      <c r="H306">
        <v>3</v>
      </c>
      <c r="I306" t="s">
        <v>368</v>
      </c>
      <c r="J306" t="s">
        <v>369</v>
      </c>
      <c r="K306" t="s">
        <v>370</v>
      </c>
      <c r="L306">
        <v>1346</v>
      </c>
      <c r="N306">
        <v>1009</v>
      </c>
      <c r="O306" t="s">
        <v>316</v>
      </c>
      <c r="P306" t="s">
        <v>316</v>
      </c>
      <c r="Q306">
        <v>1</v>
      </c>
      <c r="X306">
        <v>0.04</v>
      </c>
      <c r="Y306">
        <v>493.08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55</v>
      </c>
      <c r="AG306">
        <v>0.04</v>
      </c>
      <c r="AH306">
        <v>2</v>
      </c>
      <c r="AI306">
        <v>55918209</v>
      </c>
      <c r="AJ306">
        <v>273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ROW(Source!A159)</f>
        <v>159</v>
      </c>
      <c r="B307">
        <v>55918210</v>
      </c>
      <c r="C307">
        <v>55918199</v>
      </c>
      <c r="D307">
        <v>55455536</v>
      </c>
      <c r="E307">
        <v>1081</v>
      </c>
      <c r="F307">
        <v>1</v>
      </c>
      <c r="G307">
        <v>1081</v>
      </c>
      <c r="H307">
        <v>3</v>
      </c>
      <c r="I307" t="s">
        <v>471</v>
      </c>
      <c r="J307" t="s">
        <v>3</v>
      </c>
      <c r="K307" t="s">
        <v>472</v>
      </c>
      <c r="L307">
        <v>1391</v>
      </c>
      <c r="N307">
        <v>1013</v>
      </c>
      <c r="O307" t="s">
        <v>473</v>
      </c>
      <c r="P307" t="s">
        <v>473</v>
      </c>
      <c r="Q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55</v>
      </c>
      <c r="AG307">
        <v>1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ROW(Source!A159)</f>
        <v>159</v>
      </c>
      <c r="B308">
        <v>55918211</v>
      </c>
      <c r="C308">
        <v>55918199</v>
      </c>
      <c r="D308">
        <v>55424290</v>
      </c>
      <c r="E308">
        <v>1081</v>
      </c>
      <c r="F308">
        <v>1</v>
      </c>
      <c r="G308">
        <v>1081</v>
      </c>
      <c r="H308">
        <v>3</v>
      </c>
      <c r="I308" t="s">
        <v>371</v>
      </c>
      <c r="J308" t="s">
        <v>3</v>
      </c>
      <c r="K308" t="s">
        <v>372</v>
      </c>
      <c r="L308">
        <v>1348</v>
      </c>
      <c r="N308">
        <v>1009</v>
      </c>
      <c r="O308" t="s">
        <v>345</v>
      </c>
      <c r="P308" t="s">
        <v>345</v>
      </c>
      <c r="Q308">
        <v>1000</v>
      </c>
      <c r="X308">
        <v>1.2E-2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55</v>
      </c>
      <c r="AG308">
        <v>1.2E-2</v>
      </c>
      <c r="AH308">
        <v>2</v>
      </c>
      <c r="AI308">
        <v>55918211</v>
      </c>
      <c r="AJ308">
        <v>274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ROW(Source!A162)</f>
        <v>162</v>
      </c>
      <c r="B309">
        <v>55918220</v>
      </c>
      <c r="C309">
        <v>55918219</v>
      </c>
      <c r="D309">
        <v>55424304</v>
      </c>
      <c r="E309">
        <v>1081</v>
      </c>
      <c r="F309">
        <v>1</v>
      </c>
      <c r="G309">
        <v>1081</v>
      </c>
      <c r="H309">
        <v>1</v>
      </c>
      <c r="I309" t="s">
        <v>339</v>
      </c>
      <c r="J309" t="s">
        <v>3</v>
      </c>
      <c r="K309" t="s">
        <v>340</v>
      </c>
      <c r="L309">
        <v>1191</v>
      </c>
      <c r="N309">
        <v>1013</v>
      </c>
      <c r="O309" t="s">
        <v>341</v>
      </c>
      <c r="P309" t="s">
        <v>341</v>
      </c>
      <c r="Q309">
        <v>1</v>
      </c>
      <c r="X309">
        <v>2.77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56</v>
      </c>
      <c r="AG309">
        <v>3.3239999999999998</v>
      </c>
      <c r="AH309">
        <v>2</v>
      </c>
      <c r="AI309">
        <v>55918220</v>
      </c>
      <c r="AJ309">
        <v>275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ROW(Source!A162)</f>
        <v>162</v>
      </c>
      <c r="B310">
        <v>55918221</v>
      </c>
      <c r="C310">
        <v>55918219</v>
      </c>
      <c r="D310">
        <v>55459873</v>
      </c>
      <c r="E310">
        <v>1</v>
      </c>
      <c r="F310">
        <v>1</v>
      </c>
      <c r="G310">
        <v>1081</v>
      </c>
      <c r="H310">
        <v>3</v>
      </c>
      <c r="I310" t="s">
        <v>378</v>
      </c>
      <c r="J310" t="s">
        <v>379</v>
      </c>
      <c r="K310" t="s">
        <v>380</v>
      </c>
      <c r="L310">
        <v>1348</v>
      </c>
      <c r="N310">
        <v>1009</v>
      </c>
      <c r="O310" t="s">
        <v>345</v>
      </c>
      <c r="P310" t="s">
        <v>345</v>
      </c>
      <c r="Q310">
        <v>1000</v>
      </c>
      <c r="X310">
        <v>1.0000000000000001E-5</v>
      </c>
      <c r="Y310">
        <v>18495.41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55</v>
      </c>
      <c r="AG310">
        <v>1.0000000000000001E-5</v>
      </c>
      <c r="AH310">
        <v>2</v>
      </c>
      <c r="AI310">
        <v>55918221</v>
      </c>
      <c r="AJ310">
        <v>276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ROW(Source!A163)</f>
        <v>163</v>
      </c>
      <c r="B311">
        <v>55918220</v>
      </c>
      <c r="C311">
        <v>55918219</v>
      </c>
      <c r="D311">
        <v>55424304</v>
      </c>
      <c r="E311">
        <v>1081</v>
      </c>
      <c r="F311">
        <v>1</v>
      </c>
      <c r="G311">
        <v>1081</v>
      </c>
      <c r="H311">
        <v>1</v>
      </c>
      <c r="I311" t="s">
        <v>339</v>
      </c>
      <c r="J311" t="s">
        <v>3</v>
      </c>
      <c r="K311" t="s">
        <v>340</v>
      </c>
      <c r="L311">
        <v>1191</v>
      </c>
      <c r="N311">
        <v>1013</v>
      </c>
      <c r="O311" t="s">
        <v>341</v>
      </c>
      <c r="P311" t="s">
        <v>341</v>
      </c>
      <c r="Q311">
        <v>1</v>
      </c>
      <c r="X311">
        <v>2.77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56</v>
      </c>
      <c r="AG311">
        <v>3.3239999999999998</v>
      </c>
      <c r="AH311">
        <v>2</v>
      </c>
      <c r="AI311">
        <v>55918220</v>
      </c>
      <c r="AJ311">
        <v>277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ROW(Source!A163)</f>
        <v>163</v>
      </c>
      <c r="B312">
        <v>55918221</v>
      </c>
      <c r="C312">
        <v>55918219</v>
      </c>
      <c r="D312">
        <v>55459873</v>
      </c>
      <c r="E312">
        <v>1</v>
      </c>
      <c r="F312">
        <v>1</v>
      </c>
      <c r="G312">
        <v>1081</v>
      </c>
      <c r="H312">
        <v>3</v>
      </c>
      <c r="I312" t="s">
        <v>378</v>
      </c>
      <c r="J312" t="s">
        <v>379</v>
      </c>
      <c r="K312" t="s">
        <v>380</v>
      </c>
      <c r="L312">
        <v>1348</v>
      </c>
      <c r="N312">
        <v>1009</v>
      </c>
      <c r="O312" t="s">
        <v>345</v>
      </c>
      <c r="P312" t="s">
        <v>345</v>
      </c>
      <c r="Q312">
        <v>1000</v>
      </c>
      <c r="X312">
        <v>1.0000000000000001E-5</v>
      </c>
      <c r="Y312">
        <v>18495.41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55</v>
      </c>
      <c r="AG312">
        <v>1.0000000000000001E-5</v>
      </c>
      <c r="AH312">
        <v>2</v>
      </c>
      <c r="AI312">
        <v>55918221</v>
      </c>
      <c r="AJ312">
        <v>278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ROW(Source!A166)</f>
        <v>166</v>
      </c>
      <c r="B313">
        <v>55918229</v>
      </c>
      <c r="C313">
        <v>55918228</v>
      </c>
      <c r="D313">
        <v>55424304</v>
      </c>
      <c r="E313">
        <v>1081</v>
      </c>
      <c r="F313">
        <v>1</v>
      </c>
      <c r="G313">
        <v>1081</v>
      </c>
      <c r="H313">
        <v>1</v>
      </c>
      <c r="I313" t="s">
        <v>339</v>
      </c>
      <c r="J313" t="s">
        <v>3</v>
      </c>
      <c r="K313" t="s">
        <v>340</v>
      </c>
      <c r="L313">
        <v>1191</v>
      </c>
      <c r="N313">
        <v>1013</v>
      </c>
      <c r="O313" t="s">
        <v>341</v>
      </c>
      <c r="P313" t="s">
        <v>341</v>
      </c>
      <c r="Q313">
        <v>1</v>
      </c>
      <c r="X313">
        <v>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56</v>
      </c>
      <c r="AG313">
        <v>3.5999999999999996</v>
      </c>
      <c r="AH313">
        <v>2</v>
      </c>
      <c r="AI313">
        <v>55918229</v>
      </c>
      <c r="AJ313">
        <v>279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ROW(Source!A166)</f>
        <v>166</v>
      </c>
      <c r="B314">
        <v>55918230</v>
      </c>
      <c r="C314">
        <v>55918228</v>
      </c>
      <c r="D314">
        <v>55459894</v>
      </c>
      <c r="E314">
        <v>1</v>
      </c>
      <c r="F314">
        <v>1</v>
      </c>
      <c r="G314">
        <v>1081</v>
      </c>
      <c r="H314">
        <v>3</v>
      </c>
      <c r="I314" t="s">
        <v>381</v>
      </c>
      <c r="J314" t="s">
        <v>382</v>
      </c>
      <c r="K314" t="s">
        <v>383</v>
      </c>
      <c r="L314">
        <v>1348</v>
      </c>
      <c r="N314">
        <v>1009</v>
      </c>
      <c r="O314" t="s">
        <v>345</v>
      </c>
      <c r="P314" t="s">
        <v>345</v>
      </c>
      <c r="Q314">
        <v>1000</v>
      </c>
      <c r="X314">
        <v>1E-3</v>
      </c>
      <c r="Y314">
        <v>15319.65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55</v>
      </c>
      <c r="AG314">
        <v>1E-3</v>
      </c>
      <c r="AH314">
        <v>2</v>
      </c>
      <c r="AI314">
        <v>55918230</v>
      </c>
      <c r="AJ314">
        <v>280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ROW(Source!A166)</f>
        <v>166</v>
      </c>
      <c r="B315">
        <v>55918231</v>
      </c>
      <c r="C315">
        <v>55918228</v>
      </c>
      <c r="D315">
        <v>55459261</v>
      </c>
      <c r="E315">
        <v>1</v>
      </c>
      <c r="F315">
        <v>1</v>
      </c>
      <c r="G315">
        <v>1081</v>
      </c>
      <c r="H315">
        <v>3</v>
      </c>
      <c r="I315" t="s">
        <v>384</v>
      </c>
      <c r="J315" t="s">
        <v>385</v>
      </c>
      <c r="K315" t="s">
        <v>386</v>
      </c>
      <c r="L315">
        <v>1348</v>
      </c>
      <c r="N315">
        <v>1009</v>
      </c>
      <c r="O315" t="s">
        <v>345</v>
      </c>
      <c r="P315" t="s">
        <v>345</v>
      </c>
      <c r="Q315">
        <v>1000</v>
      </c>
      <c r="X315">
        <v>5.0000000000000002E-5</v>
      </c>
      <c r="Y315">
        <v>1219.68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55</v>
      </c>
      <c r="AG315">
        <v>5.0000000000000002E-5</v>
      </c>
      <c r="AH315">
        <v>2</v>
      </c>
      <c r="AI315">
        <v>55918231</v>
      </c>
      <c r="AJ315">
        <v>281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ROW(Source!A166)</f>
        <v>166</v>
      </c>
      <c r="B316">
        <v>55918232</v>
      </c>
      <c r="C316">
        <v>55918228</v>
      </c>
      <c r="D316">
        <v>55460328</v>
      </c>
      <c r="E316">
        <v>1</v>
      </c>
      <c r="F316">
        <v>1</v>
      </c>
      <c r="G316">
        <v>1081</v>
      </c>
      <c r="H316">
        <v>3</v>
      </c>
      <c r="I316" t="s">
        <v>387</v>
      </c>
      <c r="J316" t="s">
        <v>388</v>
      </c>
      <c r="K316" t="s">
        <v>389</v>
      </c>
      <c r="L316">
        <v>1301</v>
      </c>
      <c r="N316">
        <v>1003</v>
      </c>
      <c r="O316" t="s">
        <v>263</v>
      </c>
      <c r="P316" t="s">
        <v>263</v>
      </c>
      <c r="Q316">
        <v>1</v>
      </c>
      <c r="X316">
        <v>5</v>
      </c>
      <c r="Y316">
        <v>0.39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55</v>
      </c>
      <c r="AG316">
        <v>5</v>
      </c>
      <c r="AH316">
        <v>2</v>
      </c>
      <c r="AI316">
        <v>55918232</v>
      </c>
      <c r="AJ316">
        <v>282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ROW(Source!A166)</f>
        <v>166</v>
      </c>
      <c r="B317">
        <v>55918233</v>
      </c>
      <c r="C317">
        <v>55918228</v>
      </c>
      <c r="D317">
        <v>55459312</v>
      </c>
      <c r="E317">
        <v>1</v>
      </c>
      <c r="F317">
        <v>1</v>
      </c>
      <c r="G317">
        <v>1081</v>
      </c>
      <c r="H317">
        <v>3</v>
      </c>
      <c r="I317" t="s">
        <v>390</v>
      </c>
      <c r="J317" t="s">
        <v>391</v>
      </c>
      <c r="K317" t="s">
        <v>392</v>
      </c>
      <c r="L317">
        <v>1339</v>
      </c>
      <c r="N317">
        <v>1007</v>
      </c>
      <c r="O317" t="s">
        <v>393</v>
      </c>
      <c r="P317" t="s">
        <v>393</v>
      </c>
      <c r="Q317">
        <v>1</v>
      </c>
      <c r="X317">
        <v>1E-3</v>
      </c>
      <c r="Y317">
        <v>1176.3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55</v>
      </c>
      <c r="AG317">
        <v>1E-3</v>
      </c>
      <c r="AH317">
        <v>2</v>
      </c>
      <c r="AI317">
        <v>55918233</v>
      </c>
      <c r="AJ317">
        <v>283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ROW(Source!A166)</f>
        <v>166</v>
      </c>
      <c r="B318">
        <v>55918234</v>
      </c>
      <c r="C318">
        <v>55918228</v>
      </c>
      <c r="D318">
        <v>55461230</v>
      </c>
      <c r="E318">
        <v>1</v>
      </c>
      <c r="F318">
        <v>1</v>
      </c>
      <c r="G318">
        <v>1081</v>
      </c>
      <c r="H318">
        <v>3</v>
      </c>
      <c r="I318" t="s">
        <v>349</v>
      </c>
      <c r="J318" t="s">
        <v>350</v>
      </c>
      <c r="K318" t="s">
        <v>351</v>
      </c>
      <c r="L318">
        <v>1346</v>
      </c>
      <c r="N318">
        <v>1009</v>
      </c>
      <c r="O318" t="s">
        <v>316</v>
      </c>
      <c r="P318" t="s">
        <v>316</v>
      </c>
      <c r="Q318">
        <v>1</v>
      </c>
      <c r="X318">
        <v>0.01</v>
      </c>
      <c r="Y318">
        <v>15.11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55</v>
      </c>
      <c r="AG318">
        <v>0.01</v>
      </c>
      <c r="AH318">
        <v>2</v>
      </c>
      <c r="AI318">
        <v>55918234</v>
      </c>
      <c r="AJ318">
        <v>284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ROW(Source!A166)</f>
        <v>166</v>
      </c>
      <c r="B319">
        <v>55918235</v>
      </c>
      <c r="C319">
        <v>55918228</v>
      </c>
      <c r="D319">
        <v>55459400</v>
      </c>
      <c r="E319">
        <v>1</v>
      </c>
      <c r="F319">
        <v>1</v>
      </c>
      <c r="G319">
        <v>1081</v>
      </c>
      <c r="H319">
        <v>3</v>
      </c>
      <c r="I319" t="s">
        <v>355</v>
      </c>
      <c r="J319" t="s">
        <v>356</v>
      </c>
      <c r="K319" t="s">
        <v>357</v>
      </c>
      <c r="L319">
        <v>1346</v>
      </c>
      <c r="N319">
        <v>1009</v>
      </c>
      <c r="O319" t="s">
        <v>316</v>
      </c>
      <c r="P319" t="s">
        <v>316</v>
      </c>
      <c r="Q319">
        <v>1</v>
      </c>
      <c r="X319">
        <v>0.01</v>
      </c>
      <c r="Y319">
        <v>16.690000000000001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55</v>
      </c>
      <c r="AG319">
        <v>0.01</v>
      </c>
      <c r="AH319">
        <v>2</v>
      </c>
      <c r="AI319">
        <v>55918235</v>
      </c>
      <c r="AJ319">
        <v>285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ROW(Source!A166)</f>
        <v>166</v>
      </c>
      <c r="B320">
        <v>55918236</v>
      </c>
      <c r="C320">
        <v>55918228</v>
      </c>
      <c r="D320">
        <v>55461719</v>
      </c>
      <c r="E320">
        <v>1</v>
      </c>
      <c r="F320">
        <v>1</v>
      </c>
      <c r="G320">
        <v>1081</v>
      </c>
      <c r="H320">
        <v>3</v>
      </c>
      <c r="I320" t="s">
        <v>394</v>
      </c>
      <c r="J320" t="s">
        <v>395</v>
      </c>
      <c r="K320" t="s">
        <v>396</v>
      </c>
      <c r="L320">
        <v>1348</v>
      </c>
      <c r="N320">
        <v>1009</v>
      </c>
      <c r="O320" t="s">
        <v>345</v>
      </c>
      <c r="P320" t="s">
        <v>345</v>
      </c>
      <c r="Q320">
        <v>1000</v>
      </c>
      <c r="X320">
        <v>1E-4</v>
      </c>
      <c r="Y320">
        <v>10643.18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55</v>
      </c>
      <c r="AG320">
        <v>1E-4</v>
      </c>
      <c r="AH320">
        <v>2</v>
      </c>
      <c r="AI320">
        <v>55918236</v>
      </c>
      <c r="AJ320">
        <v>286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ROW(Source!A166)</f>
        <v>166</v>
      </c>
      <c r="B321">
        <v>55918237</v>
      </c>
      <c r="C321">
        <v>55918228</v>
      </c>
      <c r="D321">
        <v>55466000</v>
      </c>
      <c r="E321">
        <v>1</v>
      </c>
      <c r="F321">
        <v>1</v>
      </c>
      <c r="G321">
        <v>1081</v>
      </c>
      <c r="H321">
        <v>3</v>
      </c>
      <c r="I321" t="s">
        <v>397</v>
      </c>
      <c r="J321" t="s">
        <v>398</v>
      </c>
      <c r="K321" t="s">
        <v>399</v>
      </c>
      <c r="L321">
        <v>1355</v>
      </c>
      <c r="N321">
        <v>1010</v>
      </c>
      <c r="O321" t="s">
        <v>49</v>
      </c>
      <c r="P321" t="s">
        <v>49</v>
      </c>
      <c r="Q321">
        <v>100</v>
      </c>
      <c r="X321">
        <v>0.01</v>
      </c>
      <c r="Y321">
        <v>120.19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55</v>
      </c>
      <c r="AG321">
        <v>0.01</v>
      </c>
      <c r="AH321">
        <v>2</v>
      </c>
      <c r="AI321">
        <v>55918237</v>
      </c>
      <c r="AJ321">
        <v>287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ROW(Source!A166)</f>
        <v>166</v>
      </c>
      <c r="B322">
        <v>55918238</v>
      </c>
      <c r="C322">
        <v>55918228</v>
      </c>
      <c r="D322">
        <v>55459793</v>
      </c>
      <c r="E322">
        <v>1</v>
      </c>
      <c r="F322">
        <v>1</v>
      </c>
      <c r="G322">
        <v>1081</v>
      </c>
      <c r="H322">
        <v>3</v>
      </c>
      <c r="I322" t="s">
        <v>361</v>
      </c>
      <c r="J322" t="s">
        <v>362</v>
      </c>
      <c r="K322" t="s">
        <v>363</v>
      </c>
      <c r="L322">
        <v>1348</v>
      </c>
      <c r="N322">
        <v>1009</v>
      </c>
      <c r="O322" t="s">
        <v>345</v>
      </c>
      <c r="P322" t="s">
        <v>345</v>
      </c>
      <c r="Q322">
        <v>1000</v>
      </c>
      <c r="X322">
        <v>2.0000000000000002E-5</v>
      </c>
      <c r="Y322">
        <v>64123.05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55</v>
      </c>
      <c r="AG322">
        <v>2.0000000000000002E-5</v>
      </c>
      <c r="AH322">
        <v>2</v>
      </c>
      <c r="AI322">
        <v>55918238</v>
      </c>
      <c r="AJ322">
        <v>288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ROW(Source!A166)</f>
        <v>166</v>
      </c>
      <c r="B323">
        <v>55918239</v>
      </c>
      <c r="C323">
        <v>55918228</v>
      </c>
      <c r="D323">
        <v>55459810</v>
      </c>
      <c r="E323">
        <v>1</v>
      </c>
      <c r="F323">
        <v>1</v>
      </c>
      <c r="G323">
        <v>1081</v>
      </c>
      <c r="H323">
        <v>3</v>
      </c>
      <c r="I323" t="s">
        <v>400</v>
      </c>
      <c r="J323" t="s">
        <v>401</v>
      </c>
      <c r="K323" t="s">
        <v>402</v>
      </c>
      <c r="L323">
        <v>1348</v>
      </c>
      <c r="N323">
        <v>1009</v>
      </c>
      <c r="O323" t="s">
        <v>345</v>
      </c>
      <c r="P323" t="s">
        <v>345</v>
      </c>
      <c r="Q323">
        <v>1000</v>
      </c>
      <c r="X323">
        <v>1E-4</v>
      </c>
      <c r="Y323">
        <v>9238.1299999999992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55</v>
      </c>
      <c r="AG323">
        <v>1E-4</v>
      </c>
      <c r="AH323">
        <v>2</v>
      </c>
      <c r="AI323">
        <v>55918239</v>
      </c>
      <c r="AJ323">
        <v>289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ROW(Source!A166)</f>
        <v>166</v>
      </c>
      <c r="B324">
        <v>55918240</v>
      </c>
      <c r="C324">
        <v>55918228</v>
      </c>
      <c r="D324">
        <v>55482166</v>
      </c>
      <c r="E324">
        <v>1</v>
      </c>
      <c r="F324">
        <v>1</v>
      </c>
      <c r="G324">
        <v>1081</v>
      </c>
      <c r="H324">
        <v>3</v>
      </c>
      <c r="I324" t="s">
        <v>403</v>
      </c>
      <c r="J324" t="s">
        <v>404</v>
      </c>
      <c r="K324" t="s">
        <v>405</v>
      </c>
      <c r="L324">
        <v>1301</v>
      </c>
      <c r="N324">
        <v>1003</v>
      </c>
      <c r="O324" t="s">
        <v>263</v>
      </c>
      <c r="P324" t="s">
        <v>263</v>
      </c>
      <c r="Q324">
        <v>1</v>
      </c>
      <c r="X324">
        <v>1</v>
      </c>
      <c r="Y324">
        <v>0.69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55</v>
      </c>
      <c r="AG324">
        <v>1</v>
      </c>
      <c r="AH324">
        <v>2</v>
      </c>
      <c r="AI324">
        <v>55918240</v>
      </c>
      <c r="AJ324">
        <v>290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ROW(Source!A166)</f>
        <v>166</v>
      </c>
      <c r="B325">
        <v>55918241</v>
      </c>
      <c r="C325">
        <v>55918228</v>
      </c>
      <c r="D325">
        <v>55482445</v>
      </c>
      <c r="E325">
        <v>1</v>
      </c>
      <c r="F325">
        <v>1</v>
      </c>
      <c r="G325">
        <v>1081</v>
      </c>
      <c r="H325">
        <v>3</v>
      </c>
      <c r="I325" t="s">
        <v>406</v>
      </c>
      <c r="J325" t="s">
        <v>407</v>
      </c>
      <c r="K325" t="s">
        <v>408</v>
      </c>
      <c r="L325">
        <v>1356</v>
      </c>
      <c r="N325">
        <v>1010</v>
      </c>
      <c r="O325" t="s">
        <v>409</v>
      </c>
      <c r="P325" t="s">
        <v>409</v>
      </c>
      <c r="Q325">
        <v>1000</v>
      </c>
      <c r="X325">
        <v>0.01</v>
      </c>
      <c r="Y325">
        <v>294.89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55</v>
      </c>
      <c r="AG325">
        <v>0.01</v>
      </c>
      <c r="AH325">
        <v>2</v>
      </c>
      <c r="AI325">
        <v>55918241</v>
      </c>
      <c r="AJ325">
        <v>291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ROW(Source!A166)</f>
        <v>166</v>
      </c>
      <c r="B326">
        <v>55918242</v>
      </c>
      <c r="C326">
        <v>55918228</v>
      </c>
      <c r="D326">
        <v>55481518</v>
      </c>
      <c r="E326">
        <v>1</v>
      </c>
      <c r="F326">
        <v>1</v>
      </c>
      <c r="G326">
        <v>1081</v>
      </c>
      <c r="H326">
        <v>3</v>
      </c>
      <c r="I326" t="s">
        <v>410</v>
      </c>
      <c r="J326" t="s">
        <v>411</v>
      </c>
      <c r="K326" t="s">
        <v>412</v>
      </c>
      <c r="L326">
        <v>1354</v>
      </c>
      <c r="N326">
        <v>1010</v>
      </c>
      <c r="O326" t="s">
        <v>164</v>
      </c>
      <c r="P326" t="s">
        <v>164</v>
      </c>
      <c r="Q326">
        <v>1</v>
      </c>
      <c r="X326">
        <v>1</v>
      </c>
      <c r="Y326">
        <v>15.67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55</v>
      </c>
      <c r="AG326">
        <v>1</v>
      </c>
      <c r="AH326">
        <v>2</v>
      </c>
      <c r="AI326">
        <v>55918242</v>
      </c>
      <c r="AJ326">
        <v>292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ROW(Source!A166)</f>
        <v>166</v>
      </c>
      <c r="B327">
        <v>55918243</v>
      </c>
      <c r="C327">
        <v>55918228</v>
      </c>
      <c r="D327">
        <v>55417010</v>
      </c>
      <c r="E327">
        <v>1081</v>
      </c>
      <c r="F327">
        <v>1</v>
      </c>
      <c r="G327">
        <v>1081</v>
      </c>
      <c r="H327">
        <v>3</v>
      </c>
      <c r="I327" t="s">
        <v>476</v>
      </c>
      <c r="J327" t="s">
        <v>3</v>
      </c>
      <c r="K327" t="s">
        <v>477</v>
      </c>
      <c r="L327">
        <v>1346</v>
      </c>
      <c r="N327">
        <v>1009</v>
      </c>
      <c r="O327" t="s">
        <v>316</v>
      </c>
      <c r="P327" t="s">
        <v>316</v>
      </c>
      <c r="Q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55</v>
      </c>
      <c r="AG327">
        <v>0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ROW(Source!A166)</f>
        <v>166</v>
      </c>
      <c r="B328">
        <v>55918244</v>
      </c>
      <c r="C328">
        <v>55918228</v>
      </c>
      <c r="D328">
        <v>55455661</v>
      </c>
      <c r="E328">
        <v>1081</v>
      </c>
      <c r="F328">
        <v>1</v>
      </c>
      <c r="G328">
        <v>1081</v>
      </c>
      <c r="H328">
        <v>3</v>
      </c>
      <c r="I328" t="s">
        <v>478</v>
      </c>
      <c r="J328" t="s">
        <v>3</v>
      </c>
      <c r="K328" t="s">
        <v>479</v>
      </c>
      <c r="L328">
        <v>1391</v>
      </c>
      <c r="N328">
        <v>1013</v>
      </c>
      <c r="O328" t="s">
        <v>473</v>
      </c>
      <c r="P328" t="s">
        <v>473</v>
      </c>
      <c r="Q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55</v>
      </c>
      <c r="AG328">
        <v>1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ROW(Source!A166)</f>
        <v>166</v>
      </c>
      <c r="B329">
        <v>55918245</v>
      </c>
      <c r="C329">
        <v>55918228</v>
      </c>
      <c r="D329">
        <v>55424290</v>
      </c>
      <c r="E329">
        <v>1081</v>
      </c>
      <c r="F329">
        <v>1</v>
      </c>
      <c r="G329">
        <v>1081</v>
      </c>
      <c r="H329">
        <v>3</v>
      </c>
      <c r="I329" t="s">
        <v>371</v>
      </c>
      <c r="J329" t="s">
        <v>3</v>
      </c>
      <c r="K329" t="s">
        <v>372</v>
      </c>
      <c r="L329">
        <v>1348</v>
      </c>
      <c r="N329">
        <v>1009</v>
      </c>
      <c r="O329" t="s">
        <v>345</v>
      </c>
      <c r="P329" t="s">
        <v>345</v>
      </c>
      <c r="Q329">
        <v>1000</v>
      </c>
      <c r="X329">
        <v>1E-3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55</v>
      </c>
      <c r="AG329">
        <v>1E-3</v>
      </c>
      <c r="AH329">
        <v>2</v>
      </c>
      <c r="AI329">
        <v>55918245</v>
      </c>
      <c r="AJ329">
        <v>293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ROW(Source!A167)</f>
        <v>167</v>
      </c>
      <c r="B330">
        <v>55918229</v>
      </c>
      <c r="C330">
        <v>55918228</v>
      </c>
      <c r="D330">
        <v>55424304</v>
      </c>
      <c r="E330">
        <v>1081</v>
      </c>
      <c r="F330">
        <v>1</v>
      </c>
      <c r="G330">
        <v>1081</v>
      </c>
      <c r="H330">
        <v>1</v>
      </c>
      <c r="I330" t="s">
        <v>339</v>
      </c>
      <c r="J330" t="s">
        <v>3</v>
      </c>
      <c r="K330" t="s">
        <v>340</v>
      </c>
      <c r="L330">
        <v>1191</v>
      </c>
      <c r="N330">
        <v>1013</v>
      </c>
      <c r="O330" t="s">
        <v>341</v>
      </c>
      <c r="P330" t="s">
        <v>341</v>
      </c>
      <c r="Q330">
        <v>1</v>
      </c>
      <c r="X330">
        <v>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1</v>
      </c>
      <c r="AF330" t="s">
        <v>56</v>
      </c>
      <c r="AG330">
        <v>3.5999999999999996</v>
      </c>
      <c r="AH330">
        <v>2</v>
      </c>
      <c r="AI330">
        <v>55918229</v>
      </c>
      <c r="AJ330">
        <v>294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ROW(Source!A167)</f>
        <v>167</v>
      </c>
      <c r="B331">
        <v>55918230</v>
      </c>
      <c r="C331">
        <v>55918228</v>
      </c>
      <c r="D331">
        <v>55459894</v>
      </c>
      <c r="E331">
        <v>1</v>
      </c>
      <c r="F331">
        <v>1</v>
      </c>
      <c r="G331">
        <v>1081</v>
      </c>
      <c r="H331">
        <v>3</v>
      </c>
      <c r="I331" t="s">
        <v>381</v>
      </c>
      <c r="J331" t="s">
        <v>382</v>
      </c>
      <c r="K331" t="s">
        <v>383</v>
      </c>
      <c r="L331">
        <v>1348</v>
      </c>
      <c r="N331">
        <v>1009</v>
      </c>
      <c r="O331" t="s">
        <v>345</v>
      </c>
      <c r="P331" t="s">
        <v>345</v>
      </c>
      <c r="Q331">
        <v>1000</v>
      </c>
      <c r="X331">
        <v>1E-3</v>
      </c>
      <c r="Y331">
        <v>15319.65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55</v>
      </c>
      <c r="AG331">
        <v>1E-3</v>
      </c>
      <c r="AH331">
        <v>2</v>
      </c>
      <c r="AI331">
        <v>55918230</v>
      </c>
      <c r="AJ331">
        <v>295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ROW(Source!A167)</f>
        <v>167</v>
      </c>
      <c r="B332">
        <v>55918231</v>
      </c>
      <c r="C332">
        <v>55918228</v>
      </c>
      <c r="D332">
        <v>55459261</v>
      </c>
      <c r="E332">
        <v>1</v>
      </c>
      <c r="F332">
        <v>1</v>
      </c>
      <c r="G332">
        <v>1081</v>
      </c>
      <c r="H332">
        <v>3</v>
      </c>
      <c r="I332" t="s">
        <v>384</v>
      </c>
      <c r="J332" t="s">
        <v>385</v>
      </c>
      <c r="K332" t="s">
        <v>386</v>
      </c>
      <c r="L332">
        <v>1348</v>
      </c>
      <c r="N332">
        <v>1009</v>
      </c>
      <c r="O332" t="s">
        <v>345</v>
      </c>
      <c r="P332" t="s">
        <v>345</v>
      </c>
      <c r="Q332">
        <v>1000</v>
      </c>
      <c r="X332">
        <v>5.0000000000000002E-5</v>
      </c>
      <c r="Y332">
        <v>1219.68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55</v>
      </c>
      <c r="AG332">
        <v>5.0000000000000002E-5</v>
      </c>
      <c r="AH332">
        <v>2</v>
      </c>
      <c r="AI332">
        <v>55918231</v>
      </c>
      <c r="AJ332">
        <v>296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ROW(Source!A167)</f>
        <v>167</v>
      </c>
      <c r="B333">
        <v>55918232</v>
      </c>
      <c r="C333">
        <v>55918228</v>
      </c>
      <c r="D333">
        <v>55460328</v>
      </c>
      <c r="E333">
        <v>1</v>
      </c>
      <c r="F333">
        <v>1</v>
      </c>
      <c r="G333">
        <v>1081</v>
      </c>
      <c r="H333">
        <v>3</v>
      </c>
      <c r="I333" t="s">
        <v>387</v>
      </c>
      <c r="J333" t="s">
        <v>388</v>
      </c>
      <c r="K333" t="s">
        <v>389</v>
      </c>
      <c r="L333">
        <v>1301</v>
      </c>
      <c r="N333">
        <v>1003</v>
      </c>
      <c r="O333" t="s">
        <v>263</v>
      </c>
      <c r="P333" t="s">
        <v>263</v>
      </c>
      <c r="Q333">
        <v>1</v>
      </c>
      <c r="X333">
        <v>5</v>
      </c>
      <c r="Y333">
        <v>0.39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55</v>
      </c>
      <c r="AG333">
        <v>5</v>
      </c>
      <c r="AH333">
        <v>2</v>
      </c>
      <c r="AI333">
        <v>55918232</v>
      </c>
      <c r="AJ333">
        <v>297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ROW(Source!A167)</f>
        <v>167</v>
      </c>
      <c r="B334">
        <v>55918233</v>
      </c>
      <c r="C334">
        <v>55918228</v>
      </c>
      <c r="D334">
        <v>55459312</v>
      </c>
      <c r="E334">
        <v>1</v>
      </c>
      <c r="F334">
        <v>1</v>
      </c>
      <c r="G334">
        <v>1081</v>
      </c>
      <c r="H334">
        <v>3</v>
      </c>
      <c r="I334" t="s">
        <v>390</v>
      </c>
      <c r="J334" t="s">
        <v>391</v>
      </c>
      <c r="K334" t="s">
        <v>392</v>
      </c>
      <c r="L334">
        <v>1339</v>
      </c>
      <c r="N334">
        <v>1007</v>
      </c>
      <c r="O334" t="s">
        <v>393</v>
      </c>
      <c r="P334" t="s">
        <v>393</v>
      </c>
      <c r="Q334">
        <v>1</v>
      </c>
      <c r="X334">
        <v>1E-3</v>
      </c>
      <c r="Y334">
        <v>1176.3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55</v>
      </c>
      <c r="AG334">
        <v>1E-3</v>
      </c>
      <c r="AH334">
        <v>2</v>
      </c>
      <c r="AI334">
        <v>55918233</v>
      </c>
      <c r="AJ334">
        <v>298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ROW(Source!A167)</f>
        <v>167</v>
      </c>
      <c r="B335">
        <v>55918234</v>
      </c>
      <c r="C335">
        <v>55918228</v>
      </c>
      <c r="D335">
        <v>55461230</v>
      </c>
      <c r="E335">
        <v>1</v>
      </c>
      <c r="F335">
        <v>1</v>
      </c>
      <c r="G335">
        <v>1081</v>
      </c>
      <c r="H335">
        <v>3</v>
      </c>
      <c r="I335" t="s">
        <v>349</v>
      </c>
      <c r="J335" t="s">
        <v>350</v>
      </c>
      <c r="K335" t="s">
        <v>351</v>
      </c>
      <c r="L335">
        <v>1346</v>
      </c>
      <c r="N335">
        <v>1009</v>
      </c>
      <c r="O335" t="s">
        <v>316</v>
      </c>
      <c r="P335" t="s">
        <v>316</v>
      </c>
      <c r="Q335">
        <v>1</v>
      </c>
      <c r="X335">
        <v>0.01</v>
      </c>
      <c r="Y335">
        <v>15.11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55</v>
      </c>
      <c r="AG335">
        <v>0.01</v>
      </c>
      <c r="AH335">
        <v>2</v>
      </c>
      <c r="AI335">
        <v>55918234</v>
      </c>
      <c r="AJ335">
        <v>299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ROW(Source!A167)</f>
        <v>167</v>
      </c>
      <c r="B336">
        <v>55918235</v>
      </c>
      <c r="C336">
        <v>55918228</v>
      </c>
      <c r="D336">
        <v>55459400</v>
      </c>
      <c r="E336">
        <v>1</v>
      </c>
      <c r="F336">
        <v>1</v>
      </c>
      <c r="G336">
        <v>1081</v>
      </c>
      <c r="H336">
        <v>3</v>
      </c>
      <c r="I336" t="s">
        <v>355</v>
      </c>
      <c r="J336" t="s">
        <v>356</v>
      </c>
      <c r="K336" t="s">
        <v>357</v>
      </c>
      <c r="L336">
        <v>1346</v>
      </c>
      <c r="N336">
        <v>1009</v>
      </c>
      <c r="O336" t="s">
        <v>316</v>
      </c>
      <c r="P336" t="s">
        <v>316</v>
      </c>
      <c r="Q336">
        <v>1</v>
      </c>
      <c r="X336">
        <v>0.01</v>
      </c>
      <c r="Y336">
        <v>16.690000000000001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55</v>
      </c>
      <c r="AG336">
        <v>0.01</v>
      </c>
      <c r="AH336">
        <v>2</v>
      </c>
      <c r="AI336">
        <v>55918235</v>
      </c>
      <c r="AJ336">
        <v>300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ROW(Source!A167)</f>
        <v>167</v>
      </c>
      <c r="B337">
        <v>55918236</v>
      </c>
      <c r="C337">
        <v>55918228</v>
      </c>
      <c r="D337">
        <v>55461719</v>
      </c>
      <c r="E337">
        <v>1</v>
      </c>
      <c r="F337">
        <v>1</v>
      </c>
      <c r="G337">
        <v>1081</v>
      </c>
      <c r="H337">
        <v>3</v>
      </c>
      <c r="I337" t="s">
        <v>394</v>
      </c>
      <c r="J337" t="s">
        <v>395</v>
      </c>
      <c r="K337" t="s">
        <v>396</v>
      </c>
      <c r="L337">
        <v>1348</v>
      </c>
      <c r="N337">
        <v>1009</v>
      </c>
      <c r="O337" t="s">
        <v>345</v>
      </c>
      <c r="P337" t="s">
        <v>345</v>
      </c>
      <c r="Q337">
        <v>1000</v>
      </c>
      <c r="X337">
        <v>1E-4</v>
      </c>
      <c r="Y337">
        <v>10643.18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55</v>
      </c>
      <c r="AG337">
        <v>1E-4</v>
      </c>
      <c r="AH337">
        <v>2</v>
      </c>
      <c r="AI337">
        <v>55918236</v>
      </c>
      <c r="AJ337">
        <v>301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ROW(Source!A167)</f>
        <v>167</v>
      </c>
      <c r="B338">
        <v>55918237</v>
      </c>
      <c r="C338">
        <v>55918228</v>
      </c>
      <c r="D338">
        <v>55466000</v>
      </c>
      <c r="E338">
        <v>1</v>
      </c>
      <c r="F338">
        <v>1</v>
      </c>
      <c r="G338">
        <v>1081</v>
      </c>
      <c r="H338">
        <v>3</v>
      </c>
      <c r="I338" t="s">
        <v>397</v>
      </c>
      <c r="J338" t="s">
        <v>398</v>
      </c>
      <c r="K338" t="s">
        <v>399</v>
      </c>
      <c r="L338">
        <v>1355</v>
      </c>
      <c r="N338">
        <v>1010</v>
      </c>
      <c r="O338" t="s">
        <v>49</v>
      </c>
      <c r="P338" t="s">
        <v>49</v>
      </c>
      <c r="Q338">
        <v>100</v>
      </c>
      <c r="X338">
        <v>0.01</v>
      </c>
      <c r="Y338">
        <v>120.19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55</v>
      </c>
      <c r="AG338">
        <v>0.01</v>
      </c>
      <c r="AH338">
        <v>2</v>
      </c>
      <c r="AI338">
        <v>55918237</v>
      </c>
      <c r="AJ338">
        <v>302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ROW(Source!A167)</f>
        <v>167</v>
      </c>
      <c r="B339">
        <v>55918238</v>
      </c>
      <c r="C339">
        <v>55918228</v>
      </c>
      <c r="D339">
        <v>55459793</v>
      </c>
      <c r="E339">
        <v>1</v>
      </c>
      <c r="F339">
        <v>1</v>
      </c>
      <c r="G339">
        <v>1081</v>
      </c>
      <c r="H339">
        <v>3</v>
      </c>
      <c r="I339" t="s">
        <v>361</v>
      </c>
      <c r="J339" t="s">
        <v>362</v>
      </c>
      <c r="K339" t="s">
        <v>363</v>
      </c>
      <c r="L339">
        <v>1348</v>
      </c>
      <c r="N339">
        <v>1009</v>
      </c>
      <c r="O339" t="s">
        <v>345</v>
      </c>
      <c r="P339" t="s">
        <v>345</v>
      </c>
      <c r="Q339">
        <v>1000</v>
      </c>
      <c r="X339">
        <v>2.0000000000000002E-5</v>
      </c>
      <c r="Y339">
        <v>64123.05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55</v>
      </c>
      <c r="AG339">
        <v>2.0000000000000002E-5</v>
      </c>
      <c r="AH339">
        <v>2</v>
      </c>
      <c r="AI339">
        <v>55918238</v>
      </c>
      <c r="AJ339">
        <v>303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ROW(Source!A167)</f>
        <v>167</v>
      </c>
      <c r="B340">
        <v>55918239</v>
      </c>
      <c r="C340">
        <v>55918228</v>
      </c>
      <c r="D340">
        <v>55459810</v>
      </c>
      <c r="E340">
        <v>1</v>
      </c>
      <c r="F340">
        <v>1</v>
      </c>
      <c r="G340">
        <v>1081</v>
      </c>
      <c r="H340">
        <v>3</v>
      </c>
      <c r="I340" t="s">
        <v>400</v>
      </c>
      <c r="J340" t="s">
        <v>401</v>
      </c>
      <c r="K340" t="s">
        <v>402</v>
      </c>
      <c r="L340">
        <v>1348</v>
      </c>
      <c r="N340">
        <v>1009</v>
      </c>
      <c r="O340" t="s">
        <v>345</v>
      </c>
      <c r="P340" t="s">
        <v>345</v>
      </c>
      <c r="Q340">
        <v>1000</v>
      </c>
      <c r="X340">
        <v>1E-4</v>
      </c>
      <c r="Y340">
        <v>9238.1299999999992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55</v>
      </c>
      <c r="AG340">
        <v>1E-4</v>
      </c>
      <c r="AH340">
        <v>2</v>
      </c>
      <c r="AI340">
        <v>55918239</v>
      </c>
      <c r="AJ340">
        <v>304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ROW(Source!A167)</f>
        <v>167</v>
      </c>
      <c r="B341">
        <v>55918240</v>
      </c>
      <c r="C341">
        <v>55918228</v>
      </c>
      <c r="D341">
        <v>55482166</v>
      </c>
      <c r="E341">
        <v>1</v>
      </c>
      <c r="F341">
        <v>1</v>
      </c>
      <c r="G341">
        <v>1081</v>
      </c>
      <c r="H341">
        <v>3</v>
      </c>
      <c r="I341" t="s">
        <v>403</v>
      </c>
      <c r="J341" t="s">
        <v>404</v>
      </c>
      <c r="K341" t="s">
        <v>405</v>
      </c>
      <c r="L341">
        <v>1301</v>
      </c>
      <c r="N341">
        <v>1003</v>
      </c>
      <c r="O341" t="s">
        <v>263</v>
      </c>
      <c r="P341" t="s">
        <v>263</v>
      </c>
      <c r="Q341">
        <v>1</v>
      </c>
      <c r="X341">
        <v>1</v>
      </c>
      <c r="Y341">
        <v>0.69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55</v>
      </c>
      <c r="AG341">
        <v>1</v>
      </c>
      <c r="AH341">
        <v>2</v>
      </c>
      <c r="AI341">
        <v>55918240</v>
      </c>
      <c r="AJ341">
        <v>305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ROW(Source!A167)</f>
        <v>167</v>
      </c>
      <c r="B342">
        <v>55918241</v>
      </c>
      <c r="C342">
        <v>55918228</v>
      </c>
      <c r="D342">
        <v>55482445</v>
      </c>
      <c r="E342">
        <v>1</v>
      </c>
      <c r="F342">
        <v>1</v>
      </c>
      <c r="G342">
        <v>1081</v>
      </c>
      <c r="H342">
        <v>3</v>
      </c>
      <c r="I342" t="s">
        <v>406</v>
      </c>
      <c r="J342" t="s">
        <v>407</v>
      </c>
      <c r="K342" t="s">
        <v>408</v>
      </c>
      <c r="L342">
        <v>1356</v>
      </c>
      <c r="N342">
        <v>1010</v>
      </c>
      <c r="O342" t="s">
        <v>409</v>
      </c>
      <c r="P342" t="s">
        <v>409</v>
      </c>
      <c r="Q342">
        <v>1000</v>
      </c>
      <c r="X342">
        <v>0.01</v>
      </c>
      <c r="Y342">
        <v>294.89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55</v>
      </c>
      <c r="AG342">
        <v>0.01</v>
      </c>
      <c r="AH342">
        <v>2</v>
      </c>
      <c r="AI342">
        <v>55918241</v>
      </c>
      <c r="AJ342">
        <v>306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ROW(Source!A167)</f>
        <v>167</v>
      </c>
      <c r="B343">
        <v>55918242</v>
      </c>
      <c r="C343">
        <v>55918228</v>
      </c>
      <c r="D343">
        <v>55481518</v>
      </c>
      <c r="E343">
        <v>1</v>
      </c>
      <c r="F343">
        <v>1</v>
      </c>
      <c r="G343">
        <v>1081</v>
      </c>
      <c r="H343">
        <v>3</v>
      </c>
      <c r="I343" t="s">
        <v>410</v>
      </c>
      <c r="J343" t="s">
        <v>411</v>
      </c>
      <c r="K343" t="s">
        <v>412</v>
      </c>
      <c r="L343">
        <v>1354</v>
      </c>
      <c r="N343">
        <v>1010</v>
      </c>
      <c r="O343" t="s">
        <v>164</v>
      </c>
      <c r="P343" t="s">
        <v>164</v>
      </c>
      <c r="Q343">
        <v>1</v>
      </c>
      <c r="X343">
        <v>1</v>
      </c>
      <c r="Y343">
        <v>15.67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55</v>
      </c>
      <c r="AG343">
        <v>1</v>
      </c>
      <c r="AH343">
        <v>2</v>
      </c>
      <c r="AI343">
        <v>55918242</v>
      </c>
      <c r="AJ343">
        <v>307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ROW(Source!A167)</f>
        <v>167</v>
      </c>
      <c r="B344">
        <v>55918243</v>
      </c>
      <c r="C344">
        <v>55918228</v>
      </c>
      <c r="D344">
        <v>55417010</v>
      </c>
      <c r="E344">
        <v>1081</v>
      </c>
      <c r="F344">
        <v>1</v>
      </c>
      <c r="G344">
        <v>1081</v>
      </c>
      <c r="H344">
        <v>3</v>
      </c>
      <c r="I344" t="s">
        <v>476</v>
      </c>
      <c r="J344" t="s">
        <v>3</v>
      </c>
      <c r="K344" t="s">
        <v>477</v>
      </c>
      <c r="L344">
        <v>1346</v>
      </c>
      <c r="N344">
        <v>1009</v>
      </c>
      <c r="O344" t="s">
        <v>316</v>
      </c>
      <c r="P344" t="s">
        <v>316</v>
      </c>
      <c r="Q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55</v>
      </c>
      <c r="AG344">
        <v>0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ROW(Source!A167)</f>
        <v>167</v>
      </c>
      <c r="B345">
        <v>55918244</v>
      </c>
      <c r="C345">
        <v>55918228</v>
      </c>
      <c r="D345">
        <v>55455661</v>
      </c>
      <c r="E345">
        <v>1081</v>
      </c>
      <c r="F345">
        <v>1</v>
      </c>
      <c r="G345">
        <v>1081</v>
      </c>
      <c r="H345">
        <v>3</v>
      </c>
      <c r="I345" t="s">
        <v>478</v>
      </c>
      <c r="J345" t="s">
        <v>3</v>
      </c>
      <c r="K345" t="s">
        <v>479</v>
      </c>
      <c r="L345">
        <v>1391</v>
      </c>
      <c r="N345">
        <v>1013</v>
      </c>
      <c r="O345" t="s">
        <v>473</v>
      </c>
      <c r="P345" t="s">
        <v>473</v>
      </c>
      <c r="Q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55</v>
      </c>
      <c r="AG345">
        <v>1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ROW(Source!A167)</f>
        <v>167</v>
      </c>
      <c r="B346">
        <v>55918245</v>
      </c>
      <c r="C346">
        <v>55918228</v>
      </c>
      <c r="D346">
        <v>55424290</v>
      </c>
      <c r="E346">
        <v>1081</v>
      </c>
      <c r="F346">
        <v>1</v>
      </c>
      <c r="G346">
        <v>1081</v>
      </c>
      <c r="H346">
        <v>3</v>
      </c>
      <c r="I346" t="s">
        <v>371</v>
      </c>
      <c r="J346" t="s">
        <v>3</v>
      </c>
      <c r="K346" t="s">
        <v>372</v>
      </c>
      <c r="L346">
        <v>1348</v>
      </c>
      <c r="N346">
        <v>1009</v>
      </c>
      <c r="O346" t="s">
        <v>345</v>
      </c>
      <c r="P346" t="s">
        <v>345</v>
      </c>
      <c r="Q346">
        <v>1000</v>
      </c>
      <c r="X346">
        <v>1E-3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55</v>
      </c>
      <c r="AG346">
        <v>1E-3</v>
      </c>
      <c r="AH346">
        <v>2</v>
      </c>
      <c r="AI346">
        <v>55918245</v>
      </c>
      <c r="AJ346">
        <v>308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ROW(Source!A209)</f>
        <v>209</v>
      </c>
      <c r="B347">
        <v>55918321</v>
      </c>
      <c r="C347">
        <v>55918320</v>
      </c>
      <c r="D347">
        <v>55424304</v>
      </c>
      <c r="E347">
        <v>1081</v>
      </c>
      <c r="F347">
        <v>1</v>
      </c>
      <c r="G347">
        <v>1081</v>
      </c>
      <c r="H347">
        <v>1</v>
      </c>
      <c r="I347" t="s">
        <v>339</v>
      </c>
      <c r="J347" t="s">
        <v>3</v>
      </c>
      <c r="K347" t="s">
        <v>340</v>
      </c>
      <c r="L347">
        <v>1191</v>
      </c>
      <c r="N347">
        <v>1013</v>
      </c>
      <c r="O347" t="s">
        <v>341</v>
      </c>
      <c r="P347" t="s">
        <v>341</v>
      </c>
      <c r="Q347">
        <v>1</v>
      </c>
      <c r="X347">
        <v>32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 t="s">
        <v>56</v>
      </c>
      <c r="AG347">
        <v>38.4</v>
      </c>
      <c r="AH347">
        <v>2</v>
      </c>
      <c r="AI347">
        <v>55918321</v>
      </c>
      <c r="AJ347">
        <v>309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ROW(Source!A209)</f>
        <v>209</v>
      </c>
      <c r="B348">
        <v>55918322</v>
      </c>
      <c r="C348">
        <v>55918320</v>
      </c>
      <c r="D348">
        <v>55489528</v>
      </c>
      <c r="E348">
        <v>1</v>
      </c>
      <c r="F348">
        <v>1</v>
      </c>
      <c r="G348">
        <v>1081</v>
      </c>
      <c r="H348">
        <v>2</v>
      </c>
      <c r="I348" t="s">
        <v>435</v>
      </c>
      <c r="J348" t="s">
        <v>436</v>
      </c>
      <c r="K348" t="s">
        <v>437</v>
      </c>
      <c r="L348">
        <v>1368</v>
      </c>
      <c r="N348">
        <v>1011</v>
      </c>
      <c r="O348" t="s">
        <v>376</v>
      </c>
      <c r="P348" t="s">
        <v>376</v>
      </c>
      <c r="Q348">
        <v>1</v>
      </c>
      <c r="X348">
        <v>0.28999999999999998</v>
      </c>
      <c r="Y348">
        <v>0</v>
      </c>
      <c r="Z348">
        <v>6.68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56</v>
      </c>
      <c r="AG348">
        <v>0.34799999999999998</v>
      </c>
      <c r="AH348">
        <v>2</v>
      </c>
      <c r="AI348">
        <v>55918322</v>
      </c>
      <c r="AJ348">
        <v>310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ROW(Source!A209)</f>
        <v>209</v>
      </c>
      <c r="B349">
        <v>55918323</v>
      </c>
      <c r="C349">
        <v>55918320</v>
      </c>
      <c r="D349">
        <v>55459873</v>
      </c>
      <c r="E349">
        <v>1</v>
      </c>
      <c r="F349">
        <v>1</v>
      </c>
      <c r="G349">
        <v>1081</v>
      </c>
      <c r="H349">
        <v>3</v>
      </c>
      <c r="I349" t="s">
        <v>378</v>
      </c>
      <c r="J349" t="s">
        <v>379</v>
      </c>
      <c r="K349" t="s">
        <v>380</v>
      </c>
      <c r="L349">
        <v>1348</v>
      </c>
      <c r="N349">
        <v>1009</v>
      </c>
      <c r="O349" t="s">
        <v>345</v>
      </c>
      <c r="P349" t="s">
        <v>345</v>
      </c>
      <c r="Q349">
        <v>1000</v>
      </c>
      <c r="X349">
        <v>5.6099999999999998E-4</v>
      </c>
      <c r="Y349">
        <v>18495.41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55</v>
      </c>
      <c r="AG349">
        <v>5.6099999999999998E-4</v>
      </c>
      <c r="AH349">
        <v>2</v>
      </c>
      <c r="AI349">
        <v>55918323</v>
      </c>
      <c r="AJ349">
        <v>311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ROW(Source!A209)</f>
        <v>209</v>
      </c>
      <c r="B350">
        <v>55918324</v>
      </c>
      <c r="C350">
        <v>55918320</v>
      </c>
      <c r="D350">
        <v>55459206</v>
      </c>
      <c r="E350">
        <v>1</v>
      </c>
      <c r="F350">
        <v>1</v>
      </c>
      <c r="G350">
        <v>1081</v>
      </c>
      <c r="H350">
        <v>3</v>
      </c>
      <c r="I350" t="s">
        <v>438</v>
      </c>
      <c r="J350" t="s">
        <v>439</v>
      </c>
      <c r="K350" t="s">
        <v>440</v>
      </c>
      <c r="L350">
        <v>1339</v>
      </c>
      <c r="N350">
        <v>1007</v>
      </c>
      <c r="O350" t="s">
        <v>393</v>
      </c>
      <c r="P350" t="s">
        <v>393</v>
      </c>
      <c r="Q350">
        <v>1</v>
      </c>
      <c r="X350">
        <v>0.04</v>
      </c>
      <c r="Y350">
        <v>2464.94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55</v>
      </c>
      <c r="AG350">
        <v>0.04</v>
      </c>
      <c r="AH350">
        <v>2</v>
      </c>
      <c r="AI350">
        <v>55918324</v>
      </c>
      <c r="AJ350">
        <v>312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ROW(Source!A210)</f>
        <v>210</v>
      </c>
      <c r="B351">
        <v>55918321</v>
      </c>
      <c r="C351">
        <v>55918320</v>
      </c>
      <c r="D351">
        <v>55424304</v>
      </c>
      <c r="E351">
        <v>1081</v>
      </c>
      <c r="F351">
        <v>1</v>
      </c>
      <c r="G351">
        <v>1081</v>
      </c>
      <c r="H351">
        <v>1</v>
      </c>
      <c r="I351" t="s">
        <v>339</v>
      </c>
      <c r="J351" t="s">
        <v>3</v>
      </c>
      <c r="K351" t="s">
        <v>340</v>
      </c>
      <c r="L351">
        <v>1191</v>
      </c>
      <c r="N351">
        <v>1013</v>
      </c>
      <c r="O351" t="s">
        <v>341</v>
      </c>
      <c r="P351" t="s">
        <v>341</v>
      </c>
      <c r="Q351">
        <v>1</v>
      </c>
      <c r="X351">
        <v>32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 t="s">
        <v>56</v>
      </c>
      <c r="AG351">
        <v>38.4</v>
      </c>
      <c r="AH351">
        <v>2</v>
      </c>
      <c r="AI351">
        <v>55918321</v>
      </c>
      <c r="AJ351">
        <v>313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ROW(Source!A210)</f>
        <v>210</v>
      </c>
      <c r="B352">
        <v>55918322</v>
      </c>
      <c r="C352">
        <v>55918320</v>
      </c>
      <c r="D352">
        <v>55489528</v>
      </c>
      <c r="E352">
        <v>1</v>
      </c>
      <c r="F352">
        <v>1</v>
      </c>
      <c r="G352">
        <v>1081</v>
      </c>
      <c r="H352">
        <v>2</v>
      </c>
      <c r="I352" t="s">
        <v>435</v>
      </c>
      <c r="J352" t="s">
        <v>436</v>
      </c>
      <c r="K352" t="s">
        <v>437</v>
      </c>
      <c r="L352">
        <v>1368</v>
      </c>
      <c r="N352">
        <v>1011</v>
      </c>
      <c r="O352" t="s">
        <v>376</v>
      </c>
      <c r="P352" t="s">
        <v>376</v>
      </c>
      <c r="Q352">
        <v>1</v>
      </c>
      <c r="X352">
        <v>0.28999999999999998</v>
      </c>
      <c r="Y352">
        <v>0</v>
      </c>
      <c r="Z352">
        <v>6.68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56</v>
      </c>
      <c r="AG352">
        <v>0.34799999999999998</v>
      </c>
      <c r="AH352">
        <v>2</v>
      </c>
      <c r="AI352">
        <v>55918322</v>
      </c>
      <c r="AJ352">
        <v>314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ROW(Source!A210)</f>
        <v>210</v>
      </c>
      <c r="B353">
        <v>55918323</v>
      </c>
      <c r="C353">
        <v>55918320</v>
      </c>
      <c r="D353">
        <v>55459873</v>
      </c>
      <c r="E353">
        <v>1</v>
      </c>
      <c r="F353">
        <v>1</v>
      </c>
      <c r="G353">
        <v>1081</v>
      </c>
      <c r="H353">
        <v>3</v>
      </c>
      <c r="I353" t="s">
        <v>378</v>
      </c>
      <c r="J353" t="s">
        <v>379</v>
      </c>
      <c r="K353" t="s">
        <v>380</v>
      </c>
      <c r="L353">
        <v>1348</v>
      </c>
      <c r="N353">
        <v>1009</v>
      </c>
      <c r="O353" t="s">
        <v>345</v>
      </c>
      <c r="P353" t="s">
        <v>345</v>
      </c>
      <c r="Q353">
        <v>1000</v>
      </c>
      <c r="X353">
        <v>5.6099999999999998E-4</v>
      </c>
      <c r="Y353">
        <v>18495.41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55</v>
      </c>
      <c r="AG353">
        <v>5.6099999999999998E-4</v>
      </c>
      <c r="AH353">
        <v>2</v>
      </c>
      <c r="AI353">
        <v>55918323</v>
      </c>
      <c r="AJ353">
        <v>315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ROW(Source!A210)</f>
        <v>210</v>
      </c>
      <c r="B354">
        <v>55918324</v>
      </c>
      <c r="C354">
        <v>55918320</v>
      </c>
      <c r="D354">
        <v>55459206</v>
      </c>
      <c r="E354">
        <v>1</v>
      </c>
      <c r="F354">
        <v>1</v>
      </c>
      <c r="G354">
        <v>1081</v>
      </c>
      <c r="H354">
        <v>3</v>
      </c>
      <c r="I354" t="s">
        <v>438</v>
      </c>
      <c r="J354" t="s">
        <v>439</v>
      </c>
      <c r="K354" t="s">
        <v>440</v>
      </c>
      <c r="L354">
        <v>1339</v>
      </c>
      <c r="N354">
        <v>1007</v>
      </c>
      <c r="O354" t="s">
        <v>393</v>
      </c>
      <c r="P354" t="s">
        <v>393</v>
      </c>
      <c r="Q354">
        <v>1</v>
      </c>
      <c r="X354">
        <v>0.04</v>
      </c>
      <c r="Y354">
        <v>2464.94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55</v>
      </c>
      <c r="AG354">
        <v>0.04</v>
      </c>
      <c r="AH354">
        <v>2</v>
      </c>
      <c r="AI354">
        <v>55918324</v>
      </c>
      <c r="AJ354">
        <v>316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ROW(Source!A252)</f>
        <v>252</v>
      </c>
      <c r="B355">
        <v>55918407</v>
      </c>
      <c r="C355">
        <v>55918396</v>
      </c>
      <c r="D355">
        <v>55424304</v>
      </c>
      <c r="E355">
        <v>1081</v>
      </c>
      <c r="F355">
        <v>1</v>
      </c>
      <c r="G355">
        <v>1081</v>
      </c>
      <c r="H355">
        <v>1</v>
      </c>
      <c r="I355" t="s">
        <v>339</v>
      </c>
      <c r="J355" t="s">
        <v>3</v>
      </c>
      <c r="K355" t="s">
        <v>340</v>
      </c>
      <c r="L355">
        <v>1191</v>
      </c>
      <c r="N355">
        <v>1013</v>
      </c>
      <c r="O355" t="s">
        <v>341</v>
      </c>
      <c r="P355" t="s">
        <v>341</v>
      </c>
      <c r="Q355">
        <v>1</v>
      </c>
      <c r="X355">
        <v>16.600000000000001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 t="s">
        <v>56</v>
      </c>
      <c r="AG355">
        <v>19.920000000000002</v>
      </c>
      <c r="AH355">
        <v>2</v>
      </c>
      <c r="AI355">
        <v>55918397</v>
      </c>
      <c r="AJ355">
        <v>317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ROW(Source!A252)</f>
        <v>252</v>
      </c>
      <c r="B356">
        <v>55918408</v>
      </c>
      <c r="C356">
        <v>55918396</v>
      </c>
      <c r="D356">
        <v>55490263</v>
      </c>
      <c r="E356">
        <v>1</v>
      </c>
      <c r="F356">
        <v>1</v>
      </c>
      <c r="G356">
        <v>1081</v>
      </c>
      <c r="H356">
        <v>2</v>
      </c>
      <c r="I356" t="s">
        <v>441</v>
      </c>
      <c r="J356" t="s">
        <v>442</v>
      </c>
      <c r="K356" t="s">
        <v>443</v>
      </c>
      <c r="L356">
        <v>1368</v>
      </c>
      <c r="N356">
        <v>1011</v>
      </c>
      <c r="O356" t="s">
        <v>376</v>
      </c>
      <c r="P356" t="s">
        <v>376</v>
      </c>
      <c r="Q356">
        <v>1</v>
      </c>
      <c r="X356">
        <v>1.1499999999999999</v>
      </c>
      <c r="Y356">
        <v>0</v>
      </c>
      <c r="Z356">
        <v>0.77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56</v>
      </c>
      <c r="AG356">
        <v>1.38</v>
      </c>
      <c r="AH356">
        <v>2</v>
      </c>
      <c r="AI356">
        <v>55918398</v>
      </c>
      <c r="AJ356">
        <v>318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ROW(Source!A252)</f>
        <v>252</v>
      </c>
      <c r="B357">
        <v>55918409</v>
      </c>
      <c r="C357">
        <v>55918396</v>
      </c>
      <c r="D357">
        <v>55490296</v>
      </c>
      <c r="E357">
        <v>1</v>
      </c>
      <c r="F357">
        <v>1</v>
      </c>
      <c r="G357">
        <v>1081</v>
      </c>
      <c r="H357">
        <v>2</v>
      </c>
      <c r="I357" t="s">
        <v>444</v>
      </c>
      <c r="J357" t="s">
        <v>445</v>
      </c>
      <c r="K357" t="s">
        <v>446</v>
      </c>
      <c r="L357">
        <v>1368</v>
      </c>
      <c r="N357">
        <v>1011</v>
      </c>
      <c r="O357" t="s">
        <v>376</v>
      </c>
      <c r="P357" t="s">
        <v>376</v>
      </c>
      <c r="Q357">
        <v>1</v>
      </c>
      <c r="X357">
        <v>1.8</v>
      </c>
      <c r="Y357">
        <v>0</v>
      </c>
      <c r="Z357">
        <v>0.47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56</v>
      </c>
      <c r="AG357">
        <v>2.16</v>
      </c>
      <c r="AH357">
        <v>2</v>
      </c>
      <c r="AI357">
        <v>55918399</v>
      </c>
      <c r="AJ357">
        <v>319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ROW(Source!A252)</f>
        <v>252</v>
      </c>
      <c r="B358">
        <v>55918410</v>
      </c>
      <c r="C358">
        <v>55918396</v>
      </c>
      <c r="D358">
        <v>55460960</v>
      </c>
      <c r="E358">
        <v>1</v>
      </c>
      <c r="F358">
        <v>1</v>
      </c>
      <c r="G358">
        <v>1081</v>
      </c>
      <c r="H358">
        <v>3</v>
      </c>
      <c r="I358" t="s">
        <v>447</v>
      </c>
      <c r="J358" t="s">
        <v>448</v>
      </c>
      <c r="K358" t="s">
        <v>449</v>
      </c>
      <c r="L358">
        <v>1348</v>
      </c>
      <c r="N358">
        <v>1009</v>
      </c>
      <c r="O358" t="s">
        <v>345</v>
      </c>
      <c r="P358" t="s">
        <v>345</v>
      </c>
      <c r="Q358">
        <v>1000</v>
      </c>
      <c r="X358">
        <v>1E-3</v>
      </c>
      <c r="Y358">
        <v>58463.58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55</v>
      </c>
      <c r="AG358">
        <v>1E-3</v>
      </c>
      <c r="AH358">
        <v>2</v>
      </c>
      <c r="AI358">
        <v>55918400</v>
      </c>
      <c r="AJ358">
        <v>320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ROW(Source!A252)</f>
        <v>252</v>
      </c>
      <c r="B359">
        <v>55918411</v>
      </c>
      <c r="C359">
        <v>55918396</v>
      </c>
      <c r="D359">
        <v>55461791</v>
      </c>
      <c r="E359">
        <v>1</v>
      </c>
      <c r="F359">
        <v>1</v>
      </c>
      <c r="G359">
        <v>1081</v>
      </c>
      <c r="H359">
        <v>3</v>
      </c>
      <c r="I359" t="s">
        <v>419</v>
      </c>
      <c r="J359" t="s">
        <v>420</v>
      </c>
      <c r="K359" t="s">
        <v>421</v>
      </c>
      <c r="L359">
        <v>1355</v>
      </c>
      <c r="N359">
        <v>1010</v>
      </c>
      <c r="O359" t="s">
        <v>49</v>
      </c>
      <c r="P359" t="s">
        <v>49</v>
      </c>
      <c r="Q359">
        <v>100</v>
      </c>
      <c r="X359">
        <v>2.1419999999999999</v>
      </c>
      <c r="Y359">
        <v>10.6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55</v>
      </c>
      <c r="AG359">
        <v>2.1419999999999999</v>
      </c>
      <c r="AH359">
        <v>2</v>
      </c>
      <c r="AI359">
        <v>55918401</v>
      </c>
      <c r="AJ359">
        <v>321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ROW(Source!A252)</f>
        <v>252</v>
      </c>
      <c r="B360">
        <v>55918412</v>
      </c>
      <c r="C360">
        <v>55918396</v>
      </c>
      <c r="D360">
        <v>55482203</v>
      </c>
      <c r="E360">
        <v>1</v>
      </c>
      <c r="F360">
        <v>1</v>
      </c>
      <c r="G360">
        <v>1081</v>
      </c>
      <c r="H360">
        <v>3</v>
      </c>
      <c r="I360" t="s">
        <v>432</v>
      </c>
      <c r="J360" t="s">
        <v>433</v>
      </c>
      <c r="K360" t="s">
        <v>434</v>
      </c>
      <c r="L360">
        <v>1356</v>
      </c>
      <c r="N360">
        <v>1010</v>
      </c>
      <c r="O360" t="s">
        <v>409</v>
      </c>
      <c r="P360" t="s">
        <v>409</v>
      </c>
      <c r="Q360">
        <v>1000</v>
      </c>
      <c r="X360">
        <v>1.7000000000000001E-2</v>
      </c>
      <c r="Y360">
        <v>226.66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55</v>
      </c>
      <c r="AG360">
        <v>1.7000000000000001E-2</v>
      </c>
      <c r="AH360">
        <v>2</v>
      </c>
      <c r="AI360">
        <v>55918403</v>
      </c>
      <c r="AJ360">
        <v>323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ROW(Source!A252)</f>
        <v>252</v>
      </c>
      <c r="B361">
        <v>55918413</v>
      </c>
      <c r="C361">
        <v>55918396</v>
      </c>
      <c r="D361">
        <v>55481977</v>
      </c>
      <c r="E361">
        <v>1</v>
      </c>
      <c r="F361">
        <v>1</v>
      </c>
      <c r="G361">
        <v>1081</v>
      </c>
      <c r="H361">
        <v>3</v>
      </c>
      <c r="I361" t="s">
        <v>450</v>
      </c>
      <c r="J361" t="s">
        <v>451</v>
      </c>
      <c r="K361" t="s">
        <v>452</v>
      </c>
      <c r="L361">
        <v>1355</v>
      </c>
      <c r="N361">
        <v>1010</v>
      </c>
      <c r="O361" t="s">
        <v>49</v>
      </c>
      <c r="P361" t="s">
        <v>49</v>
      </c>
      <c r="Q361">
        <v>100</v>
      </c>
      <c r="X361">
        <v>0.17</v>
      </c>
      <c r="Y361">
        <v>26.71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55</v>
      </c>
      <c r="AG361">
        <v>0.17</v>
      </c>
      <c r="AH361">
        <v>2</v>
      </c>
      <c r="AI361">
        <v>55918404</v>
      </c>
      <c r="AJ361">
        <v>324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ROW(Source!A252)</f>
        <v>252</v>
      </c>
      <c r="B362">
        <v>55918414</v>
      </c>
      <c r="C362">
        <v>55918396</v>
      </c>
      <c r="D362">
        <v>55469271</v>
      </c>
      <c r="E362">
        <v>1</v>
      </c>
      <c r="F362">
        <v>1</v>
      </c>
      <c r="G362">
        <v>1081</v>
      </c>
      <c r="H362">
        <v>3</v>
      </c>
      <c r="I362" t="s">
        <v>453</v>
      </c>
      <c r="J362" t="s">
        <v>454</v>
      </c>
      <c r="K362" t="s">
        <v>455</v>
      </c>
      <c r="L362">
        <v>1354</v>
      </c>
      <c r="N362">
        <v>1010</v>
      </c>
      <c r="O362" t="s">
        <v>164</v>
      </c>
      <c r="P362" t="s">
        <v>164</v>
      </c>
      <c r="Q362">
        <v>1</v>
      </c>
      <c r="X362">
        <v>0.161</v>
      </c>
      <c r="Y362">
        <v>14.56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55</v>
      </c>
      <c r="AG362">
        <v>0.161</v>
      </c>
      <c r="AH362">
        <v>2</v>
      </c>
      <c r="AI362">
        <v>55918405</v>
      </c>
      <c r="AJ362">
        <v>325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ROW(Source!A252)</f>
        <v>252</v>
      </c>
      <c r="B363">
        <v>55918415</v>
      </c>
      <c r="C363">
        <v>55918396</v>
      </c>
      <c r="D363">
        <v>55428300</v>
      </c>
      <c r="E363">
        <v>1081</v>
      </c>
      <c r="F363">
        <v>1</v>
      </c>
      <c r="G363">
        <v>1081</v>
      </c>
      <c r="H363">
        <v>3</v>
      </c>
      <c r="I363" t="s">
        <v>488</v>
      </c>
      <c r="J363" t="s">
        <v>3</v>
      </c>
      <c r="K363" t="s">
        <v>489</v>
      </c>
      <c r="L363">
        <v>1301</v>
      </c>
      <c r="N363">
        <v>1003</v>
      </c>
      <c r="O363" t="s">
        <v>263</v>
      </c>
      <c r="P363" t="s">
        <v>263</v>
      </c>
      <c r="Q363">
        <v>1</v>
      </c>
      <c r="X363">
        <v>102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55</v>
      </c>
      <c r="AG363">
        <v>102</v>
      </c>
      <c r="AH363">
        <v>3</v>
      </c>
      <c r="AI363">
        <v>-1</v>
      </c>
      <c r="AJ363" t="s">
        <v>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ROW(Source!A252)</f>
        <v>252</v>
      </c>
      <c r="B364">
        <v>55918416</v>
      </c>
      <c r="C364">
        <v>55918396</v>
      </c>
      <c r="D364">
        <v>55432095</v>
      </c>
      <c r="E364">
        <v>1081</v>
      </c>
      <c r="F364">
        <v>1</v>
      </c>
      <c r="G364">
        <v>1081</v>
      </c>
      <c r="H364">
        <v>3</v>
      </c>
      <c r="I364" t="s">
        <v>490</v>
      </c>
      <c r="J364" t="s">
        <v>3</v>
      </c>
      <c r="K364" t="s">
        <v>491</v>
      </c>
      <c r="L364">
        <v>1355</v>
      </c>
      <c r="N364">
        <v>1010</v>
      </c>
      <c r="O364" t="s">
        <v>49</v>
      </c>
      <c r="P364" t="s">
        <v>49</v>
      </c>
      <c r="Q364">
        <v>100</v>
      </c>
      <c r="X364">
        <v>2.1640000000000001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55</v>
      </c>
      <c r="AG364">
        <v>2.1640000000000001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ROW(Source!A252)</f>
        <v>252</v>
      </c>
      <c r="B365">
        <v>55918417</v>
      </c>
      <c r="C365">
        <v>55918396</v>
      </c>
      <c r="D365">
        <v>55438984</v>
      </c>
      <c r="E365">
        <v>1081</v>
      </c>
      <c r="F365">
        <v>1</v>
      </c>
      <c r="G365">
        <v>1081</v>
      </c>
      <c r="H365">
        <v>3</v>
      </c>
      <c r="I365" t="s">
        <v>492</v>
      </c>
      <c r="J365" t="s">
        <v>3</v>
      </c>
      <c r="K365" t="s">
        <v>493</v>
      </c>
      <c r="L365">
        <v>1303</v>
      </c>
      <c r="N365">
        <v>1003</v>
      </c>
      <c r="O365" t="s">
        <v>494</v>
      </c>
      <c r="P365" t="s">
        <v>494</v>
      </c>
      <c r="Q365">
        <v>1000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55</v>
      </c>
      <c r="AG365">
        <v>0</v>
      </c>
      <c r="AH365">
        <v>3</v>
      </c>
      <c r="AI365">
        <v>-1</v>
      </c>
      <c r="AJ365" t="s">
        <v>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ROW(Source!A253)</f>
        <v>253</v>
      </c>
      <c r="B366">
        <v>55918407</v>
      </c>
      <c r="C366">
        <v>55918396</v>
      </c>
      <c r="D366">
        <v>55424304</v>
      </c>
      <c r="E366">
        <v>1081</v>
      </c>
      <c r="F366">
        <v>1</v>
      </c>
      <c r="G366">
        <v>1081</v>
      </c>
      <c r="H366">
        <v>1</v>
      </c>
      <c r="I366" t="s">
        <v>339</v>
      </c>
      <c r="J366" t="s">
        <v>3</v>
      </c>
      <c r="K366" t="s">
        <v>340</v>
      </c>
      <c r="L366">
        <v>1191</v>
      </c>
      <c r="N366">
        <v>1013</v>
      </c>
      <c r="O366" t="s">
        <v>341</v>
      </c>
      <c r="P366" t="s">
        <v>341</v>
      </c>
      <c r="Q366">
        <v>1</v>
      </c>
      <c r="X366">
        <v>16.600000000000001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1</v>
      </c>
      <c r="AF366" t="s">
        <v>56</v>
      </c>
      <c r="AG366">
        <v>19.920000000000002</v>
      </c>
      <c r="AH366">
        <v>2</v>
      </c>
      <c r="AI366">
        <v>55918397</v>
      </c>
      <c r="AJ366">
        <v>326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ROW(Source!A253)</f>
        <v>253</v>
      </c>
      <c r="B367">
        <v>55918408</v>
      </c>
      <c r="C367">
        <v>55918396</v>
      </c>
      <c r="D367">
        <v>55490263</v>
      </c>
      <c r="E367">
        <v>1</v>
      </c>
      <c r="F367">
        <v>1</v>
      </c>
      <c r="G367">
        <v>1081</v>
      </c>
      <c r="H367">
        <v>2</v>
      </c>
      <c r="I367" t="s">
        <v>441</v>
      </c>
      <c r="J367" t="s">
        <v>442</v>
      </c>
      <c r="K367" t="s">
        <v>443</v>
      </c>
      <c r="L367">
        <v>1368</v>
      </c>
      <c r="N367">
        <v>1011</v>
      </c>
      <c r="O367" t="s">
        <v>376</v>
      </c>
      <c r="P367" t="s">
        <v>376</v>
      </c>
      <c r="Q367">
        <v>1</v>
      </c>
      <c r="X367">
        <v>1.1499999999999999</v>
      </c>
      <c r="Y367">
        <v>0</v>
      </c>
      <c r="Z367">
        <v>0.77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56</v>
      </c>
      <c r="AG367">
        <v>1.38</v>
      </c>
      <c r="AH367">
        <v>2</v>
      </c>
      <c r="AI367">
        <v>55918398</v>
      </c>
      <c r="AJ367">
        <v>327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ROW(Source!A253)</f>
        <v>253</v>
      </c>
      <c r="B368">
        <v>55918409</v>
      </c>
      <c r="C368">
        <v>55918396</v>
      </c>
      <c r="D368">
        <v>55490296</v>
      </c>
      <c r="E368">
        <v>1</v>
      </c>
      <c r="F368">
        <v>1</v>
      </c>
      <c r="G368">
        <v>1081</v>
      </c>
      <c r="H368">
        <v>2</v>
      </c>
      <c r="I368" t="s">
        <v>444</v>
      </c>
      <c r="J368" t="s">
        <v>445</v>
      </c>
      <c r="K368" t="s">
        <v>446</v>
      </c>
      <c r="L368">
        <v>1368</v>
      </c>
      <c r="N368">
        <v>1011</v>
      </c>
      <c r="O368" t="s">
        <v>376</v>
      </c>
      <c r="P368" t="s">
        <v>376</v>
      </c>
      <c r="Q368">
        <v>1</v>
      </c>
      <c r="X368">
        <v>1.8</v>
      </c>
      <c r="Y368">
        <v>0</v>
      </c>
      <c r="Z368">
        <v>0.47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56</v>
      </c>
      <c r="AG368">
        <v>2.16</v>
      </c>
      <c r="AH368">
        <v>2</v>
      </c>
      <c r="AI368">
        <v>55918399</v>
      </c>
      <c r="AJ368">
        <v>328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ROW(Source!A253)</f>
        <v>253</v>
      </c>
      <c r="B369">
        <v>55918410</v>
      </c>
      <c r="C369">
        <v>55918396</v>
      </c>
      <c r="D369">
        <v>55460960</v>
      </c>
      <c r="E369">
        <v>1</v>
      </c>
      <c r="F369">
        <v>1</v>
      </c>
      <c r="G369">
        <v>1081</v>
      </c>
      <c r="H369">
        <v>3</v>
      </c>
      <c r="I369" t="s">
        <v>447</v>
      </c>
      <c r="J369" t="s">
        <v>448</v>
      </c>
      <c r="K369" t="s">
        <v>449</v>
      </c>
      <c r="L369">
        <v>1348</v>
      </c>
      <c r="N369">
        <v>1009</v>
      </c>
      <c r="O369" t="s">
        <v>345</v>
      </c>
      <c r="P369" t="s">
        <v>345</v>
      </c>
      <c r="Q369">
        <v>1000</v>
      </c>
      <c r="X369">
        <v>1E-3</v>
      </c>
      <c r="Y369">
        <v>58463.58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55</v>
      </c>
      <c r="AG369">
        <v>1E-3</v>
      </c>
      <c r="AH369">
        <v>2</v>
      </c>
      <c r="AI369">
        <v>55918400</v>
      </c>
      <c r="AJ369">
        <v>329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ROW(Source!A253)</f>
        <v>253</v>
      </c>
      <c r="B370">
        <v>55918411</v>
      </c>
      <c r="C370">
        <v>55918396</v>
      </c>
      <c r="D370">
        <v>55461791</v>
      </c>
      <c r="E370">
        <v>1</v>
      </c>
      <c r="F370">
        <v>1</v>
      </c>
      <c r="G370">
        <v>1081</v>
      </c>
      <c r="H370">
        <v>3</v>
      </c>
      <c r="I370" t="s">
        <v>419</v>
      </c>
      <c r="J370" t="s">
        <v>420</v>
      </c>
      <c r="K370" t="s">
        <v>421</v>
      </c>
      <c r="L370">
        <v>1355</v>
      </c>
      <c r="N370">
        <v>1010</v>
      </c>
      <c r="O370" t="s">
        <v>49</v>
      </c>
      <c r="P370" t="s">
        <v>49</v>
      </c>
      <c r="Q370">
        <v>100</v>
      </c>
      <c r="X370">
        <v>2.1419999999999999</v>
      </c>
      <c r="Y370">
        <v>10.6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55</v>
      </c>
      <c r="AG370">
        <v>2.1419999999999999</v>
      </c>
      <c r="AH370">
        <v>2</v>
      </c>
      <c r="AI370">
        <v>55918401</v>
      </c>
      <c r="AJ370">
        <v>330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ROW(Source!A253)</f>
        <v>253</v>
      </c>
      <c r="B371">
        <v>55918412</v>
      </c>
      <c r="C371">
        <v>55918396</v>
      </c>
      <c r="D371">
        <v>55482203</v>
      </c>
      <c r="E371">
        <v>1</v>
      </c>
      <c r="F371">
        <v>1</v>
      </c>
      <c r="G371">
        <v>1081</v>
      </c>
      <c r="H371">
        <v>3</v>
      </c>
      <c r="I371" t="s">
        <v>432</v>
      </c>
      <c r="J371" t="s">
        <v>433</v>
      </c>
      <c r="K371" t="s">
        <v>434</v>
      </c>
      <c r="L371">
        <v>1356</v>
      </c>
      <c r="N371">
        <v>1010</v>
      </c>
      <c r="O371" t="s">
        <v>409</v>
      </c>
      <c r="P371" t="s">
        <v>409</v>
      </c>
      <c r="Q371">
        <v>1000</v>
      </c>
      <c r="X371">
        <v>1.7000000000000001E-2</v>
      </c>
      <c r="Y371">
        <v>226.66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55</v>
      </c>
      <c r="AG371">
        <v>1.7000000000000001E-2</v>
      </c>
      <c r="AH371">
        <v>2</v>
      </c>
      <c r="AI371">
        <v>55918403</v>
      </c>
      <c r="AJ371">
        <v>332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ROW(Source!A253)</f>
        <v>253</v>
      </c>
      <c r="B372">
        <v>55918413</v>
      </c>
      <c r="C372">
        <v>55918396</v>
      </c>
      <c r="D372">
        <v>55481977</v>
      </c>
      <c r="E372">
        <v>1</v>
      </c>
      <c r="F372">
        <v>1</v>
      </c>
      <c r="G372">
        <v>1081</v>
      </c>
      <c r="H372">
        <v>3</v>
      </c>
      <c r="I372" t="s">
        <v>450</v>
      </c>
      <c r="J372" t="s">
        <v>451</v>
      </c>
      <c r="K372" t="s">
        <v>452</v>
      </c>
      <c r="L372">
        <v>1355</v>
      </c>
      <c r="N372">
        <v>1010</v>
      </c>
      <c r="O372" t="s">
        <v>49</v>
      </c>
      <c r="P372" t="s">
        <v>49</v>
      </c>
      <c r="Q372">
        <v>100</v>
      </c>
      <c r="X372">
        <v>0.17</v>
      </c>
      <c r="Y372">
        <v>26.71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55</v>
      </c>
      <c r="AG372">
        <v>0.17</v>
      </c>
      <c r="AH372">
        <v>2</v>
      </c>
      <c r="AI372">
        <v>55918404</v>
      </c>
      <c r="AJ372">
        <v>333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ROW(Source!A253)</f>
        <v>253</v>
      </c>
      <c r="B373">
        <v>55918414</v>
      </c>
      <c r="C373">
        <v>55918396</v>
      </c>
      <c r="D373">
        <v>55469271</v>
      </c>
      <c r="E373">
        <v>1</v>
      </c>
      <c r="F373">
        <v>1</v>
      </c>
      <c r="G373">
        <v>1081</v>
      </c>
      <c r="H373">
        <v>3</v>
      </c>
      <c r="I373" t="s">
        <v>453</v>
      </c>
      <c r="J373" t="s">
        <v>454</v>
      </c>
      <c r="K373" t="s">
        <v>455</v>
      </c>
      <c r="L373">
        <v>1354</v>
      </c>
      <c r="N373">
        <v>1010</v>
      </c>
      <c r="O373" t="s">
        <v>164</v>
      </c>
      <c r="P373" t="s">
        <v>164</v>
      </c>
      <c r="Q373">
        <v>1</v>
      </c>
      <c r="X373">
        <v>0.161</v>
      </c>
      <c r="Y373">
        <v>14.56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55</v>
      </c>
      <c r="AG373">
        <v>0.161</v>
      </c>
      <c r="AH373">
        <v>2</v>
      </c>
      <c r="AI373">
        <v>55918405</v>
      </c>
      <c r="AJ373">
        <v>334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ROW(Source!A253)</f>
        <v>253</v>
      </c>
      <c r="B374">
        <v>55918415</v>
      </c>
      <c r="C374">
        <v>55918396</v>
      </c>
      <c r="D374">
        <v>55428300</v>
      </c>
      <c r="E374">
        <v>1081</v>
      </c>
      <c r="F374">
        <v>1</v>
      </c>
      <c r="G374">
        <v>1081</v>
      </c>
      <c r="H374">
        <v>3</v>
      </c>
      <c r="I374" t="s">
        <v>488</v>
      </c>
      <c r="J374" t="s">
        <v>3</v>
      </c>
      <c r="K374" t="s">
        <v>489</v>
      </c>
      <c r="L374">
        <v>1301</v>
      </c>
      <c r="N374">
        <v>1003</v>
      </c>
      <c r="O374" t="s">
        <v>263</v>
      </c>
      <c r="P374" t="s">
        <v>263</v>
      </c>
      <c r="Q374">
        <v>1</v>
      </c>
      <c r="X374">
        <v>102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55</v>
      </c>
      <c r="AG374">
        <v>102</v>
      </c>
      <c r="AH374">
        <v>3</v>
      </c>
      <c r="AI374">
        <v>-1</v>
      </c>
      <c r="AJ374" t="s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ROW(Source!A253)</f>
        <v>253</v>
      </c>
      <c r="B375">
        <v>55918416</v>
      </c>
      <c r="C375">
        <v>55918396</v>
      </c>
      <c r="D375">
        <v>55432095</v>
      </c>
      <c r="E375">
        <v>1081</v>
      </c>
      <c r="F375">
        <v>1</v>
      </c>
      <c r="G375">
        <v>1081</v>
      </c>
      <c r="H375">
        <v>3</v>
      </c>
      <c r="I375" t="s">
        <v>490</v>
      </c>
      <c r="J375" t="s">
        <v>3</v>
      </c>
      <c r="K375" t="s">
        <v>491</v>
      </c>
      <c r="L375">
        <v>1355</v>
      </c>
      <c r="N375">
        <v>1010</v>
      </c>
      <c r="O375" t="s">
        <v>49</v>
      </c>
      <c r="P375" t="s">
        <v>49</v>
      </c>
      <c r="Q375">
        <v>100</v>
      </c>
      <c r="X375">
        <v>2.1640000000000001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55</v>
      </c>
      <c r="AG375">
        <v>2.1640000000000001</v>
      </c>
      <c r="AH375">
        <v>3</v>
      </c>
      <c r="AI375">
        <v>-1</v>
      </c>
      <c r="AJ375" t="s">
        <v>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ROW(Source!A253)</f>
        <v>253</v>
      </c>
      <c r="B376">
        <v>55918417</v>
      </c>
      <c r="C376">
        <v>55918396</v>
      </c>
      <c r="D376">
        <v>55438984</v>
      </c>
      <c r="E376">
        <v>1081</v>
      </c>
      <c r="F376">
        <v>1</v>
      </c>
      <c r="G376">
        <v>1081</v>
      </c>
      <c r="H376">
        <v>3</v>
      </c>
      <c r="I376" t="s">
        <v>492</v>
      </c>
      <c r="J376" t="s">
        <v>3</v>
      </c>
      <c r="K376" t="s">
        <v>493</v>
      </c>
      <c r="L376">
        <v>1303</v>
      </c>
      <c r="N376">
        <v>1003</v>
      </c>
      <c r="O376" t="s">
        <v>494</v>
      </c>
      <c r="P376" t="s">
        <v>494</v>
      </c>
      <c r="Q376">
        <v>1000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55</v>
      </c>
      <c r="AG376">
        <v>0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ROW(Source!A264)</f>
        <v>264</v>
      </c>
      <c r="B377">
        <v>55928097</v>
      </c>
      <c r="C377">
        <v>55928087</v>
      </c>
      <c r="D377">
        <v>55424304</v>
      </c>
      <c r="E377">
        <v>1081</v>
      </c>
      <c r="F377">
        <v>1</v>
      </c>
      <c r="G377">
        <v>1081</v>
      </c>
      <c r="H377">
        <v>1</v>
      </c>
      <c r="I377" t="s">
        <v>339</v>
      </c>
      <c r="J377" t="s">
        <v>3</v>
      </c>
      <c r="K377" t="s">
        <v>340</v>
      </c>
      <c r="L377">
        <v>1191</v>
      </c>
      <c r="N377">
        <v>1013</v>
      </c>
      <c r="O377" t="s">
        <v>341</v>
      </c>
      <c r="P377" t="s">
        <v>341</v>
      </c>
      <c r="Q377">
        <v>1</v>
      </c>
      <c r="X377">
        <v>33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1</v>
      </c>
      <c r="AF377" t="s">
        <v>56</v>
      </c>
      <c r="AG377">
        <v>39.6</v>
      </c>
      <c r="AH377">
        <v>2</v>
      </c>
      <c r="AI377">
        <v>55928088</v>
      </c>
      <c r="AJ377">
        <v>335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ROW(Source!A264)</f>
        <v>264</v>
      </c>
      <c r="B378">
        <v>55928098</v>
      </c>
      <c r="C378">
        <v>55928087</v>
      </c>
      <c r="D378">
        <v>55489910</v>
      </c>
      <c r="E378">
        <v>1</v>
      </c>
      <c r="F378">
        <v>1</v>
      </c>
      <c r="G378">
        <v>1081</v>
      </c>
      <c r="H378">
        <v>2</v>
      </c>
      <c r="I378" t="s">
        <v>456</v>
      </c>
      <c r="J378" t="s">
        <v>457</v>
      </c>
      <c r="K378" t="s">
        <v>458</v>
      </c>
      <c r="L378">
        <v>1368</v>
      </c>
      <c r="N378">
        <v>1011</v>
      </c>
      <c r="O378" t="s">
        <v>376</v>
      </c>
      <c r="P378" t="s">
        <v>376</v>
      </c>
      <c r="Q378">
        <v>1</v>
      </c>
      <c r="X378">
        <v>5.33</v>
      </c>
      <c r="Y378">
        <v>0</v>
      </c>
      <c r="Z378">
        <v>7.11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56</v>
      </c>
      <c r="AG378">
        <v>6.3959999999999999</v>
      </c>
      <c r="AH378">
        <v>2</v>
      </c>
      <c r="AI378">
        <v>55928089</v>
      </c>
      <c r="AJ378">
        <v>336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ROW(Source!A264)</f>
        <v>264</v>
      </c>
      <c r="B379">
        <v>55928099</v>
      </c>
      <c r="C379">
        <v>55928087</v>
      </c>
      <c r="D379">
        <v>55490209</v>
      </c>
      <c r="E379">
        <v>1</v>
      </c>
      <c r="F379">
        <v>1</v>
      </c>
      <c r="G379">
        <v>1081</v>
      </c>
      <c r="H379">
        <v>2</v>
      </c>
      <c r="I379" t="s">
        <v>422</v>
      </c>
      <c r="J379" t="s">
        <v>423</v>
      </c>
      <c r="K379" t="s">
        <v>424</v>
      </c>
      <c r="L379">
        <v>1368</v>
      </c>
      <c r="N379">
        <v>1011</v>
      </c>
      <c r="O379" t="s">
        <v>376</v>
      </c>
      <c r="P379" t="s">
        <v>376</v>
      </c>
      <c r="Q379">
        <v>1</v>
      </c>
      <c r="X379">
        <v>0.23</v>
      </c>
      <c r="Y379">
        <v>0</v>
      </c>
      <c r="Z379">
        <v>83.1</v>
      </c>
      <c r="AA379">
        <v>12.62</v>
      </c>
      <c r="AB379">
        <v>0</v>
      </c>
      <c r="AC379">
        <v>0</v>
      </c>
      <c r="AD379">
        <v>1</v>
      </c>
      <c r="AE379">
        <v>0</v>
      </c>
      <c r="AF379" t="s">
        <v>56</v>
      </c>
      <c r="AG379">
        <v>0.27600000000000002</v>
      </c>
      <c r="AH379">
        <v>2</v>
      </c>
      <c r="AI379">
        <v>55928090</v>
      </c>
      <c r="AJ379">
        <v>337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ROW(Source!A264)</f>
        <v>264</v>
      </c>
      <c r="B380">
        <v>55928100</v>
      </c>
      <c r="C380">
        <v>55928087</v>
      </c>
      <c r="D380">
        <v>55490330</v>
      </c>
      <c r="E380">
        <v>1</v>
      </c>
      <c r="F380">
        <v>1</v>
      </c>
      <c r="G380">
        <v>1081</v>
      </c>
      <c r="H380">
        <v>2</v>
      </c>
      <c r="I380" t="s">
        <v>459</v>
      </c>
      <c r="J380" t="s">
        <v>460</v>
      </c>
      <c r="K380" t="s">
        <v>461</v>
      </c>
      <c r="L380">
        <v>1368</v>
      </c>
      <c r="N380">
        <v>1011</v>
      </c>
      <c r="O380" t="s">
        <v>376</v>
      </c>
      <c r="P380" t="s">
        <v>376</v>
      </c>
      <c r="Q380">
        <v>1</v>
      </c>
      <c r="X380">
        <v>5.27</v>
      </c>
      <c r="Y380">
        <v>0</v>
      </c>
      <c r="Z380">
        <v>0.8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56</v>
      </c>
      <c r="AG380">
        <v>6.323999999999999</v>
      </c>
      <c r="AH380">
        <v>2</v>
      </c>
      <c r="AI380">
        <v>55928091</v>
      </c>
      <c r="AJ380">
        <v>338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f>ROW(Source!A264)</f>
        <v>264</v>
      </c>
      <c r="B381">
        <v>55928101</v>
      </c>
      <c r="C381">
        <v>55928087</v>
      </c>
      <c r="D381">
        <v>55460380</v>
      </c>
      <c r="E381">
        <v>1</v>
      </c>
      <c r="F381">
        <v>1</v>
      </c>
      <c r="G381">
        <v>1081</v>
      </c>
      <c r="H381">
        <v>3</v>
      </c>
      <c r="I381" t="s">
        <v>462</v>
      </c>
      <c r="J381" t="s">
        <v>463</v>
      </c>
      <c r="K381" t="s">
        <v>464</v>
      </c>
      <c r="L381">
        <v>1348</v>
      </c>
      <c r="N381">
        <v>1009</v>
      </c>
      <c r="O381" t="s">
        <v>345</v>
      </c>
      <c r="P381" t="s">
        <v>345</v>
      </c>
      <c r="Q381">
        <v>1000</v>
      </c>
      <c r="X381">
        <v>3.0000000000000001E-3</v>
      </c>
      <c r="Y381">
        <v>8590.86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55</v>
      </c>
      <c r="AG381">
        <v>3.0000000000000001E-3</v>
      </c>
      <c r="AH381">
        <v>2</v>
      </c>
      <c r="AI381">
        <v>55928092</v>
      </c>
      <c r="AJ381">
        <v>339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f>ROW(Source!A264)</f>
        <v>264</v>
      </c>
      <c r="B382">
        <v>55928102</v>
      </c>
      <c r="C382">
        <v>55928087</v>
      </c>
      <c r="D382">
        <v>55460882</v>
      </c>
      <c r="E382">
        <v>1</v>
      </c>
      <c r="F382">
        <v>1</v>
      </c>
      <c r="G382">
        <v>1081</v>
      </c>
      <c r="H382">
        <v>3</v>
      </c>
      <c r="I382" t="s">
        <v>465</v>
      </c>
      <c r="J382" t="s">
        <v>466</v>
      </c>
      <c r="K382" t="s">
        <v>467</v>
      </c>
      <c r="L382">
        <v>1348</v>
      </c>
      <c r="N382">
        <v>1009</v>
      </c>
      <c r="O382" t="s">
        <v>345</v>
      </c>
      <c r="P382" t="s">
        <v>345</v>
      </c>
      <c r="Q382">
        <v>1000</v>
      </c>
      <c r="X382">
        <v>5.8E-4</v>
      </c>
      <c r="Y382">
        <v>14327.51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55</v>
      </c>
      <c r="AG382">
        <v>5.8E-4</v>
      </c>
      <c r="AH382">
        <v>2</v>
      </c>
      <c r="AI382">
        <v>55928093</v>
      </c>
      <c r="AJ382">
        <v>340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>
        <f>ROW(Source!A264)</f>
        <v>264</v>
      </c>
      <c r="B383">
        <v>55928103</v>
      </c>
      <c r="C383">
        <v>55928087</v>
      </c>
      <c r="D383">
        <v>55459404</v>
      </c>
      <c r="E383">
        <v>1</v>
      </c>
      <c r="F383">
        <v>1</v>
      </c>
      <c r="G383">
        <v>1081</v>
      </c>
      <c r="H383">
        <v>3</v>
      </c>
      <c r="I383" t="s">
        <v>358</v>
      </c>
      <c r="J383" t="s">
        <v>359</v>
      </c>
      <c r="K383" t="s">
        <v>360</v>
      </c>
      <c r="L383">
        <v>1346</v>
      </c>
      <c r="N383">
        <v>1009</v>
      </c>
      <c r="O383" t="s">
        <v>316</v>
      </c>
      <c r="P383" t="s">
        <v>316</v>
      </c>
      <c r="Q383">
        <v>1</v>
      </c>
      <c r="X383">
        <v>0.55000000000000004</v>
      </c>
      <c r="Y383">
        <v>73.53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55</v>
      </c>
      <c r="AG383">
        <v>0.55000000000000004</v>
      </c>
      <c r="AH383">
        <v>2</v>
      </c>
      <c r="AI383">
        <v>55928094</v>
      </c>
      <c r="AJ383">
        <v>341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f>ROW(Source!A264)</f>
        <v>264</v>
      </c>
      <c r="B384">
        <v>55928104</v>
      </c>
      <c r="C384">
        <v>55928087</v>
      </c>
      <c r="D384">
        <v>55482614</v>
      </c>
      <c r="E384">
        <v>1</v>
      </c>
      <c r="F384">
        <v>1</v>
      </c>
      <c r="G384">
        <v>1081</v>
      </c>
      <c r="H384">
        <v>3</v>
      </c>
      <c r="I384" t="s">
        <v>468</v>
      </c>
      <c r="J384" t="s">
        <v>469</v>
      </c>
      <c r="K384" t="s">
        <v>470</v>
      </c>
      <c r="L384">
        <v>1355</v>
      </c>
      <c r="N384">
        <v>1010</v>
      </c>
      <c r="O384" t="s">
        <v>49</v>
      </c>
      <c r="P384" t="s">
        <v>49</v>
      </c>
      <c r="Q384">
        <v>100</v>
      </c>
      <c r="X384">
        <v>2.2000000000000002</v>
      </c>
      <c r="Y384">
        <v>323.76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55</v>
      </c>
      <c r="AG384">
        <v>2.2000000000000002</v>
      </c>
      <c r="AH384">
        <v>2</v>
      </c>
      <c r="AI384">
        <v>55928096</v>
      </c>
      <c r="AJ384">
        <v>343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>
        <f>ROW(Source!A264)</f>
        <v>264</v>
      </c>
      <c r="B385">
        <v>55928105</v>
      </c>
      <c r="C385">
        <v>55928087</v>
      </c>
      <c r="D385">
        <v>55433559</v>
      </c>
      <c r="E385">
        <v>1081</v>
      </c>
      <c r="F385">
        <v>1</v>
      </c>
      <c r="G385">
        <v>1081</v>
      </c>
      <c r="H385">
        <v>3</v>
      </c>
      <c r="I385" t="s">
        <v>495</v>
      </c>
      <c r="J385" t="s">
        <v>3</v>
      </c>
      <c r="K385" t="s">
        <v>496</v>
      </c>
      <c r="L385">
        <v>1356</v>
      </c>
      <c r="N385">
        <v>1010</v>
      </c>
      <c r="O385" t="s">
        <v>409</v>
      </c>
      <c r="P385" t="s">
        <v>409</v>
      </c>
      <c r="Q385">
        <v>1000</v>
      </c>
      <c r="X385">
        <v>0.22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55</v>
      </c>
      <c r="AG385">
        <v>0.22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f>ROW(Source!A264)</f>
        <v>264</v>
      </c>
      <c r="B386">
        <v>55928106</v>
      </c>
      <c r="C386">
        <v>55928087</v>
      </c>
      <c r="D386">
        <v>55434495</v>
      </c>
      <c r="E386">
        <v>1081</v>
      </c>
      <c r="F386">
        <v>1</v>
      </c>
      <c r="G386">
        <v>1081</v>
      </c>
      <c r="H386">
        <v>3</v>
      </c>
      <c r="I386" t="s">
        <v>497</v>
      </c>
      <c r="J386" t="s">
        <v>3</v>
      </c>
      <c r="K386" t="s">
        <v>498</v>
      </c>
      <c r="L386">
        <v>1303</v>
      </c>
      <c r="N386">
        <v>1003</v>
      </c>
      <c r="O386" t="s">
        <v>494</v>
      </c>
      <c r="P386" t="s">
        <v>494</v>
      </c>
      <c r="Q386">
        <v>1000</v>
      </c>
      <c r="X386">
        <v>0.10199999999999999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55</v>
      </c>
      <c r="AG386">
        <v>0.10199999999999999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f>ROW(Source!A264)</f>
        <v>264</v>
      </c>
      <c r="B387">
        <v>55928107</v>
      </c>
      <c r="C387">
        <v>55928087</v>
      </c>
      <c r="D387">
        <v>55441156</v>
      </c>
      <c r="E387">
        <v>1081</v>
      </c>
      <c r="F387">
        <v>1</v>
      </c>
      <c r="G387">
        <v>1081</v>
      </c>
      <c r="H387">
        <v>3</v>
      </c>
      <c r="I387" t="s">
        <v>499</v>
      </c>
      <c r="J387" t="s">
        <v>3</v>
      </c>
      <c r="K387" t="s">
        <v>500</v>
      </c>
      <c r="L387">
        <v>1348</v>
      </c>
      <c r="N387">
        <v>1009</v>
      </c>
      <c r="O387" t="s">
        <v>345</v>
      </c>
      <c r="P387" t="s">
        <v>345</v>
      </c>
      <c r="Q387">
        <v>1000</v>
      </c>
      <c r="X387">
        <v>6.8999999999999997E-4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55</v>
      </c>
      <c r="AG387">
        <v>6.8999999999999997E-4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>
        <f>ROW(Source!A265)</f>
        <v>265</v>
      </c>
      <c r="B388">
        <v>55928097</v>
      </c>
      <c r="C388">
        <v>55928087</v>
      </c>
      <c r="D388">
        <v>55424304</v>
      </c>
      <c r="E388">
        <v>1081</v>
      </c>
      <c r="F388">
        <v>1</v>
      </c>
      <c r="G388">
        <v>1081</v>
      </c>
      <c r="H388">
        <v>1</v>
      </c>
      <c r="I388" t="s">
        <v>339</v>
      </c>
      <c r="J388" t="s">
        <v>3</v>
      </c>
      <c r="K388" t="s">
        <v>340</v>
      </c>
      <c r="L388">
        <v>1191</v>
      </c>
      <c r="N388">
        <v>1013</v>
      </c>
      <c r="O388" t="s">
        <v>341</v>
      </c>
      <c r="P388" t="s">
        <v>341</v>
      </c>
      <c r="Q388">
        <v>1</v>
      </c>
      <c r="X388">
        <v>33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 t="s">
        <v>56</v>
      </c>
      <c r="AG388">
        <v>39.6</v>
      </c>
      <c r="AH388">
        <v>2</v>
      </c>
      <c r="AI388">
        <v>55928088</v>
      </c>
      <c r="AJ388">
        <v>344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f>ROW(Source!A265)</f>
        <v>265</v>
      </c>
      <c r="B389">
        <v>55928098</v>
      </c>
      <c r="C389">
        <v>55928087</v>
      </c>
      <c r="D389">
        <v>55489910</v>
      </c>
      <c r="E389">
        <v>1</v>
      </c>
      <c r="F389">
        <v>1</v>
      </c>
      <c r="G389">
        <v>1081</v>
      </c>
      <c r="H389">
        <v>2</v>
      </c>
      <c r="I389" t="s">
        <v>456</v>
      </c>
      <c r="J389" t="s">
        <v>457</v>
      </c>
      <c r="K389" t="s">
        <v>458</v>
      </c>
      <c r="L389">
        <v>1368</v>
      </c>
      <c r="N389">
        <v>1011</v>
      </c>
      <c r="O389" t="s">
        <v>376</v>
      </c>
      <c r="P389" t="s">
        <v>376</v>
      </c>
      <c r="Q389">
        <v>1</v>
      </c>
      <c r="X389">
        <v>5.33</v>
      </c>
      <c r="Y389">
        <v>0</v>
      </c>
      <c r="Z389">
        <v>7.11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56</v>
      </c>
      <c r="AG389">
        <v>6.3959999999999999</v>
      </c>
      <c r="AH389">
        <v>2</v>
      </c>
      <c r="AI389">
        <v>55928089</v>
      </c>
      <c r="AJ389">
        <v>345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f>ROW(Source!A265)</f>
        <v>265</v>
      </c>
      <c r="B390">
        <v>55928099</v>
      </c>
      <c r="C390">
        <v>55928087</v>
      </c>
      <c r="D390">
        <v>55490209</v>
      </c>
      <c r="E390">
        <v>1</v>
      </c>
      <c r="F390">
        <v>1</v>
      </c>
      <c r="G390">
        <v>1081</v>
      </c>
      <c r="H390">
        <v>2</v>
      </c>
      <c r="I390" t="s">
        <v>422</v>
      </c>
      <c r="J390" t="s">
        <v>423</v>
      </c>
      <c r="K390" t="s">
        <v>424</v>
      </c>
      <c r="L390">
        <v>1368</v>
      </c>
      <c r="N390">
        <v>1011</v>
      </c>
      <c r="O390" t="s">
        <v>376</v>
      </c>
      <c r="P390" t="s">
        <v>376</v>
      </c>
      <c r="Q390">
        <v>1</v>
      </c>
      <c r="X390">
        <v>0.23</v>
      </c>
      <c r="Y390">
        <v>0</v>
      </c>
      <c r="Z390">
        <v>83.1</v>
      </c>
      <c r="AA390">
        <v>12.62</v>
      </c>
      <c r="AB390">
        <v>0</v>
      </c>
      <c r="AC390">
        <v>0</v>
      </c>
      <c r="AD390">
        <v>1</v>
      </c>
      <c r="AE390">
        <v>0</v>
      </c>
      <c r="AF390" t="s">
        <v>56</v>
      </c>
      <c r="AG390">
        <v>0.27600000000000002</v>
      </c>
      <c r="AH390">
        <v>2</v>
      </c>
      <c r="AI390">
        <v>55928090</v>
      </c>
      <c r="AJ390">
        <v>346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>
        <f>ROW(Source!A265)</f>
        <v>265</v>
      </c>
      <c r="B391">
        <v>55928100</v>
      </c>
      <c r="C391">
        <v>55928087</v>
      </c>
      <c r="D391">
        <v>55490330</v>
      </c>
      <c r="E391">
        <v>1</v>
      </c>
      <c r="F391">
        <v>1</v>
      </c>
      <c r="G391">
        <v>1081</v>
      </c>
      <c r="H391">
        <v>2</v>
      </c>
      <c r="I391" t="s">
        <v>459</v>
      </c>
      <c r="J391" t="s">
        <v>460</v>
      </c>
      <c r="K391" t="s">
        <v>461</v>
      </c>
      <c r="L391">
        <v>1368</v>
      </c>
      <c r="N391">
        <v>1011</v>
      </c>
      <c r="O391" t="s">
        <v>376</v>
      </c>
      <c r="P391" t="s">
        <v>376</v>
      </c>
      <c r="Q391">
        <v>1</v>
      </c>
      <c r="X391">
        <v>5.27</v>
      </c>
      <c r="Y391">
        <v>0</v>
      </c>
      <c r="Z391">
        <v>0.8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56</v>
      </c>
      <c r="AG391">
        <v>6.323999999999999</v>
      </c>
      <c r="AH391">
        <v>2</v>
      </c>
      <c r="AI391">
        <v>55928091</v>
      </c>
      <c r="AJ391">
        <v>347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f>ROW(Source!A265)</f>
        <v>265</v>
      </c>
      <c r="B392">
        <v>55928101</v>
      </c>
      <c r="C392">
        <v>55928087</v>
      </c>
      <c r="D392">
        <v>55460380</v>
      </c>
      <c r="E392">
        <v>1</v>
      </c>
      <c r="F392">
        <v>1</v>
      </c>
      <c r="G392">
        <v>1081</v>
      </c>
      <c r="H392">
        <v>3</v>
      </c>
      <c r="I392" t="s">
        <v>462</v>
      </c>
      <c r="J392" t="s">
        <v>463</v>
      </c>
      <c r="K392" t="s">
        <v>464</v>
      </c>
      <c r="L392">
        <v>1348</v>
      </c>
      <c r="N392">
        <v>1009</v>
      </c>
      <c r="O392" t="s">
        <v>345</v>
      </c>
      <c r="P392" t="s">
        <v>345</v>
      </c>
      <c r="Q392">
        <v>1000</v>
      </c>
      <c r="X392">
        <v>3.0000000000000001E-3</v>
      </c>
      <c r="Y392">
        <v>8590.86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55</v>
      </c>
      <c r="AG392">
        <v>3.0000000000000001E-3</v>
      </c>
      <c r="AH392">
        <v>2</v>
      </c>
      <c r="AI392">
        <v>55928092</v>
      </c>
      <c r="AJ392">
        <v>348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f>ROW(Source!A265)</f>
        <v>265</v>
      </c>
      <c r="B393">
        <v>55928102</v>
      </c>
      <c r="C393">
        <v>55928087</v>
      </c>
      <c r="D393">
        <v>55460882</v>
      </c>
      <c r="E393">
        <v>1</v>
      </c>
      <c r="F393">
        <v>1</v>
      </c>
      <c r="G393">
        <v>1081</v>
      </c>
      <c r="H393">
        <v>3</v>
      </c>
      <c r="I393" t="s">
        <v>465</v>
      </c>
      <c r="J393" t="s">
        <v>466</v>
      </c>
      <c r="K393" t="s">
        <v>467</v>
      </c>
      <c r="L393">
        <v>1348</v>
      </c>
      <c r="N393">
        <v>1009</v>
      </c>
      <c r="O393" t="s">
        <v>345</v>
      </c>
      <c r="P393" t="s">
        <v>345</v>
      </c>
      <c r="Q393">
        <v>1000</v>
      </c>
      <c r="X393">
        <v>5.8E-4</v>
      </c>
      <c r="Y393">
        <v>14327.51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55</v>
      </c>
      <c r="AG393">
        <v>5.8E-4</v>
      </c>
      <c r="AH393">
        <v>2</v>
      </c>
      <c r="AI393">
        <v>55928093</v>
      </c>
      <c r="AJ393">
        <v>349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>
        <f>ROW(Source!A265)</f>
        <v>265</v>
      </c>
      <c r="B394">
        <v>55928103</v>
      </c>
      <c r="C394">
        <v>55928087</v>
      </c>
      <c r="D394">
        <v>55459404</v>
      </c>
      <c r="E394">
        <v>1</v>
      </c>
      <c r="F394">
        <v>1</v>
      </c>
      <c r="G394">
        <v>1081</v>
      </c>
      <c r="H394">
        <v>3</v>
      </c>
      <c r="I394" t="s">
        <v>358</v>
      </c>
      <c r="J394" t="s">
        <v>359</v>
      </c>
      <c r="K394" t="s">
        <v>360</v>
      </c>
      <c r="L394">
        <v>1346</v>
      </c>
      <c r="N394">
        <v>1009</v>
      </c>
      <c r="O394" t="s">
        <v>316</v>
      </c>
      <c r="P394" t="s">
        <v>316</v>
      </c>
      <c r="Q394">
        <v>1</v>
      </c>
      <c r="X394">
        <v>0.55000000000000004</v>
      </c>
      <c r="Y394">
        <v>73.53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55</v>
      </c>
      <c r="AG394">
        <v>0.55000000000000004</v>
      </c>
      <c r="AH394">
        <v>2</v>
      </c>
      <c r="AI394">
        <v>55928094</v>
      </c>
      <c r="AJ394">
        <v>350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f>ROW(Source!A265)</f>
        <v>265</v>
      </c>
      <c r="B395">
        <v>55928104</v>
      </c>
      <c r="C395">
        <v>55928087</v>
      </c>
      <c r="D395">
        <v>55482614</v>
      </c>
      <c r="E395">
        <v>1</v>
      </c>
      <c r="F395">
        <v>1</v>
      </c>
      <c r="G395">
        <v>1081</v>
      </c>
      <c r="H395">
        <v>3</v>
      </c>
      <c r="I395" t="s">
        <v>468</v>
      </c>
      <c r="J395" t="s">
        <v>469</v>
      </c>
      <c r="K395" t="s">
        <v>470</v>
      </c>
      <c r="L395">
        <v>1355</v>
      </c>
      <c r="N395">
        <v>1010</v>
      </c>
      <c r="O395" t="s">
        <v>49</v>
      </c>
      <c r="P395" t="s">
        <v>49</v>
      </c>
      <c r="Q395">
        <v>100</v>
      </c>
      <c r="X395">
        <v>2.2000000000000002</v>
      </c>
      <c r="Y395">
        <v>323.76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55</v>
      </c>
      <c r="AG395">
        <v>2.2000000000000002</v>
      </c>
      <c r="AH395">
        <v>2</v>
      </c>
      <c r="AI395">
        <v>55928096</v>
      </c>
      <c r="AJ395">
        <v>352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>
        <f>ROW(Source!A265)</f>
        <v>265</v>
      </c>
      <c r="B396">
        <v>55928105</v>
      </c>
      <c r="C396">
        <v>55928087</v>
      </c>
      <c r="D396">
        <v>55433559</v>
      </c>
      <c r="E396">
        <v>1081</v>
      </c>
      <c r="F396">
        <v>1</v>
      </c>
      <c r="G396">
        <v>1081</v>
      </c>
      <c r="H396">
        <v>3</v>
      </c>
      <c r="I396" t="s">
        <v>495</v>
      </c>
      <c r="J396" t="s">
        <v>3</v>
      </c>
      <c r="K396" t="s">
        <v>496</v>
      </c>
      <c r="L396">
        <v>1356</v>
      </c>
      <c r="N396">
        <v>1010</v>
      </c>
      <c r="O396" t="s">
        <v>409</v>
      </c>
      <c r="P396" t="s">
        <v>409</v>
      </c>
      <c r="Q396">
        <v>1000</v>
      </c>
      <c r="X396">
        <v>0.22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55</v>
      </c>
      <c r="AG396">
        <v>0.22</v>
      </c>
      <c r="AH396">
        <v>3</v>
      </c>
      <c r="AI396">
        <v>-1</v>
      </c>
      <c r="AJ396" t="s">
        <v>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f>ROW(Source!A265)</f>
        <v>265</v>
      </c>
      <c r="B397">
        <v>55928106</v>
      </c>
      <c r="C397">
        <v>55928087</v>
      </c>
      <c r="D397">
        <v>55434495</v>
      </c>
      <c r="E397">
        <v>1081</v>
      </c>
      <c r="F397">
        <v>1</v>
      </c>
      <c r="G397">
        <v>1081</v>
      </c>
      <c r="H397">
        <v>3</v>
      </c>
      <c r="I397" t="s">
        <v>497</v>
      </c>
      <c r="J397" t="s">
        <v>3</v>
      </c>
      <c r="K397" t="s">
        <v>498</v>
      </c>
      <c r="L397">
        <v>1303</v>
      </c>
      <c r="N397">
        <v>1003</v>
      </c>
      <c r="O397" t="s">
        <v>494</v>
      </c>
      <c r="P397" t="s">
        <v>494</v>
      </c>
      <c r="Q397">
        <v>1000</v>
      </c>
      <c r="X397">
        <v>0.10199999999999999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55</v>
      </c>
      <c r="AG397">
        <v>0.10199999999999999</v>
      </c>
      <c r="AH397">
        <v>3</v>
      </c>
      <c r="AI397">
        <v>-1</v>
      </c>
      <c r="AJ397" t="s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f>ROW(Source!A265)</f>
        <v>265</v>
      </c>
      <c r="B398">
        <v>55928107</v>
      </c>
      <c r="C398">
        <v>55928087</v>
      </c>
      <c r="D398">
        <v>55441156</v>
      </c>
      <c r="E398">
        <v>1081</v>
      </c>
      <c r="F398">
        <v>1</v>
      </c>
      <c r="G398">
        <v>1081</v>
      </c>
      <c r="H398">
        <v>3</v>
      </c>
      <c r="I398" t="s">
        <v>499</v>
      </c>
      <c r="J398" t="s">
        <v>3</v>
      </c>
      <c r="K398" t="s">
        <v>500</v>
      </c>
      <c r="L398">
        <v>1348</v>
      </c>
      <c r="N398">
        <v>1009</v>
      </c>
      <c r="O398" t="s">
        <v>345</v>
      </c>
      <c r="P398" t="s">
        <v>345</v>
      </c>
      <c r="Q398">
        <v>1000</v>
      </c>
      <c r="X398">
        <v>6.8999999999999997E-4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55</v>
      </c>
      <c r="AG398">
        <v>6.8999999999999997E-4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>
        <f>ROW(Source!A274)</f>
        <v>274</v>
      </c>
      <c r="B399">
        <v>55918497</v>
      </c>
      <c r="C399">
        <v>55918496</v>
      </c>
      <c r="D399">
        <v>55424304</v>
      </c>
      <c r="E399">
        <v>1081</v>
      </c>
      <c r="F399">
        <v>1</v>
      </c>
      <c r="G399">
        <v>1081</v>
      </c>
      <c r="H399">
        <v>1</v>
      </c>
      <c r="I399" t="s">
        <v>339</v>
      </c>
      <c r="J399" t="s">
        <v>3</v>
      </c>
      <c r="K399" t="s">
        <v>340</v>
      </c>
      <c r="L399">
        <v>1191</v>
      </c>
      <c r="N399">
        <v>1013</v>
      </c>
      <c r="O399" t="s">
        <v>341</v>
      </c>
      <c r="P399" t="s">
        <v>341</v>
      </c>
      <c r="Q399">
        <v>1</v>
      </c>
      <c r="X399">
        <v>0.22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 t="s">
        <v>56</v>
      </c>
      <c r="AG399">
        <v>0.26400000000000001</v>
      </c>
      <c r="AH399">
        <v>2</v>
      </c>
      <c r="AI399">
        <v>55918497</v>
      </c>
      <c r="AJ399">
        <v>353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f>ROW(Source!A275)</f>
        <v>275</v>
      </c>
      <c r="B400">
        <v>55918497</v>
      </c>
      <c r="C400">
        <v>55918496</v>
      </c>
      <c r="D400">
        <v>55424304</v>
      </c>
      <c r="E400">
        <v>1081</v>
      </c>
      <c r="F400">
        <v>1</v>
      </c>
      <c r="G400">
        <v>1081</v>
      </c>
      <c r="H400">
        <v>1</v>
      </c>
      <c r="I400" t="s">
        <v>339</v>
      </c>
      <c r="J400" t="s">
        <v>3</v>
      </c>
      <c r="K400" t="s">
        <v>340</v>
      </c>
      <c r="L400">
        <v>1191</v>
      </c>
      <c r="N400">
        <v>1013</v>
      </c>
      <c r="O400" t="s">
        <v>341</v>
      </c>
      <c r="P400" t="s">
        <v>341</v>
      </c>
      <c r="Q400">
        <v>1</v>
      </c>
      <c r="X400">
        <v>0.22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 t="s">
        <v>56</v>
      </c>
      <c r="AG400">
        <v>0.26400000000000001</v>
      </c>
      <c r="AH400">
        <v>2</v>
      </c>
      <c r="AI400">
        <v>55918497</v>
      </c>
      <c r="AJ400">
        <v>354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>
        <f>ROW(Source!A278)</f>
        <v>278</v>
      </c>
      <c r="B401">
        <v>55918507</v>
      </c>
      <c r="C401">
        <v>55918505</v>
      </c>
      <c r="D401">
        <v>55424304</v>
      </c>
      <c r="E401">
        <v>1081</v>
      </c>
      <c r="F401">
        <v>1</v>
      </c>
      <c r="G401">
        <v>1081</v>
      </c>
      <c r="H401">
        <v>1</v>
      </c>
      <c r="I401" t="s">
        <v>339</v>
      </c>
      <c r="J401" t="s">
        <v>3</v>
      </c>
      <c r="K401" t="s">
        <v>340</v>
      </c>
      <c r="L401">
        <v>1191</v>
      </c>
      <c r="N401">
        <v>1013</v>
      </c>
      <c r="O401" t="s">
        <v>341</v>
      </c>
      <c r="P401" t="s">
        <v>341</v>
      </c>
      <c r="Q401">
        <v>1</v>
      </c>
      <c r="X401">
        <v>1.26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1</v>
      </c>
      <c r="AF401" t="s">
        <v>56</v>
      </c>
      <c r="AG401">
        <v>1.512</v>
      </c>
      <c r="AH401">
        <v>2</v>
      </c>
      <c r="AI401">
        <v>55918506</v>
      </c>
      <c r="AJ401">
        <v>355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f>ROW(Source!A278)</f>
        <v>278</v>
      </c>
      <c r="B402">
        <v>55918508</v>
      </c>
      <c r="C402">
        <v>55918505</v>
      </c>
      <c r="D402">
        <v>55465987</v>
      </c>
      <c r="E402">
        <v>1</v>
      </c>
      <c r="F402">
        <v>1</v>
      </c>
      <c r="G402">
        <v>1081</v>
      </c>
      <c r="H402">
        <v>3</v>
      </c>
      <c r="I402" t="s">
        <v>501</v>
      </c>
      <c r="J402" t="s">
        <v>502</v>
      </c>
      <c r="K402" t="s">
        <v>503</v>
      </c>
      <c r="L402">
        <v>1348</v>
      </c>
      <c r="N402">
        <v>1009</v>
      </c>
      <c r="O402" t="s">
        <v>345</v>
      </c>
      <c r="P402" t="s">
        <v>345</v>
      </c>
      <c r="Q402">
        <v>1000</v>
      </c>
      <c r="X402">
        <v>3.0000000000000001E-5</v>
      </c>
      <c r="Y402">
        <v>18995.22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55</v>
      </c>
      <c r="AG402">
        <v>3.0000000000000001E-5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f>ROW(Source!A279)</f>
        <v>279</v>
      </c>
      <c r="B403">
        <v>55918507</v>
      </c>
      <c r="C403">
        <v>55918505</v>
      </c>
      <c r="D403">
        <v>55424304</v>
      </c>
      <c r="E403">
        <v>1081</v>
      </c>
      <c r="F403">
        <v>1</v>
      </c>
      <c r="G403">
        <v>1081</v>
      </c>
      <c r="H403">
        <v>1</v>
      </c>
      <c r="I403" t="s">
        <v>339</v>
      </c>
      <c r="J403" t="s">
        <v>3</v>
      </c>
      <c r="K403" t="s">
        <v>340</v>
      </c>
      <c r="L403">
        <v>1191</v>
      </c>
      <c r="N403">
        <v>1013</v>
      </c>
      <c r="O403" t="s">
        <v>341</v>
      </c>
      <c r="P403" t="s">
        <v>341</v>
      </c>
      <c r="Q403">
        <v>1</v>
      </c>
      <c r="X403">
        <v>1.26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56</v>
      </c>
      <c r="AG403">
        <v>1.512</v>
      </c>
      <c r="AH403">
        <v>2</v>
      </c>
      <c r="AI403">
        <v>55918506</v>
      </c>
      <c r="AJ403">
        <v>356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>
        <f>ROW(Source!A279)</f>
        <v>279</v>
      </c>
      <c r="B404">
        <v>55918508</v>
      </c>
      <c r="C404">
        <v>55918505</v>
      </c>
      <c r="D404">
        <v>55465987</v>
      </c>
      <c r="E404">
        <v>1</v>
      </c>
      <c r="F404">
        <v>1</v>
      </c>
      <c r="G404">
        <v>1081</v>
      </c>
      <c r="H404">
        <v>3</v>
      </c>
      <c r="I404" t="s">
        <v>501</v>
      </c>
      <c r="J404" t="s">
        <v>502</v>
      </c>
      <c r="K404" t="s">
        <v>503</v>
      </c>
      <c r="L404">
        <v>1348</v>
      </c>
      <c r="N404">
        <v>1009</v>
      </c>
      <c r="O404" t="s">
        <v>345</v>
      </c>
      <c r="P404" t="s">
        <v>345</v>
      </c>
      <c r="Q404">
        <v>1000</v>
      </c>
      <c r="X404">
        <v>3.0000000000000001E-5</v>
      </c>
      <c r="Y404">
        <v>18995.22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55</v>
      </c>
      <c r="AG404">
        <v>3.0000000000000001E-5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55</v>
      </c>
      <c r="E1" t="s">
        <v>56</v>
      </c>
      <c r="F1" t="s">
        <v>56</v>
      </c>
      <c r="G1" t="s">
        <v>56</v>
      </c>
      <c r="H1" t="s">
        <v>3</v>
      </c>
      <c r="I1" t="s">
        <v>56</v>
      </c>
      <c r="J1" t="s">
        <v>56</v>
      </c>
      <c r="K1" t="s">
        <v>3</v>
      </c>
      <c r="L1" t="s">
        <v>3</v>
      </c>
      <c r="M1" t="s">
        <v>3</v>
      </c>
      <c r="N1" t="s">
        <v>55</v>
      </c>
      <c r="O1" t="s">
        <v>56</v>
      </c>
      <c r="P1" t="s">
        <v>3</v>
      </c>
      <c r="Q1" t="s">
        <v>3</v>
      </c>
      <c r="R1" t="s">
        <v>3</v>
      </c>
      <c r="S1" t="s">
        <v>504</v>
      </c>
      <c r="T1" t="s">
        <v>505</v>
      </c>
      <c r="U1" t="s">
        <v>506</v>
      </c>
    </row>
    <row r="2" spans="1:21" x14ac:dyDescent="0.25">
      <c r="A2">
        <v>28</v>
      </c>
      <c r="B2">
        <v>1</v>
      </c>
      <c r="C2" t="s">
        <v>3</v>
      </c>
      <c r="D2" t="s">
        <v>507</v>
      </c>
      <c r="E2" t="s">
        <v>508</v>
      </c>
      <c r="F2" t="s">
        <v>508</v>
      </c>
      <c r="G2" t="s">
        <v>508</v>
      </c>
      <c r="H2" t="s">
        <v>3</v>
      </c>
      <c r="I2" t="s">
        <v>508</v>
      </c>
      <c r="J2" t="s">
        <v>508</v>
      </c>
      <c r="K2" t="s">
        <v>3</v>
      </c>
      <c r="L2" t="s">
        <v>3</v>
      </c>
      <c r="M2" t="s">
        <v>3</v>
      </c>
      <c r="N2" t="s">
        <v>507</v>
      </c>
      <c r="O2" t="s">
        <v>508</v>
      </c>
      <c r="P2" t="s">
        <v>3</v>
      </c>
      <c r="Q2" t="s">
        <v>3</v>
      </c>
      <c r="R2" t="s">
        <v>3</v>
      </c>
      <c r="S2" t="s">
        <v>509</v>
      </c>
      <c r="T2" t="s">
        <v>510</v>
      </c>
      <c r="U2" t="s">
        <v>511</v>
      </c>
    </row>
    <row r="3" spans="1:21" x14ac:dyDescent="0.25">
      <c r="A3">
        <v>29</v>
      </c>
      <c r="B3">
        <v>1</v>
      </c>
      <c r="C3" t="s">
        <v>3</v>
      </c>
      <c r="D3" t="s">
        <v>55</v>
      </c>
      <c r="E3" t="s">
        <v>56</v>
      </c>
      <c r="F3" t="s">
        <v>56</v>
      </c>
      <c r="G3" t="s">
        <v>56</v>
      </c>
      <c r="H3" t="s">
        <v>3</v>
      </c>
      <c r="I3" t="s">
        <v>56</v>
      </c>
      <c r="J3" t="s">
        <v>56</v>
      </c>
      <c r="K3" t="s">
        <v>3</v>
      </c>
      <c r="L3" t="s">
        <v>3</v>
      </c>
      <c r="M3" t="s">
        <v>3</v>
      </c>
      <c r="N3" t="s">
        <v>55</v>
      </c>
      <c r="O3" t="s">
        <v>56</v>
      </c>
      <c r="P3" t="s">
        <v>3</v>
      </c>
      <c r="Q3" t="s">
        <v>3</v>
      </c>
      <c r="R3" t="s">
        <v>3</v>
      </c>
      <c r="S3" t="s">
        <v>504</v>
      </c>
      <c r="T3" t="s">
        <v>505</v>
      </c>
      <c r="U3" t="s">
        <v>506</v>
      </c>
    </row>
    <row r="4" spans="1:21" x14ac:dyDescent="0.25">
      <c r="A4">
        <v>29</v>
      </c>
      <c r="B4">
        <v>1</v>
      </c>
      <c r="C4" t="s">
        <v>3</v>
      </c>
      <c r="D4" t="s">
        <v>507</v>
      </c>
      <c r="E4" t="s">
        <v>508</v>
      </c>
      <c r="F4" t="s">
        <v>508</v>
      </c>
      <c r="G4" t="s">
        <v>508</v>
      </c>
      <c r="H4" t="s">
        <v>3</v>
      </c>
      <c r="I4" t="s">
        <v>508</v>
      </c>
      <c r="J4" t="s">
        <v>508</v>
      </c>
      <c r="K4" t="s">
        <v>3</v>
      </c>
      <c r="L4" t="s">
        <v>3</v>
      </c>
      <c r="M4" t="s">
        <v>3</v>
      </c>
      <c r="N4" t="s">
        <v>507</v>
      </c>
      <c r="O4" t="s">
        <v>508</v>
      </c>
      <c r="P4" t="s">
        <v>3</v>
      </c>
      <c r="Q4" t="s">
        <v>3</v>
      </c>
      <c r="R4" t="s">
        <v>3</v>
      </c>
      <c r="S4" t="s">
        <v>509</v>
      </c>
      <c r="T4" t="s">
        <v>510</v>
      </c>
      <c r="U4" t="s">
        <v>511</v>
      </c>
    </row>
    <row r="5" spans="1:21" x14ac:dyDescent="0.25">
      <c r="A5">
        <v>30</v>
      </c>
      <c r="B5">
        <v>1</v>
      </c>
      <c r="C5" t="s">
        <v>3</v>
      </c>
      <c r="D5" t="s">
        <v>55</v>
      </c>
      <c r="E5" t="s">
        <v>56</v>
      </c>
      <c r="F5" t="s">
        <v>56</v>
      </c>
      <c r="G5" t="s">
        <v>56</v>
      </c>
      <c r="H5" t="s">
        <v>3</v>
      </c>
      <c r="I5" t="s">
        <v>56</v>
      </c>
      <c r="J5" t="s">
        <v>56</v>
      </c>
      <c r="K5" t="s">
        <v>3</v>
      </c>
      <c r="L5" t="s">
        <v>3</v>
      </c>
      <c r="M5" t="s">
        <v>3</v>
      </c>
      <c r="N5" t="s">
        <v>55</v>
      </c>
      <c r="O5" t="s">
        <v>56</v>
      </c>
      <c r="P5" t="s">
        <v>3</v>
      </c>
      <c r="Q5" t="s">
        <v>3</v>
      </c>
      <c r="R5" t="s">
        <v>3</v>
      </c>
      <c r="S5" t="s">
        <v>504</v>
      </c>
      <c r="T5" t="s">
        <v>505</v>
      </c>
      <c r="U5" t="s">
        <v>506</v>
      </c>
    </row>
    <row r="6" spans="1:21" x14ac:dyDescent="0.25">
      <c r="A6">
        <v>30</v>
      </c>
      <c r="B6">
        <v>1</v>
      </c>
      <c r="C6" t="s">
        <v>3</v>
      </c>
      <c r="D6" t="s">
        <v>507</v>
      </c>
      <c r="E6" t="s">
        <v>508</v>
      </c>
      <c r="F6" t="s">
        <v>508</v>
      </c>
      <c r="G6" t="s">
        <v>508</v>
      </c>
      <c r="H6" t="s">
        <v>3</v>
      </c>
      <c r="I6" t="s">
        <v>508</v>
      </c>
      <c r="J6" t="s">
        <v>508</v>
      </c>
      <c r="K6" t="s">
        <v>3</v>
      </c>
      <c r="L6" t="s">
        <v>3</v>
      </c>
      <c r="M6" t="s">
        <v>3</v>
      </c>
      <c r="N6" t="s">
        <v>507</v>
      </c>
      <c r="O6" t="s">
        <v>508</v>
      </c>
      <c r="P6" t="s">
        <v>3</v>
      </c>
      <c r="Q6" t="s">
        <v>3</v>
      </c>
      <c r="R6" t="s">
        <v>3</v>
      </c>
      <c r="S6" t="s">
        <v>509</v>
      </c>
      <c r="T6" t="s">
        <v>510</v>
      </c>
      <c r="U6" t="s">
        <v>511</v>
      </c>
    </row>
    <row r="7" spans="1:21" x14ac:dyDescent="0.25">
      <c r="A7">
        <v>31</v>
      </c>
      <c r="B7">
        <v>1</v>
      </c>
      <c r="C7" t="s">
        <v>3</v>
      </c>
      <c r="D7" t="s">
        <v>55</v>
      </c>
      <c r="E7" t="s">
        <v>56</v>
      </c>
      <c r="F7" t="s">
        <v>56</v>
      </c>
      <c r="G7" t="s">
        <v>56</v>
      </c>
      <c r="H7" t="s">
        <v>3</v>
      </c>
      <c r="I7" t="s">
        <v>56</v>
      </c>
      <c r="J7" t="s">
        <v>56</v>
      </c>
      <c r="K7" t="s">
        <v>3</v>
      </c>
      <c r="L7" t="s">
        <v>3</v>
      </c>
      <c r="M7" t="s">
        <v>3</v>
      </c>
      <c r="N7" t="s">
        <v>55</v>
      </c>
      <c r="O7" t="s">
        <v>56</v>
      </c>
      <c r="P7" t="s">
        <v>3</v>
      </c>
      <c r="Q7" t="s">
        <v>3</v>
      </c>
      <c r="R7" t="s">
        <v>3</v>
      </c>
      <c r="S7" t="s">
        <v>504</v>
      </c>
      <c r="T7" t="s">
        <v>505</v>
      </c>
      <c r="U7" t="s">
        <v>506</v>
      </c>
    </row>
    <row r="8" spans="1:21" x14ac:dyDescent="0.25">
      <c r="A8">
        <v>31</v>
      </c>
      <c r="B8">
        <v>1</v>
      </c>
      <c r="C8" t="s">
        <v>3</v>
      </c>
      <c r="D8" t="s">
        <v>507</v>
      </c>
      <c r="E8" t="s">
        <v>508</v>
      </c>
      <c r="F8" t="s">
        <v>508</v>
      </c>
      <c r="G8" t="s">
        <v>508</v>
      </c>
      <c r="H8" t="s">
        <v>3</v>
      </c>
      <c r="I8" t="s">
        <v>508</v>
      </c>
      <c r="J8" t="s">
        <v>508</v>
      </c>
      <c r="K8" t="s">
        <v>3</v>
      </c>
      <c r="L8" t="s">
        <v>3</v>
      </c>
      <c r="M8" t="s">
        <v>3</v>
      </c>
      <c r="N8" t="s">
        <v>507</v>
      </c>
      <c r="O8" t="s">
        <v>508</v>
      </c>
      <c r="P8" t="s">
        <v>3</v>
      </c>
      <c r="Q8" t="s">
        <v>3</v>
      </c>
      <c r="R8" t="s">
        <v>3</v>
      </c>
      <c r="S8" t="s">
        <v>509</v>
      </c>
      <c r="T8" t="s">
        <v>510</v>
      </c>
      <c r="U8" t="s">
        <v>511</v>
      </c>
    </row>
    <row r="9" spans="1:21" x14ac:dyDescent="0.25">
      <c r="A9">
        <v>32</v>
      </c>
      <c r="B9">
        <v>1</v>
      </c>
      <c r="C9" t="s">
        <v>3</v>
      </c>
      <c r="D9" t="s">
        <v>55</v>
      </c>
      <c r="E9" t="s">
        <v>56</v>
      </c>
      <c r="F9" t="s">
        <v>56</v>
      </c>
      <c r="G9" t="s">
        <v>56</v>
      </c>
      <c r="H9" t="s">
        <v>3</v>
      </c>
      <c r="I9" t="s">
        <v>56</v>
      </c>
      <c r="J9" t="s">
        <v>56</v>
      </c>
      <c r="K9" t="s">
        <v>3</v>
      </c>
      <c r="L9" t="s">
        <v>3</v>
      </c>
      <c r="M9" t="s">
        <v>3</v>
      </c>
      <c r="N9" t="s">
        <v>55</v>
      </c>
      <c r="O9" t="s">
        <v>56</v>
      </c>
      <c r="P9" t="s">
        <v>3</v>
      </c>
      <c r="Q9" t="s">
        <v>3</v>
      </c>
      <c r="R9" t="s">
        <v>3</v>
      </c>
      <c r="S9" t="s">
        <v>504</v>
      </c>
      <c r="T9" t="s">
        <v>505</v>
      </c>
      <c r="U9" t="s">
        <v>506</v>
      </c>
    </row>
    <row r="10" spans="1:21" x14ac:dyDescent="0.25">
      <c r="A10">
        <v>32</v>
      </c>
      <c r="B10">
        <v>1</v>
      </c>
      <c r="C10" t="s">
        <v>3</v>
      </c>
      <c r="D10" t="s">
        <v>507</v>
      </c>
      <c r="E10" t="s">
        <v>508</v>
      </c>
      <c r="F10" t="s">
        <v>508</v>
      </c>
      <c r="G10" t="s">
        <v>508</v>
      </c>
      <c r="H10" t="s">
        <v>3</v>
      </c>
      <c r="I10" t="s">
        <v>508</v>
      </c>
      <c r="J10" t="s">
        <v>508</v>
      </c>
      <c r="K10" t="s">
        <v>3</v>
      </c>
      <c r="L10" t="s">
        <v>3</v>
      </c>
      <c r="M10" t="s">
        <v>3</v>
      </c>
      <c r="N10" t="s">
        <v>507</v>
      </c>
      <c r="O10" t="s">
        <v>508</v>
      </c>
      <c r="P10" t="s">
        <v>3</v>
      </c>
      <c r="Q10" t="s">
        <v>3</v>
      </c>
      <c r="R10" t="s">
        <v>3</v>
      </c>
      <c r="S10" t="s">
        <v>509</v>
      </c>
      <c r="T10" t="s">
        <v>510</v>
      </c>
      <c r="U10" t="s">
        <v>511</v>
      </c>
    </row>
    <row r="11" spans="1:21" x14ac:dyDescent="0.25">
      <c r="A11">
        <v>33</v>
      </c>
      <c r="B11">
        <v>1</v>
      </c>
      <c r="C11" t="s">
        <v>3</v>
      </c>
      <c r="D11" t="s">
        <v>55</v>
      </c>
      <c r="E11" t="s">
        <v>56</v>
      </c>
      <c r="F11" t="s">
        <v>56</v>
      </c>
      <c r="G11" t="s">
        <v>56</v>
      </c>
      <c r="H11" t="s">
        <v>3</v>
      </c>
      <c r="I11" t="s">
        <v>56</v>
      </c>
      <c r="J11" t="s">
        <v>56</v>
      </c>
      <c r="K11" t="s">
        <v>3</v>
      </c>
      <c r="L11" t="s">
        <v>3</v>
      </c>
      <c r="M11" t="s">
        <v>3</v>
      </c>
      <c r="N11" t="s">
        <v>55</v>
      </c>
      <c r="O11" t="s">
        <v>56</v>
      </c>
      <c r="P11" t="s">
        <v>3</v>
      </c>
      <c r="Q11" t="s">
        <v>3</v>
      </c>
      <c r="R11" t="s">
        <v>3</v>
      </c>
      <c r="S11" t="s">
        <v>504</v>
      </c>
      <c r="T11" t="s">
        <v>505</v>
      </c>
      <c r="U11" t="s">
        <v>506</v>
      </c>
    </row>
    <row r="12" spans="1:21" x14ac:dyDescent="0.25">
      <c r="A12">
        <v>33</v>
      </c>
      <c r="B12">
        <v>1</v>
      </c>
      <c r="C12" t="s">
        <v>3</v>
      </c>
      <c r="D12" t="s">
        <v>507</v>
      </c>
      <c r="E12" t="s">
        <v>508</v>
      </c>
      <c r="F12" t="s">
        <v>508</v>
      </c>
      <c r="G12" t="s">
        <v>508</v>
      </c>
      <c r="H12" t="s">
        <v>3</v>
      </c>
      <c r="I12" t="s">
        <v>508</v>
      </c>
      <c r="J12" t="s">
        <v>508</v>
      </c>
      <c r="K12" t="s">
        <v>3</v>
      </c>
      <c r="L12" t="s">
        <v>3</v>
      </c>
      <c r="M12" t="s">
        <v>3</v>
      </c>
      <c r="N12" t="s">
        <v>507</v>
      </c>
      <c r="O12" t="s">
        <v>508</v>
      </c>
      <c r="P12" t="s">
        <v>3</v>
      </c>
      <c r="Q12" t="s">
        <v>3</v>
      </c>
      <c r="R12" t="s">
        <v>3</v>
      </c>
      <c r="S12" t="s">
        <v>509</v>
      </c>
      <c r="T12" t="s">
        <v>510</v>
      </c>
      <c r="U12" t="s">
        <v>511</v>
      </c>
    </row>
    <row r="13" spans="1:21" x14ac:dyDescent="0.25">
      <c r="A13">
        <v>34</v>
      </c>
      <c r="B13">
        <v>1</v>
      </c>
      <c r="C13" t="s">
        <v>3</v>
      </c>
      <c r="D13" t="s">
        <v>55</v>
      </c>
      <c r="E13" t="s">
        <v>56</v>
      </c>
      <c r="F13" t="s">
        <v>56</v>
      </c>
      <c r="G13" t="s">
        <v>56</v>
      </c>
      <c r="H13" t="s">
        <v>3</v>
      </c>
      <c r="I13" t="s">
        <v>56</v>
      </c>
      <c r="J13" t="s">
        <v>56</v>
      </c>
      <c r="K13" t="s">
        <v>3</v>
      </c>
      <c r="L13" t="s">
        <v>3</v>
      </c>
      <c r="M13" t="s">
        <v>3</v>
      </c>
      <c r="N13" t="s">
        <v>55</v>
      </c>
      <c r="O13" t="s">
        <v>56</v>
      </c>
      <c r="P13" t="s">
        <v>3</v>
      </c>
      <c r="Q13" t="s">
        <v>3</v>
      </c>
      <c r="R13" t="s">
        <v>3</v>
      </c>
      <c r="S13" t="s">
        <v>504</v>
      </c>
      <c r="T13" t="s">
        <v>505</v>
      </c>
      <c r="U13" t="s">
        <v>506</v>
      </c>
    </row>
    <row r="14" spans="1:21" x14ac:dyDescent="0.25">
      <c r="A14">
        <v>34</v>
      </c>
      <c r="B14">
        <v>1</v>
      </c>
      <c r="C14" t="s">
        <v>3</v>
      </c>
      <c r="D14" t="s">
        <v>507</v>
      </c>
      <c r="E14" t="s">
        <v>508</v>
      </c>
      <c r="F14" t="s">
        <v>508</v>
      </c>
      <c r="G14" t="s">
        <v>508</v>
      </c>
      <c r="H14" t="s">
        <v>3</v>
      </c>
      <c r="I14" t="s">
        <v>508</v>
      </c>
      <c r="J14" t="s">
        <v>508</v>
      </c>
      <c r="K14" t="s">
        <v>3</v>
      </c>
      <c r="L14" t="s">
        <v>3</v>
      </c>
      <c r="M14" t="s">
        <v>3</v>
      </c>
      <c r="N14" t="s">
        <v>507</v>
      </c>
      <c r="O14" t="s">
        <v>508</v>
      </c>
      <c r="P14" t="s">
        <v>3</v>
      </c>
      <c r="Q14" t="s">
        <v>3</v>
      </c>
      <c r="R14" t="s">
        <v>3</v>
      </c>
      <c r="S14" t="s">
        <v>509</v>
      </c>
      <c r="T14" t="s">
        <v>510</v>
      </c>
      <c r="U14" t="s">
        <v>511</v>
      </c>
    </row>
    <row r="15" spans="1:21" x14ac:dyDescent="0.25">
      <c r="A15">
        <v>35</v>
      </c>
      <c r="B15">
        <v>1</v>
      </c>
      <c r="C15" t="s">
        <v>3</v>
      </c>
      <c r="D15" t="s">
        <v>55</v>
      </c>
      <c r="E15" t="s">
        <v>56</v>
      </c>
      <c r="F15" t="s">
        <v>56</v>
      </c>
      <c r="G15" t="s">
        <v>56</v>
      </c>
      <c r="H15" t="s">
        <v>3</v>
      </c>
      <c r="I15" t="s">
        <v>56</v>
      </c>
      <c r="J15" t="s">
        <v>56</v>
      </c>
      <c r="K15" t="s">
        <v>3</v>
      </c>
      <c r="L15" t="s">
        <v>3</v>
      </c>
      <c r="M15" t="s">
        <v>3</v>
      </c>
      <c r="N15" t="s">
        <v>55</v>
      </c>
      <c r="O15" t="s">
        <v>56</v>
      </c>
      <c r="P15" t="s">
        <v>3</v>
      </c>
      <c r="Q15" t="s">
        <v>3</v>
      </c>
      <c r="R15" t="s">
        <v>3</v>
      </c>
      <c r="S15" t="s">
        <v>504</v>
      </c>
      <c r="T15" t="s">
        <v>505</v>
      </c>
      <c r="U15" t="s">
        <v>506</v>
      </c>
    </row>
    <row r="16" spans="1:21" x14ac:dyDescent="0.25">
      <c r="A16">
        <v>35</v>
      </c>
      <c r="B16">
        <v>1</v>
      </c>
      <c r="C16" t="s">
        <v>3</v>
      </c>
      <c r="D16" t="s">
        <v>507</v>
      </c>
      <c r="E16" t="s">
        <v>508</v>
      </c>
      <c r="F16" t="s">
        <v>508</v>
      </c>
      <c r="G16" t="s">
        <v>508</v>
      </c>
      <c r="H16" t="s">
        <v>3</v>
      </c>
      <c r="I16" t="s">
        <v>508</v>
      </c>
      <c r="J16" t="s">
        <v>508</v>
      </c>
      <c r="K16" t="s">
        <v>3</v>
      </c>
      <c r="L16" t="s">
        <v>3</v>
      </c>
      <c r="M16" t="s">
        <v>3</v>
      </c>
      <c r="N16" t="s">
        <v>507</v>
      </c>
      <c r="O16" t="s">
        <v>508</v>
      </c>
      <c r="P16" t="s">
        <v>3</v>
      </c>
      <c r="Q16" t="s">
        <v>3</v>
      </c>
      <c r="R16" t="s">
        <v>3</v>
      </c>
      <c r="S16" t="s">
        <v>509</v>
      </c>
      <c r="T16" t="s">
        <v>510</v>
      </c>
      <c r="U16" t="s">
        <v>511</v>
      </c>
    </row>
    <row r="17" spans="1:21" x14ac:dyDescent="0.25">
      <c r="A17">
        <v>36</v>
      </c>
      <c r="B17">
        <v>1</v>
      </c>
      <c r="C17" t="s">
        <v>3</v>
      </c>
      <c r="D17" t="s">
        <v>55</v>
      </c>
      <c r="E17" t="s">
        <v>56</v>
      </c>
      <c r="F17" t="s">
        <v>56</v>
      </c>
      <c r="G17" t="s">
        <v>56</v>
      </c>
      <c r="H17" t="s">
        <v>3</v>
      </c>
      <c r="I17" t="s">
        <v>56</v>
      </c>
      <c r="J17" t="s">
        <v>56</v>
      </c>
      <c r="K17" t="s">
        <v>3</v>
      </c>
      <c r="L17" t="s">
        <v>3</v>
      </c>
      <c r="M17" t="s">
        <v>3</v>
      </c>
      <c r="N17" t="s">
        <v>55</v>
      </c>
      <c r="O17" t="s">
        <v>56</v>
      </c>
      <c r="P17" t="s">
        <v>3</v>
      </c>
      <c r="Q17" t="s">
        <v>3</v>
      </c>
      <c r="R17" t="s">
        <v>3</v>
      </c>
      <c r="S17" t="s">
        <v>504</v>
      </c>
      <c r="T17" t="s">
        <v>505</v>
      </c>
      <c r="U17" t="s">
        <v>506</v>
      </c>
    </row>
    <row r="18" spans="1:21" x14ac:dyDescent="0.25">
      <c r="A18">
        <v>36</v>
      </c>
      <c r="B18">
        <v>1</v>
      </c>
      <c r="C18" t="s">
        <v>3</v>
      </c>
      <c r="D18" t="s">
        <v>507</v>
      </c>
      <c r="E18" t="s">
        <v>508</v>
      </c>
      <c r="F18" t="s">
        <v>508</v>
      </c>
      <c r="G18" t="s">
        <v>508</v>
      </c>
      <c r="H18" t="s">
        <v>3</v>
      </c>
      <c r="I18" t="s">
        <v>508</v>
      </c>
      <c r="J18" t="s">
        <v>508</v>
      </c>
      <c r="K18" t="s">
        <v>3</v>
      </c>
      <c r="L18" t="s">
        <v>3</v>
      </c>
      <c r="M18" t="s">
        <v>3</v>
      </c>
      <c r="N18" t="s">
        <v>507</v>
      </c>
      <c r="O18" t="s">
        <v>508</v>
      </c>
      <c r="P18" t="s">
        <v>3</v>
      </c>
      <c r="Q18" t="s">
        <v>3</v>
      </c>
      <c r="R18" t="s">
        <v>3</v>
      </c>
      <c r="S18" t="s">
        <v>509</v>
      </c>
      <c r="T18" t="s">
        <v>510</v>
      </c>
      <c r="U18" t="s">
        <v>511</v>
      </c>
    </row>
    <row r="19" spans="1:21" x14ac:dyDescent="0.25">
      <c r="A19">
        <v>37</v>
      </c>
      <c r="B19">
        <v>1</v>
      </c>
      <c r="C19" t="s">
        <v>3</v>
      </c>
      <c r="D19" t="s">
        <v>55</v>
      </c>
      <c r="E19" t="s">
        <v>56</v>
      </c>
      <c r="F19" t="s">
        <v>56</v>
      </c>
      <c r="G19" t="s">
        <v>56</v>
      </c>
      <c r="H19" t="s">
        <v>3</v>
      </c>
      <c r="I19" t="s">
        <v>56</v>
      </c>
      <c r="J19" t="s">
        <v>56</v>
      </c>
      <c r="K19" t="s">
        <v>3</v>
      </c>
      <c r="L19" t="s">
        <v>3</v>
      </c>
      <c r="M19" t="s">
        <v>3</v>
      </c>
      <c r="N19" t="s">
        <v>55</v>
      </c>
      <c r="O19" t="s">
        <v>56</v>
      </c>
      <c r="P19" t="s">
        <v>3</v>
      </c>
      <c r="Q19" t="s">
        <v>3</v>
      </c>
      <c r="R19" t="s">
        <v>3</v>
      </c>
      <c r="S19" t="s">
        <v>504</v>
      </c>
      <c r="T19" t="s">
        <v>505</v>
      </c>
      <c r="U19" t="s">
        <v>506</v>
      </c>
    </row>
    <row r="20" spans="1:21" x14ac:dyDescent="0.25">
      <c r="A20">
        <v>37</v>
      </c>
      <c r="B20">
        <v>1</v>
      </c>
      <c r="C20" t="s">
        <v>3</v>
      </c>
      <c r="D20" t="s">
        <v>507</v>
      </c>
      <c r="E20" t="s">
        <v>508</v>
      </c>
      <c r="F20" t="s">
        <v>508</v>
      </c>
      <c r="G20" t="s">
        <v>508</v>
      </c>
      <c r="H20" t="s">
        <v>3</v>
      </c>
      <c r="I20" t="s">
        <v>508</v>
      </c>
      <c r="J20" t="s">
        <v>508</v>
      </c>
      <c r="K20" t="s">
        <v>3</v>
      </c>
      <c r="L20" t="s">
        <v>3</v>
      </c>
      <c r="M20" t="s">
        <v>3</v>
      </c>
      <c r="N20" t="s">
        <v>507</v>
      </c>
      <c r="O20" t="s">
        <v>508</v>
      </c>
      <c r="P20" t="s">
        <v>3</v>
      </c>
      <c r="Q20" t="s">
        <v>3</v>
      </c>
      <c r="R20" t="s">
        <v>3</v>
      </c>
      <c r="S20" t="s">
        <v>509</v>
      </c>
      <c r="T20" t="s">
        <v>510</v>
      </c>
      <c r="U20" t="s">
        <v>511</v>
      </c>
    </row>
    <row r="21" spans="1:21" x14ac:dyDescent="0.25">
      <c r="A21">
        <v>38</v>
      </c>
      <c r="B21">
        <v>1</v>
      </c>
      <c r="C21" t="s">
        <v>3</v>
      </c>
      <c r="D21" t="s">
        <v>55</v>
      </c>
      <c r="E21" t="s">
        <v>56</v>
      </c>
      <c r="F21" t="s">
        <v>56</v>
      </c>
      <c r="G21" t="s">
        <v>56</v>
      </c>
      <c r="H21" t="s">
        <v>3</v>
      </c>
      <c r="I21" t="s">
        <v>56</v>
      </c>
      <c r="J21" t="s">
        <v>56</v>
      </c>
      <c r="K21" t="s">
        <v>3</v>
      </c>
      <c r="L21" t="s">
        <v>3</v>
      </c>
      <c r="M21" t="s">
        <v>3</v>
      </c>
      <c r="N21" t="s">
        <v>55</v>
      </c>
      <c r="O21" t="s">
        <v>56</v>
      </c>
      <c r="P21" t="s">
        <v>3</v>
      </c>
      <c r="Q21" t="s">
        <v>3</v>
      </c>
      <c r="R21" t="s">
        <v>3</v>
      </c>
      <c r="S21" t="s">
        <v>504</v>
      </c>
      <c r="T21" t="s">
        <v>505</v>
      </c>
      <c r="U21" t="s">
        <v>506</v>
      </c>
    </row>
    <row r="22" spans="1:21" x14ac:dyDescent="0.25">
      <c r="A22">
        <v>39</v>
      </c>
      <c r="B22">
        <v>1</v>
      </c>
      <c r="C22" t="s">
        <v>3</v>
      </c>
      <c r="D22" t="s">
        <v>55</v>
      </c>
      <c r="E22" t="s">
        <v>56</v>
      </c>
      <c r="F22" t="s">
        <v>56</v>
      </c>
      <c r="G22" t="s">
        <v>56</v>
      </c>
      <c r="H22" t="s">
        <v>3</v>
      </c>
      <c r="I22" t="s">
        <v>56</v>
      </c>
      <c r="J22" t="s">
        <v>56</v>
      </c>
      <c r="K22" t="s">
        <v>3</v>
      </c>
      <c r="L22" t="s">
        <v>3</v>
      </c>
      <c r="M22" t="s">
        <v>3</v>
      </c>
      <c r="N22" t="s">
        <v>55</v>
      </c>
      <c r="O22" t="s">
        <v>56</v>
      </c>
      <c r="P22" t="s">
        <v>3</v>
      </c>
      <c r="Q22" t="s">
        <v>3</v>
      </c>
      <c r="R22" t="s">
        <v>3</v>
      </c>
      <c r="S22" t="s">
        <v>504</v>
      </c>
      <c r="T22" t="s">
        <v>505</v>
      </c>
      <c r="U22" t="s">
        <v>506</v>
      </c>
    </row>
    <row r="23" spans="1:21" x14ac:dyDescent="0.25">
      <c r="A23">
        <v>40</v>
      </c>
      <c r="B23">
        <v>1</v>
      </c>
      <c r="C23" t="s">
        <v>3</v>
      </c>
      <c r="D23" t="s">
        <v>55</v>
      </c>
      <c r="E23" t="s">
        <v>56</v>
      </c>
      <c r="F23" t="s">
        <v>56</v>
      </c>
      <c r="G23" t="s">
        <v>56</v>
      </c>
      <c r="H23" t="s">
        <v>3</v>
      </c>
      <c r="I23" t="s">
        <v>56</v>
      </c>
      <c r="J23" t="s">
        <v>56</v>
      </c>
      <c r="K23" t="s">
        <v>3</v>
      </c>
      <c r="L23" t="s">
        <v>3</v>
      </c>
      <c r="M23" t="s">
        <v>3</v>
      </c>
      <c r="N23" t="s">
        <v>55</v>
      </c>
      <c r="O23" t="s">
        <v>56</v>
      </c>
      <c r="P23" t="s">
        <v>3</v>
      </c>
      <c r="Q23" t="s">
        <v>3</v>
      </c>
      <c r="R23" t="s">
        <v>3</v>
      </c>
      <c r="S23" t="s">
        <v>504</v>
      </c>
      <c r="T23" t="s">
        <v>505</v>
      </c>
      <c r="U23" t="s">
        <v>506</v>
      </c>
    </row>
    <row r="24" spans="1:21" x14ac:dyDescent="0.25">
      <c r="A24">
        <v>40</v>
      </c>
      <c r="B24">
        <v>1</v>
      </c>
      <c r="C24" t="s">
        <v>3</v>
      </c>
      <c r="D24" t="s">
        <v>507</v>
      </c>
      <c r="E24" t="s">
        <v>508</v>
      </c>
      <c r="F24" t="s">
        <v>508</v>
      </c>
      <c r="G24" t="s">
        <v>508</v>
      </c>
      <c r="H24" t="s">
        <v>3</v>
      </c>
      <c r="I24" t="s">
        <v>508</v>
      </c>
      <c r="J24" t="s">
        <v>508</v>
      </c>
      <c r="K24" t="s">
        <v>3</v>
      </c>
      <c r="L24" t="s">
        <v>3</v>
      </c>
      <c r="M24" t="s">
        <v>3</v>
      </c>
      <c r="N24" t="s">
        <v>507</v>
      </c>
      <c r="O24" t="s">
        <v>508</v>
      </c>
      <c r="P24" t="s">
        <v>3</v>
      </c>
      <c r="Q24" t="s">
        <v>3</v>
      </c>
      <c r="R24" t="s">
        <v>3</v>
      </c>
      <c r="S24" t="s">
        <v>509</v>
      </c>
      <c r="T24" t="s">
        <v>510</v>
      </c>
      <c r="U24" t="s">
        <v>511</v>
      </c>
    </row>
    <row r="25" spans="1:21" x14ac:dyDescent="0.25">
      <c r="A25">
        <v>41</v>
      </c>
      <c r="B25">
        <v>1</v>
      </c>
      <c r="C25" t="s">
        <v>3</v>
      </c>
      <c r="D25" t="s">
        <v>55</v>
      </c>
      <c r="E25" t="s">
        <v>56</v>
      </c>
      <c r="F25" t="s">
        <v>56</v>
      </c>
      <c r="G25" t="s">
        <v>56</v>
      </c>
      <c r="H25" t="s">
        <v>3</v>
      </c>
      <c r="I25" t="s">
        <v>56</v>
      </c>
      <c r="J25" t="s">
        <v>56</v>
      </c>
      <c r="K25" t="s">
        <v>3</v>
      </c>
      <c r="L25" t="s">
        <v>3</v>
      </c>
      <c r="M25" t="s">
        <v>3</v>
      </c>
      <c r="N25" t="s">
        <v>55</v>
      </c>
      <c r="O25" t="s">
        <v>56</v>
      </c>
      <c r="P25" t="s">
        <v>3</v>
      </c>
      <c r="Q25" t="s">
        <v>3</v>
      </c>
      <c r="R25" t="s">
        <v>3</v>
      </c>
      <c r="S25" t="s">
        <v>504</v>
      </c>
      <c r="T25" t="s">
        <v>505</v>
      </c>
      <c r="U25" t="s">
        <v>506</v>
      </c>
    </row>
    <row r="26" spans="1:21" x14ac:dyDescent="0.25">
      <c r="A26">
        <v>41</v>
      </c>
      <c r="B26">
        <v>1</v>
      </c>
      <c r="C26" t="s">
        <v>3</v>
      </c>
      <c r="D26" t="s">
        <v>507</v>
      </c>
      <c r="E26" t="s">
        <v>508</v>
      </c>
      <c r="F26" t="s">
        <v>508</v>
      </c>
      <c r="G26" t="s">
        <v>508</v>
      </c>
      <c r="H26" t="s">
        <v>3</v>
      </c>
      <c r="I26" t="s">
        <v>508</v>
      </c>
      <c r="J26" t="s">
        <v>508</v>
      </c>
      <c r="K26" t="s">
        <v>3</v>
      </c>
      <c r="L26" t="s">
        <v>3</v>
      </c>
      <c r="M26" t="s">
        <v>3</v>
      </c>
      <c r="N26" t="s">
        <v>507</v>
      </c>
      <c r="O26" t="s">
        <v>508</v>
      </c>
      <c r="P26" t="s">
        <v>3</v>
      </c>
      <c r="Q26" t="s">
        <v>3</v>
      </c>
      <c r="R26" t="s">
        <v>3</v>
      </c>
      <c r="S26" t="s">
        <v>509</v>
      </c>
      <c r="T26" t="s">
        <v>510</v>
      </c>
      <c r="U26" t="s">
        <v>511</v>
      </c>
    </row>
    <row r="27" spans="1:21" x14ac:dyDescent="0.25">
      <c r="A27">
        <v>42</v>
      </c>
      <c r="B27">
        <v>1</v>
      </c>
      <c r="C27" t="s">
        <v>3</v>
      </c>
      <c r="D27" t="s">
        <v>55</v>
      </c>
      <c r="E27" t="s">
        <v>56</v>
      </c>
      <c r="F27" t="s">
        <v>56</v>
      </c>
      <c r="G27" t="s">
        <v>56</v>
      </c>
      <c r="H27" t="s">
        <v>3</v>
      </c>
      <c r="I27" t="s">
        <v>56</v>
      </c>
      <c r="J27" t="s">
        <v>56</v>
      </c>
      <c r="K27" t="s">
        <v>3</v>
      </c>
      <c r="L27" t="s">
        <v>3</v>
      </c>
      <c r="M27" t="s">
        <v>3</v>
      </c>
      <c r="N27" t="s">
        <v>55</v>
      </c>
      <c r="O27" t="s">
        <v>56</v>
      </c>
      <c r="P27" t="s">
        <v>3</v>
      </c>
      <c r="Q27" t="s">
        <v>3</v>
      </c>
      <c r="R27" t="s">
        <v>3</v>
      </c>
      <c r="S27" t="s">
        <v>504</v>
      </c>
      <c r="T27" t="s">
        <v>505</v>
      </c>
      <c r="U27" t="s">
        <v>506</v>
      </c>
    </row>
    <row r="28" spans="1:21" x14ac:dyDescent="0.25">
      <c r="A28">
        <v>42</v>
      </c>
      <c r="B28">
        <v>1</v>
      </c>
      <c r="C28" t="s">
        <v>3</v>
      </c>
      <c r="D28" t="s">
        <v>507</v>
      </c>
      <c r="E28" t="s">
        <v>508</v>
      </c>
      <c r="F28" t="s">
        <v>508</v>
      </c>
      <c r="G28" t="s">
        <v>508</v>
      </c>
      <c r="H28" t="s">
        <v>3</v>
      </c>
      <c r="I28" t="s">
        <v>508</v>
      </c>
      <c r="J28" t="s">
        <v>508</v>
      </c>
      <c r="K28" t="s">
        <v>3</v>
      </c>
      <c r="L28" t="s">
        <v>3</v>
      </c>
      <c r="M28" t="s">
        <v>3</v>
      </c>
      <c r="N28" t="s">
        <v>507</v>
      </c>
      <c r="O28" t="s">
        <v>508</v>
      </c>
      <c r="P28" t="s">
        <v>3</v>
      </c>
      <c r="Q28" t="s">
        <v>3</v>
      </c>
      <c r="R28" t="s">
        <v>3</v>
      </c>
      <c r="S28" t="s">
        <v>509</v>
      </c>
      <c r="T28" t="s">
        <v>510</v>
      </c>
      <c r="U28" t="s">
        <v>511</v>
      </c>
    </row>
    <row r="29" spans="1:21" x14ac:dyDescent="0.25">
      <c r="A29">
        <v>43</v>
      </c>
      <c r="B29">
        <v>1</v>
      </c>
      <c r="C29" t="s">
        <v>3</v>
      </c>
      <c r="D29" t="s">
        <v>55</v>
      </c>
      <c r="E29" t="s">
        <v>56</v>
      </c>
      <c r="F29" t="s">
        <v>56</v>
      </c>
      <c r="G29" t="s">
        <v>56</v>
      </c>
      <c r="H29" t="s">
        <v>3</v>
      </c>
      <c r="I29" t="s">
        <v>56</v>
      </c>
      <c r="J29" t="s">
        <v>56</v>
      </c>
      <c r="K29" t="s">
        <v>3</v>
      </c>
      <c r="L29" t="s">
        <v>3</v>
      </c>
      <c r="M29" t="s">
        <v>3</v>
      </c>
      <c r="N29" t="s">
        <v>55</v>
      </c>
      <c r="O29" t="s">
        <v>56</v>
      </c>
      <c r="P29" t="s">
        <v>3</v>
      </c>
      <c r="Q29" t="s">
        <v>3</v>
      </c>
      <c r="R29" t="s">
        <v>3</v>
      </c>
      <c r="S29" t="s">
        <v>504</v>
      </c>
      <c r="T29" t="s">
        <v>505</v>
      </c>
      <c r="U29" t="s">
        <v>506</v>
      </c>
    </row>
    <row r="30" spans="1:21" x14ac:dyDescent="0.25">
      <c r="A30">
        <v>43</v>
      </c>
      <c r="B30">
        <v>1</v>
      </c>
      <c r="C30" t="s">
        <v>3</v>
      </c>
      <c r="D30" t="s">
        <v>507</v>
      </c>
      <c r="E30" t="s">
        <v>508</v>
      </c>
      <c r="F30" t="s">
        <v>508</v>
      </c>
      <c r="G30" t="s">
        <v>508</v>
      </c>
      <c r="H30" t="s">
        <v>3</v>
      </c>
      <c r="I30" t="s">
        <v>508</v>
      </c>
      <c r="J30" t="s">
        <v>508</v>
      </c>
      <c r="K30" t="s">
        <v>3</v>
      </c>
      <c r="L30" t="s">
        <v>3</v>
      </c>
      <c r="M30" t="s">
        <v>3</v>
      </c>
      <c r="N30" t="s">
        <v>507</v>
      </c>
      <c r="O30" t="s">
        <v>508</v>
      </c>
      <c r="P30" t="s">
        <v>3</v>
      </c>
      <c r="Q30" t="s">
        <v>3</v>
      </c>
      <c r="R30" t="s">
        <v>3</v>
      </c>
      <c r="S30" t="s">
        <v>509</v>
      </c>
      <c r="T30" t="s">
        <v>510</v>
      </c>
      <c r="U30" t="s">
        <v>511</v>
      </c>
    </row>
    <row r="31" spans="1:21" x14ac:dyDescent="0.25">
      <c r="A31">
        <v>44</v>
      </c>
      <c r="B31">
        <v>1</v>
      </c>
      <c r="C31" t="s">
        <v>3</v>
      </c>
      <c r="D31" t="s">
        <v>55</v>
      </c>
      <c r="E31" t="s">
        <v>56</v>
      </c>
      <c r="F31" t="s">
        <v>56</v>
      </c>
      <c r="G31" t="s">
        <v>56</v>
      </c>
      <c r="H31" t="s">
        <v>3</v>
      </c>
      <c r="I31" t="s">
        <v>56</v>
      </c>
      <c r="J31" t="s">
        <v>56</v>
      </c>
      <c r="K31" t="s">
        <v>3</v>
      </c>
      <c r="L31" t="s">
        <v>3</v>
      </c>
      <c r="M31" t="s">
        <v>3</v>
      </c>
      <c r="N31" t="s">
        <v>55</v>
      </c>
      <c r="O31" t="s">
        <v>56</v>
      </c>
      <c r="P31" t="s">
        <v>3</v>
      </c>
      <c r="Q31" t="s">
        <v>3</v>
      </c>
      <c r="R31" t="s">
        <v>3</v>
      </c>
      <c r="S31" t="s">
        <v>504</v>
      </c>
      <c r="T31" t="s">
        <v>505</v>
      </c>
      <c r="U31" t="s">
        <v>506</v>
      </c>
    </row>
    <row r="32" spans="1:21" x14ac:dyDescent="0.25">
      <c r="A32">
        <v>44</v>
      </c>
      <c r="B32">
        <v>1</v>
      </c>
      <c r="C32" t="s">
        <v>3</v>
      </c>
      <c r="D32" t="s">
        <v>507</v>
      </c>
      <c r="E32" t="s">
        <v>508</v>
      </c>
      <c r="F32" t="s">
        <v>508</v>
      </c>
      <c r="G32" t="s">
        <v>508</v>
      </c>
      <c r="H32" t="s">
        <v>3</v>
      </c>
      <c r="I32" t="s">
        <v>508</v>
      </c>
      <c r="J32" t="s">
        <v>508</v>
      </c>
      <c r="K32" t="s">
        <v>3</v>
      </c>
      <c r="L32" t="s">
        <v>3</v>
      </c>
      <c r="M32" t="s">
        <v>3</v>
      </c>
      <c r="N32" t="s">
        <v>507</v>
      </c>
      <c r="O32" t="s">
        <v>508</v>
      </c>
      <c r="P32" t="s">
        <v>3</v>
      </c>
      <c r="Q32" t="s">
        <v>3</v>
      </c>
      <c r="R32" t="s">
        <v>3</v>
      </c>
      <c r="S32" t="s">
        <v>509</v>
      </c>
      <c r="T32" t="s">
        <v>510</v>
      </c>
      <c r="U32" t="s">
        <v>511</v>
      </c>
    </row>
    <row r="33" spans="1:21" x14ac:dyDescent="0.25">
      <c r="A33">
        <v>45</v>
      </c>
      <c r="B33">
        <v>1</v>
      </c>
      <c r="C33" t="s">
        <v>3</v>
      </c>
      <c r="D33" t="s">
        <v>55</v>
      </c>
      <c r="E33" t="s">
        <v>56</v>
      </c>
      <c r="F33" t="s">
        <v>56</v>
      </c>
      <c r="G33" t="s">
        <v>56</v>
      </c>
      <c r="H33" t="s">
        <v>3</v>
      </c>
      <c r="I33" t="s">
        <v>56</v>
      </c>
      <c r="J33" t="s">
        <v>56</v>
      </c>
      <c r="K33" t="s">
        <v>3</v>
      </c>
      <c r="L33" t="s">
        <v>3</v>
      </c>
      <c r="M33" t="s">
        <v>3</v>
      </c>
      <c r="N33" t="s">
        <v>55</v>
      </c>
      <c r="O33" t="s">
        <v>56</v>
      </c>
      <c r="P33" t="s">
        <v>3</v>
      </c>
      <c r="Q33" t="s">
        <v>3</v>
      </c>
      <c r="R33" t="s">
        <v>3</v>
      </c>
      <c r="S33" t="s">
        <v>504</v>
      </c>
      <c r="T33" t="s">
        <v>505</v>
      </c>
      <c r="U33" t="s">
        <v>506</v>
      </c>
    </row>
    <row r="34" spans="1:21" x14ac:dyDescent="0.25">
      <c r="A34">
        <v>45</v>
      </c>
      <c r="B34">
        <v>1</v>
      </c>
      <c r="C34" t="s">
        <v>3</v>
      </c>
      <c r="D34" t="s">
        <v>507</v>
      </c>
      <c r="E34" t="s">
        <v>508</v>
      </c>
      <c r="F34" t="s">
        <v>508</v>
      </c>
      <c r="G34" t="s">
        <v>508</v>
      </c>
      <c r="H34" t="s">
        <v>3</v>
      </c>
      <c r="I34" t="s">
        <v>508</v>
      </c>
      <c r="J34" t="s">
        <v>508</v>
      </c>
      <c r="K34" t="s">
        <v>3</v>
      </c>
      <c r="L34" t="s">
        <v>3</v>
      </c>
      <c r="M34" t="s">
        <v>3</v>
      </c>
      <c r="N34" t="s">
        <v>507</v>
      </c>
      <c r="O34" t="s">
        <v>508</v>
      </c>
      <c r="P34" t="s">
        <v>3</v>
      </c>
      <c r="Q34" t="s">
        <v>3</v>
      </c>
      <c r="R34" t="s">
        <v>3</v>
      </c>
      <c r="S34" t="s">
        <v>509</v>
      </c>
      <c r="T34" t="s">
        <v>510</v>
      </c>
      <c r="U34" t="s">
        <v>511</v>
      </c>
    </row>
    <row r="35" spans="1:21" x14ac:dyDescent="0.25">
      <c r="A35">
        <v>46</v>
      </c>
      <c r="B35">
        <v>1</v>
      </c>
      <c r="C35" t="s">
        <v>3</v>
      </c>
      <c r="D35" t="s">
        <v>55</v>
      </c>
      <c r="E35" t="s">
        <v>56</v>
      </c>
      <c r="F35" t="s">
        <v>56</v>
      </c>
      <c r="G35" t="s">
        <v>56</v>
      </c>
      <c r="H35" t="s">
        <v>3</v>
      </c>
      <c r="I35" t="s">
        <v>56</v>
      </c>
      <c r="J35" t="s">
        <v>56</v>
      </c>
      <c r="K35" t="s">
        <v>3</v>
      </c>
      <c r="L35" t="s">
        <v>3</v>
      </c>
      <c r="M35" t="s">
        <v>3</v>
      </c>
      <c r="N35" t="s">
        <v>55</v>
      </c>
      <c r="O35" t="s">
        <v>56</v>
      </c>
      <c r="P35" t="s">
        <v>3</v>
      </c>
      <c r="Q35" t="s">
        <v>3</v>
      </c>
      <c r="R35" t="s">
        <v>3</v>
      </c>
      <c r="S35" t="s">
        <v>504</v>
      </c>
      <c r="T35" t="s">
        <v>505</v>
      </c>
      <c r="U35" t="s">
        <v>506</v>
      </c>
    </row>
    <row r="36" spans="1:21" x14ac:dyDescent="0.25">
      <c r="A36">
        <v>46</v>
      </c>
      <c r="B36">
        <v>1</v>
      </c>
      <c r="C36" t="s">
        <v>3</v>
      </c>
      <c r="D36" t="s">
        <v>507</v>
      </c>
      <c r="E36" t="s">
        <v>508</v>
      </c>
      <c r="F36" t="s">
        <v>508</v>
      </c>
      <c r="G36" t="s">
        <v>508</v>
      </c>
      <c r="H36" t="s">
        <v>3</v>
      </c>
      <c r="I36" t="s">
        <v>508</v>
      </c>
      <c r="J36" t="s">
        <v>508</v>
      </c>
      <c r="K36" t="s">
        <v>3</v>
      </c>
      <c r="L36" t="s">
        <v>3</v>
      </c>
      <c r="M36" t="s">
        <v>3</v>
      </c>
      <c r="N36" t="s">
        <v>507</v>
      </c>
      <c r="O36" t="s">
        <v>508</v>
      </c>
      <c r="P36" t="s">
        <v>3</v>
      </c>
      <c r="Q36" t="s">
        <v>3</v>
      </c>
      <c r="R36" t="s">
        <v>3</v>
      </c>
      <c r="S36" t="s">
        <v>509</v>
      </c>
      <c r="T36" t="s">
        <v>510</v>
      </c>
      <c r="U36" t="s">
        <v>511</v>
      </c>
    </row>
    <row r="37" spans="1:21" x14ac:dyDescent="0.25">
      <c r="A37">
        <v>47</v>
      </c>
      <c r="B37">
        <v>1</v>
      </c>
      <c r="C37" t="s">
        <v>3</v>
      </c>
      <c r="D37" t="s">
        <v>55</v>
      </c>
      <c r="E37" t="s">
        <v>56</v>
      </c>
      <c r="F37" t="s">
        <v>56</v>
      </c>
      <c r="G37" t="s">
        <v>56</v>
      </c>
      <c r="H37" t="s">
        <v>3</v>
      </c>
      <c r="I37" t="s">
        <v>56</v>
      </c>
      <c r="J37" t="s">
        <v>56</v>
      </c>
      <c r="K37" t="s">
        <v>3</v>
      </c>
      <c r="L37" t="s">
        <v>3</v>
      </c>
      <c r="M37" t="s">
        <v>3</v>
      </c>
      <c r="N37" t="s">
        <v>55</v>
      </c>
      <c r="O37" t="s">
        <v>56</v>
      </c>
      <c r="P37" t="s">
        <v>3</v>
      </c>
      <c r="Q37" t="s">
        <v>3</v>
      </c>
      <c r="R37" t="s">
        <v>3</v>
      </c>
      <c r="S37" t="s">
        <v>504</v>
      </c>
      <c r="T37" t="s">
        <v>505</v>
      </c>
      <c r="U37" t="s">
        <v>506</v>
      </c>
    </row>
    <row r="38" spans="1:21" x14ac:dyDescent="0.25">
      <c r="A38">
        <v>47</v>
      </c>
      <c r="B38">
        <v>1</v>
      </c>
      <c r="C38" t="s">
        <v>3</v>
      </c>
      <c r="D38" t="s">
        <v>507</v>
      </c>
      <c r="E38" t="s">
        <v>508</v>
      </c>
      <c r="F38" t="s">
        <v>508</v>
      </c>
      <c r="G38" t="s">
        <v>508</v>
      </c>
      <c r="H38" t="s">
        <v>3</v>
      </c>
      <c r="I38" t="s">
        <v>508</v>
      </c>
      <c r="J38" t="s">
        <v>508</v>
      </c>
      <c r="K38" t="s">
        <v>3</v>
      </c>
      <c r="L38" t="s">
        <v>3</v>
      </c>
      <c r="M38" t="s">
        <v>3</v>
      </c>
      <c r="N38" t="s">
        <v>507</v>
      </c>
      <c r="O38" t="s">
        <v>508</v>
      </c>
      <c r="P38" t="s">
        <v>3</v>
      </c>
      <c r="Q38" t="s">
        <v>3</v>
      </c>
      <c r="R38" t="s">
        <v>3</v>
      </c>
      <c r="S38" t="s">
        <v>509</v>
      </c>
      <c r="T38" t="s">
        <v>510</v>
      </c>
      <c r="U38" t="s">
        <v>511</v>
      </c>
    </row>
    <row r="39" spans="1:21" x14ac:dyDescent="0.25">
      <c r="A39">
        <v>48</v>
      </c>
      <c r="B39">
        <v>1</v>
      </c>
      <c r="C39" t="s">
        <v>3</v>
      </c>
      <c r="D39" t="s">
        <v>55</v>
      </c>
      <c r="E39" t="s">
        <v>56</v>
      </c>
      <c r="F39" t="s">
        <v>56</v>
      </c>
      <c r="G39" t="s">
        <v>56</v>
      </c>
      <c r="H39" t="s">
        <v>3</v>
      </c>
      <c r="I39" t="s">
        <v>56</v>
      </c>
      <c r="J39" t="s">
        <v>56</v>
      </c>
      <c r="K39" t="s">
        <v>3</v>
      </c>
      <c r="L39" t="s">
        <v>3</v>
      </c>
      <c r="M39" t="s">
        <v>3</v>
      </c>
      <c r="N39" t="s">
        <v>55</v>
      </c>
      <c r="O39" t="s">
        <v>56</v>
      </c>
      <c r="P39" t="s">
        <v>3</v>
      </c>
      <c r="Q39" t="s">
        <v>3</v>
      </c>
      <c r="R39" t="s">
        <v>3</v>
      </c>
      <c r="S39" t="s">
        <v>504</v>
      </c>
      <c r="T39" t="s">
        <v>505</v>
      </c>
      <c r="U39" t="s">
        <v>506</v>
      </c>
    </row>
    <row r="40" spans="1:21" x14ac:dyDescent="0.25">
      <c r="A40">
        <v>48</v>
      </c>
      <c r="B40">
        <v>1</v>
      </c>
      <c r="C40" t="s">
        <v>3</v>
      </c>
      <c r="D40" t="s">
        <v>507</v>
      </c>
      <c r="E40" t="s">
        <v>508</v>
      </c>
      <c r="F40" t="s">
        <v>508</v>
      </c>
      <c r="G40" t="s">
        <v>508</v>
      </c>
      <c r="H40" t="s">
        <v>3</v>
      </c>
      <c r="I40" t="s">
        <v>508</v>
      </c>
      <c r="J40" t="s">
        <v>508</v>
      </c>
      <c r="K40" t="s">
        <v>3</v>
      </c>
      <c r="L40" t="s">
        <v>3</v>
      </c>
      <c r="M40" t="s">
        <v>3</v>
      </c>
      <c r="N40" t="s">
        <v>507</v>
      </c>
      <c r="O40" t="s">
        <v>508</v>
      </c>
      <c r="P40" t="s">
        <v>3</v>
      </c>
      <c r="Q40" t="s">
        <v>3</v>
      </c>
      <c r="R40" t="s">
        <v>3</v>
      </c>
      <c r="S40" t="s">
        <v>509</v>
      </c>
      <c r="T40" t="s">
        <v>510</v>
      </c>
      <c r="U40" t="s">
        <v>511</v>
      </c>
    </row>
    <row r="41" spans="1:21" x14ac:dyDescent="0.25">
      <c r="A41">
        <v>49</v>
      </c>
      <c r="B41">
        <v>1</v>
      </c>
      <c r="C41" t="s">
        <v>3</v>
      </c>
      <c r="D41" t="s">
        <v>55</v>
      </c>
      <c r="E41" t="s">
        <v>56</v>
      </c>
      <c r="F41" t="s">
        <v>56</v>
      </c>
      <c r="G41" t="s">
        <v>56</v>
      </c>
      <c r="H41" t="s">
        <v>3</v>
      </c>
      <c r="I41" t="s">
        <v>56</v>
      </c>
      <c r="J41" t="s">
        <v>56</v>
      </c>
      <c r="K41" t="s">
        <v>3</v>
      </c>
      <c r="L41" t="s">
        <v>3</v>
      </c>
      <c r="M41" t="s">
        <v>3</v>
      </c>
      <c r="N41" t="s">
        <v>55</v>
      </c>
      <c r="O41" t="s">
        <v>56</v>
      </c>
      <c r="P41" t="s">
        <v>3</v>
      </c>
      <c r="Q41" t="s">
        <v>3</v>
      </c>
      <c r="R41" t="s">
        <v>3</v>
      </c>
      <c r="S41" t="s">
        <v>504</v>
      </c>
      <c r="T41" t="s">
        <v>505</v>
      </c>
      <c r="U41" t="s">
        <v>506</v>
      </c>
    </row>
    <row r="42" spans="1:21" x14ac:dyDescent="0.25">
      <c r="A42">
        <v>49</v>
      </c>
      <c r="B42">
        <v>1</v>
      </c>
      <c r="C42" t="s">
        <v>3</v>
      </c>
      <c r="D42" t="s">
        <v>507</v>
      </c>
      <c r="E42" t="s">
        <v>508</v>
      </c>
      <c r="F42" t="s">
        <v>508</v>
      </c>
      <c r="G42" t="s">
        <v>508</v>
      </c>
      <c r="H42" t="s">
        <v>3</v>
      </c>
      <c r="I42" t="s">
        <v>508</v>
      </c>
      <c r="J42" t="s">
        <v>508</v>
      </c>
      <c r="K42" t="s">
        <v>3</v>
      </c>
      <c r="L42" t="s">
        <v>3</v>
      </c>
      <c r="M42" t="s">
        <v>3</v>
      </c>
      <c r="N42" t="s">
        <v>507</v>
      </c>
      <c r="O42" t="s">
        <v>508</v>
      </c>
      <c r="P42" t="s">
        <v>3</v>
      </c>
      <c r="Q42" t="s">
        <v>3</v>
      </c>
      <c r="R42" t="s">
        <v>3</v>
      </c>
      <c r="S42" t="s">
        <v>509</v>
      </c>
      <c r="T42" t="s">
        <v>510</v>
      </c>
      <c r="U42" t="s">
        <v>511</v>
      </c>
    </row>
    <row r="43" spans="1:21" x14ac:dyDescent="0.25">
      <c r="A43">
        <v>50</v>
      </c>
      <c r="B43">
        <v>1</v>
      </c>
      <c r="C43" t="s">
        <v>3</v>
      </c>
      <c r="D43" t="s">
        <v>55</v>
      </c>
      <c r="E43" t="s">
        <v>56</v>
      </c>
      <c r="F43" t="s">
        <v>56</v>
      </c>
      <c r="G43" t="s">
        <v>56</v>
      </c>
      <c r="H43" t="s">
        <v>3</v>
      </c>
      <c r="I43" t="s">
        <v>56</v>
      </c>
      <c r="J43" t="s">
        <v>56</v>
      </c>
      <c r="K43" t="s">
        <v>3</v>
      </c>
      <c r="L43" t="s">
        <v>3</v>
      </c>
      <c r="M43" t="s">
        <v>3</v>
      </c>
      <c r="N43" t="s">
        <v>55</v>
      </c>
      <c r="O43" t="s">
        <v>56</v>
      </c>
      <c r="P43" t="s">
        <v>3</v>
      </c>
      <c r="Q43" t="s">
        <v>3</v>
      </c>
      <c r="R43" t="s">
        <v>3</v>
      </c>
      <c r="S43" t="s">
        <v>504</v>
      </c>
      <c r="T43" t="s">
        <v>505</v>
      </c>
      <c r="U43" t="s">
        <v>506</v>
      </c>
    </row>
    <row r="44" spans="1:21" x14ac:dyDescent="0.25">
      <c r="A44">
        <v>50</v>
      </c>
      <c r="B44">
        <v>1</v>
      </c>
      <c r="C44" t="s">
        <v>3</v>
      </c>
      <c r="D44" t="s">
        <v>507</v>
      </c>
      <c r="E44" t="s">
        <v>508</v>
      </c>
      <c r="F44" t="s">
        <v>508</v>
      </c>
      <c r="G44" t="s">
        <v>508</v>
      </c>
      <c r="H44" t="s">
        <v>3</v>
      </c>
      <c r="I44" t="s">
        <v>508</v>
      </c>
      <c r="J44" t="s">
        <v>508</v>
      </c>
      <c r="K44" t="s">
        <v>3</v>
      </c>
      <c r="L44" t="s">
        <v>3</v>
      </c>
      <c r="M44" t="s">
        <v>3</v>
      </c>
      <c r="N44" t="s">
        <v>507</v>
      </c>
      <c r="O44" t="s">
        <v>508</v>
      </c>
      <c r="P44" t="s">
        <v>3</v>
      </c>
      <c r="Q44" t="s">
        <v>3</v>
      </c>
      <c r="R44" t="s">
        <v>3</v>
      </c>
      <c r="S44" t="s">
        <v>509</v>
      </c>
      <c r="T44" t="s">
        <v>510</v>
      </c>
      <c r="U44" t="s">
        <v>511</v>
      </c>
    </row>
    <row r="45" spans="1:21" x14ac:dyDescent="0.25">
      <c r="A45">
        <v>51</v>
      </c>
      <c r="B45">
        <v>1</v>
      </c>
      <c r="C45" t="s">
        <v>3</v>
      </c>
      <c r="D45" t="s">
        <v>55</v>
      </c>
      <c r="E45" t="s">
        <v>56</v>
      </c>
      <c r="F45" t="s">
        <v>56</v>
      </c>
      <c r="G45" t="s">
        <v>56</v>
      </c>
      <c r="H45" t="s">
        <v>3</v>
      </c>
      <c r="I45" t="s">
        <v>56</v>
      </c>
      <c r="J45" t="s">
        <v>56</v>
      </c>
      <c r="K45" t="s">
        <v>3</v>
      </c>
      <c r="L45" t="s">
        <v>3</v>
      </c>
      <c r="M45" t="s">
        <v>3</v>
      </c>
      <c r="N45" t="s">
        <v>55</v>
      </c>
      <c r="O45" t="s">
        <v>56</v>
      </c>
      <c r="P45" t="s">
        <v>3</v>
      </c>
      <c r="Q45" t="s">
        <v>3</v>
      </c>
      <c r="R45" t="s">
        <v>3</v>
      </c>
      <c r="S45" t="s">
        <v>504</v>
      </c>
      <c r="T45" t="s">
        <v>505</v>
      </c>
      <c r="U45" t="s">
        <v>506</v>
      </c>
    </row>
    <row r="46" spans="1:21" x14ac:dyDescent="0.25">
      <c r="A46">
        <v>51</v>
      </c>
      <c r="B46">
        <v>1</v>
      </c>
      <c r="C46" t="s">
        <v>3</v>
      </c>
      <c r="D46" t="s">
        <v>507</v>
      </c>
      <c r="E46" t="s">
        <v>508</v>
      </c>
      <c r="F46" t="s">
        <v>508</v>
      </c>
      <c r="G46" t="s">
        <v>508</v>
      </c>
      <c r="H46" t="s">
        <v>3</v>
      </c>
      <c r="I46" t="s">
        <v>508</v>
      </c>
      <c r="J46" t="s">
        <v>508</v>
      </c>
      <c r="K46" t="s">
        <v>3</v>
      </c>
      <c r="L46" t="s">
        <v>3</v>
      </c>
      <c r="M46" t="s">
        <v>3</v>
      </c>
      <c r="N46" t="s">
        <v>507</v>
      </c>
      <c r="O46" t="s">
        <v>508</v>
      </c>
      <c r="P46" t="s">
        <v>3</v>
      </c>
      <c r="Q46" t="s">
        <v>3</v>
      </c>
      <c r="R46" t="s">
        <v>3</v>
      </c>
      <c r="S46" t="s">
        <v>509</v>
      </c>
      <c r="T46" t="s">
        <v>510</v>
      </c>
      <c r="U46" t="s">
        <v>511</v>
      </c>
    </row>
    <row r="47" spans="1:21" x14ac:dyDescent="0.25">
      <c r="A47">
        <v>52</v>
      </c>
      <c r="B47">
        <v>1</v>
      </c>
      <c r="C47" t="s">
        <v>3</v>
      </c>
      <c r="D47" t="s">
        <v>55</v>
      </c>
      <c r="E47" t="s">
        <v>56</v>
      </c>
      <c r="F47" t="s">
        <v>56</v>
      </c>
      <c r="G47" t="s">
        <v>56</v>
      </c>
      <c r="H47" t="s">
        <v>3</v>
      </c>
      <c r="I47" t="s">
        <v>56</v>
      </c>
      <c r="J47" t="s">
        <v>56</v>
      </c>
      <c r="K47" t="s">
        <v>3</v>
      </c>
      <c r="L47" t="s">
        <v>3</v>
      </c>
      <c r="M47" t="s">
        <v>3</v>
      </c>
      <c r="N47" t="s">
        <v>55</v>
      </c>
      <c r="O47" t="s">
        <v>56</v>
      </c>
      <c r="P47" t="s">
        <v>3</v>
      </c>
      <c r="Q47" t="s">
        <v>3</v>
      </c>
      <c r="R47" t="s">
        <v>3</v>
      </c>
      <c r="S47" t="s">
        <v>504</v>
      </c>
      <c r="T47" t="s">
        <v>505</v>
      </c>
      <c r="U47" t="s">
        <v>506</v>
      </c>
    </row>
    <row r="48" spans="1:21" x14ac:dyDescent="0.25">
      <c r="A48">
        <v>53</v>
      </c>
      <c r="B48">
        <v>1</v>
      </c>
      <c r="C48" t="s">
        <v>3</v>
      </c>
      <c r="D48" t="s">
        <v>55</v>
      </c>
      <c r="E48" t="s">
        <v>56</v>
      </c>
      <c r="F48" t="s">
        <v>56</v>
      </c>
      <c r="G48" t="s">
        <v>56</v>
      </c>
      <c r="H48" t="s">
        <v>3</v>
      </c>
      <c r="I48" t="s">
        <v>56</v>
      </c>
      <c r="J48" t="s">
        <v>56</v>
      </c>
      <c r="K48" t="s">
        <v>3</v>
      </c>
      <c r="L48" t="s">
        <v>3</v>
      </c>
      <c r="M48" t="s">
        <v>3</v>
      </c>
      <c r="N48" t="s">
        <v>55</v>
      </c>
      <c r="O48" t="s">
        <v>56</v>
      </c>
      <c r="P48" t="s">
        <v>3</v>
      </c>
      <c r="Q48" t="s">
        <v>3</v>
      </c>
      <c r="R48" t="s">
        <v>3</v>
      </c>
      <c r="S48" t="s">
        <v>504</v>
      </c>
      <c r="T48" t="s">
        <v>505</v>
      </c>
      <c r="U48" t="s">
        <v>506</v>
      </c>
    </row>
    <row r="49" spans="1:21" x14ac:dyDescent="0.25">
      <c r="A49">
        <v>89</v>
      </c>
      <c r="B49">
        <v>1</v>
      </c>
      <c r="C49" t="s">
        <v>3</v>
      </c>
      <c r="D49" t="s">
        <v>55</v>
      </c>
      <c r="E49" t="s">
        <v>56</v>
      </c>
      <c r="F49" t="s">
        <v>56</v>
      </c>
      <c r="G49" t="s">
        <v>56</v>
      </c>
      <c r="H49" t="s">
        <v>3</v>
      </c>
      <c r="I49" t="s">
        <v>56</v>
      </c>
      <c r="J49" t="s">
        <v>56</v>
      </c>
      <c r="K49" t="s">
        <v>3</v>
      </c>
      <c r="L49" t="s">
        <v>3</v>
      </c>
      <c r="M49" t="s">
        <v>3</v>
      </c>
      <c r="N49" t="s">
        <v>55</v>
      </c>
      <c r="O49" t="s">
        <v>56</v>
      </c>
      <c r="P49" t="s">
        <v>3</v>
      </c>
      <c r="Q49" t="s">
        <v>3</v>
      </c>
      <c r="R49" t="s">
        <v>3</v>
      </c>
      <c r="S49" t="s">
        <v>504</v>
      </c>
      <c r="T49" t="s">
        <v>505</v>
      </c>
      <c r="U49" t="s">
        <v>506</v>
      </c>
    </row>
    <row r="50" spans="1:21" x14ac:dyDescent="0.25">
      <c r="A50">
        <v>90</v>
      </c>
      <c r="B50">
        <v>1</v>
      </c>
      <c r="C50" t="s">
        <v>3</v>
      </c>
      <c r="D50" t="s">
        <v>55</v>
      </c>
      <c r="E50" t="s">
        <v>56</v>
      </c>
      <c r="F50" t="s">
        <v>56</v>
      </c>
      <c r="G50" t="s">
        <v>56</v>
      </c>
      <c r="H50" t="s">
        <v>3</v>
      </c>
      <c r="I50" t="s">
        <v>56</v>
      </c>
      <c r="J50" t="s">
        <v>56</v>
      </c>
      <c r="K50" t="s">
        <v>3</v>
      </c>
      <c r="L50" t="s">
        <v>3</v>
      </c>
      <c r="M50" t="s">
        <v>3</v>
      </c>
      <c r="N50" t="s">
        <v>55</v>
      </c>
      <c r="O50" t="s">
        <v>56</v>
      </c>
      <c r="P50" t="s">
        <v>3</v>
      </c>
      <c r="Q50" t="s">
        <v>3</v>
      </c>
      <c r="R50" t="s">
        <v>3</v>
      </c>
      <c r="S50" t="s">
        <v>504</v>
      </c>
      <c r="T50" t="s">
        <v>505</v>
      </c>
      <c r="U50" t="s">
        <v>506</v>
      </c>
    </row>
    <row r="51" spans="1:21" x14ac:dyDescent="0.25">
      <c r="A51">
        <v>93</v>
      </c>
      <c r="B51">
        <v>1</v>
      </c>
      <c r="C51" t="s">
        <v>3</v>
      </c>
      <c r="D51" t="s">
        <v>55</v>
      </c>
      <c r="E51" t="s">
        <v>56</v>
      </c>
      <c r="F51" t="s">
        <v>56</v>
      </c>
      <c r="G51" t="s">
        <v>56</v>
      </c>
      <c r="H51" t="s">
        <v>3</v>
      </c>
      <c r="I51" t="s">
        <v>56</v>
      </c>
      <c r="J51" t="s">
        <v>56</v>
      </c>
      <c r="K51" t="s">
        <v>3</v>
      </c>
      <c r="L51" t="s">
        <v>3</v>
      </c>
      <c r="M51" t="s">
        <v>3</v>
      </c>
      <c r="N51" t="s">
        <v>55</v>
      </c>
      <c r="O51" t="s">
        <v>56</v>
      </c>
      <c r="P51" t="s">
        <v>3</v>
      </c>
      <c r="Q51" t="s">
        <v>3</v>
      </c>
      <c r="R51" t="s">
        <v>3</v>
      </c>
      <c r="S51" t="s">
        <v>504</v>
      </c>
      <c r="T51" t="s">
        <v>505</v>
      </c>
      <c r="U51" t="s">
        <v>506</v>
      </c>
    </row>
    <row r="52" spans="1:21" x14ac:dyDescent="0.25">
      <c r="A52">
        <v>94</v>
      </c>
      <c r="B52">
        <v>1</v>
      </c>
      <c r="C52" t="s">
        <v>3</v>
      </c>
      <c r="D52" t="s">
        <v>55</v>
      </c>
      <c r="E52" t="s">
        <v>56</v>
      </c>
      <c r="F52" t="s">
        <v>56</v>
      </c>
      <c r="G52" t="s">
        <v>56</v>
      </c>
      <c r="H52" t="s">
        <v>3</v>
      </c>
      <c r="I52" t="s">
        <v>56</v>
      </c>
      <c r="J52" t="s">
        <v>56</v>
      </c>
      <c r="K52" t="s">
        <v>3</v>
      </c>
      <c r="L52" t="s">
        <v>3</v>
      </c>
      <c r="M52" t="s">
        <v>3</v>
      </c>
      <c r="N52" t="s">
        <v>55</v>
      </c>
      <c r="O52" t="s">
        <v>56</v>
      </c>
      <c r="P52" t="s">
        <v>3</v>
      </c>
      <c r="Q52" t="s">
        <v>3</v>
      </c>
      <c r="R52" t="s">
        <v>3</v>
      </c>
      <c r="S52" t="s">
        <v>504</v>
      </c>
      <c r="T52" t="s">
        <v>505</v>
      </c>
      <c r="U52" t="s">
        <v>506</v>
      </c>
    </row>
    <row r="53" spans="1:21" x14ac:dyDescent="0.25">
      <c r="A53">
        <v>97</v>
      </c>
      <c r="B53">
        <v>1</v>
      </c>
      <c r="C53" t="s">
        <v>3</v>
      </c>
      <c r="D53" t="s">
        <v>55</v>
      </c>
      <c r="E53" t="s">
        <v>56</v>
      </c>
      <c r="F53" t="s">
        <v>56</v>
      </c>
      <c r="G53" t="s">
        <v>56</v>
      </c>
      <c r="H53" t="s">
        <v>3</v>
      </c>
      <c r="I53" t="s">
        <v>56</v>
      </c>
      <c r="J53" t="s">
        <v>56</v>
      </c>
      <c r="K53" t="s">
        <v>3</v>
      </c>
      <c r="L53" t="s">
        <v>3</v>
      </c>
      <c r="M53" t="s">
        <v>3</v>
      </c>
      <c r="N53" t="s">
        <v>55</v>
      </c>
      <c r="O53" t="s">
        <v>56</v>
      </c>
      <c r="P53" t="s">
        <v>3</v>
      </c>
      <c r="Q53" t="s">
        <v>3</v>
      </c>
      <c r="R53" t="s">
        <v>3</v>
      </c>
      <c r="S53" t="s">
        <v>504</v>
      </c>
      <c r="T53" t="s">
        <v>505</v>
      </c>
      <c r="U53" t="s">
        <v>506</v>
      </c>
    </row>
    <row r="54" spans="1:21" x14ac:dyDescent="0.25">
      <c r="A54">
        <v>98</v>
      </c>
      <c r="B54">
        <v>1</v>
      </c>
      <c r="C54" t="s">
        <v>3</v>
      </c>
      <c r="D54" t="s">
        <v>55</v>
      </c>
      <c r="E54" t="s">
        <v>56</v>
      </c>
      <c r="F54" t="s">
        <v>56</v>
      </c>
      <c r="G54" t="s">
        <v>56</v>
      </c>
      <c r="H54" t="s">
        <v>3</v>
      </c>
      <c r="I54" t="s">
        <v>56</v>
      </c>
      <c r="J54" t="s">
        <v>56</v>
      </c>
      <c r="K54" t="s">
        <v>3</v>
      </c>
      <c r="L54" t="s">
        <v>3</v>
      </c>
      <c r="M54" t="s">
        <v>3</v>
      </c>
      <c r="N54" t="s">
        <v>55</v>
      </c>
      <c r="O54" t="s">
        <v>56</v>
      </c>
      <c r="P54" t="s">
        <v>3</v>
      </c>
      <c r="Q54" t="s">
        <v>3</v>
      </c>
      <c r="R54" t="s">
        <v>3</v>
      </c>
      <c r="S54" t="s">
        <v>504</v>
      </c>
      <c r="T54" t="s">
        <v>505</v>
      </c>
      <c r="U54" t="s">
        <v>506</v>
      </c>
    </row>
    <row r="55" spans="1:21" x14ac:dyDescent="0.25">
      <c r="A55">
        <v>101</v>
      </c>
      <c r="B55">
        <v>1</v>
      </c>
      <c r="C55" t="s">
        <v>3</v>
      </c>
      <c r="D55" t="s">
        <v>55</v>
      </c>
      <c r="E55" t="s">
        <v>56</v>
      </c>
      <c r="F55" t="s">
        <v>56</v>
      </c>
      <c r="G55" t="s">
        <v>56</v>
      </c>
      <c r="H55" t="s">
        <v>3</v>
      </c>
      <c r="I55" t="s">
        <v>56</v>
      </c>
      <c r="J55" t="s">
        <v>56</v>
      </c>
      <c r="K55" t="s">
        <v>3</v>
      </c>
      <c r="L55" t="s">
        <v>3</v>
      </c>
      <c r="M55" t="s">
        <v>3</v>
      </c>
      <c r="N55" t="s">
        <v>55</v>
      </c>
      <c r="O55" t="s">
        <v>56</v>
      </c>
      <c r="P55" t="s">
        <v>3</v>
      </c>
      <c r="Q55" t="s">
        <v>3</v>
      </c>
      <c r="R55" t="s">
        <v>3</v>
      </c>
      <c r="S55" t="s">
        <v>504</v>
      </c>
      <c r="T55" t="s">
        <v>505</v>
      </c>
      <c r="U55" t="s">
        <v>506</v>
      </c>
    </row>
    <row r="56" spans="1:21" x14ac:dyDescent="0.25">
      <c r="A56">
        <v>102</v>
      </c>
      <c r="B56">
        <v>1</v>
      </c>
      <c r="C56" t="s">
        <v>3</v>
      </c>
      <c r="D56" t="s">
        <v>55</v>
      </c>
      <c r="E56" t="s">
        <v>56</v>
      </c>
      <c r="F56" t="s">
        <v>56</v>
      </c>
      <c r="G56" t="s">
        <v>56</v>
      </c>
      <c r="H56" t="s">
        <v>3</v>
      </c>
      <c r="I56" t="s">
        <v>56</v>
      </c>
      <c r="J56" t="s">
        <v>56</v>
      </c>
      <c r="K56" t="s">
        <v>3</v>
      </c>
      <c r="L56" t="s">
        <v>3</v>
      </c>
      <c r="M56" t="s">
        <v>3</v>
      </c>
      <c r="N56" t="s">
        <v>55</v>
      </c>
      <c r="O56" t="s">
        <v>56</v>
      </c>
      <c r="P56" t="s">
        <v>3</v>
      </c>
      <c r="Q56" t="s">
        <v>3</v>
      </c>
      <c r="R56" t="s">
        <v>3</v>
      </c>
      <c r="S56" t="s">
        <v>504</v>
      </c>
      <c r="T56" t="s">
        <v>505</v>
      </c>
      <c r="U56" t="s">
        <v>506</v>
      </c>
    </row>
    <row r="57" spans="1:21" x14ac:dyDescent="0.25">
      <c r="A57">
        <v>107</v>
      </c>
      <c r="B57">
        <v>1</v>
      </c>
      <c r="C57" t="s">
        <v>3</v>
      </c>
      <c r="D57" t="s">
        <v>55</v>
      </c>
      <c r="E57" t="s">
        <v>56</v>
      </c>
      <c r="F57" t="s">
        <v>56</v>
      </c>
      <c r="G57" t="s">
        <v>56</v>
      </c>
      <c r="H57" t="s">
        <v>3</v>
      </c>
      <c r="I57" t="s">
        <v>56</v>
      </c>
      <c r="J57" t="s">
        <v>56</v>
      </c>
      <c r="K57" t="s">
        <v>3</v>
      </c>
      <c r="L57" t="s">
        <v>3</v>
      </c>
      <c r="M57" t="s">
        <v>3</v>
      </c>
      <c r="N57" t="s">
        <v>55</v>
      </c>
      <c r="O57" t="s">
        <v>56</v>
      </c>
      <c r="P57" t="s">
        <v>3</v>
      </c>
      <c r="Q57" t="s">
        <v>3</v>
      </c>
      <c r="R57" t="s">
        <v>3</v>
      </c>
      <c r="S57" t="s">
        <v>504</v>
      </c>
      <c r="T57" t="s">
        <v>505</v>
      </c>
      <c r="U57" t="s">
        <v>506</v>
      </c>
    </row>
    <row r="58" spans="1:21" x14ac:dyDescent="0.25">
      <c r="A58">
        <v>108</v>
      </c>
      <c r="B58">
        <v>1</v>
      </c>
      <c r="C58" t="s">
        <v>3</v>
      </c>
      <c r="D58" t="s">
        <v>55</v>
      </c>
      <c r="E58" t="s">
        <v>56</v>
      </c>
      <c r="F58" t="s">
        <v>56</v>
      </c>
      <c r="G58" t="s">
        <v>56</v>
      </c>
      <c r="H58" t="s">
        <v>3</v>
      </c>
      <c r="I58" t="s">
        <v>56</v>
      </c>
      <c r="J58" t="s">
        <v>56</v>
      </c>
      <c r="K58" t="s">
        <v>3</v>
      </c>
      <c r="L58" t="s">
        <v>3</v>
      </c>
      <c r="M58" t="s">
        <v>3</v>
      </c>
      <c r="N58" t="s">
        <v>55</v>
      </c>
      <c r="O58" t="s">
        <v>56</v>
      </c>
      <c r="P58" t="s">
        <v>3</v>
      </c>
      <c r="Q58" t="s">
        <v>3</v>
      </c>
      <c r="R58" t="s">
        <v>3</v>
      </c>
      <c r="S58" t="s">
        <v>504</v>
      </c>
      <c r="T58" t="s">
        <v>505</v>
      </c>
      <c r="U58" t="s">
        <v>506</v>
      </c>
    </row>
    <row r="59" spans="1:21" x14ac:dyDescent="0.25">
      <c r="A59">
        <v>111</v>
      </c>
      <c r="B59">
        <v>1</v>
      </c>
      <c r="C59" t="s">
        <v>3</v>
      </c>
      <c r="D59" t="s">
        <v>55</v>
      </c>
      <c r="E59" t="s">
        <v>56</v>
      </c>
      <c r="F59" t="s">
        <v>56</v>
      </c>
      <c r="G59" t="s">
        <v>56</v>
      </c>
      <c r="H59" t="s">
        <v>3</v>
      </c>
      <c r="I59" t="s">
        <v>56</v>
      </c>
      <c r="J59" t="s">
        <v>56</v>
      </c>
      <c r="K59" t="s">
        <v>3</v>
      </c>
      <c r="L59" t="s">
        <v>3</v>
      </c>
      <c r="M59" t="s">
        <v>3</v>
      </c>
      <c r="N59" t="s">
        <v>55</v>
      </c>
      <c r="O59" t="s">
        <v>56</v>
      </c>
      <c r="P59" t="s">
        <v>3</v>
      </c>
      <c r="Q59" t="s">
        <v>3</v>
      </c>
      <c r="R59" t="s">
        <v>3</v>
      </c>
      <c r="S59" t="s">
        <v>504</v>
      </c>
      <c r="T59" t="s">
        <v>505</v>
      </c>
      <c r="U59" t="s">
        <v>506</v>
      </c>
    </row>
    <row r="60" spans="1:21" x14ac:dyDescent="0.25">
      <c r="A60">
        <v>112</v>
      </c>
      <c r="B60">
        <v>1</v>
      </c>
      <c r="C60" t="s">
        <v>3</v>
      </c>
      <c r="D60" t="s">
        <v>55</v>
      </c>
      <c r="E60" t="s">
        <v>56</v>
      </c>
      <c r="F60" t="s">
        <v>56</v>
      </c>
      <c r="G60" t="s">
        <v>56</v>
      </c>
      <c r="H60" t="s">
        <v>3</v>
      </c>
      <c r="I60" t="s">
        <v>56</v>
      </c>
      <c r="J60" t="s">
        <v>56</v>
      </c>
      <c r="K60" t="s">
        <v>3</v>
      </c>
      <c r="L60" t="s">
        <v>3</v>
      </c>
      <c r="M60" t="s">
        <v>3</v>
      </c>
      <c r="N60" t="s">
        <v>55</v>
      </c>
      <c r="O60" t="s">
        <v>56</v>
      </c>
      <c r="P60" t="s">
        <v>3</v>
      </c>
      <c r="Q60" t="s">
        <v>3</v>
      </c>
      <c r="R60" t="s">
        <v>3</v>
      </c>
      <c r="S60" t="s">
        <v>504</v>
      </c>
      <c r="T60" t="s">
        <v>505</v>
      </c>
      <c r="U60" t="s">
        <v>506</v>
      </c>
    </row>
    <row r="61" spans="1:21" x14ac:dyDescent="0.25">
      <c r="A61">
        <v>115</v>
      </c>
      <c r="B61">
        <v>1</v>
      </c>
      <c r="C61" t="s">
        <v>3</v>
      </c>
      <c r="D61" t="s">
        <v>55</v>
      </c>
      <c r="E61" t="s">
        <v>56</v>
      </c>
      <c r="F61" t="s">
        <v>56</v>
      </c>
      <c r="G61" t="s">
        <v>56</v>
      </c>
      <c r="H61" t="s">
        <v>3</v>
      </c>
      <c r="I61" t="s">
        <v>56</v>
      </c>
      <c r="J61" t="s">
        <v>56</v>
      </c>
      <c r="K61" t="s">
        <v>3</v>
      </c>
      <c r="L61" t="s">
        <v>3</v>
      </c>
      <c r="M61" t="s">
        <v>3</v>
      </c>
      <c r="N61" t="s">
        <v>55</v>
      </c>
      <c r="O61" t="s">
        <v>56</v>
      </c>
      <c r="P61" t="s">
        <v>3</v>
      </c>
      <c r="Q61" t="s">
        <v>3</v>
      </c>
      <c r="R61" t="s">
        <v>3</v>
      </c>
      <c r="S61" t="s">
        <v>504</v>
      </c>
      <c r="T61" t="s">
        <v>505</v>
      </c>
      <c r="U61" t="s">
        <v>506</v>
      </c>
    </row>
    <row r="62" spans="1:21" x14ac:dyDescent="0.25">
      <c r="A62">
        <v>116</v>
      </c>
      <c r="B62">
        <v>1</v>
      </c>
      <c r="C62" t="s">
        <v>3</v>
      </c>
      <c r="D62" t="s">
        <v>55</v>
      </c>
      <c r="E62" t="s">
        <v>56</v>
      </c>
      <c r="F62" t="s">
        <v>56</v>
      </c>
      <c r="G62" t="s">
        <v>56</v>
      </c>
      <c r="H62" t="s">
        <v>3</v>
      </c>
      <c r="I62" t="s">
        <v>56</v>
      </c>
      <c r="J62" t="s">
        <v>56</v>
      </c>
      <c r="K62" t="s">
        <v>3</v>
      </c>
      <c r="L62" t="s">
        <v>3</v>
      </c>
      <c r="M62" t="s">
        <v>3</v>
      </c>
      <c r="N62" t="s">
        <v>55</v>
      </c>
      <c r="O62" t="s">
        <v>56</v>
      </c>
      <c r="P62" t="s">
        <v>3</v>
      </c>
      <c r="Q62" t="s">
        <v>3</v>
      </c>
      <c r="R62" t="s">
        <v>3</v>
      </c>
      <c r="S62" t="s">
        <v>504</v>
      </c>
      <c r="T62" t="s">
        <v>505</v>
      </c>
      <c r="U62" t="s">
        <v>506</v>
      </c>
    </row>
    <row r="63" spans="1:21" x14ac:dyDescent="0.25">
      <c r="A63">
        <v>154</v>
      </c>
      <c r="B63">
        <v>1</v>
      </c>
      <c r="C63" t="s">
        <v>3</v>
      </c>
      <c r="D63" t="s">
        <v>55</v>
      </c>
      <c r="E63" t="s">
        <v>56</v>
      </c>
      <c r="F63" t="s">
        <v>56</v>
      </c>
      <c r="G63" t="s">
        <v>56</v>
      </c>
      <c r="H63" t="s">
        <v>3</v>
      </c>
      <c r="I63" t="s">
        <v>56</v>
      </c>
      <c r="J63" t="s">
        <v>56</v>
      </c>
      <c r="K63" t="s">
        <v>3</v>
      </c>
      <c r="L63" t="s">
        <v>3</v>
      </c>
      <c r="M63" t="s">
        <v>3</v>
      </c>
      <c r="N63" t="s">
        <v>55</v>
      </c>
      <c r="O63" t="s">
        <v>56</v>
      </c>
      <c r="P63" t="s">
        <v>3</v>
      </c>
      <c r="Q63" t="s">
        <v>3</v>
      </c>
      <c r="R63" t="s">
        <v>3</v>
      </c>
      <c r="S63" t="s">
        <v>504</v>
      </c>
      <c r="T63" t="s">
        <v>505</v>
      </c>
      <c r="U63" t="s">
        <v>506</v>
      </c>
    </row>
    <row r="64" spans="1:21" x14ac:dyDescent="0.25">
      <c r="A64">
        <v>155</v>
      </c>
      <c r="B64">
        <v>1</v>
      </c>
      <c r="C64" t="s">
        <v>3</v>
      </c>
      <c r="D64" t="s">
        <v>55</v>
      </c>
      <c r="E64" t="s">
        <v>56</v>
      </c>
      <c r="F64" t="s">
        <v>56</v>
      </c>
      <c r="G64" t="s">
        <v>56</v>
      </c>
      <c r="H64" t="s">
        <v>3</v>
      </c>
      <c r="I64" t="s">
        <v>56</v>
      </c>
      <c r="J64" t="s">
        <v>56</v>
      </c>
      <c r="K64" t="s">
        <v>3</v>
      </c>
      <c r="L64" t="s">
        <v>3</v>
      </c>
      <c r="M64" t="s">
        <v>3</v>
      </c>
      <c r="N64" t="s">
        <v>55</v>
      </c>
      <c r="O64" t="s">
        <v>56</v>
      </c>
      <c r="P64" t="s">
        <v>3</v>
      </c>
      <c r="Q64" t="s">
        <v>3</v>
      </c>
      <c r="R64" t="s">
        <v>3</v>
      </c>
      <c r="S64" t="s">
        <v>504</v>
      </c>
      <c r="T64" t="s">
        <v>505</v>
      </c>
      <c r="U64" t="s">
        <v>506</v>
      </c>
    </row>
    <row r="65" spans="1:21" x14ac:dyDescent="0.25">
      <c r="A65">
        <v>158</v>
      </c>
      <c r="B65">
        <v>1</v>
      </c>
      <c r="C65" t="s">
        <v>3</v>
      </c>
      <c r="D65" t="s">
        <v>55</v>
      </c>
      <c r="E65" t="s">
        <v>56</v>
      </c>
      <c r="F65" t="s">
        <v>56</v>
      </c>
      <c r="G65" t="s">
        <v>56</v>
      </c>
      <c r="H65" t="s">
        <v>3</v>
      </c>
      <c r="I65" t="s">
        <v>56</v>
      </c>
      <c r="J65" t="s">
        <v>56</v>
      </c>
      <c r="K65" t="s">
        <v>3</v>
      </c>
      <c r="L65" t="s">
        <v>3</v>
      </c>
      <c r="M65" t="s">
        <v>3</v>
      </c>
      <c r="N65" t="s">
        <v>55</v>
      </c>
      <c r="O65" t="s">
        <v>56</v>
      </c>
      <c r="P65" t="s">
        <v>3</v>
      </c>
      <c r="Q65" t="s">
        <v>3</v>
      </c>
      <c r="R65" t="s">
        <v>3</v>
      </c>
      <c r="S65" t="s">
        <v>504</v>
      </c>
      <c r="T65" t="s">
        <v>505</v>
      </c>
      <c r="U65" t="s">
        <v>506</v>
      </c>
    </row>
    <row r="66" spans="1:21" x14ac:dyDescent="0.25">
      <c r="A66">
        <v>159</v>
      </c>
      <c r="B66">
        <v>1</v>
      </c>
      <c r="C66" t="s">
        <v>3</v>
      </c>
      <c r="D66" t="s">
        <v>55</v>
      </c>
      <c r="E66" t="s">
        <v>56</v>
      </c>
      <c r="F66" t="s">
        <v>56</v>
      </c>
      <c r="G66" t="s">
        <v>56</v>
      </c>
      <c r="H66" t="s">
        <v>3</v>
      </c>
      <c r="I66" t="s">
        <v>56</v>
      </c>
      <c r="J66" t="s">
        <v>56</v>
      </c>
      <c r="K66" t="s">
        <v>3</v>
      </c>
      <c r="L66" t="s">
        <v>3</v>
      </c>
      <c r="M66" t="s">
        <v>3</v>
      </c>
      <c r="N66" t="s">
        <v>55</v>
      </c>
      <c r="O66" t="s">
        <v>56</v>
      </c>
      <c r="P66" t="s">
        <v>3</v>
      </c>
      <c r="Q66" t="s">
        <v>3</v>
      </c>
      <c r="R66" t="s">
        <v>3</v>
      </c>
      <c r="S66" t="s">
        <v>504</v>
      </c>
      <c r="T66" t="s">
        <v>505</v>
      </c>
      <c r="U66" t="s">
        <v>506</v>
      </c>
    </row>
    <row r="67" spans="1:21" x14ac:dyDescent="0.25">
      <c r="A67">
        <v>162</v>
      </c>
      <c r="B67">
        <v>1</v>
      </c>
      <c r="C67" t="s">
        <v>3</v>
      </c>
      <c r="D67" t="s">
        <v>55</v>
      </c>
      <c r="E67" t="s">
        <v>56</v>
      </c>
      <c r="F67" t="s">
        <v>56</v>
      </c>
      <c r="G67" t="s">
        <v>56</v>
      </c>
      <c r="H67" t="s">
        <v>3</v>
      </c>
      <c r="I67" t="s">
        <v>56</v>
      </c>
      <c r="J67" t="s">
        <v>56</v>
      </c>
      <c r="K67" t="s">
        <v>3</v>
      </c>
      <c r="L67" t="s">
        <v>3</v>
      </c>
      <c r="M67" t="s">
        <v>3</v>
      </c>
      <c r="N67" t="s">
        <v>55</v>
      </c>
      <c r="O67" t="s">
        <v>56</v>
      </c>
      <c r="P67" t="s">
        <v>3</v>
      </c>
      <c r="Q67" t="s">
        <v>3</v>
      </c>
      <c r="R67" t="s">
        <v>3</v>
      </c>
      <c r="S67" t="s">
        <v>504</v>
      </c>
      <c r="T67" t="s">
        <v>505</v>
      </c>
      <c r="U67" t="s">
        <v>506</v>
      </c>
    </row>
    <row r="68" spans="1:21" x14ac:dyDescent="0.25">
      <c r="A68">
        <v>163</v>
      </c>
      <c r="B68">
        <v>1</v>
      </c>
      <c r="C68" t="s">
        <v>3</v>
      </c>
      <c r="D68" t="s">
        <v>55</v>
      </c>
      <c r="E68" t="s">
        <v>56</v>
      </c>
      <c r="F68" t="s">
        <v>56</v>
      </c>
      <c r="G68" t="s">
        <v>56</v>
      </c>
      <c r="H68" t="s">
        <v>3</v>
      </c>
      <c r="I68" t="s">
        <v>56</v>
      </c>
      <c r="J68" t="s">
        <v>56</v>
      </c>
      <c r="K68" t="s">
        <v>3</v>
      </c>
      <c r="L68" t="s">
        <v>3</v>
      </c>
      <c r="M68" t="s">
        <v>3</v>
      </c>
      <c r="N68" t="s">
        <v>55</v>
      </c>
      <c r="O68" t="s">
        <v>56</v>
      </c>
      <c r="P68" t="s">
        <v>3</v>
      </c>
      <c r="Q68" t="s">
        <v>3</v>
      </c>
      <c r="R68" t="s">
        <v>3</v>
      </c>
      <c r="S68" t="s">
        <v>504</v>
      </c>
      <c r="T68" t="s">
        <v>505</v>
      </c>
      <c r="U68" t="s">
        <v>506</v>
      </c>
    </row>
    <row r="69" spans="1:21" x14ac:dyDescent="0.25">
      <c r="A69">
        <v>166</v>
      </c>
      <c r="B69">
        <v>1</v>
      </c>
      <c r="C69" t="s">
        <v>3</v>
      </c>
      <c r="D69" t="s">
        <v>55</v>
      </c>
      <c r="E69" t="s">
        <v>56</v>
      </c>
      <c r="F69" t="s">
        <v>56</v>
      </c>
      <c r="G69" t="s">
        <v>56</v>
      </c>
      <c r="H69" t="s">
        <v>3</v>
      </c>
      <c r="I69" t="s">
        <v>56</v>
      </c>
      <c r="J69" t="s">
        <v>56</v>
      </c>
      <c r="K69" t="s">
        <v>3</v>
      </c>
      <c r="L69" t="s">
        <v>3</v>
      </c>
      <c r="M69" t="s">
        <v>3</v>
      </c>
      <c r="N69" t="s">
        <v>55</v>
      </c>
      <c r="O69" t="s">
        <v>56</v>
      </c>
      <c r="P69" t="s">
        <v>3</v>
      </c>
      <c r="Q69" t="s">
        <v>3</v>
      </c>
      <c r="R69" t="s">
        <v>3</v>
      </c>
      <c r="S69" t="s">
        <v>504</v>
      </c>
      <c r="T69" t="s">
        <v>505</v>
      </c>
      <c r="U69" t="s">
        <v>506</v>
      </c>
    </row>
    <row r="70" spans="1:21" x14ac:dyDescent="0.25">
      <c r="A70">
        <v>167</v>
      </c>
      <c r="B70">
        <v>1</v>
      </c>
      <c r="C70" t="s">
        <v>3</v>
      </c>
      <c r="D70" t="s">
        <v>55</v>
      </c>
      <c r="E70" t="s">
        <v>56</v>
      </c>
      <c r="F70" t="s">
        <v>56</v>
      </c>
      <c r="G70" t="s">
        <v>56</v>
      </c>
      <c r="H70" t="s">
        <v>3</v>
      </c>
      <c r="I70" t="s">
        <v>56</v>
      </c>
      <c r="J70" t="s">
        <v>56</v>
      </c>
      <c r="K70" t="s">
        <v>3</v>
      </c>
      <c r="L70" t="s">
        <v>3</v>
      </c>
      <c r="M70" t="s">
        <v>3</v>
      </c>
      <c r="N70" t="s">
        <v>55</v>
      </c>
      <c r="O70" t="s">
        <v>56</v>
      </c>
      <c r="P70" t="s">
        <v>3</v>
      </c>
      <c r="Q70" t="s">
        <v>3</v>
      </c>
      <c r="R70" t="s">
        <v>3</v>
      </c>
      <c r="S70" t="s">
        <v>504</v>
      </c>
      <c r="T70" t="s">
        <v>505</v>
      </c>
      <c r="U70" t="s">
        <v>506</v>
      </c>
    </row>
    <row r="71" spans="1:21" x14ac:dyDescent="0.25">
      <c r="A71">
        <v>209</v>
      </c>
      <c r="B71">
        <v>1</v>
      </c>
      <c r="C71" t="s">
        <v>3</v>
      </c>
      <c r="D71" t="s">
        <v>55</v>
      </c>
      <c r="E71" t="s">
        <v>56</v>
      </c>
      <c r="F71" t="s">
        <v>56</v>
      </c>
      <c r="G71" t="s">
        <v>56</v>
      </c>
      <c r="H71" t="s">
        <v>3</v>
      </c>
      <c r="I71" t="s">
        <v>56</v>
      </c>
      <c r="J71" t="s">
        <v>56</v>
      </c>
      <c r="K71" t="s">
        <v>3</v>
      </c>
      <c r="L71" t="s">
        <v>3</v>
      </c>
      <c r="M71" t="s">
        <v>3</v>
      </c>
      <c r="N71" t="s">
        <v>55</v>
      </c>
      <c r="O71" t="s">
        <v>56</v>
      </c>
      <c r="P71" t="s">
        <v>3</v>
      </c>
      <c r="Q71" t="s">
        <v>3</v>
      </c>
      <c r="R71" t="s">
        <v>3</v>
      </c>
      <c r="S71" t="s">
        <v>504</v>
      </c>
      <c r="T71" t="s">
        <v>505</v>
      </c>
      <c r="U71" t="s">
        <v>506</v>
      </c>
    </row>
    <row r="72" spans="1:21" x14ac:dyDescent="0.25">
      <c r="A72">
        <v>210</v>
      </c>
      <c r="B72">
        <v>1</v>
      </c>
      <c r="C72" t="s">
        <v>3</v>
      </c>
      <c r="D72" t="s">
        <v>55</v>
      </c>
      <c r="E72" t="s">
        <v>56</v>
      </c>
      <c r="F72" t="s">
        <v>56</v>
      </c>
      <c r="G72" t="s">
        <v>56</v>
      </c>
      <c r="H72" t="s">
        <v>3</v>
      </c>
      <c r="I72" t="s">
        <v>56</v>
      </c>
      <c r="J72" t="s">
        <v>56</v>
      </c>
      <c r="K72" t="s">
        <v>3</v>
      </c>
      <c r="L72" t="s">
        <v>3</v>
      </c>
      <c r="M72" t="s">
        <v>3</v>
      </c>
      <c r="N72" t="s">
        <v>55</v>
      </c>
      <c r="O72" t="s">
        <v>56</v>
      </c>
      <c r="P72" t="s">
        <v>3</v>
      </c>
      <c r="Q72" t="s">
        <v>3</v>
      </c>
      <c r="R72" t="s">
        <v>3</v>
      </c>
      <c r="S72" t="s">
        <v>504</v>
      </c>
      <c r="T72" t="s">
        <v>505</v>
      </c>
      <c r="U72" t="s">
        <v>506</v>
      </c>
    </row>
    <row r="73" spans="1:21" x14ac:dyDescent="0.25">
      <c r="A73">
        <v>252</v>
      </c>
      <c r="B73">
        <v>1</v>
      </c>
      <c r="C73" t="s">
        <v>3</v>
      </c>
      <c r="D73" t="s">
        <v>55</v>
      </c>
      <c r="E73" t="s">
        <v>56</v>
      </c>
      <c r="F73" t="s">
        <v>56</v>
      </c>
      <c r="G73" t="s">
        <v>56</v>
      </c>
      <c r="H73" t="s">
        <v>3</v>
      </c>
      <c r="I73" t="s">
        <v>56</v>
      </c>
      <c r="J73" t="s">
        <v>56</v>
      </c>
      <c r="K73" t="s">
        <v>3</v>
      </c>
      <c r="L73" t="s">
        <v>3</v>
      </c>
      <c r="M73" t="s">
        <v>3</v>
      </c>
      <c r="N73" t="s">
        <v>55</v>
      </c>
      <c r="O73" t="s">
        <v>56</v>
      </c>
      <c r="P73" t="s">
        <v>3</v>
      </c>
      <c r="Q73" t="s">
        <v>3</v>
      </c>
      <c r="R73" t="s">
        <v>3</v>
      </c>
      <c r="S73" t="s">
        <v>504</v>
      </c>
      <c r="T73" t="s">
        <v>505</v>
      </c>
      <c r="U73" t="s">
        <v>506</v>
      </c>
    </row>
    <row r="74" spans="1:21" x14ac:dyDescent="0.25">
      <c r="A74">
        <v>253</v>
      </c>
      <c r="B74">
        <v>1</v>
      </c>
      <c r="C74" t="s">
        <v>3</v>
      </c>
      <c r="D74" t="s">
        <v>55</v>
      </c>
      <c r="E74" t="s">
        <v>56</v>
      </c>
      <c r="F74" t="s">
        <v>56</v>
      </c>
      <c r="G74" t="s">
        <v>56</v>
      </c>
      <c r="H74" t="s">
        <v>3</v>
      </c>
      <c r="I74" t="s">
        <v>56</v>
      </c>
      <c r="J74" t="s">
        <v>56</v>
      </c>
      <c r="K74" t="s">
        <v>3</v>
      </c>
      <c r="L74" t="s">
        <v>3</v>
      </c>
      <c r="M74" t="s">
        <v>3</v>
      </c>
      <c r="N74" t="s">
        <v>55</v>
      </c>
      <c r="O74" t="s">
        <v>56</v>
      </c>
      <c r="P74" t="s">
        <v>3</v>
      </c>
      <c r="Q74" t="s">
        <v>3</v>
      </c>
      <c r="R74" t="s">
        <v>3</v>
      </c>
      <c r="S74" t="s">
        <v>504</v>
      </c>
      <c r="T74" t="s">
        <v>505</v>
      </c>
      <c r="U74" t="s">
        <v>506</v>
      </c>
    </row>
    <row r="75" spans="1:21" x14ac:dyDescent="0.25">
      <c r="A75">
        <v>264</v>
      </c>
      <c r="B75">
        <v>1</v>
      </c>
      <c r="C75" t="s">
        <v>3</v>
      </c>
      <c r="D75" t="s">
        <v>55</v>
      </c>
      <c r="E75" t="s">
        <v>56</v>
      </c>
      <c r="F75" t="s">
        <v>56</v>
      </c>
      <c r="G75" t="s">
        <v>56</v>
      </c>
      <c r="H75" t="s">
        <v>3</v>
      </c>
      <c r="I75" t="s">
        <v>56</v>
      </c>
      <c r="J75" t="s">
        <v>56</v>
      </c>
      <c r="K75" t="s">
        <v>3</v>
      </c>
      <c r="L75" t="s">
        <v>3</v>
      </c>
      <c r="M75" t="s">
        <v>3</v>
      </c>
      <c r="N75" t="s">
        <v>55</v>
      </c>
      <c r="O75" t="s">
        <v>56</v>
      </c>
      <c r="P75" t="s">
        <v>3</v>
      </c>
      <c r="Q75" t="s">
        <v>3</v>
      </c>
      <c r="R75" t="s">
        <v>3</v>
      </c>
      <c r="S75" t="s">
        <v>504</v>
      </c>
      <c r="T75" t="s">
        <v>505</v>
      </c>
      <c r="U75" t="s">
        <v>506</v>
      </c>
    </row>
    <row r="76" spans="1:21" x14ac:dyDescent="0.25">
      <c r="A76">
        <v>265</v>
      </c>
      <c r="B76">
        <v>1</v>
      </c>
      <c r="C76" t="s">
        <v>3</v>
      </c>
      <c r="D76" t="s">
        <v>55</v>
      </c>
      <c r="E76" t="s">
        <v>56</v>
      </c>
      <c r="F76" t="s">
        <v>56</v>
      </c>
      <c r="G76" t="s">
        <v>56</v>
      </c>
      <c r="H76" t="s">
        <v>3</v>
      </c>
      <c r="I76" t="s">
        <v>56</v>
      </c>
      <c r="J76" t="s">
        <v>56</v>
      </c>
      <c r="K76" t="s">
        <v>3</v>
      </c>
      <c r="L76" t="s">
        <v>3</v>
      </c>
      <c r="M76" t="s">
        <v>3</v>
      </c>
      <c r="N76" t="s">
        <v>55</v>
      </c>
      <c r="O76" t="s">
        <v>56</v>
      </c>
      <c r="P76" t="s">
        <v>3</v>
      </c>
      <c r="Q76" t="s">
        <v>3</v>
      </c>
      <c r="R76" t="s">
        <v>3</v>
      </c>
      <c r="S76" t="s">
        <v>504</v>
      </c>
      <c r="T76" t="s">
        <v>505</v>
      </c>
      <c r="U76" t="s">
        <v>506</v>
      </c>
    </row>
    <row r="77" spans="1:21" x14ac:dyDescent="0.25">
      <c r="A77">
        <v>274</v>
      </c>
      <c r="B77">
        <v>1</v>
      </c>
      <c r="C77" t="s">
        <v>3</v>
      </c>
      <c r="D77" t="s">
        <v>55</v>
      </c>
      <c r="E77" t="s">
        <v>56</v>
      </c>
      <c r="F77" t="s">
        <v>56</v>
      </c>
      <c r="G77" t="s">
        <v>56</v>
      </c>
      <c r="H77" t="s">
        <v>3</v>
      </c>
      <c r="I77" t="s">
        <v>56</v>
      </c>
      <c r="J77" t="s">
        <v>56</v>
      </c>
      <c r="K77" t="s">
        <v>3</v>
      </c>
      <c r="L77" t="s">
        <v>3</v>
      </c>
      <c r="M77" t="s">
        <v>3</v>
      </c>
      <c r="N77" t="s">
        <v>55</v>
      </c>
      <c r="O77" t="s">
        <v>56</v>
      </c>
      <c r="P77" t="s">
        <v>3</v>
      </c>
      <c r="Q77" t="s">
        <v>3</v>
      </c>
      <c r="R77" t="s">
        <v>3</v>
      </c>
      <c r="S77" t="s">
        <v>504</v>
      </c>
      <c r="T77" t="s">
        <v>505</v>
      </c>
      <c r="U77" t="s">
        <v>506</v>
      </c>
    </row>
    <row r="78" spans="1:21" x14ac:dyDescent="0.25">
      <c r="A78">
        <v>275</v>
      </c>
      <c r="B78">
        <v>1</v>
      </c>
      <c r="C78" t="s">
        <v>3</v>
      </c>
      <c r="D78" t="s">
        <v>55</v>
      </c>
      <c r="E78" t="s">
        <v>56</v>
      </c>
      <c r="F78" t="s">
        <v>56</v>
      </c>
      <c r="G78" t="s">
        <v>56</v>
      </c>
      <c r="H78" t="s">
        <v>3</v>
      </c>
      <c r="I78" t="s">
        <v>56</v>
      </c>
      <c r="J78" t="s">
        <v>56</v>
      </c>
      <c r="K78" t="s">
        <v>3</v>
      </c>
      <c r="L78" t="s">
        <v>3</v>
      </c>
      <c r="M78" t="s">
        <v>3</v>
      </c>
      <c r="N78" t="s">
        <v>55</v>
      </c>
      <c r="O78" t="s">
        <v>56</v>
      </c>
      <c r="P78" t="s">
        <v>3</v>
      </c>
      <c r="Q78" t="s">
        <v>3</v>
      </c>
      <c r="R78" t="s">
        <v>3</v>
      </c>
      <c r="S78" t="s">
        <v>504</v>
      </c>
      <c r="T78" t="s">
        <v>505</v>
      </c>
      <c r="U78" t="s">
        <v>506</v>
      </c>
    </row>
    <row r="79" spans="1:21" x14ac:dyDescent="0.25">
      <c r="A79">
        <v>278</v>
      </c>
      <c r="B79">
        <v>1</v>
      </c>
      <c r="C79" t="s">
        <v>3</v>
      </c>
      <c r="D79" t="s">
        <v>55</v>
      </c>
      <c r="E79" t="s">
        <v>56</v>
      </c>
      <c r="F79" t="s">
        <v>56</v>
      </c>
      <c r="G79" t="s">
        <v>56</v>
      </c>
      <c r="H79" t="s">
        <v>3</v>
      </c>
      <c r="I79" t="s">
        <v>56</v>
      </c>
      <c r="J79" t="s">
        <v>56</v>
      </c>
      <c r="K79" t="s">
        <v>3</v>
      </c>
      <c r="L79" t="s">
        <v>3</v>
      </c>
      <c r="M79" t="s">
        <v>3</v>
      </c>
      <c r="N79" t="s">
        <v>55</v>
      </c>
      <c r="O79" t="s">
        <v>56</v>
      </c>
      <c r="P79" t="s">
        <v>3</v>
      </c>
      <c r="Q79" t="s">
        <v>3</v>
      </c>
      <c r="R79" t="s">
        <v>3</v>
      </c>
      <c r="S79" t="s">
        <v>504</v>
      </c>
      <c r="T79" t="s">
        <v>505</v>
      </c>
      <c r="U79" t="s">
        <v>506</v>
      </c>
    </row>
    <row r="80" spans="1:21" x14ac:dyDescent="0.25">
      <c r="A80">
        <v>279</v>
      </c>
      <c r="B80">
        <v>1</v>
      </c>
      <c r="C80" t="s">
        <v>3</v>
      </c>
      <c r="D80" t="s">
        <v>55</v>
      </c>
      <c r="E80" t="s">
        <v>56</v>
      </c>
      <c r="F80" t="s">
        <v>56</v>
      </c>
      <c r="G80" t="s">
        <v>56</v>
      </c>
      <c r="H80" t="s">
        <v>3</v>
      </c>
      <c r="I80" t="s">
        <v>56</v>
      </c>
      <c r="J80" t="s">
        <v>56</v>
      </c>
      <c r="K80" t="s">
        <v>3</v>
      </c>
      <c r="L80" t="s">
        <v>3</v>
      </c>
      <c r="M80" t="s">
        <v>3</v>
      </c>
      <c r="N80" t="s">
        <v>55</v>
      </c>
      <c r="O80" t="s">
        <v>56</v>
      </c>
      <c r="P80" t="s">
        <v>3</v>
      </c>
      <c r="Q80" t="s">
        <v>3</v>
      </c>
      <c r="R80" t="s">
        <v>3</v>
      </c>
      <c r="S80" t="s">
        <v>504</v>
      </c>
      <c r="T80" t="s">
        <v>505</v>
      </c>
      <c r="U80" t="s">
        <v>506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6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5">
      <c r="F12" t="str">
        <f>Source!F12</f>
        <v>02-01-11</v>
      </c>
      <c r="G12" t="str">
        <f>Source!G12</f>
        <v>02-01-11 РТС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5">
      <c r="D14" t="s">
        <v>5</v>
      </c>
      <c r="E14" t="s">
        <v>16</v>
      </c>
      <c r="AD14">
        <v>3</v>
      </c>
    </row>
    <row r="15" spans="1:103" x14ac:dyDescent="0.25">
      <c r="B15" t="s">
        <v>512</v>
      </c>
      <c r="C15">
        <v>1</v>
      </c>
      <c r="D15" t="s">
        <v>146</v>
      </c>
      <c r="E15" t="s">
        <v>3</v>
      </c>
      <c r="F15" t="s">
        <v>513</v>
      </c>
      <c r="G15" t="s">
        <v>3</v>
      </c>
      <c r="H15">
        <v>516000</v>
      </c>
      <c r="I15">
        <v>516000</v>
      </c>
      <c r="J15">
        <v>0</v>
      </c>
      <c r="K15">
        <v>516000</v>
      </c>
      <c r="L15">
        <v>0</v>
      </c>
      <c r="M15">
        <v>0</v>
      </c>
      <c r="N15">
        <v>0</v>
      </c>
      <c r="O15" t="s">
        <v>514</v>
      </c>
      <c r="P15" t="s">
        <v>3</v>
      </c>
      <c r="Q15" t="s">
        <v>515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516000</v>
      </c>
      <c r="AD15">
        <v>1</v>
      </c>
      <c r="AE15">
        <v>0</v>
      </c>
      <c r="AF15">
        <v>3</v>
      </c>
      <c r="AG15">
        <v>3</v>
      </c>
      <c r="AH15" t="s">
        <v>148</v>
      </c>
      <c r="AI15" t="s">
        <v>147</v>
      </c>
      <c r="AJ15">
        <v>46122.658078703702</v>
      </c>
      <c r="AK15">
        <v>55917993</v>
      </c>
      <c r="AL15">
        <v>0</v>
      </c>
      <c r="AM15">
        <v>0</v>
      </c>
      <c r="AN15">
        <v>0</v>
      </c>
      <c r="AO15">
        <v>46073</v>
      </c>
      <c r="AP15">
        <v>0</v>
      </c>
      <c r="AQ15">
        <v>1</v>
      </c>
      <c r="AR15">
        <v>0</v>
      </c>
      <c r="AS15" t="s">
        <v>516</v>
      </c>
      <c r="AT15">
        <v>1</v>
      </c>
      <c r="AU15">
        <v>1</v>
      </c>
    </row>
    <row r="16" spans="1:103" x14ac:dyDescent="0.25">
      <c r="B16" t="s">
        <v>517</v>
      </c>
      <c r="C16">
        <v>0</v>
      </c>
      <c r="D16" t="s">
        <v>146</v>
      </c>
      <c r="E16" t="s">
        <v>3</v>
      </c>
      <c r="F16" t="s">
        <v>513</v>
      </c>
      <c r="G16" t="s">
        <v>3</v>
      </c>
      <c r="H16">
        <v>545722.5</v>
      </c>
      <c r="I16">
        <v>545722.5</v>
      </c>
      <c r="J16">
        <v>0</v>
      </c>
      <c r="K16">
        <v>545722.5</v>
      </c>
      <c r="L16">
        <v>0</v>
      </c>
      <c r="M16">
        <v>0</v>
      </c>
      <c r="N16">
        <v>0</v>
      </c>
      <c r="O16" t="s">
        <v>518</v>
      </c>
      <c r="P16" t="s">
        <v>3</v>
      </c>
      <c r="Q16" t="s">
        <v>519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545722.5</v>
      </c>
      <c r="AD16">
        <v>1</v>
      </c>
      <c r="AE16">
        <v>0</v>
      </c>
      <c r="AF16">
        <v>3</v>
      </c>
      <c r="AG16">
        <v>3</v>
      </c>
      <c r="AH16" t="s">
        <v>148</v>
      </c>
      <c r="AI16" t="s">
        <v>147</v>
      </c>
      <c r="AJ16">
        <v>46122.658078703702</v>
      </c>
      <c r="AK16">
        <v>55917993</v>
      </c>
      <c r="AL16">
        <v>0</v>
      </c>
      <c r="AM16">
        <v>0</v>
      </c>
      <c r="AN16">
        <v>0</v>
      </c>
      <c r="AO16">
        <v>46073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5">
      <c r="B17" t="s">
        <v>520</v>
      </c>
      <c r="C17">
        <v>0</v>
      </c>
      <c r="D17" t="s">
        <v>146</v>
      </c>
      <c r="E17" t="s">
        <v>3</v>
      </c>
      <c r="F17" t="s">
        <v>513</v>
      </c>
      <c r="G17" t="s">
        <v>3</v>
      </c>
      <c r="H17">
        <v>629804</v>
      </c>
      <c r="I17">
        <v>629804</v>
      </c>
      <c r="J17">
        <v>0</v>
      </c>
      <c r="K17">
        <v>629804</v>
      </c>
      <c r="L17">
        <v>0</v>
      </c>
      <c r="M17">
        <v>0</v>
      </c>
      <c r="N17">
        <v>0</v>
      </c>
      <c r="O17" t="s">
        <v>521</v>
      </c>
      <c r="P17" t="s">
        <v>3</v>
      </c>
      <c r="Q17" t="s">
        <v>522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629804</v>
      </c>
      <c r="AD17">
        <v>1</v>
      </c>
      <c r="AE17">
        <v>0</v>
      </c>
      <c r="AF17">
        <v>3</v>
      </c>
      <c r="AG17">
        <v>3</v>
      </c>
      <c r="AH17" t="s">
        <v>148</v>
      </c>
      <c r="AI17" t="s">
        <v>147</v>
      </c>
      <c r="AJ17">
        <v>46122.658078703702</v>
      </c>
      <c r="AK17">
        <v>55917993</v>
      </c>
      <c r="AL17">
        <v>0</v>
      </c>
      <c r="AM17">
        <v>0</v>
      </c>
      <c r="AN17">
        <v>0</v>
      </c>
      <c r="AO17">
        <v>46073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5">
      <c r="B18" t="s">
        <v>523</v>
      </c>
      <c r="C18">
        <v>0</v>
      </c>
      <c r="D18" t="s">
        <v>156</v>
      </c>
      <c r="E18" t="s">
        <v>3</v>
      </c>
      <c r="F18" t="s">
        <v>513</v>
      </c>
      <c r="G18" t="s">
        <v>3</v>
      </c>
      <c r="H18">
        <v>40800</v>
      </c>
      <c r="I18">
        <v>40800</v>
      </c>
      <c r="J18">
        <v>0</v>
      </c>
      <c r="K18">
        <v>40800</v>
      </c>
      <c r="L18">
        <v>0</v>
      </c>
      <c r="M18">
        <v>0</v>
      </c>
      <c r="N18">
        <v>0</v>
      </c>
      <c r="O18" t="s">
        <v>514</v>
      </c>
      <c r="P18" t="s">
        <v>3</v>
      </c>
      <c r="Q18" t="s">
        <v>515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40800</v>
      </c>
      <c r="AD18">
        <v>1</v>
      </c>
      <c r="AE18">
        <v>0</v>
      </c>
      <c r="AF18">
        <v>3</v>
      </c>
      <c r="AG18">
        <v>3</v>
      </c>
      <c r="AH18" t="s">
        <v>148</v>
      </c>
      <c r="AI18" t="s">
        <v>157</v>
      </c>
      <c r="AJ18">
        <v>46122.658136574071</v>
      </c>
      <c r="AK18">
        <v>55918004</v>
      </c>
      <c r="AL18">
        <v>0</v>
      </c>
      <c r="AM18">
        <v>0</v>
      </c>
      <c r="AN18">
        <v>0</v>
      </c>
      <c r="AO18">
        <v>46073</v>
      </c>
      <c r="AP18">
        <v>0</v>
      </c>
      <c r="AQ18">
        <v>1</v>
      </c>
      <c r="AR18">
        <v>0</v>
      </c>
      <c r="AS18" t="s">
        <v>516</v>
      </c>
      <c r="AT18">
        <v>1</v>
      </c>
      <c r="AU18">
        <v>1</v>
      </c>
    </row>
    <row r="19" spans="2:47" x14ac:dyDescent="0.25">
      <c r="B19" t="s">
        <v>524</v>
      </c>
      <c r="C19">
        <v>0</v>
      </c>
      <c r="D19" t="s">
        <v>156</v>
      </c>
      <c r="E19" t="s">
        <v>3</v>
      </c>
      <c r="F19" t="s">
        <v>513</v>
      </c>
      <c r="G19" t="s">
        <v>3</v>
      </c>
      <c r="H19">
        <v>38250</v>
      </c>
      <c r="I19">
        <v>38250</v>
      </c>
      <c r="J19">
        <v>0</v>
      </c>
      <c r="K19">
        <v>38250</v>
      </c>
      <c r="L19">
        <v>0</v>
      </c>
      <c r="M19">
        <v>0</v>
      </c>
      <c r="N19">
        <v>0</v>
      </c>
      <c r="O19" t="s">
        <v>518</v>
      </c>
      <c r="P19" t="s">
        <v>3</v>
      </c>
      <c r="Q19" t="s">
        <v>519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38250</v>
      </c>
      <c r="AD19">
        <v>1</v>
      </c>
      <c r="AE19">
        <v>0</v>
      </c>
      <c r="AF19">
        <v>3</v>
      </c>
      <c r="AG19">
        <v>3</v>
      </c>
      <c r="AH19" t="s">
        <v>148</v>
      </c>
      <c r="AI19" t="s">
        <v>157</v>
      </c>
      <c r="AJ19">
        <v>46122.658136574071</v>
      </c>
      <c r="AK19">
        <v>55918004</v>
      </c>
      <c r="AL19">
        <v>0</v>
      </c>
      <c r="AM19">
        <v>0</v>
      </c>
      <c r="AN19">
        <v>0</v>
      </c>
      <c r="AO19">
        <v>46073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1</v>
      </c>
    </row>
    <row r="20" spans="2:47" x14ac:dyDescent="0.25">
      <c r="B20" t="s">
        <v>525</v>
      </c>
      <c r="C20">
        <v>1</v>
      </c>
      <c r="D20" t="s">
        <v>156</v>
      </c>
      <c r="E20" t="s">
        <v>3</v>
      </c>
      <c r="F20" t="s">
        <v>513</v>
      </c>
      <c r="G20" t="s">
        <v>3</v>
      </c>
      <c r="H20">
        <v>30600</v>
      </c>
      <c r="I20">
        <v>30600</v>
      </c>
      <c r="J20">
        <v>0</v>
      </c>
      <c r="K20">
        <v>30600</v>
      </c>
      <c r="L20">
        <v>0</v>
      </c>
      <c r="M20">
        <v>0</v>
      </c>
      <c r="N20">
        <v>0</v>
      </c>
      <c r="O20" t="s">
        <v>526</v>
      </c>
      <c r="P20" t="s">
        <v>3</v>
      </c>
      <c r="Q20" t="s">
        <v>527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30600</v>
      </c>
      <c r="AD20">
        <v>1</v>
      </c>
      <c r="AE20">
        <v>0</v>
      </c>
      <c r="AF20">
        <v>3</v>
      </c>
      <c r="AG20">
        <v>3</v>
      </c>
      <c r="AH20" t="s">
        <v>148</v>
      </c>
      <c r="AI20" t="s">
        <v>157</v>
      </c>
      <c r="AJ20">
        <v>46122.658136574071</v>
      </c>
      <c r="AK20">
        <v>55918004</v>
      </c>
      <c r="AL20">
        <v>0</v>
      </c>
      <c r="AM20">
        <v>0</v>
      </c>
      <c r="AN20">
        <v>0</v>
      </c>
      <c r="AO20">
        <v>46073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1</v>
      </c>
    </row>
    <row r="21" spans="2:47" x14ac:dyDescent="0.25">
      <c r="B21" t="s">
        <v>528</v>
      </c>
      <c r="C21">
        <v>0</v>
      </c>
      <c r="D21" t="s">
        <v>172</v>
      </c>
      <c r="E21" t="s">
        <v>3</v>
      </c>
      <c r="F21" t="s">
        <v>513</v>
      </c>
      <c r="G21" t="s">
        <v>3</v>
      </c>
      <c r="H21">
        <v>7500</v>
      </c>
      <c r="I21">
        <v>7500</v>
      </c>
      <c r="J21">
        <v>0</v>
      </c>
      <c r="K21">
        <v>7500</v>
      </c>
      <c r="L21">
        <v>0</v>
      </c>
      <c r="M21">
        <v>0</v>
      </c>
      <c r="N21">
        <v>0</v>
      </c>
      <c r="O21" t="s">
        <v>514</v>
      </c>
      <c r="P21" t="s">
        <v>3</v>
      </c>
      <c r="Q21" t="s">
        <v>515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7500</v>
      </c>
      <c r="AD21">
        <v>1</v>
      </c>
      <c r="AE21">
        <v>0</v>
      </c>
      <c r="AF21">
        <v>3</v>
      </c>
      <c r="AG21">
        <v>3</v>
      </c>
      <c r="AH21" t="s">
        <v>148</v>
      </c>
      <c r="AI21" t="s">
        <v>173</v>
      </c>
      <c r="AJ21">
        <v>46122.658159722225</v>
      </c>
      <c r="AK21">
        <v>55918039</v>
      </c>
      <c r="AL21">
        <v>0</v>
      </c>
      <c r="AM21">
        <v>0</v>
      </c>
      <c r="AN21">
        <v>0</v>
      </c>
      <c r="AO21">
        <v>46073</v>
      </c>
      <c r="AP21">
        <v>0</v>
      </c>
      <c r="AQ21">
        <v>1</v>
      </c>
      <c r="AR21">
        <v>0</v>
      </c>
      <c r="AS21" t="s">
        <v>516</v>
      </c>
      <c r="AT21">
        <v>1</v>
      </c>
      <c r="AU21">
        <v>1</v>
      </c>
    </row>
    <row r="22" spans="2:47" x14ac:dyDescent="0.25">
      <c r="B22" t="s">
        <v>529</v>
      </c>
      <c r="C22">
        <v>0</v>
      </c>
      <c r="D22" t="s">
        <v>172</v>
      </c>
      <c r="E22" t="s">
        <v>3</v>
      </c>
      <c r="F22" t="s">
        <v>513</v>
      </c>
      <c r="G22" t="s">
        <v>3</v>
      </c>
      <c r="H22">
        <v>2469.61</v>
      </c>
      <c r="I22">
        <v>2469.61</v>
      </c>
      <c r="J22">
        <v>0</v>
      </c>
      <c r="K22">
        <v>2469.61</v>
      </c>
      <c r="L22">
        <v>0</v>
      </c>
      <c r="M22">
        <v>0</v>
      </c>
      <c r="N22">
        <v>0</v>
      </c>
      <c r="O22" t="s">
        <v>530</v>
      </c>
      <c r="P22" t="s">
        <v>3</v>
      </c>
      <c r="Q22" t="s">
        <v>531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2469.61</v>
      </c>
      <c r="AD22">
        <v>1</v>
      </c>
      <c r="AE22">
        <v>0</v>
      </c>
      <c r="AF22">
        <v>3</v>
      </c>
      <c r="AG22">
        <v>3</v>
      </c>
      <c r="AH22" t="s">
        <v>148</v>
      </c>
      <c r="AI22" t="s">
        <v>173</v>
      </c>
      <c r="AJ22">
        <v>46122.658159722225</v>
      </c>
      <c r="AK22">
        <v>55918039</v>
      </c>
      <c r="AL22">
        <v>0</v>
      </c>
      <c r="AM22">
        <v>0</v>
      </c>
      <c r="AN22">
        <v>0</v>
      </c>
      <c r="AO22">
        <v>46073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5">
      <c r="B23" t="s">
        <v>532</v>
      </c>
      <c r="C23">
        <v>1</v>
      </c>
      <c r="D23" t="s">
        <v>172</v>
      </c>
      <c r="E23" t="s">
        <v>3</v>
      </c>
      <c r="F23" t="s">
        <v>513</v>
      </c>
      <c r="G23" t="s">
        <v>3</v>
      </c>
      <c r="H23">
        <v>2250</v>
      </c>
      <c r="I23">
        <v>2250</v>
      </c>
      <c r="J23">
        <v>0</v>
      </c>
      <c r="K23">
        <v>2250</v>
      </c>
      <c r="L23">
        <v>0</v>
      </c>
      <c r="M23">
        <v>0</v>
      </c>
      <c r="N23">
        <v>0</v>
      </c>
      <c r="O23" t="s">
        <v>533</v>
      </c>
      <c r="P23" t="s">
        <v>3</v>
      </c>
      <c r="Q23" t="s">
        <v>534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2250</v>
      </c>
      <c r="AD23">
        <v>1</v>
      </c>
      <c r="AE23">
        <v>0</v>
      </c>
      <c r="AF23">
        <v>3</v>
      </c>
      <c r="AG23">
        <v>3</v>
      </c>
      <c r="AH23" t="s">
        <v>148</v>
      </c>
      <c r="AI23" t="s">
        <v>173</v>
      </c>
      <c r="AJ23">
        <v>46122.658159722225</v>
      </c>
      <c r="AK23">
        <v>55918039</v>
      </c>
      <c r="AL23">
        <v>0</v>
      </c>
      <c r="AM23">
        <v>0</v>
      </c>
      <c r="AN23">
        <v>0</v>
      </c>
      <c r="AO23">
        <v>46073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5">
      <c r="B24" t="s">
        <v>535</v>
      </c>
      <c r="C24">
        <v>0</v>
      </c>
      <c r="D24" t="s">
        <v>201</v>
      </c>
      <c r="E24" t="s">
        <v>3</v>
      </c>
      <c r="F24" t="s">
        <v>513</v>
      </c>
      <c r="G24" t="s">
        <v>3</v>
      </c>
      <c r="H24">
        <v>8900</v>
      </c>
      <c r="I24">
        <v>8900</v>
      </c>
      <c r="J24">
        <v>0</v>
      </c>
      <c r="K24">
        <v>8900</v>
      </c>
      <c r="L24">
        <v>0</v>
      </c>
      <c r="M24">
        <v>0</v>
      </c>
      <c r="N24">
        <v>0</v>
      </c>
      <c r="O24" t="s">
        <v>536</v>
      </c>
      <c r="P24" t="s">
        <v>3</v>
      </c>
      <c r="Q24" t="s">
        <v>537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8900</v>
      </c>
      <c r="AD24">
        <v>1</v>
      </c>
      <c r="AE24">
        <v>0</v>
      </c>
      <c r="AF24">
        <v>3</v>
      </c>
      <c r="AG24">
        <v>3</v>
      </c>
      <c r="AH24" t="s">
        <v>148</v>
      </c>
      <c r="AI24" t="s">
        <v>202</v>
      </c>
      <c r="AJ24">
        <v>46122.658182870371</v>
      </c>
      <c r="AK24">
        <v>55918116</v>
      </c>
      <c r="AL24">
        <v>0</v>
      </c>
      <c r="AM24">
        <v>0</v>
      </c>
      <c r="AN24">
        <v>0</v>
      </c>
      <c r="AO24">
        <v>46073</v>
      </c>
      <c r="AP24">
        <v>0</v>
      </c>
      <c r="AQ24">
        <v>1</v>
      </c>
      <c r="AR24">
        <v>0</v>
      </c>
      <c r="AS24" t="s">
        <v>516</v>
      </c>
      <c r="AT24">
        <v>1</v>
      </c>
      <c r="AU24">
        <v>6</v>
      </c>
    </row>
    <row r="25" spans="2:47" x14ac:dyDescent="0.25">
      <c r="B25" t="s">
        <v>538</v>
      </c>
      <c r="C25">
        <v>0</v>
      </c>
      <c r="D25" t="s">
        <v>201</v>
      </c>
      <c r="E25" t="s">
        <v>3</v>
      </c>
      <c r="F25" t="s">
        <v>513</v>
      </c>
      <c r="G25" t="s">
        <v>3</v>
      </c>
      <c r="H25">
        <v>6740</v>
      </c>
      <c r="I25">
        <v>6740</v>
      </c>
      <c r="J25">
        <v>0</v>
      </c>
      <c r="K25">
        <v>6740</v>
      </c>
      <c r="L25">
        <v>0</v>
      </c>
      <c r="M25">
        <v>0</v>
      </c>
      <c r="N25">
        <v>0</v>
      </c>
      <c r="O25" t="s">
        <v>539</v>
      </c>
      <c r="P25" t="s">
        <v>3</v>
      </c>
      <c r="Q25" t="s">
        <v>540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6740</v>
      </c>
      <c r="AD25">
        <v>1</v>
      </c>
      <c r="AE25">
        <v>0</v>
      </c>
      <c r="AF25">
        <v>3</v>
      </c>
      <c r="AG25">
        <v>3</v>
      </c>
      <c r="AH25" t="s">
        <v>148</v>
      </c>
      <c r="AI25" t="s">
        <v>202</v>
      </c>
      <c r="AJ25">
        <v>46122.658182870371</v>
      </c>
      <c r="AK25">
        <v>55918116</v>
      </c>
      <c r="AL25">
        <v>0</v>
      </c>
      <c r="AM25">
        <v>0</v>
      </c>
      <c r="AN25">
        <v>0</v>
      </c>
      <c r="AO25">
        <v>46073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6</v>
      </c>
    </row>
    <row r="26" spans="2:47" x14ac:dyDescent="0.25">
      <c r="B26" t="s">
        <v>541</v>
      </c>
      <c r="C26">
        <v>1</v>
      </c>
      <c r="D26" t="s">
        <v>201</v>
      </c>
      <c r="E26" t="s">
        <v>3</v>
      </c>
      <c r="F26" t="s">
        <v>513</v>
      </c>
      <c r="G26" t="s">
        <v>3</v>
      </c>
      <c r="H26">
        <v>6520</v>
      </c>
      <c r="I26">
        <v>6520</v>
      </c>
      <c r="J26">
        <v>0</v>
      </c>
      <c r="K26">
        <v>6520</v>
      </c>
      <c r="L26">
        <v>0</v>
      </c>
      <c r="M26">
        <v>0</v>
      </c>
      <c r="N26">
        <v>0</v>
      </c>
      <c r="O26" t="s">
        <v>542</v>
      </c>
      <c r="P26" t="s">
        <v>3</v>
      </c>
      <c r="Q26" t="s">
        <v>543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6520</v>
      </c>
      <c r="AD26">
        <v>1</v>
      </c>
      <c r="AE26">
        <v>0</v>
      </c>
      <c r="AF26">
        <v>3</v>
      </c>
      <c r="AG26">
        <v>3</v>
      </c>
      <c r="AH26" t="s">
        <v>148</v>
      </c>
      <c r="AI26" t="s">
        <v>202</v>
      </c>
      <c r="AJ26">
        <v>46122.658182870371</v>
      </c>
      <c r="AK26">
        <v>55918116</v>
      </c>
      <c r="AL26">
        <v>0</v>
      </c>
      <c r="AM26">
        <v>0</v>
      </c>
      <c r="AN26">
        <v>0</v>
      </c>
      <c r="AO26">
        <v>46073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6</v>
      </c>
    </row>
    <row r="27" spans="2:47" x14ac:dyDescent="0.25">
      <c r="B27" t="s">
        <v>544</v>
      </c>
      <c r="C27">
        <v>0</v>
      </c>
      <c r="D27" t="s">
        <v>208</v>
      </c>
      <c r="E27" t="s">
        <v>3</v>
      </c>
      <c r="F27" t="s">
        <v>513</v>
      </c>
      <c r="G27" t="s">
        <v>3</v>
      </c>
      <c r="H27">
        <v>149450</v>
      </c>
      <c r="I27">
        <v>149450</v>
      </c>
      <c r="J27">
        <v>0</v>
      </c>
      <c r="K27">
        <v>149450</v>
      </c>
      <c r="L27">
        <v>0</v>
      </c>
      <c r="M27">
        <v>0</v>
      </c>
      <c r="N27">
        <v>0</v>
      </c>
      <c r="O27" t="s">
        <v>518</v>
      </c>
      <c r="P27" t="s">
        <v>3</v>
      </c>
      <c r="Q27" t="s">
        <v>519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149450</v>
      </c>
      <c r="AD27">
        <v>1</v>
      </c>
      <c r="AE27">
        <v>0</v>
      </c>
      <c r="AF27">
        <v>3</v>
      </c>
      <c r="AG27">
        <v>3</v>
      </c>
      <c r="AH27" t="s">
        <v>148</v>
      </c>
      <c r="AI27" t="s">
        <v>209</v>
      </c>
      <c r="AJ27">
        <v>46122.658217592594</v>
      </c>
      <c r="AK27">
        <v>55918192</v>
      </c>
      <c r="AL27">
        <v>0</v>
      </c>
      <c r="AM27">
        <v>0</v>
      </c>
      <c r="AN27">
        <v>0</v>
      </c>
      <c r="AO27">
        <v>46073</v>
      </c>
      <c r="AP27">
        <v>0</v>
      </c>
      <c r="AQ27">
        <v>1</v>
      </c>
      <c r="AR27">
        <v>0</v>
      </c>
      <c r="AS27" t="s">
        <v>516</v>
      </c>
      <c r="AT27">
        <v>1</v>
      </c>
      <c r="AU27">
        <v>1</v>
      </c>
    </row>
    <row r="28" spans="2:47" x14ac:dyDescent="0.25">
      <c r="B28" t="s">
        <v>545</v>
      </c>
      <c r="C28">
        <v>0</v>
      </c>
      <c r="D28" t="s">
        <v>208</v>
      </c>
      <c r="E28" t="s">
        <v>3</v>
      </c>
      <c r="F28" t="s">
        <v>513</v>
      </c>
      <c r="G28" t="s">
        <v>3</v>
      </c>
      <c r="H28">
        <v>150000</v>
      </c>
      <c r="I28">
        <v>150000</v>
      </c>
      <c r="J28">
        <v>0</v>
      </c>
      <c r="K28">
        <v>150000</v>
      </c>
      <c r="L28">
        <v>0</v>
      </c>
      <c r="M28">
        <v>0</v>
      </c>
      <c r="N28">
        <v>0</v>
      </c>
      <c r="O28" t="s">
        <v>546</v>
      </c>
      <c r="P28" t="s">
        <v>3</v>
      </c>
      <c r="Q28" t="s">
        <v>547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150000</v>
      </c>
      <c r="AD28">
        <v>1</v>
      </c>
      <c r="AE28">
        <v>0</v>
      </c>
      <c r="AF28">
        <v>3</v>
      </c>
      <c r="AG28">
        <v>3</v>
      </c>
      <c r="AH28" t="s">
        <v>148</v>
      </c>
      <c r="AI28" t="s">
        <v>209</v>
      </c>
      <c r="AJ28">
        <v>46122.658217592594</v>
      </c>
      <c r="AK28">
        <v>55918192</v>
      </c>
      <c r="AL28">
        <v>0</v>
      </c>
      <c r="AM28">
        <v>0</v>
      </c>
      <c r="AN28">
        <v>0</v>
      </c>
      <c r="AO28">
        <v>46073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5">
      <c r="B29" t="s">
        <v>548</v>
      </c>
      <c r="C29">
        <v>1</v>
      </c>
      <c r="D29" t="s">
        <v>208</v>
      </c>
      <c r="E29" t="s">
        <v>3</v>
      </c>
      <c r="F29" t="s">
        <v>513</v>
      </c>
      <c r="G29" t="s">
        <v>3</v>
      </c>
      <c r="H29">
        <v>125000</v>
      </c>
      <c r="I29">
        <v>125000</v>
      </c>
      <c r="J29">
        <v>0</v>
      </c>
      <c r="K29">
        <v>125000</v>
      </c>
      <c r="L29">
        <v>0</v>
      </c>
      <c r="M29">
        <v>0</v>
      </c>
      <c r="N29">
        <v>0</v>
      </c>
      <c r="O29" t="s">
        <v>549</v>
      </c>
      <c r="P29" t="s">
        <v>3</v>
      </c>
      <c r="Q29" t="s">
        <v>550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125000</v>
      </c>
      <c r="AD29">
        <v>1</v>
      </c>
      <c r="AE29">
        <v>0</v>
      </c>
      <c r="AF29">
        <v>3</v>
      </c>
      <c r="AG29">
        <v>3</v>
      </c>
      <c r="AH29" t="s">
        <v>148</v>
      </c>
      <c r="AI29" t="s">
        <v>209</v>
      </c>
      <c r="AJ29">
        <v>46122.658217592594</v>
      </c>
      <c r="AK29">
        <v>55918192</v>
      </c>
      <c r="AL29">
        <v>0</v>
      </c>
      <c r="AM29">
        <v>0</v>
      </c>
      <c r="AN29">
        <v>0</v>
      </c>
      <c r="AO29">
        <v>46073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5">
      <c r="B30" t="s">
        <v>551</v>
      </c>
      <c r="C30">
        <v>0</v>
      </c>
      <c r="D30" t="s">
        <v>213</v>
      </c>
      <c r="E30" t="s">
        <v>3</v>
      </c>
      <c r="F30" t="s">
        <v>513</v>
      </c>
      <c r="G30" t="s">
        <v>3</v>
      </c>
      <c r="H30">
        <v>886891.08</v>
      </c>
      <c r="I30">
        <v>886891.08</v>
      </c>
      <c r="J30">
        <v>0</v>
      </c>
      <c r="K30">
        <v>886891.08</v>
      </c>
      <c r="L30">
        <v>0</v>
      </c>
      <c r="M30">
        <v>0</v>
      </c>
      <c r="N30">
        <v>0</v>
      </c>
      <c r="O30" t="s">
        <v>526</v>
      </c>
      <c r="P30" t="s">
        <v>3</v>
      </c>
      <c r="Q30" t="s">
        <v>527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886891.08</v>
      </c>
      <c r="AD30">
        <v>1</v>
      </c>
      <c r="AE30">
        <v>0</v>
      </c>
      <c r="AF30">
        <v>3</v>
      </c>
      <c r="AG30">
        <v>3</v>
      </c>
      <c r="AH30" t="s">
        <v>148</v>
      </c>
      <c r="AI30" t="s">
        <v>214</v>
      </c>
      <c r="AJ30">
        <v>46122.65824074074</v>
      </c>
      <c r="AK30">
        <v>55918213</v>
      </c>
      <c r="AL30">
        <v>0</v>
      </c>
      <c r="AM30">
        <v>0</v>
      </c>
      <c r="AN30">
        <v>0</v>
      </c>
      <c r="AO30">
        <v>46073</v>
      </c>
      <c r="AP30">
        <v>0</v>
      </c>
      <c r="AQ30">
        <v>1</v>
      </c>
      <c r="AR30">
        <v>0</v>
      </c>
      <c r="AS30" t="s">
        <v>516</v>
      </c>
      <c r="AT30">
        <v>1</v>
      </c>
      <c r="AU30">
        <v>1</v>
      </c>
    </row>
    <row r="31" spans="2:47" x14ac:dyDescent="0.25">
      <c r="B31" t="s">
        <v>552</v>
      </c>
      <c r="C31">
        <v>1</v>
      </c>
      <c r="D31" t="s">
        <v>213</v>
      </c>
      <c r="E31" t="s">
        <v>3</v>
      </c>
      <c r="F31" t="s">
        <v>513</v>
      </c>
      <c r="G31" t="s">
        <v>3</v>
      </c>
      <c r="H31">
        <v>825000</v>
      </c>
      <c r="I31">
        <v>825000</v>
      </c>
      <c r="J31">
        <v>0</v>
      </c>
      <c r="K31">
        <v>825000</v>
      </c>
      <c r="L31">
        <v>0</v>
      </c>
      <c r="M31">
        <v>0</v>
      </c>
      <c r="N31">
        <v>0</v>
      </c>
      <c r="O31" t="s">
        <v>521</v>
      </c>
      <c r="P31" t="s">
        <v>3</v>
      </c>
      <c r="Q31" t="s">
        <v>522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825000</v>
      </c>
      <c r="AD31">
        <v>1</v>
      </c>
      <c r="AE31">
        <v>0</v>
      </c>
      <c r="AF31">
        <v>3</v>
      </c>
      <c r="AG31">
        <v>3</v>
      </c>
      <c r="AH31" t="s">
        <v>148</v>
      </c>
      <c r="AI31" t="s">
        <v>214</v>
      </c>
      <c r="AJ31">
        <v>46122.65824074074</v>
      </c>
      <c r="AK31">
        <v>55918213</v>
      </c>
      <c r="AL31">
        <v>0</v>
      </c>
      <c r="AM31">
        <v>0</v>
      </c>
      <c r="AN31">
        <v>0</v>
      </c>
      <c r="AO31">
        <v>46073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1</v>
      </c>
    </row>
    <row r="32" spans="2:47" x14ac:dyDescent="0.25">
      <c r="B32" t="s">
        <v>553</v>
      </c>
      <c r="C32">
        <v>0</v>
      </c>
      <c r="D32" t="s">
        <v>213</v>
      </c>
      <c r="E32" t="s">
        <v>3</v>
      </c>
      <c r="F32" t="s">
        <v>513</v>
      </c>
      <c r="G32" t="s">
        <v>3</v>
      </c>
      <c r="H32">
        <v>951000</v>
      </c>
      <c r="I32">
        <v>951000</v>
      </c>
      <c r="J32">
        <v>0</v>
      </c>
      <c r="K32">
        <v>951000</v>
      </c>
      <c r="L32">
        <v>0</v>
      </c>
      <c r="M32">
        <v>0</v>
      </c>
      <c r="N32">
        <v>0</v>
      </c>
      <c r="O32" t="s">
        <v>514</v>
      </c>
      <c r="P32" t="s">
        <v>3</v>
      </c>
      <c r="Q32" t="s">
        <v>515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951000</v>
      </c>
      <c r="AD32">
        <v>1</v>
      </c>
      <c r="AE32">
        <v>0</v>
      </c>
      <c r="AF32">
        <v>3</v>
      </c>
      <c r="AG32">
        <v>3</v>
      </c>
      <c r="AH32" t="s">
        <v>148</v>
      </c>
      <c r="AI32" t="s">
        <v>214</v>
      </c>
      <c r="AJ32">
        <v>46122.65824074074</v>
      </c>
      <c r="AK32">
        <v>55918213</v>
      </c>
      <c r="AL32">
        <v>0</v>
      </c>
      <c r="AM32">
        <v>0</v>
      </c>
      <c r="AN32">
        <v>0</v>
      </c>
      <c r="AO32">
        <v>46073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1</v>
      </c>
    </row>
    <row r="33" spans="2:47" x14ac:dyDescent="0.25">
      <c r="B33" t="s">
        <v>554</v>
      </c>
      <c r="C33">
        <v>1</v>
      </c>
      <c r="D33" t="s">
        <v>219</v>
      </c>
      <c r="E33" t="s">
        <v>3</v>
      </c>
      <c r="F33" t="s">
        <v>513</v>
      </c>
      <c r="G33" t="s">
        <v>3</v>
      </c>
      <c r="H33">
        <v>12400</v>
      </c>
      <c r="I33">
        <v>12400</v>
      </c>
      <c r="J33">
        <v>0</v>
      </c>
      <c r="K33">
        <v>12400</v>
      </c>
      <c r="L33">
        <v>0</v>
      </c>
      <c r="M33">
        <v>0</v>
      </c>
      <c r="N33">
        <v>0</v>
      </c>
      <c r="O33" t="s">
        <v>555</v>
      </c>
      <c r="P33" t="s">
        <v>3</v>
      </c>
      <c r="Q33" t="s">
        <v>556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12400</v>
      </c>
      <c r="AD33">
        <v>1</v>
      </c>
      <c r="AE33">
        <v>0</v>
      </c>
      <c r="AF33">
        <v>3</v>
      </c>
      <c r="AG33">
        <v>3</v>
      </c>
      <c r="AH33" t="s">
        <v>148</v>
      </c>
      <c r="AI33" t="s">
        <v>220</v>
      </c>
      <c r="AJ33">
        <v>46122.658263888887</v>
      </c>
      <c r="AK33">
        <v>55918222</v>
      </c>
      <c r="AL33">
        <v>0</v>
      </c>
      <c r="AM33">
        <v>0</v>
      </c>
      <c r="AN33">
        <v>0</v>
      </c>
      <c r="AO33">
        <v>46073</v>
      </c>
      <c r="AP33">
        <v>0</v>
      </c>
      <c r="AQ33">
        <v>1</v>
      </c>
      <c r="AR33">
        <v>0</v>
      </c>
      <c r="AS33" t="s">
        <v>516</v>
      </c>
      <c r="AT33">
        <v>1</v>
      </c>
      <c r="AU33">
        <v>1</v>
      </c>
    </row>
    <row r="34" spans="2:47" x14ac:dyDescent="0.25">
      <c r="B34" t="s">
        <v>557</v>
      </c>
      <c r="C34">
        <v>0</v>
      </c>
      <c r="D34" t="s">
        <v>219</v>
      </c>
      <c r="E34" t="s">
        <v>3</v>
      </c>
      <c r="F34" t="s">
        <v>513</v>
      </c>
      <c r="G34" t="s">
        <v>3</v>
      </c>
      <c r="H34">
        <v>28000</v>
      </c>
      <c r="I34">
        <v>28000</v>
      </c>
      <c r="J34">
        <v>0</v>
      </c>
      <c r="K34">
        <v>28000</v>
      </c>
      <c r="L34">
        <v>0</v>
      </c>
      <c r="M34">
        <v>0</v>
      </c>
      <c r="N34">
        <v>0</v>
      </c>
      <c r="O34" t="s">
        <v>521</v>
      </c>
      <c r="P34" t="s">
        <v>3</v>
      </c>
      <c r="Q34" t="s">
        <v>522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28000</v>
      </c>
      <c r="AD34">
        <v>1</v>
      </c>
      <c r="AE34">
        <v>0</v>
      </c>
      <c r="AF34">
        <v>3</v>
      </c>
      <c r="AG34">
        <v>3</v>
      </c>
      <c r="AH34" t="s">
        <v>148</v>
      </c>
      <c r="AI34" t="s">
        <v>220</v>
      </c>
      <c r="AJ34">
        <v>46122.658263888887</v>
      </c>
      <c r="AK34">
        <v>55918222</v>
      </c>
      <c r="AL34">
        <v>0</v>
      </c>
      <c r="AM34">
        <v>0</v>
      </c>
      <c r="AN34">
        <v>0</v>
      </c>
      <c r="AO34">
        <v>46073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1</v>
      </c>
    </row>
    <row r="35" spans="2:47" x14ac:dyDescent="0.25">
      <c r="B35" t="s">
        <v>558</v>
      </c>
      <c r="C35">
        <v>0</v>
      </c>
      <c r="D35" t="s">
        <v>219</v>
      </c>
      <c r="E35" t="s">
        <v>3</v>
      </c>
      <c r="F35" t="s">
        <v>513</v>
      </c>
      <c r="G35" t="s">
        <v>3</v>
      </c>
      <c r="H35">
        <v>19500</v>
      </c>
      <c r="I35">
        <v>19500</v>
      </c>
      <c r="J35">
        <v>0</v>
      </c>
      <c r="K35">
        <v>19500</v>
      </c>
      <c r="L35">
        <v>0</v>
      </c>
      <c r="M35">
        <v>0</v>
      </c>
      <c r="N35">
        <v>0</v>
      </c>
      <c r="O35" t="s">
        <v>514</v>
      </c>
      <c r="P35" t="s">
        <v>3</v>
      </c>
      <c r="Q35" t="s">
        <v>515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19500</v>
      </c>
      <c r="AD35">
        <v>1</v>
      </c>
      <c r="AE35">
        <v>0</v>
      </c>
      <c r="AF35">
        <v>3</v>
      </c>
      <c r="AG35">
        <v>3</v>
      </c>
      <c r="AH35" t="s">
        <v>148</v>
      </c>
      <c r="AI35" t="s">
        <v>220</v>
      </c>
      <c r="AJ35">
        <v>46122.658263888887</v>
      </c>
      <c r="AK35">
        <v>55918222</v>
      </c>
      <c r="AL35">
        <v>0</v>
      </c>
      <c r="AM35">
        <v>0</v>
      </c>
      <c r="AN35">
        <v>0</v>
      </c>
      <c r="AO35">
        <v>46073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1</v>
      </c>
    </row>
    <row r="36" spans="2:47" x14ac:dyDescent="0.25">
      <c r="B36" t="s">
        <v>559</v>
      </c>
      <c r="C36">
        <v>0</v>
      </c>
      <c r="D36" t="s">
        <v>224</v>
      </c>
      <c r="E36" t="s">
        <v>3</v>
      </c>
      <c r="F36" t="s">
        <v>513</v>
      </c>
      <c r="G36" t="s">
        <v>3</v>
      </c>
      <c r="H36">
        <v>6590</v>
      </c>
      <c r="I36">
        <v>6590</v>
      </c>
      <c r="J36">
        <v>0</v>
      </c>
      <c r="K36">
        <v>6590</v>
      </c>
      <c r="L36">
        <v>0</v>
      </c>
      <c r="M36">
        <v>0</v>
      </c>
      <c r="N36">
        <v>0</v>
      </c>
      <c r="O36" t="s">
        <v>560</v>
      </c>
      <c r="P36" t="s">
        <v>3</v>
      </c>
      <c r="Q36" t="s">
        <v>561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6590</v>
      </c>
      <c r="AD36">
        <v>1</v>
      </c>
      <c r="AE36">
        <v>0</v>
      </c>
      <c r="AF36">
        <v>3</v>
      </c>
      <c r="AG36">
        <v>3</v>
      </c>
      <c r="AH36" t="s">
        <v>148</v>
      </c>
      <c r="AI36" t="s">
        <v>225</v>
      </c>
      <c r="AJ36">
        <v>46122.65828703704</v>
      </c>
      <c r="AK36">
        <v>55918250</v>
      </c>
      <c r="AL36">
        <v>0</v>
      </c>
      <c r="AM36">
        <v>0</v>
      </c>
      <c r="AN36">
        <v>0</v>
      </c>
      <c r="AO36">
        <v>46073</v>
      </c>
      <c r="AP36">
        <v>0</v>
      </c>
      <c r="AQ36">
        <v>1</v>
      </c>
      <c r="AR36">
        <v>0</v>
      </c>
      <c r="AS36" t="s">
        <v>516</v>
      </c>
      <c r="AT36">
        <v>1</v>
      </c>
      <c r="AU36">
        <v>1</v>
      </c>
    </row>
    <row r="37" spans="2:47" x14ac:dyDescent="0.25">
      <c r="B37" t="s">
        <v>562</v>
      </c>
      <c r="C37">
        <v>1</v>
      </c>
      <c r="D37" t="s">
        <v>224</v>
      </c>
      <c r="E37" t="s">
        <v>3</v>
      </c>
      <c r="F37" t="s">
        <v>513</v>
      </c>
      <c r="G37" t="s">
        <v>3</v>
      </c>
      <c r="H37">
        <v>6380</v>
      </c>
      <c r="I37">
        <v>6380</v>
      </c>
      <c r="J37">
        <v>0</v>
      </c>
      <c r="K37">
        <v>6380</v>
      </c>
      <c r="L37">
        <v>0</v>
      </c>
      <c r="M37">
        <v>0</v>
      </c>
      <c r="N37">
        <v>0</v>
      </c>
      <c r="O37" t="s">
        <v>563</v>
      </c>
      <c r="P37" t="s">
        <v>3</v>
      </c>
      <c r="Q37" t="s">
        <v>564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6380</v>
      </c>
      <c r="AD37">
        <v>1</v>
      </c>
      <c r="AE37">
        <v>0</v>
      </c>
      <c r="AF37">
        <v>3</v>
      </c>
      <c r="AG37">
        <v>3</v>
      </c>
      <c r="AH37" t="s">
        <v>148</v>
      </c>
      <c r="AI37" t="s">
        <v>225</v>
      </c>
      <c r="AJ37">
        <v>46122.65828703704</v>
      </c>
      <c r="AK37">
        <v>55918250</v>
      </c>
      <c r="AL37">
        <v>0</v>
      </c>
      <c r="AM37">
        <v>0</v>
      </c>
      <c r="AN37">
        <v>0</v>
      </c>
      <c r="AO37">
        <v>46073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1</v>
      </c>
    </row>
    <row r="38" spans="2:47" x14ac:dyDescent="0.25">
      <c r="B38" t="s">
        <v>565</v>
      </c>
      <c r="C38">
        <v>0</v>
      </c>
      <c r="D38" t="s">
        <v>224</v>
      </c>
      <c r="E38" t="s">
        <v>3</v>
      </c>
      <c r="F38" t="s">
        <v>513</v>
      </c>
      <c r="G38" t="s">
        <v>3</v>
      </c>
      <c r="H38">
        <v>7500</v>
      </c>
      <c r="I38">
        <v>7500</v>
      </c>
      <c r="J38">
        <v>0</v>
      </c>
      <c r="K38">
        <v>7500</v>
      </c>
      <c r="L38">
        <v>0</v>
      </c>
      <c r="M38">
        <v>0</v>
      </c>
      <c r="N38">
        <v>0</v>
      </c>
      <c r="O38" t="s">
        <v>514</v>
      </c>
      <c r="P38" t="s">
        <v>3</v>
      </c>
      <c r="Q38" t="s">
        <v>515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7500</v>
      </c>
      <c r="AD38">
        <v>1</v>
      </c>
      <c r="AE38">
        <v>0</v>
      </c>
      <c r="AF38">
        <v>3</v>
      </c>
      <c r="AG38">
        <v>3</v>
      </c>
      <c r="AH38" t="s">
        <v>148</v>
      </c>
      <c r="AI38" t="s">
        <v>225</v>
      </c>
      <c r="AJ38">
        <v>46122.65828703704</v>
      </c>
      <c r="AK38">
        <v>55918250</v>
      </c>
      <c r="AL38">
        <v>0</v>
      </c>
      <c r="AM38">
        <v>0</v>
      </c>
      <c r="AN38">
        <v>0</v>
      </c>
      <c r="AO38">
        <v>46073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1</v>
      </c>
    </row>
    <row r="39" spans="2:47" x14ac:dyDescent="0.25">
      <c r="B39" t="s">
        <v>566</v>
      </c>
      <c r="C39">
        <v>0</v>
      </c>
      <c r="D39" t="s">
        <v>241</v>
      </c>
      <c r="E39" t="s">
        <v>3</v>
      </c>
      <c r="F39" t="s">
        <v>513</v>
      </c>
      <c r="G39" t="s">
        <v>3</v>
      </c>
      <c r="H39">
        <v>6726</v>
      </c>
      <c r="I39">
        <v>6726</v>
      </c>
      <c r="J39">
        <v>0</v>
      </c>
      <c r="K39">
        <v>6726</v>
      </c>
      <c r="L39">
        <v>0</v>
      </c>
      <c r="M39">
        <v>0</v>
      </c>
      <c r="N39">
        <v>0</v>
      </c>
      <c r="O39" t="s">
        <v>567</v>
      </c>
      <c r="P39" t="s">
        <v>3</v>
      </c>
      <c r="Q39" t="s">
        <v>568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6726</v>
      </c>
      <c r="AD39">
        <v>1</v>
      </c>
      <c r="AE39">
        <v>0</v>
      </c>
      <c r="AF39">
        <v>1</v>
      </c>
      <c r="AG39">
        <v>3</v>
      </c>
      <c r="AH39" t="s">
        <v>148</v>
      </c>
      <c r="AI39" t="s">
        <v>242</v>
      </c>
      <c r="AJ39">
        <v>46122.658321759256</v>
      </c>
      <c r="AK39">
        <v>55918331</v>
      </c>
      <c r="AL39">
        <v>0</v>
      </c>
      <c r="AM39">
        <v>0</v>
      </c>
      <c r="AN39">
        <v>0</v>
      </c>
      <c r="AO39">
        <v>46073</v>
      </c>
      <c r="AP39">
        <v>0</v>
      </c>
      <c r="AQ39">
        <v>1</v>
      </c>
      <c r="AR39">
        <v>0</v>
      </c>
      <c r="AS39" t="s">
        <v>516</v>
      </c>
      <c r="AT39">
        <v>1</v>
      </c>
      <c r="AU39">
        <v>1</v>
      </c>
    </row>
    <row r="40" spans="2:47" x14ac:dyDescent="0.25">
      <c r="B40" t="s">
        <v>569</v>
      </c>
      <c r="C40">
        <v>0</v>
      </c>
      <c r="D40" t="s">
        <v>241</v>
      </c>
      <c r="E40" t="s">
        <v>3</v>
      </c>
      <c r="F40" t="s">
        <v>513</v>
      </c>
      <c r="G40" t="s">
        <v>3</v>
      </c>
      <c r="H40">
        <v>3680</v>
      </c>
      <c r="I40">
        <v>3680</v>
      </c>
      <c r="J40">
        <v>0</v>
      </c>
      <c r="K40">
        <v>3680</v>
      </c>
      <c r="L40">
        <v>0</v>
      </c>
      <c r="M40">
        <v>0</v>
      </c>
      <c r="N40">
        <v>0</v>
      </c>
      <c r="O40" t="s">
        <v>570</v>
      </c>
      <c r="P40" t="s">
        <v>3</v>
      </c>
      <c r="Q40" t="s">
        <v>571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3680</v>
      </c>
      <c r="AD40">
        <v>1</v>
      </c>
      <c r="AE40">
        <v>0</v>
      </c>
      <c r="AF40">
        <v>1</v>
      </c>
      <c r="AG40">
        <v>3</v>
      </c>
      <c r="AH40" t="s">
        <v>148</v>
      </c>
      <c r="AI40" t="s">
        <v>242</v>
      </c>
      <c r="AJ40">
        <v>46122.658321759256</v>
      </c>
      <c r="AK40">
        <v>55918331</v>
      </c>
      <c r="AL40">
        <v>0</v>
      </c>
      <c r="AM40">
        <v>0</v>
      </c>
      <c r="AN40">
        <v>0</v>
      </c>
      <c r="AO40">
        <v>46073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1</v>
      </c>
    </row>
    <row r="41" spans="2:47" x14ac:dyDescent="0.25">
      <c r="B41" t="s">
        <v>572</v>
      </c>
      <c r="C41">
        <v>1</v>
      </c>
      <c r="D41" t="s">
        <v>241</v>
      </c>
      <c r="E41" t="s">
        <v>3</v>
      </c>
      <c r="F41" t="s">
        <v>513</v>
      </c>
      <c r="G41" t="s">
        <v>3</v>
      </c>
      <c r="H41">
        <v>3490</v>
      </c>
      <c r="I41">
        <v>3490</v>
      </c>
      <c r="J41">
        <v>0</v>
      </c>
      <c r="K41">
        <v>3490</v>
      </c>
      <c r="L41">
        <v>0</v>
      </c>
      <c r="M41">
        <v>0</v>
      </c>
      <c r="N41">
        <v>0</v>
      </c>
      <c r="O41" t="s">
        <v>560</v>
      </c>
      <c r="P41" t="s">
        <v>3</v>
      </c>
      <c r="Q41" t="s">
        <v>561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3490</v>
      </c>
      <c r="AD41">
        <v>1</v>
      </c>
      <c r="AE41">
        <v>0</v>
      </c>
      <c r="AF41">
        <v>1</v>
      </c>
      <c r="AG41">
        <v>3</v>
      </c>
      <c r="AH41" t="s">
        <v>148</v>
      </c>
      <c r="AI41" t="s">
        <v>242</v>
      </c>
      <c r="AJ41">
        <v>46122.658321759256</v>
      </c>
      <c r="AK41">
        <v>55918331</v>
      </c>
      <c r="AL41">
        <v>0</v>
      </c>
      <c r="AM41">
        <v>0</v>
      </c>
      <c r="AN41">
        <v>0</v>
      </c>
      <c r="AO41">
        <v>46073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1</v>
      </c>
    </row>
    <row r="42" spans="2:47" x14ac:dyDescent="0.25">
      <c r="B42" t="s">
        <v>573</v>
      </c>
      <c r="C42">
        <v>1</v>
      </c>
      <c r="D42" t="s">
        <v>261</v>
      </c>
      <c r="E42" t="s">
        <v>3</v>
      </c>
      <c r="F42" t="s">
        <v>513</v>
      </c>
      <c r="G42" t="s">
        <v>3</v>
      </c>
      <c r="H42">
        <v>133.33000000000001</v>
      </c>
      <c r="I42">
        <v>133.33000000000001</v>
      </c>
      <c r="J42">
        <v>0</v>
      </c>
      <c r="K42">
        <v>133.33000000000001</v>
      </c>
      <c r="L42">
        <v>0</v>
      </c>
      <c r="M42">
        <v>0</v>
      </c>
      <c r="N42">
        <v>0</v>
      </c>
      <c r="O42" t="s">
        <v>574</v>
      </c>
      <c r="P42" t="s">
        <v>3</v>
      </c>
      <c r="Q42" t="s">
        <v>575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133.33000000000001</v>
      </c>
      <c r="AD42">
        <v>1</v>
      </c>
      <c r="AE42">
        <v>0</v>
      </c>
      <c r="AF42">
        <v>2</v>
      </c>
      <c r="AG42">
        <v>3</v>
      </c>
      <c r="AH42" t="s">
        <v>263</v>
      </c>
      <c r="AI42" t="s">
        <v>262</v>
      </c>
      <c r="AJ42">
        <v>46122.658356481479</v>
      </c>
      <c r="AK42">
        <v>55918419</v>
      </c>
      <c r="AL42">
        <v>0</v>
      </c>
      <c r="AM42">
        <v>0</v>
      </c>
      <c r="AN42">
        <v>0</v>
      </c>
      <c r="AO42">
        <v>46073</v>
      </c>
      <c r="AP42">
        <v>0</v>
      </c>
      <c r="AQ42">
        <v>1</v>
      </c>
      <c r="AR42">
        <v>0</v>
      </c>
      <c r="AS42" t="s">
        <v>516</v>
      </c>
      <c r="AT42">
        <v>1</v>
      </c>
      <c r="AU42">
        <v>153</v>
      </c>
    </row>
    <row r="43" spans="2:47" x14ac:dyDescent="0.25">
      <c r="B43" t="s">
        <v>576</v>
      </c>
      <c r="C43">
        <v>0</v>
      </c>
      <c r="D43" t="s">
        <v>261</v>
      </c>
      <c r="E43" t="s">
        <v>3</v>
      </c>
      <c r="F43" t="s">
        <v>513</v>
      </c>
      <c r="G43" t="s">
        <v>3</v>
      </c>
      <c r="H43">
        <v>133.35</v>
      </c>
      <c r="I43">
        <v>133.35</v>
      </c>
      <c r="J43">
        <v>0</v>
      </c>
      <c r="K43">
        <v>133.35</v>
      </c>
      <c r="L43">
        <v>0</v>
      </c>
      <c r="M43">
        <v>0</v>
      </c>
      <c r="N43">
        <v>0</v>
      </c>
      <c r="O43" t="s">
        <v>577</v>
      </c>
      <c r="P43" t="s">
        <v>3</v>
      </c>
      <c r="Q43" t="s">
        <v>578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133.35</v>
      </c>
      <c r="AD43">
        <v>1</v>
      </c>
      <c r="AE43">
        <v>0</v>
      </c>
      <c r="AF43">
        <v>2</v>
      </c>
      <c r="AG43">
        <v>3</v>
      </c>
      <c r="AH43" t="s">
        <v>263</v>
      </c>
      <c r="AI43" t="s">
        <v>262</v>
      </c>
      <c r="AJ43">
        <v>46122.658356481479</v>
      </c>
      <c r="AK43">
        <v>55918419</v>
      </c>
      <c r="AL43">
        <v>0</v>
      </c>
      <c r="AM43">
        <v>0</v>
      </c>
      <c r="AN43">
        <v>0</v>
      </c>
      <c r="AO43">
        <v>46073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153</v>
      </c>
    </row>
    <row r="44" spans="2:47" x14ac:dyDescent="0.25">
      <c r="B44" t="s">
        <v>579</v>
      </c>
      <c r="C44">
        <v>0</v>
      </c>
      <c r="D44" t="s">
        <v>261</v>
      </c>
      <c r="E44" t="s">
        <v>3</v>
      </c>
      <c r="F44" t="s">
        <v>513</v>
      </c>
      <c r="G44" t="s">
        <v>3</v>
      </c>
      <c r="H44">
        <v>133.33000000000001</v>
      </c>
      <c r="I44">
        <v>133.33000000000001</v>
      </c>
      <c r="J44">
        <v>0</v>
      </c>
      <c r="K44">
        <v>133.33000000000001</v>
      </c>
      <c r="L44">
        <v>0</v>
      </c>
      <c r="M44">
        <v>0</v>
      </c>
      <c r="N44">
        <v>0</v>
      </c>
      <c r="O44" t="s">
        <v>580</v>
      </c>
      <c r="P44" t="s">
        <v>3</v>
      </c>
      <c r="Q44" t="s">
        <v>581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133.33000000000001</v>
      </c>
      <c r="AD44">
        <v>1</v>
      </c>
      <c r="AE44">
        <v>0</v>
      </c>
      <c r="AF44">
        <v>2</v>
      </c>
      <c r="AG44">
        <v>3</v>
      </c>
      <c r="AH44" t="s">
        <v>263</v>
      </c>
      <c r="AI44" t="s">
        <v>262</v>
      </c>
      <c r="AJ44">
        <v>46122.658356481479</v>
      </c>
      <c r="AK44">
        <v>55918419</v>
      </c>
      <c r="AL44">
        <v>0</v>
      </c>
      <c r="AM44">
        <v>0</v>
      </c>
      <c r="AN44">
        <v>0</v>
      </c>
      <c r="AO44">
        <v>46073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153</v>
      </c>
    </row>
    <row r="45" spans="2:47" x14ac:dyDescent="0.25">
      <c r="B45" t="s">
        <v>582</v>
      </c>
      <c r="C45">
        <v>1</v>
      </c>
      <c r="D45" t="s">
        <v>268</v>
      </c>
      <c r="E45" t="s">
        <v>3</v>
      </c>
      <c r="F45" t="s">
        <v>513</v>
      </c>
      <c r="G45" t="s">
        <v>3</v>
      </c>
      <c r="H45">
        <v>402.8</v>
      </c>
      <c r="I45">
        <v>402.8</v>
      </c>
      <c r="J45">
        <v>0</v>
      </c>
      <c r="K45">
        <v>402.8</v>
      </c>
      <c r="L45">
        <v>0</v>
      </c>
      <c r="M45">
        <v>0</v>
      </c>
      <c r="N45">
        <v>0</v>
      </c>
      <c r="O45" t="s">
        <v>574</v>
      </c>
      <c r="P45" t="s">
        <v>3</v>
      </c>
      <c r="Q45" t="s">
        <v>575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402.8</v>
      </c>
      <c r="AD45">
        <v>1</v>
      </c>
      <c r="AE45">
        <v>0</v>
      </c>
      <c r="AF45">
        <v>1</v>
      </c>
      <c r="AG45">
        <v>3</v>
      </c>
      <c r="AH45" t="s">
        <v>263</v>
      </c>
      <c r="AI45" t="s">
        <v>269</v>
      </c>
      <c r="AJ45">
        <v>46122.658391203702</v>
      </c>
      <c r="AK45">
        <v>55918426</v>
      </c>
      <c r="AL45">
        <v>0</v>
      </c>
      <c r="AM45">
        <v>0</v>
      </c>
      <c r="AN45">
        <v>0</v>
      </c>
      <c r="AO45">
        <v>46073</v>
      </c>
      <c r="AP45">
        <v>0</v>
      </c>
      <c r="AQ45">
        <v>1</v>
      </c>
      <c r="AR45">
        <v>0</v>
      </c>
      <c r="AS45" t="s">
        <v>516</v>
      </c>
      <c r="AT45">
        <v>1</v>
      </c>
      <c r="AU45">
        <v>51</v>
      </c>
    </row>
    <row r="46" spans="2:47" x14ac:dyDescent="0.25">
      <c r="B46" t="s">
        <v>583</v>
      </c>
      <c r="C46">
        <v>0</v>
      </c>
      <c r="D46" t="s">
        <v>268</v>
      </c>
      <c r="E46" t="s">
        <v>3</v>
      </c>
      <c r="F46" t="s">
        <v>513</v>
      </c>
      <c r="G46" t="s">
        <v>3</v>
      </c>
      <c r="H46">
        <v>469.7</v>
      </c>
      <c r="I46">
        <v>469.7</v>
      </c>
      <c r="J46">
        <v>0</v>
      </c>
      <c r="K46">
        <v>469.7</v>
      </c>
      <c r="L46">
        <v>0</v>
      </c>
      <c r="M46">
        <v>0</v>
      </c>
      <c r="N46">
        <v>0</v>
      </c>
      <c r="O46" t="s">
        <v>584</v>
      </c>
      <c r="P46" t="s">
        <v>3</v>
      </c>
      <c r="Q46" t="s">
        <v>585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469.7</v>
      </c>
      <c r="AD46">
        <v>1</v>
      </c>
      <c r="AE46">
        <v>0</v>
      </c>
      <c r="AF46">
        <v>1</v>
      </c>
      <c r="AG46">
        <v>3</v>
      </c>
      <c r="AH46" t="s">
        <v>263</v>
      </c>
      <c r="AI46" t="s">
        <v>269</v>
      </c>
      <c r="AJ46">
        <v>46122.658391203702</v>
      </c>
      <c r="AK46">
        <v>55918426</v>
      </c>
      <c r="AL46">
        <v>0</v>
      </c>
      <c r="AM46">
        <v>0</v>
      </c>
      <c r="AN46">
        <v>0</v>
      </c>
      <c r="AO46">
        <v>46073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51</v>
      </c>
    </row>
    <row r="47" spans="2:47" x14ac:dyDescent="0.25">
      <c r="B47" t="s">
        <v>586</v>
      </c>
      <c r="C47">
        <v>0</v>
      </c>
      <c r="D47" t="s">
        <v>268</v>
      </c>
      <c r="E47" t="s">
        <v>3</v>
      </c>
      <c r="F47" t="s">
        <v>513</v>
      </c>
      <c r="G47" t="s">
        <v>3</v>
      </c>
      <c r="H47">
        <v>402.83</v>
      </c>
      <c r="I47">
        <v>402.83</v>
      </c>
      <c r="J47">
        <v>0</v>
      </c>
      <c r="K47">
        <v>402.83</v>
      </c>
      <c r="L47">
        <v>0</v>
      </c>
      <c r="M47">
        <v>0</v>
      </c>
      <c r="N47">
        <v>0</v>
      </c>
      <c r="O47" t="s">
        <v>587</v>
      </c>
      <c r="P47" t="s">
        <v>3</v>
      </c>
      <c r="Q47" t="s">
        <v>588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402.83</v>
      </c>
      <c r="AD47">
        <v>1</v>
      </c>
      <c r="AE47">
        <v>0</v>
      </c>
      <c r="AF47">
        <v>1</v>
      </c>
      <c r="AG47">
        <v>3</v>
      </c>
      <c r="AH47" t="s">
        <v>263</v>
      </c>
      <c r="AI47" t="s">
        <v>269</v>
      </c>
      <c r="AJ47">
        <v>46122.658391203702</v>
      </c>
      <c r="AK47">
        <v>55918426</v>
      </c>
      <c r="AL47">
        <v>0</v>
      </c>
      <c r="AM47">
        <v>0</v>
      </c>
      <c r="AN47">
        <v>0</v>
      </c>
      <c r="AO47">
        <v>46073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51</v>
      </c>
    </row>
    <row r="48" spans="2:47" x14ac:dyDescent="0.25">
      <c r="B48" t="s">
        <v>589</v>
      </c>
      <c r="C48">
        <v>0</v>
      </c>
      <c r="D48" t="s">
        <v>272</v>
      </c>
      <c r="E48" t="s">
        <v>3</v>
      </c>
      <c r="F48" t="s">
        <v>513</v>
      </c>
      <c r="G48" t="s">
        <v>3</v>
      </c>
      <c r="H48">
        <v>180.6</v>
      </c>
      <c r="I48">
        <v>180.6</v>
      </c>
      <c r="J48">
        <v>0</v>
      </c>
      <c r="K48">
        <v>180.6</v>
      </c>
      <c r="L48">
        <v>0</v>
      </c>
      <c r="M48">
        <v>0</v>
      </c>
      <c r="N48">
        <v>0</v>
      </c>
      <c r="O48" t="s">
        <v>574</v>
      </c>
      <c r="P48" t="s">
        <v>3</v>
      </c>
      <c r="Q48" t="s">
        <v>575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180.6</v>
      </c>
      <c r="AD48">
        <v>1</v>
      </c>
      <c r="AE48">
        <v>0</v>
      </c>
      <c r="AF48">
        <v>1</v>
      </c>
      <c r="AG48">
        <v>3</v>
      </c>
      <c r="AH48" t="s">
        <v>263</v>
      </c>
      <c r="AI48" t="s">
        <v>273</v>
      </c>
      <c r="AJ48">
        <v>46122.658414351848</v>
      </c>
      <c r="AK48">
        <v>55918433</v>
      </c>
      <c r="AL48">
        <v>0</v>
      </c>
      <c r="AM48">
        <v>0</v>
      </c>
      <c r="AN48">
        <v>0</v>
      </c>
      <c r="AO48">
        <v>46073</v>
      </c>
      <c r="AP48">
        <v>0</v>
      </c>
      <c r="AQ48">
        <v>1</v>
      </c>
      <c r="AR48">
        <v>0</v>
      </c>
      <c r="AS48" t="s">
        <v>516</v>
      </c>
      <c r="AT48">
        <v>1</v>
      </c>
      <c r="AU48">
        <v>51</v>
      </c>
    </row>
    <row r="49" spans="2:47" x14ac:dyDescent="0.25">
      <c r="B49" t="s">
        <v>590</v>
      </c>
      <c r="C49">
        <v>0</v>
      </c>
      <c r="D49" t="s">
        <v>272</v>
      </c>
      <c r="E49" t="s">
        <v>3</v>
      </c>
      <c r="F49" t="s">
        <v>513</v>
      </c>
      <c r="G49" t="s">
        <v>3</v>
      </c>
      <c r="H49">
        <v>210</v>
      </c>
      <c r="I49">
        <v>210</v>
      </c>
      <c r="J49">
        <v>0</v>
      </c>
      <c r="K49">
        <v>210</v>
      </c>
      <c r="L49">
        <v>0</v>
      </c>
      <c r="M49">
        <v>0</v>
      </c>
      <c r="N49">
        <v>0</v>
      </c>
      <c r="O49" t="s">
        <v>542</v>
      </c>
      <c r="P49" t="s">
        <v>3</v>
      </c>
      <c r="Q49" t="s">
        <v>543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210</v>
      </c>
      <c r="AD49">
        <v>1</v>
      </c>
      <c r="AE49">
        <v>0</v>
      </c>
      <c r="AF49">
        <v>1</v>
      </c>
      <c r="AG49">
        <v>3</v>
      </c>
      <c r="AH49" t="s">
        <v>263</v>
      </c>
      <c r="AI49" t="s">
        <v>273</v>
      </c>
      <c r="AJ49">
        <v>46122.658414351848</v>
      </c>
      <c r="AK49">
        <v>55918433</v>
      </c>
      <c r="AL49">
        <v>0</v>
      </c>
      <c r="AM49">
        <v>0</v>
      </c>
      <c r="AN49">
        <v>0</v>
      </c>
      <c r="AO49">
        <v>46073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51</v>
      </c>
    </row>
    <row r="50" spans="2:47" x14ac:dyDescent="0.25">
      <c r="B50" t="s">
        <v>591</v>
      </c>
      <c r="C50">
        <v>1</v>
      </c>
      <c r="D50" t="s">
        <v>272</v>
      </c>
      <c r="E50" t="s">
        <v>3</v>
      </c>
      <c r="F50" t="s">
        <v>513</v>
      </c>
      <c r="G50" t="s">
        <v>3</v>
      </c>
      <c r="H50">
        <v>172.99</v>
      </c>
      <c r="I50">
        <v>172.99</v>
      </c>
      <c r="J50">
        <v>0</v>
      </c>
      <c r="K50">
        <v>172.99</v>
      </c>
      <c r="L50">
        <v>0</v>
      </c>
      <c r="M50">
        <v>0</v>
      </c>
      <c r="N50">
        <v>0</v>
      </c>
      <c r="O50" t="s">
        <v>592</v>
      </c>
      <c r="P50" t="s">
        <v>3</v>
      </c>
      <c r="Q50" t="s">
        <v>593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172.99</v>
      </c>
      <c r="AD50">
        <v>1</v>
      </c>
      <c r="AE50">
        <v>0</v>
      </c>
      <c r="AF50">
        <v>1</v>
      </c>
      <c r="AG50">
        <v>3</v>
      </c>
      <c r="AH50" t="s">
        <v>263</v>
      </c>
      <c r="AI50" t="s">
        <v>273</v>
      </c>
      <c r="AJ50">
        <v>46122.658414351848</v>
      </c>
      <c r="AK50">
        <v>55918433</v>
      </c>
      <c r="AL50">
        <v>0</v>
      </c>
      <c r="AM50">
        <v>0</v>
      </c>
      <c r="AN50">
        <v>0</v>
      </c>
      <c r="AO50">
        <v>46073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51</v>
      </c>
    </row>
    <row r="51" spans="2:47" x14ac:dyDescent="0.25">
      <c r="B51" t="s">
        <v>594</v>
      </c>
      <c r="C51">
        <v>0</v>
      </c>
      <c r="D51" t="s">
        <v>276</v>
      </c>
      <c r="E51" t="s">
        <v>3</v>
      </c>
      <c r="F51" t="s">
        <v>513</v>
      </c>
      <c r="G51" t="s">
        <v>3</v>
      </c>
      <c r="H51">
        <v>131.30000000000001</v>
      </c>
      <c r="I51">
        <v>131.30000000000001</v>
      </c>
      <c r="J51">
        <v>0</v>
      </c>
      <c r="K51">
        <v>131.30000000000001</v>
      </c>
      <c r="L51">
        <v>0</v>
      </c>
      <c r="M51">
        <v>0</v>
      </c>
      <c r="N51">
        <v>0</v>
      </c>
      <c r="O51" t="s">
        <v>574</v>
      </c>
      <c r="P51" t="s">
        <v>3</v>
      </c>
      <c r="Q51" t="s">
        <v>575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131.30000000000001</v>
      </c>
      <c r="AD51">
        <v>1</v>
      </c>
      <c r="AE51">
        <v>0</v>
      </c>
      <c r="AF51">
        <v>1</v>
      </c>
      <c r="AG51">
        <v>3</v>
      </c>
      <c r="AH51" t="s">
        <v>263</v>
      </c>
      <c r="AI51" t="s">
        <v>277</v>
      </c>
      <c r="AJ51">
        <v>46122.658449074072</v>
      </c>
      <c r="AK51">
        <v>55918439</v>
      </c>
      <c r="AL51">
        <v>0</v>
      </c>
      <c r="AM51">
        <v>0</v>
      </c>
      <c r="AN51">
        <v>0</v>
      </c>
      <c r="AO51">
        <v>46073</v>
      </c>
      <c r="AP51">
        <v>0</v>
      </c>
      <c r="AQ51">
        <v>1</v>
      </c>
      <c r="AR51">
        <v>0</v>
      </c>
      <c r="AS51" t="s">
        <v>516</v>
      </c>
      <c r="AT51">
        <v>1</v>
      </c>
      <c r="AU51">
        <v>51</v>
      </c>
    </row>
    <row r="52" spans="2:47" x14ac:dyDescent="0.25">
      <c r="B52" t="s">
        <v>595</v>
      </c>
      <c r="C52">
        <v>1</v>
      </c>
      <c r="D52" t="s">
        <v>276</v>
      </c>
      <c r="E52" t="s">
        <v>3</v>
      </c>
      <c r="F52" t="s">
        <v>513</v>
      </c>
      <c r="G52" t="s">
        <v>3</v>
      </c>
      <c r="H52">
        <v>131</v>
      </c>
      <c r="I52">
        <v>131</v>
      </c>
      <c r="J52">
        <v>0</v>
      </c>
      <c r="K52">
        <v>131</v>
      </c>
      <c r="L52">
        <v>0</v>
      </c>
      <c r="M52">
        <v>0</v>
      </c>
      <c r="N52">
        <v>0</v>
      </c>
      <c r="O52" t="s">
        <v>596</v>
      </c>
      <c r="P52" t="s">
        <v>3</v>
      </c>
      <c r="Q52" t="s">
        <v>597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131</v>
      </c>
      <c r="AD52">
        <v>1</v>
      </c>
      <c r="AE52">
        <v>0</v>
      </c>
      <c r="AF52">
        <v>1</v>
      </c>
      <c r="AG52">
        <v>3</v>
      </c>
      <c r="AH52" t="s">
        <v>263</v>
      </c>
      <c r="AI52" t="s">
        <v>277</v>
      </c>
      <c r="AJ52">
        <v>46122.658449074072</v>
      </c>
      <c r="AK52">
        <v>55918439</v>
      </c>
      <c r="AL52">
        <v>0</v>
      </c>
      <c r="AM52">
        <v>0</v>
      </c>
      <c r="AN52">
        <v>0</v>
      </c>
      <c r="AO52">
        <v>46073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51</v>
      </c>
    </row>
    <row r="53" spans="2:47" x14ac:dyDescent="0.25">
      <c r="B53" t="s">
        <v>598</v>
      </c>
      <c r="C53">
        <v>0</v>
      </c>
      <c r="D53" t="s">
        <v>276</v>
      </c>
      <c r="E53" t="s">
        <v>3</v>
      </c>
      <c r="F53" t="s">
        <v>513</v>
      </c>
      <c r="G53" t="s">
        <v>3</v>
      </c>
      <c r="H53">
        <v>131.30000000000001</v>
      </c>
      <c r="I53">
        <v>131.30000000000001</v>
      </c>
      <c r="J53">
        <v>0</v>
      </c>
      <c r="K53">
        <v>131.30000000000001</v>
      </c>
      <c r="L53">
        <v>0</v>
      </c>
      <c r="M53">
        <v>0</v>
      </c>
      <c r="N53">
        <v>0</v>
      </c>
      <c r="O53" t="s">
        <v>599</v>
      </c>
      <c r="P53" t="s">
        <v>3</v>
      </c>
      <c r="Q53" t="s">
        <v>600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131.30000000000001</v>
      </c>
      <c r="AD53">
        <v>1</v>
      </c>
      <c r="AE53">
        <v>0</v>
      </c>
      <c r="AF53">
        <v>1</v>
      </c>
      <c r="AG53">
        <v>3</v>
      </c>
      <c r="AH53" t="s">
        <v>263</v>
      </c>
      <c r="AI53" t="s">
        <v>277</v>
      </c>
      <c r="AJ53">
        <v>46122.658449074072</v>
      </c>
      <c r="AK53">
        <v>55918439</v>
      </c>
      <c r="AL53">
        <v>0</v>
      </c>
      <c r="AM53">
        <v>0</v>
      </c>
      <c r="AN53">
        <v>0</v>
      </c>
      <c r="AO53">
        <v>46073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51</v>
      </c>
    </row>
    <row r="54" spans="2:47" x14ac:dyDescent="0.25">
      <c r="B54" t="s">
        <v>601</v>
      </c>
      <c r="C54">
        <v>1</v>
      </c>
      <c r="D54" t="s">
        <v>289</v>
      </c>
      <c r="E54" t="s">
        <v>3</v>
      </c>
      <c r="F54" t="s">
        <v>513</v>
      </c>
      <c r="G54" t="s">
        <v>3</v>
      </c>
      <c r="H54">
        <v>51.6</v>
      </c>
      <c r="I54">
        <v>51.6</v>
      </c>
      <c r="J54">
        <v>0</v>
      </c>
      <c r="K54">
        <v>51.6</v>
      </c>
      <c r="L54">
        <v>0</v>
      </c>
      <c r="M54">
        <v>0</v>
      </c>
      <c r="N54">
        <v>0</v>
      </c>
      <c r="O54" t="s">
        <v>574</v>
      </c>
      <c r="P54" t="s">
        <v>3</v>
      </c>
      <c r="Q54" t="s">
        <v>575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51.6</v>
      </c>
      <c r="AD54">
        <v>1</v>
      </c>
      <c r="AE54">
        <v>0</v>
      </c>
      <c r="AF54">
        <v>1</v>
      </c>
      <c r="AG54">
        <v>3</v>
      </c>
      <c r="AH54" t="s">
        <v>263</v>
      </c>
      <c r="AI54" t="s">
        <v>290</v>
      </c>
      <c r="AJ54">
        <v>46122.658472222225</v>
      </c>
      <c r="AK54">
        <v>55918477</v>
      </c>
      <c r="AL54">
        <v>0</v>
      </c>
      <c r="AM54">
        <v>0</v>
      </c>
      <c r="AN54">
        <v>0</v>
      </c>
      <c r="AO54">
        <v>46073</v>
      </c>
      <c r="AP54">
        <v>0</v>
      </c>
      <c r="AQ54">
        <v>1</v>
      </c>
      <c r="AR54">
        <v>0</v>
      </c>
      <c r="AS54" t="s">
        <v>516</v>
      </c>
      <c r="AT54">
        <v>1</v>
      </c>
      <c r="AU54">
        <v>306</v>
      </c>
    </row>
    <row r="55" spans="2:47" x14ac:dyDescent="0.25">
      <c r="B55" t="s">
        <v>602</v>
      </c>
      <c r="C55">
        <v>0</v>
      </c>
      <c r="D55" t="s">
        <v>289</v>
      </c>
      <c r="E55" t="s">
        <v>3</v>
      </c>
      <c r="F55" t="s">
        <v>513</v>
      </c>
      <c r="G55" t="s">
        <v>3</v>
      </c>
      <c r="H55">
        <v>51.6</v>
      </c>
      <c r="I55">
        <v>51.6</v>
      </c>
      <c r="J55">
        <v>0</v>
      </c>
      <c r="K55">
        <v>51.6</v>
      </c>
      <c r="L55">
        <v>0</v>
      </c>
      <c r="M55">
        <v>0</v>
      </c>
      <c r="N55">
        <v>0</v>
      </c>
      <c r="O55" t="s">
        <v>596</v>
      </c>
      <c r="P55" t="s">
        <v>3</v>
      </c>
      <c r="Q55" t="s">
        <v>597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51.6</v>
      </c>
      <c r="AD55">
        <v>1</v>
      </c>
      <c r="AE55">
        <v>0</v>
      </c>
      <c r="AF55">
        <v>1</v>
      </c>
      <c r="AG55">
        <v>3</v>
      </c>
      <c r="AH55" t="s">
        <v>263</v>
      </c>
      <c r="AI55" t="s">
        <v>290</v>
      </c>
      <c r="AJ55">
        <v>46122.658472222225</v>
      </c>
      <c r="AK55">
        <v>55918477</v>
      </c>
      <c r="AL55">
        <v>0</v>
      </c>
      <c r="AM55">
        <v>0</v>
      </c>
      <c r="AN55">
        <v>0</v>
      </c>
      <c r="AO55">
        <v>46073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306</v>
      </c>
    </row>
    <row r="56" spans="2:47" x14ac:dyDescent="0.25">
      <c r="B56" t="s">
        <v>603</v>
      </c>
      <c r="C56">
        <v>0</v>
      </c>
      <c r="D56" t="s">
        <v>289</v>
      </c>
      <c r="E56" t="s">
        <v>3</v>
      </c>
      <c r="F56" t="s">
        <v>513</v>
      </c>
      <c r="G56" t="s">
        <v>3</v>
      </c>
      <c r="H56">
        <v>51.6</v>
      </c>
      <c r="I56">
        <v>51.6</v>
      </c>
      <c r="J56">
        <v>0</v>
      </c>
      <c r="K56">
        <v>51.6</v>
      </c>
      <c r="L56">
        <v>0</v>
      </c>
      <c r="M56">
        <v>0</v>
      </c>
      <c r="N56">
        <v>0</v>
      </c>
      <c r="O56" t="s">
        <v>599</v>
      </c>
      <c r="P56" t="s">
        <v>3</v>
      </c>
      <c r="Q56" t="s">
        <v>600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51.6</v>
      </c>
      <c r="AD56">
        <v>1</v>
      </c>
      <c r="AE56">
        <v>0</v>
      </c>
      <c r="AF56">
        <v>1</v>
      </c>
      <c r="AG56">
        <v>3</v>
      </c>
      <c r="AH56" t="s">
        <v>263</v>
      </c>
      <c r="AI56" t="s">
        <v>290</v>
      </c>
      <c r="AJ56">
        <v>46122.658472222225</v>
      </c>
      <c r="AK56">
        <v>55918477</v>
      </c>
      <c r="AL56">
        <v>0</v>
      </c>
      <c r="AM56">
        <v>0</v>
      </c>
      <c r="AN56">
        <v>0</v>
      </c>
      <c r="AO56">
        <v>46073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306</v>
      </c>
    </row>
    <row r="57" spans="2:47" x14ac:dyDescent="0.25">
      <c r="B57" t="s">
        <v>604</v>
      </c>
      <c r="C57">
        <v>0</v>
      </c>
      <c r="D57" t="s">
        <v>293</v>
      </c>
      <c r="E57" t="s">
        <v>3</v>
      </c>
      <c r="F57" t="s">
        <v>513</v>
      </c>
      <c r="G57" t="s">
        <v>3</v>
      </c>
      <c r="H57">
        <v>165.4</v>
      </c>
      <c r="I57">
        <v>165.4</v>
      </c>
      <c r="J57">
        <v>0</v>
      </c>
      <c r="K57">
        <v>165.4</v>
      </c>
      <c r="L57">
        <v>0</v>
      </c>
      <c r="M57">
        <v>0</v>
      </c>
      <c r="N57">
        <v>0</v>
      </c>
      <c r="O57" t="s">
        <v>574</v>
      </c>
      <c r="P57" t="s">
        <v>3</v>
      </c>
      <c r="Q57" t="s">
        <v>575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165.4</v>
      </c>
      <c r="AD57">
        <v>1</v>
      </c>
      <c r="AE57">
        <v>0</v>
      </c>
      <c r="AF57">
        <v>1</v>
      </c>
      <c r="AG57">
        <v>3</v>
      </c>
      <c r="AH57" t="s">
        <v>263</v>
      </c>
      <c r="AI57" t="s">
        <v>294</v>
      </c>
      <c r="AJ57">
        <v>46122.658495370371</v>
      </c>
      <c r="AK57">
        <v>55918483</v>
      </c>
      <c r="AL57">
        <v>0</v>
      </c>
      <c r="AM57">
        <v>0</v>
      </c>
      <c r="AN57">
        <v>0</v>
      </c>
      <c r="AO57">
        <v>46073</v>
      </c>
      <c r="AP57">
        <v>0</v>
      </c>
      <c r="AQ57">
        <v>1</v>
      </c>
      <c r="AR57">
        <v>0</v>
      </c>
      <c r="AS57" t="s">
        <v>516</v>
      </c>
      <c r="AT57">
        <v>1</v>
      </c>
      <c r="AU57">
        <v>20.399999999999999</v>
      </c>
    </row>
    <row r="58" spans="2:47" x14ac:dyDescent="0.25">
      <c r="B58" t="s">
        <v>605</v>
      </c>
      <c r="C58">
        <v>1</v>
      </c>
      <c r="D58" t="s">
        <v>293</v>
      </c>
      <c r="E58" t="s">
        <v>3</v>
      </c>
      <c r="F58" t="s">
        <v>513</v>
      </c>
      <c r="G58" t="s">
        <v>3</v>
      </c>
      <c r="H58">
        <v>165</v>
      </c>
      <c r="I58">
        <v>165</v>
      </c>
      <c r="J58">
        <v>0</v>
      </c>
      <c r="K58">
        <v>165</v>
      </c>
      <c r="L58">
        <v>0</v>
      </c>
      <c r="M58">
        <v>0</v>
      </c>
      <c r="N58">
        <v>0</v>
      </c>
      <c r="O58" t="s">
        <v>596</v>
      </c>
      <c r="P58" t="s">
        <v>3</v>
      </c>
      <c r="Q58" t="s">
        <v>597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165</v>
      </c>
      <c r="AD58">
        <v>1</v>
      </c>
      <c r="AE58">
        <v>0</v>
      </c>
      <c r="AF58">
        <v>1</v>
      </c>
      <c r="AG58">
        <v>3</v>
      </c>
      <c r="AH58" t="s">
        <v>263</v>
      </c>
      <c r="AI58" t="s">
        <v>294</v>
      </c>
      <c r="AJ58">
        <v>46122.658495370371</v>
      </c>
      <c r="AK58">
        <v>55918483</v>
      </c>
      <c r="AL58">
        <v>0</v>
      </c>
      <c r="AM58">
        <v>0</v>
      </c>
      <c r="AN58">
        <v>0</v>
      </c>
      <c r="AO58">
        <v>46073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20.399999999999999</v>
      </c>
    </row>
    <row r="59" spans="2:47" x14ac:dyDescent="0.25">
      <c r="B59" t="s">
        <v>606</v>
      </c>
      <c r="C59">
        <v>0</v>
      </c>
      <c r="D59" t="s">
        <v>293</v>
      </c>
      <c r="E59" t="s">
        <v>3</v>
      </c>
      <c r="F59" t="s">
        <v>513</v>
      </c>
      <c r="G59" t="s">
        <v>3</v>
      </c>
      <c r="H59">
        <v>165.4</v>
      </c>
      <c r="I59">
        <v>165.4</v>
      </c>
      <c r="J59">
        <v>0</v>
      </c>
      <c r="K59">
        <v>165.4</v>
      </c>
      <c r="L59">
        <v>0</v>
      </c>
      <c r="M59">
        <v>0</v>
      </c>
      <c r="N59">
        <v>0</v>
      </c>
      <c r="O59" t="s">
        <v>599</v>
      </c>
      <c r="P59" t="s">
        <v>3</v>
      </c>
      <c r="Q59" t="s">
        <v>600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165.4</v>
      </c>
      <c r="AD59">
        <v>1</v>
      </c>
      <c r="AE59">
        <v>0</v>
      </c>
      <c r="AF59">
        <v>1</v>
      </c>
      <c r="AG59">
        <v>3</v>
      </c>
      <c r="AH59" t="s">
        <v>263</v>
      </c>
      <c r="AI59" t="s">
        <v>294</v>
      </c>
      <c r="AJ59">
        <v>46122.658495370371</v>
      </c>
      <c r="AK59">
        <v>55918483</v>
      </c>
      <c r="AL59">
        <v>0</v>
      </c>
      <c r="AM59">
        <v>0</v>
      </c>
      <c r="AN59">
        <v>0</v>
      </c>
      <c r="AO59">
        <v>46073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20.399999999999999</v>
      </c>
    </row>
    <row r="60" spans="2:47" x14ac:dyDescent="0.25">
      <c r="B60" t="s">
        <v>607</v>
      </c>
      <c r="C60">
        <v>1</v>
      </c>
      <c r="D60" t="s">
        <v>297</v>
      </c>
      <c r="E60" t="s">
        <v>3</v>
      </c>
      <c r="F60" t="s">
        <v>513</v>
      </c>
      <c r="G60" t="s">
        <v>3</v>
      </c>
      <c r="H60">
        <v>98.95</v>
      </c>
      <c r="I60">
        <v>98.95</v>
      </c>
      <c r="J60">
        <v>0</v>
      </c>
      <c r="K60">
        <v>98.95</v>
      </c>
      <c r="L60">
        <v>0</v>
      </c>
      <c r="M60">
        <v>0</v>
      </c>
      <c r="N60">
        <v>0</v>
      </c>
      <c r="O60" t="s">
        <v>574</v>
      </c>
      <c r="P60" t="s">
        <v>3</v>
      </c>
      <c r="Q60" t="s">
        <v>575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98.95</v>
      </c>
      <c r="AD60">
        <v>1</v>
      </c>
      <c r="AE60">
        <v>0</v>
      </c>
      <c r="AF60">
        <v>1</v>
      </c>
      <c r="AG60">
        <v>3</v>
      </c>
      <c r="AH60" t="s">
        <v>263</v>
      </c>
      <c r="AI60" t="s">
        <v>298</v>
      </c>
      <c r="AJ60">
        <v>46122.658518518518</v>
      </c>
      <c r="AK60">
        <v>55918489</v>
      </c>
      <c r="AL60">
        <v>0</v>
      </c>
      <c r="AM60">
        <v>0</v>
      </c>
      <c r="AN60">
        <v>0</v>
      </c>
      <c r="AO60">
        <v>46073</v>
      </c>
      <c r="AP60">
        <v>0</v>
      </c>
      <c r="AQ60">
        <v>1</v>
      </c>
      <c r="AR60">
        <v>0</v>
      </c>
      <c r="AS60" t="s">
        <v>516</v>
      </c>
      <c r="AT60">
        <v>1</v>
      </c>
      <c r="AU60">
        <v>15.3</v>
      </c>
    </row>
    <row r="61" spans="2:47" x14ac:dyDescent="0.25">
      <c r="B61" t="s">
        <v>608</v>
      </c>
      <c r="C61">
        <v>0</v>
      </c>
      <c r="D61" t="s">
        <v>297</v>
      </c>
      <c r="E61" t="s">
        <v>3</v>
      </c>
      <c r="F61" t="s">
        <v>513</v>
      </c>
      <c r="G61" t="s">
        <v>3</v>
      </c>
      <c r="H61">
        <v>120</v>
      </c>
      <c r="I61">
        <v>120</v>
      </c>
      <c r="J61">
        <v>0</v>
      </c>
      <c r="K61">
        <v>120</v>
      </c>
      <c r="L61">
        <v>0</v>
      </c>
      <c r="M61">
        <v>0</v>
      </c>
      <c r="N61">
        <v>0</v>
      </c>
      <c r="O61" t="s">
        <v>542</v>
      </c>
      <c r="P61" t="s">
        <v>3</v>
      </c>
      <c r="Q61" t="s">
        <v>543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120</v>
      </c>
      <c r="AD61">
        <v>1</v>
      </c>
      <c r="AE61">
        <v>0</v>
      </c>
      <c r="AF61">
        <v>1</v>
      </c>
      <c r="AG61">
        <v>3</v>
      </c>
      <c r="AH61" t="s">
        <v>263</v>
      </c>
      <c r="AI61" t="s">
        <v>298</v>
      </c>
      <c r="AJ61">
        <v>46122.658518518518</v>
      </c>
      <c r="AK61">
        <v>55918489</v>
      </c>
      <c r="AL61">
        <v>0</v>
      </c>
      <c r="AM61">
        <v>0</v>
      </c>
      <c r="AN61">
        <v>0</v>
      </c>
      <c r="AO61">
        <v>46073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15.3</v>
      </c>
    </row>
    <row r="62" spans="2:47" x14ac:dyDescent="0.25">
      <c r="B62" t="s">
        <v>609</v>
      </c>
      <c r="C62">
        <v>0</v>
      </c>
      <c r="D62" t="s">
        <v>297</v>
      </c>
      <c r="E62" t="s">
        <v>3</v>
      </c>
      <c r="F62" t="s">
        <v>513</v>
      </c>
      <c r="G62" t="s">
        <v>3</v>
      </c>
      <c r="H62">
        <v>176.71</v>
      </c>
      <c r="I62">
        <v>176.71</v>
      </c>
      <c r="J62">
        <v>0</v>
      </c>
      <c r="K62">
        <v>176.71</v>
      </c>
      <c r="L62">
        <v>0</v>
      </c>
      <c r="M62">
        <v>0</v>
      </c>
      <c r="N62">
        <v>0</v>
      </c>
      <c r="O62" t="s">
        <v>577</v>
      </c>
      <c r="P62" t="s">
        <v>3</v>
      </c>
      <c r="Q62" t="s">
        <v>578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176.71</v>
      </c>
      <c r="AD62">
        <v>1</v>
      </c>
      <c r="AE62">
        <v>0</v>
      </c>
      <c r="AF62">
        <v>1</v>
      </c>
      <c r="AG62">
        <v>3</v>
      </c>
      <c r="AH62" t="s">
        <v>263</v>
      </c>
      <c r="AI62" t="s">
        <v>298</v>
      </c>
      <c r="AJ62">
        <v>46122.658518518518</v>
      </c>
      <c r="AK62">
        <v>55918489</v>
      </c>
      <c r="AL62">
        <v>0</v>
      </c>
      <c r="AM62">
        <v>0</v>
      </c>
      <c r="AN62">
        <v>0</v>
      </c>
      <c r="AO62">
        <v>46073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15.3</v>
      </c>
    </row>
    <row r="63" spans="2:47" x14ac:dyDescent="0.25">
      <c r="B63" t="s">
        <v>610</v>
      </c>
      <c r="C63">
        <v>0</v>
      </c>
      <c r="D63" t="s">
        <v>306</v>
      </c>
      <c r="E63" t="s">
        <v>3</v>
      </c>
      <c r="F63" t="s">
        <v>513</v>
      </c>
      <c r="G63" t="s">
        <v>3</v>
      </c>
      <c r="H63">
        <v>280</v>
      </c>
      <c r="I63">
        <v>280</v>
      </c>
      <c r="J63">
        <v>0</v>
      </c>
      <c r="K63">
        <v>280</v>
      </c>
      <c r="L63">
        <v>0</v>
      </c>
      <c r="M63">
        <v>0</v>
      </c>
      <c r="N63">
        <v>0</v>
      </c>
      <c r="O63" t="s">
        <v>611</v>
      </c>
      <c r="P63" t="s">
        <v>3</v>
      </c>
      <c r="Q63" t="s">
        <v>612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280</v>
      </c>
      <c r="AD63">
        <v>1</v>
      </c>
      <c r="AE63">
        <v>0</v>
      </c>
      <c r="AF63">
        <v>1</v>
      </c>
      <c r="AG63">
        <v>3</v>
      </c>
      <c r="AH63" t="s">
        <v>148</v>
      </c>
      <c r="AI63" t="s">
        <v>307</v>
      </c>
      <c r="AJ63">
        <v>46122.658553240741</v>
      </c>
      <c r="AK63">
        <v>55918498</v>
      </c>
      <c r="AL63">
        <v>0</v>
      </c>
      <c r="AM63">
        <v>0</v>
      </c>
      <c r="AN63">
        <v>0</v>
      </c>
      <c r="AO63">
        <v>46073</v>
      </c>
      <c r="AP63">
        <v>0</v>
      </c>
      <c r="AQ63">
        <v>1</v>
      </c>
      <c r="AR63">
        <v>0</v>
      </c>
      <c r="AS63" t="s">
        <v>516</v>
      </c>
      <c r="AT63">
        <v>1</v>
      </c>
      <c r="AU63">
        <v>2</v>
      </c>
    </row>
    <row r="64" spans="2:47" x14ac:dyDescent="0.25">
      <c r="B64" t="s">
        <v>613</v>
      </c>
      <c r="C64">
        <v>1</v>
      </c>
      <c r="D64" t="s">
        <v>306</v>
      </c>
      <c r="E64" t="s">
        <v>3</v>
      </c>
      <c r="F64" t="s">
        <v>513</v>
      </c>
      <c r="G64" t="s">
        <v>3</v>
      </c>
      <c r="H64">
        <v>268.33999999999997</v>
      </c>
      <c r="I64">
        <v>268.33999999999997</v>
      </c>
      <c r="J64">
        <v>0</v>
      </c>
      <c r="K64">
        <v>268.33999999999997</v>
      </c>
      <c r="L64">
        <v>0</v>
      </c>
      <c r="M64">
        <v>0</v>
      </c>
      <c r="N64">
        <v>0</v>
      </c>
      <c r="O64" t="s">
        <v>577</v>
      </c>
      <c r="P64" t="s">
        <v>3</v>
      </c>
      <c r="Q64" t="s">
        <v>578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268.33999999999997</v>
      </c>
      <c r="AD64">
        <v>1</v>
      </c>
      <c r="AE64">
        <v>0</v>
      </c>
      <c r="AF64">
        <v>1</v>
      </c>
      <c r="AG64">
        <v>3</v>
      </c>
      <c r="AH64" t="s">
        <v>148</v>
      </c>
      <c r="AI64" t="s">
        <v>307</v>
      </c>
      <c r="AJ64">
        <v>46122.658553240741</v>
      </c>
      <c r="AK64">
        <v>55918498</v>
      </c>
      <c r="AL64">
        <v>0</v>
      </c>
      <c r="AM64">
        <v>0</v>
      </c>
      <c r="AN64">
        <v>0</v>
      </c>
      <c r="AO64">
        <v>46073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2</v>
      </c>
    </row>
    <row r="65" spans="2:47" x14ac:dyDescent="0.25">
      <c r="B65" t="s">
        <v>614</v>
      </c>
      <c r="C65">
        <v>0</v>
      </c>
      <c r="D65" t="s">
        <v>306</v>
      </c>
      <c r="E65" t="s">
        <v>3</v>
      </c>
      <c r="F65" t="s">
        <v>513</v>
      </c>
      <c r="G65" t="s">
        <v>3</v>
      </c>
      <c r="H65">
        <v>268.33999999999997</v>
      </c>
      <c r="I65">
        <v>268.33999999999997</v>
      </c>
      <c r="J65">
        <v>0</v>
      </c>
      <c r="K65">
        <v>268.33999999999997</v>
      </c>
      <c r="L65">
        <v>0</v>
      </c>
      <c r="M65">
        <v>0</v>
      </c>
      <c r="N65">
        <v>0</v>
      </c>
      <c r="O65" t="s">
        <v>615</v>
      </c>
      <c r="P65" t="s">
        <v>3</v>
      </c>
      <c r="Q65" t="s">
        <v>616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268.33999999999997</v>
      </c>
      <c r="AD65">
        <v>1</v>
      </c>
      <c r="AE65">
        <v>0</v>
      </c>
      <c r="AF65">
        <v>1</v>
      </c>
      <c r="AG65">
        <v>3</v>
      </c>
      <c r="AH65" t="s">
        <v>148</v>
      </c>
      <c r="AI65" t="s">
        <v>307</v>
      </c>
      <c r="AJ65">
        <v>46122.658553240741</v>
      </c>
      <c r="AK65">
        <v>55918498</v>
      </c>
      <c r="AL65">
        <v>0</v>
      </c>
      <c r="AM65">
        <v>0</v>
      </c>
      <c r="AN65">
        <v>0</v>
      </c>
      <c r="AO65">
        <v>46073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2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2026-07-03T07:10:08Z</dcterms:created>
  <dcterms:modified xsi:type="dcterms:W3CDTF">2026-07-03T07:13:03Z</dcterms:modified>
</cp:coreProperties>
</file>