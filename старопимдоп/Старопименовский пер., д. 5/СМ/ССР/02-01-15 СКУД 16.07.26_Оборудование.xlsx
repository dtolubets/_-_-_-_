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ПРОЕКТНЫЙ ОТДЕЛ\СМЕТЫ 2026 год\ШКОЛЫ\Старопименовский переулок, д. 5\на загрузку\17.07\"/>
    </mc:Choice>
  </mc:AlternateContent>
  <xr:revisionPtr revIDLastSave="0" documentId="13_ncr:1_{571FEC78-BE73-4943-94AA-E4BED0E8BE6F}" xr6:coauthVersionLast="47" xr6:coauthVersionMax="47" xr10:uidLastSave="{00000000-0000-0000-0000-000000000000}"/>
  <bookViews>
    <workbookView xWindow="57480" yWindow="-120" windowWidth="38640" windowHeight="21240" xr2:uid="{00000000-000D-0000-FFFF-FFFF00000000}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Print_Titles" localSheetId="0">'Смета по ТСН-2001(с доп.67'!$34:$34</definedName>
    <definedName name="_xlnm.Print_Area" localSheetId="0">'Смета по ТСН-2001(с доп.67'!$A$1:$K$328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" i="7" l="1"/>
  <c r="J29" i="7"/>
  <c r="J26" i="7"/>
  <c r="J25" i="7"/>
  <c r="J24" i="7"/>
  <c r="J23" i="7"/>
  <c r="J22" i="7"/>
  <c r="J21" i="7" s="1"/>
  <c r="I29" i="7"/>
  <c r="I27" i="7"/>
  <c r="I26" i="7"/>
  <c r="I25" i="7"/>
  <c r="I24" i="7"/>
  <c r="I23" i="7"/>
  <c r="I21" i="7" s="1"/>
  <c r="I22" i="7"/>
  <c r="I320" i="7"/>
  <c r="J320" i="7"/>
  <c r="I319" i="7"/>
  <c r="J319" i="7"/>
  <c r="A318" i="7"/>
  <c r="I316" i="7"/>
  <c r="J316" i="7"/>
  <c r="I315" i="7"/>
  <c r="J315" i="7"/>
  <c r="AQ314" i="7"/>
  <c r="A314" i="7"/>
  <c r="I312" i="7"/>
  <c r="J312" i="7"/>
  <c r="I311" i="7"/>
  <c r="J311" i="7"/>
  <c r="A310" i="7"/>
  <c r="J306" i="7"/>
  <c r="I304" i="7"/>
  <c r="H304" i="7"/>
  <c r="E304" i="7"/>
  <c r="K303" i="7"/>
  <c r="J303" i="7"/>
  <c r="E303" i="7"/>
  <c r="J302" i="7"/>
  <c r="E302" i="7"/>
  <c r="K301" i="7"/>
  <c r="J301" i="7"/>
  <c r="H301" i="7"/>
  <c r="I301" i="7"/>
  <c r="H306" i="7" s="1"/>
  <c r="F301" i="7"/>
  <c r="V301" i="7"/>
  <c r="T301" i="7"/>
  <c r="R301" i="7"/>
  <c r="U301" i="7"/>
  <c r="S301" i="7"/>
  <c r="Q301" i="7"/>
  <c r="I302" i="7" s="1"/>
  <c r="E301" i="7"/>
  <c r="D301" i="7"/>
  <c r="B301" i="7"/>
  <c r="K300" i="7"/>
  <c r="J300" i="7"/>
  <c r="H300" i="7"/>
  <c r="I300" i="7"/>
  <c r="F300" i="7"/>
  <c r="V300" i="7"/>
  <c r="T300" i="7"/>
  <c r="R300" i="7"/>
  <c r="U300" i="7"/>
  <c r="S300" i="7"/>
  <c r="Q300" i="7"/>
  <c r="E300" i="7"/>
  <c r="D300" i="7"/>
  <c r="B300" i="7"/>
  <c r="K299" i="7"/>
  <c r="J299" i="7"/>
  <c r="I299" i="7"/>
  <c r="H299" i="7"/>
  <c r="F299" i="7"/>
  <c r="K298" i="7"/>
  <c r="J298" i="7"/>
  <c r="I298" i="7"/>
  <c r="H298" i="7"/>
  <c r="F298" i="7"/>
  <c r="K297" i="7"/>
  <c r="J305" i="7" s="1"/>
  <c r="J297" i="7"/>
  <c r="I297" i="7"/>
  <c r="O307" i="7" s="1"/>
  <c r="H310" i="7" s="1"/>
  <c r="H297" i="7"/>
  <c r="F297" i="7"/>
  <c r="V296" i="7"/>
  <c r="T296" i="7"/>
  <c r="R296" i="7"/>
  <c r="K302" i="7" s="1"/>
  <c r="U296" i="7"/>
  <c r="S296" i="7"/>
  <c r="I303" i="7" s="1"/>
  <c r="Q296" i="7"/>
  <c r="E296" i="7"/>
  <c r="D296" i="7"/>
  <c r="B296" i="7"/>
  <c r="A295" i="7"/>
  <c r="I293" i="7"/>
  <c r="J293" i="7"/>
  <c r="I292" i="7"/>
  <c r="J292" i="7"/>
  <c r="AQ291" i="7"/>
  <c r="A291" i="7"/>
  <c r="P288" i="7"/>
  <c r="J288" i="7"/>
  <c r="K287" i="7"/>
  <c r="J287" i="7"/>
  <c r="I287" i="7"/>
  <c r="O288" i="7" s="1"/>
  <c r="H287" i="7"/>
  <c r="F287" i="7"/>
  <c r="V287" i="7"/>
  <c r="T287" i="7"/>
  <c r="R287" i="7"/>
  <c r="U287" i="7"/>
  <c r="S287" i="7"/>
  <c r="Q287" i="7"/>
  <c r="E287" i="7"/>
  <c r="D287" i="7"/>
  <c r="B287" i="7"/>
  <c r="O285" i="7"/>
  <c r="P285" i="7"/>
  <c r="J285" i="7"/>
  <c r="C284" i="7"/>
  <c r="K283" i="7"/>
  <c r="J283" i="7"/>
  <c r="I283" i="7"/>
  <c r="H285" i="7" s="1"/>
  <c r="H283" i="7"/>
  <c r="F283" i="7"/>
  <c r="V283" i="7"/>
  <c r="T283" i="7"/>
  <c r="R283" i="7"/>
  <c r="U283" i="7"/>
  <c r="S283" i="7"/>
  <c r="Q283" i="7"/>
  <c r="E283" i="7"/>
  <c r="D283" i="7"/>
  <c r="B283" i="7"/>
  <c r="H281" i="7"/>
  <c r="P281" i="7"/>
  <c r="C280" i="7"/>
  <c r="K279" i="7"/>
  <c r="J281" i="7" s="1"/>
  <c r="J279" i="7"/>
  <c r="I279" i="7"/>
  <c r="O281" i="7" s="1"/>
  <c r="H279" i="7"/>
  <c r="F279" i="7"/>
  <c r="V279" i="7"/>
  <c r="T279" i="7"/>
  <c r="R279" i="7"/>
  <c r="U279" i="7"/>
  <c r="S279" i="7"/>
  <c r="Q279" i="7"/>
  <c r="E279" i="7"/>
  <c r="D279" i="7"/>
  <c r="B279" i="7"/>
  <c r="H276" i="7"/>
  <c r="J276" i="7"/>
  <c r="I274" i="7"/>
  <c r="H274" i="7"/>
  <c r="E274" i="7"/>
  <c r="J273" i="7"/>
  <c r="E273" i="7"/>
  <c r="J272" i="7"/>
  <c r="E272" i="7"/>
  <c r="K271" i="7"/>
  <c r="J271" i="7"/>
  <c r="H271" i="7"/>
  <c r="I271" i="7"/>
  <c r="F271" i="7"/>
  <c r="V271" i="7"/>
  <c r="T271" i="7"/>
  <c r="R271" i="7"/>
  <c r="U271" i="7"/>
  <c r="S271" i="7"/>
  <c r="Q271" i="7"/>
  <c r="E271" i="7"/>
  <c r="D271" i="7"/>
  <c r="B271" i="7"/>
  <c r="K270" i="7"/>
  <c r="J270" i="7"/>
  <c r="H270" i="7"/>
  <c r="I270" i="7"/>
  <c r="F270" i="7"/>
  <c r="V270" i="7"/>
  <c r="T270" i="7"/>
  <c r="R270" i="7"/>
  <c r="U270" i="7"/>
  <c r="S270" i="7"/>
  <c r="Q270" i="7"/>
  <c r="E270" i="7"/>
  <c r="D270" i="7"/>
  <c r="B270" i="7"/>
  <c r="K269" i="7"/>
  <c r="J269" i="7"/>
  <c r="I269" i="7"/>
  <c r="H269" i="7"/>
  <c r="F269" i="7"/>
  <c r="K268" i="7"/>
  <c r="J268" i="7"/>
  <c r="I268" i="7"/>
  <c r="O277" i="7" s="1"/>
  <c r="H268" i="7"/>
  <c r="F268" i="7"/>
  <c r="K267" i="7"/>
  <c r="J267" i="7"/>
  <c r="I267" i="7"/>
  <c r="H275" i="7" s="1"/>
  <c r="H267" i="7"/>
  <c r="F267" i="7"/>
  <c r="C266" i="7"/>
  <c r="V265" i="7"/>
  <c r="T265" i="7"/>
  <c r="K273" i="7" s="1"/>
  <c r="R265" i="7"/>
  <c r="K272" i="7" s="1"/>
  <c r="U265" i="7"/>
  <c r="S265" i="7"/>
  <c r="I273" i="7" s="1"/>
  <c r="Q265" i="7"/>
  <c r="I272" i="7" s="1"/>
  <c r="E265" i="7"/>
  <c r="D265" i="7"/>
  <c r="B265" i="7"/>
  <c r="A264" i="7"/>
  <c r="I262" i="7"/>
  <c r="J262" i="7"/>
  <c r="I261" i="7"/>
  <c r="J261" i="7"/>
  <c r="A260" i="7"/>
  <c r="J256" i="7"/>
  <c r="I254" i="7"/>
  <c r="H254" i="7"/>
  <c r="E254" i="7"/>
  <c r="J253" i="7"/>
  <c r="E253" i="7"/>
  <c r="J252" i="7"/>
  <c r="E252" i="7"/>
  <c r="K251" i="7"/>
  <c r="J251" i="7"/>
  <c r="H251" i="7"/>
  <c r="I251" i="7"/>
  <c r="H256" i="7" s="1"/>
  <c r="F251" i="7"/>
  <c r="V251" i="7"/>
  <c r="T251" i="7"/>
  <c r="R251" i="7"/>
  <c r="U251" i="7"/>
  <c r="S251" i="7"/>
  <c r="Q251" i="7"/>
  <c r="E251" i="7"/>
  <c r="D251" i="7"/>
  <c r="B251" i="7"/>
  <c r="K250" i="7"/>
  <c r="J250" i="7"/>
  <c r="I250" i="7"/>
  <c r="H250" i="7"/>
  <c r="F250" i="7"/>
  <c r="K249" i="7"/>
  <c r="J249" i="7"/>
  <c r="I249" i="7"/>
  <c r="H249" i="7"/>
  <c r="F249" i="7"/>
  <c r="K248" i="7"/>
  <c r="J248" i="7"/>
  <c r="I248" i="7"/>
  <c r="H248" i="7"/>
  <c r="F248" i="7"/>
  <c r="K247" i="7"/>
  <c r="J247" i="7"/>
  <c r="I247" i="7"/>
  <c r="H247" i="7"/>
  <c r="F247" i="7"/>
  <c r="V246" i="7"/>
  <c r="T246" i="7"/>
  <c r="K253" i="7" s="1"/>
  <c r="R246" i="7"/>
  <c r="K252" i="7" s="1"/>
  <c r="U246" i="7"/>
  <c r="S246" i="7"/>
  <c r="I253" i="7" s="1"/>
  <c r="Q246" i="7"/>
  <c r="I252" i="7" s="1"/>
  <c r="E246" i="7"/>
  <c r="D246" i="7"/>
  <c r="B246" i="7"/>
  <c r="H243" i="7"/>
  <c r="J243" i="7"/>
  <c r="I241" i="7"/>
  <c r="H241" i="7"/>
  <c r="E241" i="7"/>
  <c r="J240" i="7"/>
  <c r="E240" i="7"/>
  <c r="J239" i="7"/>
  <c r="E239" i="7"/>
  <c r="K238" i="7"/>
  <c r="J238" i="7"/>
  <c r="H238" i="7"/>
  <c r="I238" i="7"/>
  <c r="F238" i="7"/>
  <c r="V238" i="7"/>
  <c r="T238" i="7"/>
  <c r="R238" i="7"/>
  <c r="U238" i="7"/>
  <c r="S238" i="7"/>
  <c r="Q238" i="7"/>
  <c r="E238" i="7"/>
  <c r="D238" i="7"/>
  <c r="B238" i="7"/>
  <c r="K237" i="7"/>
  <c r="J237" i="7"/>
  <c r="I237" i="7"/>
  <c r="H237" i="7"/>
  <c r="F237" i="7"/>
  <c r="K236" i="7"/>
  <c r="J236" i="7"/>
  <c r="I236" i="7"/>
  <c r="H236" i="7"/>
  <c r="F236" i="7"/>
  <c r="K235" i="7"/>
  <c r="J235" i="7"/>
  <c r="I235" i="7"/>
  <c r="H235" i="7"/>
  <c r="F235" i="7"/>
  <c r="K234" i="7"/>
  <c r="J234" i="7"/>
  <c r="I234" i="7"/>
  <c r="O244" i="7" s="1"/>
  <c r="H234" i="7"/>
  <c r="F234" i="7"/>
  <c r="C233" i="7"/>
  <c r="V232" i="7"/>
  <c r="T232" i="7"/>
  <c r="K240" i="7" s="1"/>
  <c r="R232" i="7"/>
  <c r="K239" i="7" s="1"/>
  <c r="U232" i="7"/>
  <c r="S232" i="7"/>
  <c r="I240" i="7" s="1"/>
  <c r="Q232" i="7"/>
  <c r="I239" i="7" s="1"/>
  <c r="E232" i="7"/>
  <c r="D232" i="7"/>
  <c r="B232" i="7"/>
  <c r="H229" i="7"/>
  <c r="J229" i="7"/>
  <c r="I227" i="7"/>
  <c r="H227" i="7"/>
  <c r="E227" i="7"/>
  <c r="J226" i="7"/>
  <c r="I226" i="7"/>
  <c r="E226" i="7"/>
  <c r="J225" i="7"/>
  <c r="E225" i="7"/>
  <c r="K224" i="7"/>
  <c r="J224" i="7"/>
  <c r="H224" i="7"/>
  <c r="I224" i="7"/>
  <c r="F224" i="7"/>
  <c r="V224" i="7"/>
  <c r="T224" i="7"/>
  <c r="K226" i="7" s="1"/>
  <c r="R224" i="7"/>
  <c r="K225" i="7" s="1"/>
  <c r="U224" i="7"/>
  <c r="S224" i="7"/>
  <c r="Q224" i="7"/>
  <c r="E224" i="7"/>
  <c r="D224" i="7"/>
  <c r="B224" i="7"/>
  <c r="K223" i="7"/>
  <c r="J223" i="7"/>
  <c r="I223" i="7"/>
  <c r="H223" i="7"/>
  <c r="F223" i="7"/>
  <c r="K222" i="7"/>
  <c r="J222" i="7"/>
  <c r="I222" i="7"/>
  <c r="H222" i="7"/>
  <c r="F222" i="7"/>
  <c r="K221" i="7"/>
  <c r="J221" i="7"/>
  <c r="I221" i="7"/>
  <c r="H221" i="7"/>
  <c r="F221" i="7"/>
  <c r="K220" i="7"/>
  <c r="J220" i="7"/>
  <c r="I220" i="7"/>
  <c r="H220" i="7"/>
  <c r="F220" i="7"/>
  <c r="C219" i="7"/>
  <c r="V218" i="7"/>
  <c r="T218" i="7"/>
  <c r="R218" i="7"/>
  <c r="U218" i="7"/>
  <c r="S218" i="7"/>
  <c r="Q218" i="7"/>
  <c r="I225" i="7" s="1"/>
  <c r="H230" i="7" s="1"/>
  <c r="E218" i="7"/>
  <c r="D218" i="7"/>
  <c r="B218" i="7"/>
  <c r="J215" i="7"/>
  <c r="I213" i="7"/>
  <c r="H213" i="7"/>
  <c r="E213" i="7"/>
  <c r="J212" i="7"/>
  <c r="E212" i="7"/>
  <c r="J211" i="7"/>
  <c r="E211" i="7"/>
  <c r="K210" i="7"/>
  <c r="J210" i="7"/>
  <c r="H210" i="7"/>
  <c r="I210" i="7"/>
  <c r="H215" i="7" s="1"/>
  <c r="F210" i="7"/>
  <c r="V210" i="7"/>
  <c r="T210" i="7"/>
  <c r="R210" i="7"/>
  <c r="K211" i="7" s="1"/>
  <c r="U210" i="7"/>
  <c r="S210" i="7"/>
  <c r="Q210" i="7"/>
  <c r="E210" i="7"/>
  <c r="D210" i="7"/>
  <c r="B210" i="7"/>
  <c r="K209" i="7"/>
  <c r="J209" i="7"/>
  <c r="I209" i="7"/>
  <c r="H209" i="7"/>
  <c r="F209" i="7"/>
  <c r="K208" i="7"/>
  <c r="P216" i="7" s="1"/>
  <c r="J208" i="7"/>
  <c r="I208" i="7"/>
  <c r="O216" i="7" s="1"/>
  <c r="H208" i="7"/>
  <c r="F208" i="7"/>
  <c r="V207" i="7"/>
  <c r="T207" i="7"/>
  <c r="K212" i="7" s="1"/>
  <c r="R207" i="7"/>
  <c r="U207" i="7"/>
  <c r="S207" i="7"/>
  <c r="I212" i="7" s="1"/>
  <c r="Q207" i="7"/>
  <c r="I211" i="7" s="1"/>
  <c r="H214" i="7" s="1"/>
  <c r="E207" i="7"/>
  <c r="D207" i="7"/>
  <c r="B207" i="7"/>
  <c r="J204" i="7"/>
  <c r="I202" i="7"/>
  <c r="H202" i="7"/>
  <c r="E202" i="7"/>
  <c r="K201" i="7"/>
  <c r="J201" i="7"/>
  <c r="E201" i="7"/>
  <c r="J200" i="7"/>
  <c r="E200" i="7"/>
  <c r="K199" i="7"/>
  <c r="J199" i="7"/>
  <c r="H199" i="7"/>
  <c r="I199" i="7"/>
  <c r="H204" i="7" s="1"/>
  <c r="F199" i="7"/>
  <c r="V199" i="7"/>
  <c r="T199" i="7"/>
  <c r="R199" i="7"/>
  <c r="U199" i="7"/>
  <c r="S199" i="7"/>
  <c r="Q199" i="7"/>
  <c r="E199" i="7"/>
  <c r="D199" i="7"/>
  <c r="B199" i="7"/>
  <c r="K198" i="7"/>
  <c r="J198" i="7"/>
  <c r="I198" i="7"/>
  <c r="H198" i="7"/>
  <c r="F198" i="7"/>
  <c r="K197" i="7"/>
  <c r="J197" i="7"/>
  <c r="I197" i="7"/>
  <c r="H197" i="7"/>
  <c r="F197" i="7"/>
  <c r="K196" i="7"/>
  <c r="J203" i="7" s="1"/>
  <c r="J196" i="7"/>
  <c r="I196" i="7"/>
  <c r="H196" i="7"/>
  <c r="F196" i="7"/>
  <c r="K195" i="7"/>
  <c r="J195" i="7"/>
  <c r="I195" i="7"/>
  <c r="H195" i="7"/>
  <c r="F195" i="7"/>
  <c r="C194" i="7"/>
  <c r="V193" i="7"/>
  <c r="T193" i="7"/>
  <c r="R193" i="7"/>
  <c r="K200" i="7" s="1"/>
  <c r="P205" i="7" s="1"/>
  <c r="U193" i="7"/>
  <c r="S193" i="7"/>
  <c r="I201" i="7" s="1"/>
  <c r="Q193" i="7"/>
  <c r="I200" i="7" s="1"/>
  <c r="E193" i="7"/>
  <c r="D193" i="7"/>
  <c r="B193" i="7"/>
  <c r="H191" i="7"/>
  <c r="J191" i="7"/>
  <c r="K190" i="7"/>
  <c r="P191" i="7" s="1"/>
  <c r="J190" i="7"/>
  <c r="I190" i="7"/>
  <c r="O191" i="7" s="1"/>
  <c r="H190" i="7"/>
  <c r="F190" i="7"/>
  <c r="V190" i="7"/>
  <c r="T190" i="7"/>
  <c r="R190" i="7"/>
  <c r="U190" i="7"/>
  <c r="S190" i="7"/>
  <c r="Q190" i="7"/>
  <c r="E190" i="7"/>
  <c r="D190" i="7"/>
  <c r="B190" i="7"/>
  <c r="H188" i="7"/>
  <c r="P188" i="7"/>
  <c r="K187" i="7"/>
  <c r="J188" i="7" s="1"/>
  <c r="J187" i="7"/>
  <c r="I187" i="7"/>
  <c r="O188" i="7" s="1"/>
  <c r="H187" i="7"/>
  <c r="F187" i="7"/>
  <c r="V187" i="7"/>
  <c r="T187" i="7"/>
  <c r="R187" i="7"/>
  <c r="U187" i="7"/>
  <c r="S187" i="7"/>
  <c r="Q187" i="7"/>
  <c r="E187" i="7"/>
  <c r="D187" i="7"/>
  <c r="B187" i="7"/>
  <c r="H184" i="7"/>
  <c r="H183" i="7"/>
  <c r="J184" i="7"/>
  <c r="I182" i="7"/>
  <c r="H182" i="7"/>
  <c r="E182" i="7"/>
  <c r="K181" i="7"/>
  <c r="J181" i="7"/>
  <c r="I181" i="7"/>
  <c r="H185" i="7" s="1"/>
  <c r="E181" i="7"/>
  <c r="K180" i="7"/>
  <c r="J180" i="7"/>
  <c r="I180" i="7"/>
  <c r="E180" i="7"/>
  <c r="K179" i="7"/>
  <c r="P185" i="7" s="1"/>
  <c r="J179" i="7"/>
  <c r="I179" i="7"/>
  <c r="H179" i="7"/>
  <c r="F179" i="7"/>
  <c r="K178" i="7"/>
  <c r="J185" i="7" s="1"/>
  <c r="J178" i="7"/>
  <c r="I178" i="7"/>
  <c r="O185" i="7" s="1"/>
  <c r="H178" i="7"/>
  <c r="F178" i="7"/>
  <c r="V177" i="7"/>
  <c r="T177" i="7"/>
  <c r="R177" i="7"/>
  <c r="U177" i="7"/>
  <c r="S177" i="7"/>
  <c r="Q177" i="7"/>
  <c r="E177" i="7"/>
  <c r="D177" i="7"/>
  <c r="B177" i="7"/>
  <c r="H174" i="7"/>
  <c r="J174" i="7"/>
  <c r="I172" i="7"/>
  <c r="H172" i="7"/>
  <c r="E172" i="7"/>
  <c r="J171" i="7"/>
  <c r="I171" i="7"/>
  <c r="E171" i="7"/>
  <c r="J170" i="7"/>
  <c r="E170" i="7"/>
  <c r="K169" i="7"/>
  <c r="J169" i="7"/>
  <c r="H169" i="7"/>
  <c r="I169" i="7"/>
  <c r="F169" i="7"/>
  <c r="V169" i="7"/>
  <c r="T169" i="7"/>
  <c r="K171" i="7" s="1"/>
  <c r="R169" i="7"/>
  <c r="U169" i="7"/>
  <c r="S169" i="7"/>
  <c r="Q169" i="7"/>
  <c r="I170" i="7" s="1"/>
  <c r="H175" i="7" s="1"/>
  <c r="E169" i="7"/>
  <c r="D169" i="7"/>
  <c r="B169" i="7"/>
  <c r="K168" i="7"/>
  <c r="J168" i="7"/>
  <c r="I168" i="7"/>
  <c r="H168" i="7"/>
  <c r="F168" i="7"/>
  <c r="K167" i="7"/>
  <c r="J167" i="7"/>
  <c r="I167" i="7"/>
  <c r="H167" i="7"/>
  <c r="F167" i="7"/>
  <c r="K166" i="7"/>
  <c r="J166" i="7"/>
  <c r="I166" i="7"/>
  <c r="H166" i="7"/>
  <c r="F166" i="7"/>
  <c r="K165" i="7"/>
  <c r="J165" i="7"/>
  <c r="I165" i="7"/>
  <c r="H173" i="7" s="1"/>
  <c r="H165" i="7"/>
  <c r="F165" i="7"/>
  <c r="C164" i="7"/>
  <c r="V163" i="7"/>
  <c r="T163" i="7"/>
  <c r="R163" i="7"/>
  <c r="K170" i="7" s="1"/>
  <c r="J175" i="7" s="1"/>
  <c r="U163" i="7"/>
  <c r="S163" i="7"/>
  <c r="Q163" i="7"/>
  <c r="E163" i="7"/>
  <c r="D163" i="7"/>
  <c r="B163" i="7"/>
  <c r="A162" i="7"/>
  <c r="I160" i="7"/>
  <c r="J160" i="7"/>
  <c r="I159" i="7"/>
  <c r="J159" i="7"/>
  <c r="AQ158" i="7"/>
  <c r="A158" i="7"/>
  <c r="H155" i="7"/>
  <c r="H154" i="7"/>
  <c r="J154" i="7"/>
  <c r="I152" i="7"/>
  <c r="H152" i="7"/>
  <c r="E152" i="7"/>
  <c r="J151" i="7"/>
  <c r="I151" i="7"/>
  <c r="E151" i="7"/>
  <c r="K150" i="7"/>
  <c r="J150" i="7"/>
  <c r="I150" i="7"/>
  <c r="H153" i="7" s="1"/>
  <c r="E150" i="7"/>
  <c r="K149" i="7"/>
  <c r="J149" i="7"/>
  <c r="I149" i="7"/>
  <c r="H149" i="7"/>
  <c r="F149" i="7"/>
  <c r="K148" i="7"/>
  <c r="J148" i="7"/>
  <c r="I148" i="7"/>
  <c r="H148" i="7"/>
  <c r="F148" i="7"/>
  <c r="K147" i="7"/>
  <c r="P155" i="7" s="1"/>
  <c r="J147" i="7"/>
  <c r="I147" i="7"/>
  <c r="O155" i="7" s="1"/>
  <c r="H147" i="7"/>
  <c r="F147" i="7"/>
  <c r="V146" i="7"/>
  <c r="T146" i="7"/>
  <c r="K151" i="7" s="1"/>
  <c r="R146" i="7"/>
  <c r="U146" i="7"/>
  <c r="S146" i="7"/>
  <c r="Q146" i="7"/>
  <c r="E146" i="7"/>
  <c r="D146" i="7"/>
  <c r="B146" i="7"/>
  <c r="H143" i="7"/>
  <c r="J143" i="7"/>
  <c r="I141" i="7"/>
  <c r="H141" i="7"/>
  <c r="E141" i="7"/>
  <c r="K140" i="7"/>
  <c r="J140" i="7"/>
  <c r="E140" i="7"/>
  <c r="J139" i="7"/>
  <c r="E139" i="7"/>
  <c r="K138" i="7"/>
  <c r="J138" i="7"/>
  <c r="I138" i="7"/>
  <c r="H138" i="7"/>
  <c r="F138" i="7"/>
  <c r="K137" i="7"/>
  <c r="J137" i="7"/>
  <c r="I137" i="7"/>
  <c r="H137" i="7"/>
  <c r="F137" i="7"/>
  <c r="C136" i="7"/>
  <c r="V135" i="7"/>
  <c r="T135" i="7"/>
  <c r="R135" i="7"/>
  <c r="K139" i="7" s="1"/>
  <c r="P144" i="7" s="1"/>
  <c r="U135" i="7"/>
  <c r="S135" i="7"/>
  <c r="I140" i="7" s="1"/>
  <c r="Q135" i="7"/>
  <c r="I139" i="7" s="1"/>
  <c r="E135" i="7"/>
  <c r="D135" i="7"/>
  <c r="B135" i="7"/>
  <c r="H132" i="7"/>
  <c r="H131" i="7"/>
  <c r="J132" i="7"/>
  <c r="I130" i="7"/>
  <c r="H130" i="7"/>
  <c r="E130" i="7"/>
  <c r="J129" i="7"/>
  <c r="I129" i="7"/>
  <c r="H133" i="7" s="1"/>
  <c r="E129" i="7"/>
  <c r="K128" i="7"/>
  <c r="J128" i="7"/>
  <c r="I128" i="7"/>
  <c r="E128" i="7"/>
  <c r="K127" i="7"/>
  <c r="J127" i="7"/>
  <c r="I127" i="7"/>
  <c r="O133" i="7" s="1"/>
  <c r="H127" i="7"/>
  <c r="F127" i="7"/>
  <c r="C126" i="7"/>
  <c r="V125" i="7"/>
  <c r="T125" i="7"/>
  <c r="K129" i="7" s="1"/>
  <c r="R125" i="7"/>
  <c r="U125" i="7"/>
  <c r="S125" i="7"/>
  <c r="Q125" i="7"/>
  <c r="E125" i="7"/>
  <c r="D125" i="7"/>
  <c r="B125" i="7"/>
  <c r="H122" i="7"/>
  <c r="J122" i="7"/>
  <c r="I120" i="7"/>
  <c r="H120" i="7"/>
  <c r="E120" i="7"/>
  <c r="J119" i="7"/>
  <c r="E119" i="7"/>
  <c r="K118" i="7"/>
  <c r="J118" i="7"/>
  <c r="I118" i="7"/>
  <c r="E118" i="7"/>
  <c r="K117" i="7"/>
  <c r="J117" i="7"/>
  <c r="I117" i="7"/>
  <c r="H117" i="7"/>
  <c r="F117" i="7"/>
  <c r="K116" i="7"/>
  <c r="J116" i="7"/>
  <c r="I116" i="7"/>
  <c r="H116" i="7"/>
  <c r="F116" i="7"/>
  <c r="K115" i="7"/>
  <c r="J121" i="7" s="1"/>
  <c r="J115" i="7"/>
  <c r="I115" i="7"/>
  <c r="O123" i="7" s="1"/>
  <c r="H115" i="7"/>
  <c r="F115" i="7"/>
  <c r="V114" i="7"/>
  <c r="T114" i="7"/>
  <c r="K119" i="7" s="1"/>
  <c r="J123" i="7" s="1"/>
  <c r="R114" i="7"/>
  <c r="U114" i="7"/>
  <c r="S114" i="7"/>
  <c r="I119" i="7" s="1"/>
  <c r="Q114" i="7"/>
  <c r="E114" i="7"/>
  <c r="D114" i="7"/>
  <c r="B114" i="7"/>
  <c r="H111" i="7"/>
  <c r="J111" i="7"/>
  <c r="I109" i="7"/>
  <c r="H109" i="7"/>
  <c r="E109" i="7"/>
  <c r="J108" i="7"/>
  <c r="E108" i="7"/>
  <c r="K107" i="7"/>
  <c r="J107" i="7"/>
  <c r="E107" i="7"/>
  <c r="K106" i="7"/>
  <c r="J106" i="7"/>
  <c r="I106" i="7"/>
  <c r="H106" i="7"/>
  <c r="F106" i="7"/>
  <c r="K105" i="7"/>
  <c r="J105" i="7"/>
  <c r="I105" i="7"/>
  <c r="H105" i="7"/>
  <c r="F105" i="7"/>
  <c r="K104" i="7"/>
  <c r="J104" i="7"/>
  <c r="I104" i="7"/>
  <c r="H104" i="7"/>
  <c r="F104" i="7"/>
  <c r="C103" i="7"/>
  <c r="V102" i="7"/>
  <c r="T102" i="7"/>
  <c r="K108" i="7" s="1"/>
  <c r="R102" i="7"/>
  <c r="U102" i="7"/>
  <c r="S102" i="7"/>
  <c r="I108" i="7" s="1"/>
  <c r="Q102" i="7"/>
  <c r="I107" i="7" s="1"/>
  <c r="E102" i="7"/>
  <c r="D102" i="7"/>
  <c r="B102" i="7"/>
  <c r="H99" i="7"/>
  <c r="J99" i="7"/>
  <c r="I97" i="7"/>
  <c r="H97" i="7"/>
  <c r="E97" i="7"/>
  <c r="J96" i="7"/>
  <c r="E96" i="7"/>
  <c r="J95" i="7"/>
  <c r="E95" i="7"/>
  <c r="K94" i="7"/>
  <c r="J94" i="7"/>
  <c r="I94" i="7"/>
  <c r="H94" i="7"/>
  <c r="F94" i="7"/>
  <c r="K93" i="7"/>
  <c r="J93" i="7"/>
  <c r="I93" i="7"/>
  <c r="H93" i="7"/>
  <c r="F93" i="7"/>
  <c r="K92" i="7"/>
  <c r="J92" i="7"/>
  <c r="I92" i="7"/>
  <c r="H92" i="7"/>
  <c r="F92" i="7"/>
  <c r="C91" i="7"/>
  <c r="V90" i="7"/>
  <c r="T90" i="7"/>
  <c r="K96" i="7" s="1"/>
  <c r="R90" i="7"/>
  <c r="K95" i="7" s="1"/>
  <c r="J98" i="7" s="1"/>
  <c r="U90" i="7"/>
  <c r="S90" i="7"/>
  <c r="I96" i="7" s="1"/>
  <c r="Q90" i="7"/>
  <c r="I95" i="7" s="1"/>
  <c r="E90" i="7"/>
  <c r="D90" i="7"/>
  <c r="B90" i="7"/>
  <c r="H87" i="7"/>
  <c r="J87" i="7"/>
  <c r="I85" i="7"/>
  <c r="H85" i="7"/>
  <c r="E85" i="7"/>
  <c r="K84" i="7"/>
  <c r="J84" i="7"/>
  <c r="E84" i="7"/>
  <c r="J83" i="7"/>
  <c r="E83" i="7"/>
  <c r="K82" i="7"/>
  <c r="J82" i="7"/>
  <c r="I82" i="7"/>
  <c r="H82" i="7"/>
  <c r="F82" i="7"/>
  <c r="V81" i="7"/>
  <c r="T81" i="7"/>
  <c r="R81" i="7"/>
  <c r="K83" i="7" s="1"/>
  <c r="U81" i="7"/>
  <c r="S81" i="7"/>
  <c r="I84" i="7" s="1"/>
  <c r="Q81" i="7"/>
  <c r="I83" i="7" s="1"/>
  <c r="H86" i="7" s="1"/>
  <c r="E81" i="7"/>
  <c r="D81" i="7"/>
  <c r="B81" i="7"/>
  <c r="H78" i="7"/>
  <c r="J78" i="7"/>
  <c r="I76" i="7"/>
  <c r="H76" i="7"/>
  <c r="E76" i="7"/>
  <c r="J75" i="7"/>
  <c r="E75" i="7"/>
  <c r="J74" i="7"/>
  <c r="I74" i="7"/>
  <c r="E74" i="7"/>
  <c r="K73" i="7"/>
  <c r="J73" i="7"/>
  <c r="I73" i="7"/>
  <c r="H73" i="7"/>
  <c r="F73" i="7"/>
  <c r="K72" i="7"/>
  <c r="J72" i="7"/>
  <c r="I72" i="7"/>
  <c r="H72" i="7"/>
  <c r="F72" i="7"/>
  <c r="K71" i="7"/>
  <c r="J71" i="7"/>
  <c r="I71" i="7"/>
  <c r="H71" i="7"/>
  <c r="F71" i="7"/>
  <c r="C70" i="7"/>
  <c r="V69" i="7"/>
  <c r="T69" i="7"/>
  <c r="K75" i="7" s="1"/>
  <c r="R69" i="7"/>
  <c r="K74" i="7" s="1"/>
  <c r="U69" i="7"/>
  <c r="S69" i="7"/>
  <c r="I75" i="7" s="1"/>
  <c r="Q69" i="7"/>
  <c r="E69" i="7"/>
  <c r="D69" i="7"/>
  <c r="B69" i="7"/>
  <c r="H66" i="7"/>
  <c r="J66" i="7"/>
  <c r="I64" i="7"/>
  <c r="H64" i="7"/>
  <c r="E64" i="7"/>
  <c r="J63" i="7"/>
  <c r="I63" i="7"/>
  <c r="E63" i="7"/>
  <c r="J62" i="7"/>
  <c r="E62" i="7"/>
  <c r="K61" i="7"/>
  <c r="J61" i="7"/>
  <c r="I61" i="7"/>
  <c r="H65" i="7" s="1"/>
  <c r="H61" i="7"/>
  <c r="F61" i="7"/>
  <c r="V60" i="7"/>
  <c r="T60" i="7"/>
  <c r="K63" i="7" s="1"/>
  <c r="R60" i="7"/>
  <c r="K62" i="7" s="1"/>
  <c r="U60" i="7"/>
  <c r="S60" i="7"/>
  <c r="Q60" i="7"/>
  <c r="I62" i="7" s="1"/>
  <c r="H67" i="7" s="1"/>
  <c r="E60" i="7"/>
  <c r="D60" i="7"/>
  <c r="B60" i="7"/>
  <c r="H57" i="7"/>
  <c r="J57" i="7"/>
  <c r="I55" i="7"/>
  <c r="H55" i="7"/>
  <c r="E55" i="7"/>
  <c r="J54" i="7"/>
  <c r="E54" i="7"/>
  <c r="J53" i="7"/>
  <c r="E53" i="7"/>
  <c r="K52" i="7"/>
  <c r="J52" i="7"/>
  <c r="I52" i="7"/>
  <c r="H52" i="7"/>
  <c r="F52" i="7"/>
  <c r="V51" i="7"/>
  <c r="T51" i="7"/>
  <c r="K54" i="7" s="1"/>
  <c r="R51" i="7"/>
  <c r="K53" i="7" s="1"/>
  <c r="P58" i="7" s="1"/>
  <c r="U51" i="7"/>
  <c r="S51" i="7"/>
  <c r="I54" i="7" s="1"/>
  <c r="Q51" i="7"/>
  <c r="I53" i="7" s="1"/>
  <c r="E51" i="7"/>
  <c r="D51" i="7"/>
  <c r="B51" i="7"/>
  <c r="H48" i="7"/>
  <c r="J48" i="7"/>
  <c r="I46" i="7"/>
  <c r="H46" i="7"/>
  <c r="E46" i="7"/>
  <c r="J45" i="7"/>
  <c r="E45" i="7"/>
  <c r="J44" i="7"/>
  <c r="E44" i="7"/>
  <c r="K43" i="7"/>
  <c r="J43" i="7"/>
  <c r="I43" i="7"/>
  <c r="H43" i="7"/>
  <c r="F43" i="7"/>
  <c r="K42" i="7"/>
  <c r="J42" i="7"/>
  <c r="I42" i="7"/>
  <c r="H42" i="7"/>
  <c r="F42" i="7"/>
  <c r="K41" i="7"/>
  <c r="P49" i="7" s="1"/>
  <c r="J41" i="7"/>
  <c r="I41" i="7"/>
  <c r="H41" i="7"/>
  <c r="F41" i="7"/>
  <c r="C40" i="7"/>
  <c r="V39" i="7"/>
  <c r="T39" i="7"/>
  <c r="K45" i="7" s="1"/>
  <c r="R39" i="7"/>
  <c r="K44" i="7" s="1"/>
  <c r="U39" i="7"/>
  <c r="S39" i="7"/>
  <c r="I45" i="7" s="1"/>
  <c r="Q39" i="7"/>
  <c r="I44" i="7" s="1"/>
  <c r="E39" i="7"/>
  <c r="D39" i="7"/>
  <c r="B39" i="7"/>
  <c r="AP38" i="7"/>
  <c r="A38" i="7"/>
  <c r="A36" i="7"/>
  <c r="A18" i="7"/>
  <c r="A13" i="7"/>
  <c r="G6" i="7"/>
  <c r="B6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1" i="3"/>
  <c r="Y1" i="3"/>
  <c r="CY1" i="3"/>
  <c r="CZ1" i="3"/>
  <c r="DA1" i="3"/>
  <c r="DB1" i="3"/>
  <c r="DC1" i="3"/>
  <c r="A2" i="3"/>
  <c r="Y2" i="3"/>
  <c r="CY2" i="3"/>
  <c r="CZ2" i="3"/>
  <c r="DA2" i="3"/>
  <c r="DB2" i="3"/>
  <c r="DC2" i="3"/>
  <c r="A3" i="3"/>
  <c r="Y3" i="3"/>
  <c r="CY3" i="3"/>
  <c r="CZ3" i="3"/>
  <c r="DB3" i="3" s="1"/>
  <c r="DA3" i="3"/>
  <c r="DC3" i="3"/>
  <c r="A4" i="3"/>
  <c r="Y4" i="3"/>
  <c r="CY4" i="3"/>
  <c r="CZ4" i="3"/>
  <c r="DA4" i="3"/>
  <c r="DB4" i="3"/>
  <c r="DC4" i="3"/>
  <c r="A5" i="3"/>
  <c r="Y5" i="3"/>
  <c r="CY5" i="3"/>
  <c r="CZ5" i="3"/>
  <c r="DB5" i="3" s="1"/>
  <c r="DA5" i="3"/>
  <c r="DC5" i="3"/>
  <c r="A6" i="3"/>
  <c r="Y6" i="3"/>
  <c r="CY6" i="3"/>
  <c r="CZ6" i="3"/>
  <c r="DB6" i="3" s="1"/>
  <c r="DA6" i="3"/>
  <c r="DC6" i="3"/>
  <c r="A7" i="3"/>
  <c r="Y7" i="3"/>
  <c r="CY7" i="3"/>
  <c r="CZ7" i="3"/>
  <c r="DA7" i="3"/>
  <c r="DB7" i="3"/>
  <c r="DC7" i="3"/>
  <c r="A8" i="3"/>
  <c r="Y8" i="3"/>
  <c r="CY8" i="3"/>
  <c r="CZ8" i="3"/>
  <c r="DA8" i="3"/>
  <c r="DB8" i="3"/>
  <c r="DC8" i="3"/>
  <c r="A9" i="3"/>
  <c r="Y9" i="3"/>
  <c r="CV9" i="3" s="1"/>
  <c r="CU9" i="3"/>
  <c r="CX9" i="3"/>
  <c r="CY9" i="3"/>
  <c r="CZ9" i="3"/>
  <c r="DB9" i="3" s="1"/>
  <c r="DA9" i="3"/>
  <c r="DC9" i="3"/>
  <c r="A10" i="3"/>
  <c r="Y10" i="3"/>
  <c r="CX10" i="3" s="1"/>
  <c r="CU10" i="3"/>
  <c r="CV10" i="3"/>
  <c r="CY10" i="3"/>
  <c r="CZ10" i="3"/>
  <c r="DB10" i="3" s="1"/>
  <c r="DA10" i="3"/>
  <c r="DC10" i="3"/>
  <c r="A11" i="3"/>
  <c r="Y11" i="3"/>
  <c r="CX11" i="3" s="1"/>
  <c r="DI11" i="3" s="1"/>
  <c r="CU11" i="3"/>
  <c r="CV11" i="3"/>
  <c r="CY11" i="3"/>
  <c r="CZ11" i="3"/>
  <c r="DA11" i="3"/>
  <c r="DB11" i="3"/>
  <c r="DC11" i="3"/>
  <c r="DH11" i="3"/>
  <c r="DJ11" i="3"/>
  <c r="A12" i="3"/>
  <c r="Y12" i="3"/>
  <c r="CX12" i="3"/>
  <c r="CY12" i="3"/>
  <c r="CZ12" i="3"/>
  <c r="DB12" i="3" s="1"/>
  <c r="DA12" i="3"/>
  <c r="DC12" i="3"/>
  <c r="DF12" i="3"/>
  <c r="DJ12" i="3" s="1"/>
  <c r="DG12" i="3"/>
  <c r="DH12" i="3"/>
  <c r="DI12" i="3"/>
  <c r="A13" i="3"/>
  <c r="Y13" i="3"/>
  <c r="CX13" i="3" s="1"/>
  <c r="DG13" i="3" s="1"/>
  <c r="CY13" i="3"/>
  <c r="CZ13" i="3"/>
  <c r="DA13" i="3"/>
  <c r="DB13" i="3"/>
  <c r="DC13" i="3"/>
  <c r="DF13" i="3"/>
  <c r="DJ13" i="3" s="1"/>
  <c r="A14" i="3"/>
  <c r="Y14" i="3"/>
  <c r="CX14" i="3"/>
  <c r="CY14" i="3"/>
  <c r="CZ14" i="3"/>
  <c r="DA14" i="3"/>
  <c r="DB14" i="3"/>
  <c r="DC14" i="3"/>
  <c r="DH14" i="3"/>
  <c r="A15" i="3"/>
  <c r="Y15" i="3"/>
  <c r="CV15" i="3" s="1"/>
  <c r="CU15" i="3"/>
  <c r="CX15" i="3"/>
  <c r="CY15" i="3"/>
  <c r="CZ15" i="3"/>
  <c r="DA15" i="3"/>
  <c r="DB15" i="3"/>
  <c r="DC15" i="3"/>
  <c r="DI15" i="3"/>
  <c r="DJ15" i="3" s="1"/>
  <c r="A16" i="3"/>
  <c r="Y16" i="3"/>
  <c r="CX16" i="3" s="1"/>
  <c r="CY16" i="3"/>
  <c r="CZ16" i="3"/>
  <c r="DA16" i="3"/>
  <c r="DB16" i="3"/>
  <c r="DC16" i="3"/>
  <c r="A17" i="3"/>
  <c r="Y17" i="3"/>
  <c r="CX17" i="3" s="1"/>
  <c r="CY17" i="3"/>
  <c r="CZ17" i="3"/>
  <c r="DB17" i="3" s="1"/>
  <c r="DA17" i="3"/>
  <c r="DC17" i="3"/>
  <c r="A18" i="3"/>
  <c r="Y18" i="3"/>
  <c r="CX18" i="3" s="1"/>
  <c r="CY18" i="3"/>
  <c r="CZ18" i="3"/>
  <c r="DB18" i="3" s="1"/>
  <c r="DA18" i="3"/>
  <c r="DC18" i="3"/>
  <c r="DI18" i="3"/>
  <c r="A19" i="3"/>
  <c r="Y19" i="3"/>
  <c r="CY19" i="3"/>
  <c r="CZ19" i="3"/>
  <c r="DA19" i="3"/>
  <c r="DB19" i="3"/>
  <c r="DC19" i="3"/>
  <c r="A20" i="3"/>
  <c r="Y20" i="3"/>
  <c r="CY20" i="3"/>
  <c r="CZ20" i="3"/>
  <c r="DA20" i="3"/>
  <c r="DB20" i="3"/>
  <c r="DC20" i="3"/>
  <c r="A21" i="3"/>
  <c r="Y21" i="3"/>
  <c r="CY21" i="3"/>
  <c r="CZ21" i="3"/>
  <c r="DB21" i="3" s="1"/>
  <c r="DA21" i="3"/>
  <c r="DC21" i="3"/>
  <c r="A22" i="3"/>
  <c r="Y22" i="3"/>
  <c r="CY22" i="3"/>
  <c r="CZ22" i="3"/>
  <c r="DB22" i="3" s="1"/>
  <c r="DA22" i="3"/>
  <c r="DC22" i="3"/>
  <c r="A23" i="3"/>
  <c r="Y23" i="3"/>
  <c r="CY23" i="3"/>
  <c r="CZ23" i="3"/>
  <c r="DA23" i="3"/>
  <c r="DB23" i="3"/>
  <c r="DC23" i="3"/>
  <c r="A24" i="3"/>
  <c r="Y24" i="3"/>
  <c r="CY24" i="3"/>
  <c r="CZ24" i="3"/>
  <c r="DB24" i="3" s="1"/>
  <c r="DA24" i="3"/>
  <c r="DC24" i="3"/>
  <c r="A25" i="3"/>
  <c r="Y25" i="3"/>
  <c r="CY25" i="3"/>
  <c r="CZ25" i="3"/>
  <c r="DA25" i="3"/>
  <c r="DB25" i="3"/>
  <c r="DC25" i="3"/>
  <c r="A26" i="3"/>
  <c r="Y26" i="3"/>
  <c r="CY26" i="3"/>
  <c r="CZ26" i="3"/>
  <c r="DA26" i="3"/>
  <c r="DB26" i="3"/>
  <c r="DC26" i="3"/>
  <c r="A27" i="3"/>
  <c r="Y27" i="3"/>
  <c r="CY27" i="3"/>
  <c r="CZ27" i="3"/>
  <c r="DA27" i="3"/>
  <c r="DB27" i="3"/>
  <c r="DC27" i="3"/>
  <c r="A28" i="3"/>
  <c r="Y28" i="3"/>
  <c r="CY28" i="3"/>
  <c r="CZ28" i="3"/>
  <c r="DB28" i="3" s="1"/>
  <c r="DA28" i="3"/>
  <c r="DC28" i="3"/>
  <c r="A29" i="3"/>
  <c r="Y29" i="3"/>
  <c r="CU29" i="3"/>
  <c r="CV29" i="3"/>
  <c r="CX29" i="3"/>
  <c r="DG29" i="3" s="1"/>
  <c r="CY29" i="3"/>
  <c r="CZ29" i="3"/>
  <c r="DB29" i="3" s="1"/>
  <c r="DA29" i="3"/>
  <c r="DC29" i="3"/>
  <c r="A30" i="3"/>
  <c r="Y30" i="3"/>
  <c r="CX30" i="3" s="1"/>
  <c r="CY30" i="3"/>
  <c r="CZ30" i="3"/>
  <c r="DB30" i="3" s="1"/>
  <c r="DA30" i="3"/>
  <c r="DC30" i="3"/>
  <c r="A31" i="3"/>
  <c r="Y31" i="3"/>
  <c r="CX31" i="3"/>
  <c r="CY31" i="3"/>
  <c r="CZ31" i="3"/>
  <c r="DA31" i="3"/>
  <c r="DB31" i="3"/>
  <c r="DC31" i="3"/>
  <c r="DH31" i="3"/>
  <c r="A32" i="3"/>
  <c r="Y32" i="3"/>
  <c r="CU32" i="3"/>
  <c r="CY32" i="3"/>
  <c r="CZ32" i="3"/>
  <c r="DB32" i="3" s="1"/>
  <c r="DA32" i="3"/>
  <c r="DC32" i="3"/>
  <c r="A33" i="3"/>
  <c r="Y33" i="3"/>
  <c r="CX33" i="3" s="1"/>
  <c r="DG33" i="3" s="1"/>
  <c r="CY33" i="3"/>
  <c r="CZ33" i="3"/>
  <c r="DA33" i="3"/>
  <c r="DB33" i="3"/>
  <c r="DC33" i="3"/>
  <c r="DF33" i="3"/>
  <c r="DJ33" i="3" s="1"/>
  <c r="DH33" i="3"/>
  <c r="A34" i="3"/>
  <c r="Y34" i="3"/>
  <c r="CX34" i="3"/>
  <c r="CY34" i="3"/>
  <c r="CZ34" i="3"/>
  <c r="DA34" i="3"/>
  <c r="DB34" i="3"/>
  <c r="DC34" i="3"/>
  <c r="DG34" i="3"/>
  <c r="DH34" i="3"/>
  <c r="A35" i="3"/>
  <c r="Y35" i="3"/>
  <c r="CY35" i="3"/>
  <c r="CZ35" i="3"/>
  <c r="DA35" i="3"/>
  <c r="DB35" i="3"/>
  <c r="DC35" i="3"/>
  <c r="A36" i="3"/>
  <c r="Y36" i="3"/>
  <c r="CY36" i="3"/>
  <c r="CZ36" i="3"/>
  <c r="DB36" i="3" s="1"/>
  <c r="DA36" i="3"/>
  <c r="DC36" i="3"/>
  <c r="A37" i="3"/>
  <c r="Y37" i="3"/>
  <c r="CY37" i="3"/>
  <c r="CZ37" i="3"/>
  <c r="DA37" i="3"/>
  <c r="DB37" i="3"/>
  <c r="DC37" i="3"/>
  <c r="A38" i="3"/>
  <c r="Y38" i="3"/>
  <c r="CY38" i="3"/>
  <c r="CZ38" i="3"/>
  <c r="DB38" i="3" s="1"/>
  <c r="DA38" i="3"/>
  <c r="DC38" i="3"/>
  <c r="A39" i="3"/>
  <c r="Y39" i="3"/>
  <c r="CY39" i="3"/>
  <c r="CZ39" i="3"/>
  <c r="DB39" i="3" s="1"/>
  <c r="DA39" i="3"/>
  <c r="DC39" i="3"/>
  <c r="A40" i="3"/>
  <c r="Y40" i="3"/>
  <c r="CY40" i="3"/>
  <c r="CZ40" i="3"/>
  <c r="DB40" i="3" s="1"/>
  <c r="DA40" i="3"/>
  <c r="DC40" i="3"/>
  <c r="A41" i="3"/>
  <c r="Y41" i="3"/>
  <c r="CY41" i="3"/>
  <c r="CZ41" i="3"/>
  <c r="DB41" i="3" s="1"/>
  <c r="DA41" i="3"/>
  <c r="DC41" i="3"/>
  <c r="A42" i="3"/>
  <c r="Y42" i="3"/>
  <c r="CY42" i="3"/>
  <c r="CZ42" i="3"/>
  <c r="DB42" i="3" s="1"/>
  <c r="DA42" i="3"/>
  <c r="DC42" i="3"/>
  <c r="A43" i="3"/>
  <c r="Y43" i="3"/>
  <c r="CY43" i="3"/>
  <c r="CZ43" i="3"/>
  <c r="DA43" i="3"/>
  <c r="DB43" i="3"/>
  <c r="DC43" i="3"/>
  <c r="A44" i="3"/>
  <c r="Y44" i="3"/>
  <c r="CY44" i="3"/>
  <c r="CZ44" i="3"/>
  <c r="DA44" i="3"/>
  <c r="DB44" i="3"/>
  <c r="DC44" i="3"/>
  <c r="A45" i="3"/>
  <c r="Y45" i="3"/>
  <c r="CY45" i="3"/>
  <c r="CZ45" i="3"/>
  <c r="DA45" i="3"/>
  <c r="DB45" i="3"/>
  <c r="DC45" i="3"/>
  <c r="A46" i="3"/>
  <c r="Y46" i="3"/>
  <c r="CY46" i="3"/>
  <c r="CZ46" i="3"/>
  <c r="DA46" i="3"/>
  <c r="DB46" i="3"/>
  <c r="DC46" i="3"/>
  <c r="A47" i="3"/>
  <c r="Y47" i="3"/>
  <c r="CY47" i="3"/>
  <c r="CZ47" i="3"/>
  <c r="DA47" i="3"/>
  <c r="DB47" i="3"/>
  <c r="DC47" i="3"/>
  <c r="A48" i="3"/>
  <c r="Y48" i="3"/>
  <c r="CY48" i="3"/>
  <c r="CZ48" i="3"/>
  <c r="DB48" i="3" s="1"/>
  <c r="DA48" i="3"/>
  <c r="DC48" i="3"/>
  <c r="A49" i="3"/>
  <c r="Y49" i="3"/>
  <c r="CY49" i="3"/>
  <c r="CZ49" i="3"/>
  <c r="DA49" i="3"/>
  <c r="DB49" i="3"/>
  <c r="DC49" i="3"/>
  <c r="A50" i="3"/>
  <c r="Y50" i="3"/>
  <c r="CY50" i="3"/>
  <c r="CZ50" i="3"/>
  <c r="DB50" i="3" s="1"/>
  <c r="DA50" i="3"/>
  <c r="DC50" i="3"/>
  <c r="A51" i="3"/>
  <c r="Y51" i="3"/>
  <c r="CY51" i="3"/>
  <c r="CZ51" i="3"/>
  <c r="DA51" i="3"/>
  <c r="DB51" i="3"/>
  <c r="DC51" i="3"/>
  <c r="A52" i="3"/>
  <c r="Y52" i="3"/>
  <c r="CY52" i="3"/>
  <c r="CZ52" i="3"/>
  <c r="DB52" i="3" s="1"/>
  <c r="DA52" i="3"/>
  <c r="DC52" i="3"/>
  <c r="A53" i="3"/>
  <c r="Y53" i="3"/>
  <c r="CY53" i="3"/>
  <c r="CZ53" i="3"/>
  <c r="DB53" i="3" s="1"/>
  <c r="DA53" i="3"/>
  <c r="DC53" i="3"/>
  <c r="A54" i="3"/>
  <c r="Y54" i="3"/>
  <c r="CY54" i="3"/>
  <c r="CZ54" i="3"/>
  <c r="DA54" i="3"/>
  <c r="DB54" i="3"/>
  <c r="DC54" i="3"/>
  <c r="A55" i="3"/>
  <c r="Y55" i="3"/>
  <c r="CU55" i="3"/>
  <c r="CV55" i="3"/>
  <c r="CX55" i="3"/>
  <c r="CY55" i="3"/>
  <c r="CZ55" i="3"/>
  <c r="DA55" i="3"/>
  <c r="DB55" i="3"/>
  <c r="DC55" i="3"/>
  <c r="DH55" i="3"/>
  <c r="A56" i="3"/>
  <c r="Y56" i="3"/>
  <c r="CX56" i="3" s="1"/>
  <c r="DI56" i="3" s="1"/>
  <c r="CW56" i="3"/>
  <c r="CY56" i="3"/>
  <c r="CZ56" i="3"/>
  <c r="DB56" i="3" s="1"/>
  <c r="DA56" i="3"/>
  <c r="DC56" i="3"/>
  <c r="DF56" i="3"/>
  <c r="DG56" i="3"/>
  <c r="DJ56" i="3" s="1"/>
  <c r="DH56" i="3"/>
  <c r="A57" i="3"/>
  <c r="Y57" i="3"/>
  <c r="CW57" i="3"/>
  <c r="CX57" i="3"/>
  <c r="CY57" i="3"/>
  <c r="CZ57" i="3"/>
  <c r="DA57" i="3"/>
  <c r="DB57" i="3"/>
  <c r="DC57" i="3"/>
  <c r="DF57" i="3"/>
  <c r="DG57" i="3"/>
  <c r="DJ57" i="3" s="1"/>
  <c r="DH57" i="3"/>
  <c r="DI57" i="3"/>
  <c r="A58" i="3"/>
  <c r="Y58" i="3"/>
  <c r="CX58" i="3"/>
  <c r="DI58" i="3" s="1"/>
  <c r="CY58" i="3"/>
  <c r="CZ58" i="3"/>
  <c r="DA58" i="3"/>
  <c r="DB58" i="3"/>
  <c r="DC58" i="3"/>
  <c r="DF58" i="3"/>
  <c r="DJ58" i="3" s="1"/>
  <c r="DH58" i="3"/>
  <c r="A59" i="3"/>
  <c r="Y59" i="3"/>
  <c r="CX59" i="3" s="1"/>
  <c r="DH59" i="3" s="1"/>
  <c r="CY59" i="3"/>
  <c r="CZ59" i="3"/>
  <c r="DB59" i="3" s="1"/>
  <c r="DA59" i="3"/>
  <c r="DC59" i="3"/>
  <c r="DF59" i="3"/>
  <c r="DJ59" i="3" s="1"/>
  <c r="DG59" i="3"/>
  <c r="A60" i="3"/>
  <c r="Y60" i="3"/>
  <c r="CU60" i="3"/>
  <c r="CV60" i="3"/>
  <c r="CX60" i="3"/>
  <c r="CY60" i="3"/>
  <c r="CZ60" i="3"/>
  <c r="DA60" i="3"/>
  <c r="DB60" i="3"/>
  <c r="DC60" i="3"/>
  <c r="DF60" i="3"/>
  <c r="A61" i="3"/>
  <c r="Y61" i="3"/>
  <c r="CW61" i="3" s="1"/>
  <c r="CX61" i="3"/>
  <c r="CY61" i="3"/>
  <c r="CZ61" i="3"/>
  <c r="DB61" i="3" s="1"/>
  <c r="DA61" i="3"/>
  <c r="DC61" i="3"/>
  <c r="DF61" i="3"/>
  <c r="DI61" i="3"/>
  <c r="A62" i="3"/>
  <c r="Y62" i="3"/>
  <c r="CW62" i="3" s="1"/>
  <c r="CX62" i="3"/>
  <c r="DF62" i="3" s="1"/>
  <c r="CY62" i="3"/>
  <c r="CZ62" i="3"/>
  <c r="DB62" i="3" s="1"/>
  <c r="DA62" i="3"/>
  <c r="DC62" i="3"/>
  <c r="DG62" i="3"/>
  <c r="DJ62" i="3" s="1"/>
  <c r="DH62" i="3"/>
  <c r="A63" i="3"/>
  <c r="Y63" i="3"/>
  <c r="CX63" i="3" s="1"/>
  <c r="DF63" i="3" s="1"/>
  <c r="DJ63" i="3" s="1"/>
  <c r="CY63" i="3"/>
  <c r="CZ63" i="3"/>
  <c r="DB63" i="3" s="1"/>
  <c r="DA63" i="3"/>
  <c r="DC63" i="3"/>
  <c r="DG63" i="3"/>
  <c r="DH63" i="3"/>
  <c r="DI63" i="3"/>
  <c r="A64" i="3"/>
  <c r="Y64" i="3"/>
  <c r="CX64" i="3"/>
  <c r="DF64" i="3" s="1"/>
  <c r="DJ64" i="3" s="1"/>
  <c r="CY64" i="3"/>
  <c r="CZ64" i="3"/>
  <c r="DB64" i="3" s="1"/>
  <c r="DA64" i="3"/>
  <c r="DC64" i="3"/>
  <c r="DG64" i="3"/>
  <c r="DH64" i="3"/>
  <c r="DI64" i="3"/>
  <c r="A65" i="3"/>
  <c r="Y65" i="3"/>
  <c r="CY65" i="3"/>
  <c r="CZ65" i="3"/>
  <c r="DB65" i="3" s="1"/>
  <c r="DA65" i="3"/>
  <c r="DC65" i="3"/>
  <c r="A66" i="3"/>
  <c r="Y66" i="3"/>
  <c r="CY66" i="3"/>
  <c r="CZ66" i="3"/>
  <c r="DA66" i="3"/>
  <c r="DB66" i="3"/>
  <c r="DC66" i="3"/>
  <c r="A67" i="3"/>
  <c r="Y67" i="3"/>
  <c r="CY67" i="3"/>
  <c r="CZ67" i="3"/>
  <c r="DB67" i="3" s="1"/>
  <c r="DA67" i="3"/>
  <c r="DC67" i="3"/>
  <c r="A68" i="3"/>
  <c r="Y68" i="3"/>
  <c r="CY68" i="3"/>
  <c r="CZ68" i="3"/>
  <c r="DA68" i="3"/>
  <c r="DB68" i="3"/>
  <c r="DC68" i="3"/>
  <c r="A69" i="3"/>
  <c r="Y69" i="3"/>
  <c r="CY69" i="3"/>
  <c r="CZ69" i="3"/>
  <c r="DB69" i="3" s="1"/>
  <c r="DA69" i="3"/>
  <c r="DC69" i="3"/>
  <c r="A70" i="3"/>
  <c r="Y70" i="3"/>
  <c r="CY70" i="3"/>
  <c r="CZ70" i="3"/>
  <c r="DB70" i="3" s="1"/>
  <c r="DA70" i="3"/>
  <c r="DC70" i="3"/>
  <c r="A71" i="3"/>
  <c r="Y71" i="3"/>
  <c r="CY71" i="3"/>
  <c r="CZ71" i="3"/>
  <c r="DB71" i="3" s="1"/>
  <c r="DA71" i="3"/>
  <c r="DC71" i="3"/>
  <c r="A72" i="3"/>
  <c r="Y72" i="3"/>
  <c r="CY72" i="3"/>
  <c r="CZ72" i="3"/>
  <c r="DB72" i="3" s="1"/>
  <c r="DA72" i="3"/>
  <c r="DC72" i="3"/>
  <c r="A73" i="3"/>
  <c r="Y73" i="3"/>
  <c r="CY73" i="3"/>
  <c r="CZ73" i="3"/>
  <c r="DA73" i="3"/>
  <c r="DB73" i="3"/>
  <c r="DC73" i="3"/>
  <c r="A74" i="3"/>
  <c r="Y74" i="3"/>
  <c r="CY74" i="3"/>
  <c r="CZ74" i="3"/>
  <c r="DA74" i="3"/>
  <c r="DB74" i="3"/>
  <c r="DC74" i="3"/>
  <c r="A75" i="3"/>
  <c r="Y75" i="3"/>
  <c r="CY75" i="3"/>
  <c r="CZ75" i="3"/>
  <c r="DB75" i="3" s="1"/>
  <c r="DA75" i="3"/>
  <c r="DC75" i="3"/>
  <c r="A76" i="3"/>
  <c r="Y76" i="3"/>
  <c r="CY76" i="3"/>
  <c r="CZ76" i="3"/>
  <c r="DA76" i="3"/>
  <c r="DB76" i="3"/>
  <c r="DC76" i="3"/>
  <c r="A77" i="3"/>
  <c r="Y77" i="3"/>
  <c r="CY77" i="3"/>
  <c r="CZ77" i="3"/>
  <c r="DA77" i="3"/>
  <c r="DB77" i="3"/>
  <c r="DC77" i="3"/>
  <c r="A78" i="3"/>
  <c r="Y78" i="3"/>
  <c r="CY78" i="3"/>
  <c r="CZ78" i="3"/>
  <c r="DA78" i="3"/>
  <c r="DB78" i="3"/>
  <c r="DC78" i="3"/>
  <c r="A79" i="3"/>
  <c r="Y79" i="3"/>
  <c r="CY79" i="3"/>
  <c r="CZ79" i="3"/>
  <c r="DB79" i="3" s="1"/>
  <c r="DA79" i="3"/>
  <c r="DC79" i="3"/>
  <c r="A80" i="3"/>
  <c r="Y80" i="3"/>
  <c r="CY80" i="3"/>
  <c r="CZ80" i="3"/>
  <c r="DB80" i="3" s="1"/>
  <c r="DA80" i="3"/>
  <c r="DC80" i="3"/>
  <c r="A81" i="3"/>
  <c r="Y81" i="3"/>
  <c r="CY81" i="3"/>
  <c r="CZ81" i="3"/>
  <c r="DA81" i="3"/>
  <c r="DB81" i="3"/>
  <c r="DC81" i="3"/>
  <c r="A82" i="3"/>
  <c r="Y82" i="3"/>
  <c r="CY82" i="3"/>
  <c r="CZ82" i="3"/>
  <c r="DA82" i="3"/>
  <c r="DB82" i="3"/>
  <c r="DC82" i="3"/>
  <c r="A83" i="3"/>
  <c r="Y83" i="3"/>
  <c r="CY83" i="3"/>
  <c r="CZ83" i="3"/>
  <c r="DB83" i="3" s="1"/>
  <c r="DA83" i="3"/>
  <c r="DC83" i="3"/>
  <c r="A84" i="3"/>
  <c r="Y84" i="3"/>
  <c r="CY84" i="3"/>
  <c r="CZ84" i="3"/>
  <c r="DA84" i="3"/>
  <c r="DB84" i="3"/>
  <c r="DC84" i="3"/>
  <c r="A85" i="3"/>
  <c r="Y85" i="3"/>
  <c r="CY85" i="3"/>
  <c r="CZ85" i="3"/>
  <c r="DA85" i="3"/>
  <c r="DB85" i="3"/>
  <c r="DC85" i="3"/>
  <c r="A86" i="3"/>
  <c r="Y86" i="3"/>
  <c r="CY86" i="3"/>
  <c r="CZ86" i="3"/>
  <c r="DA86" i="3"/>
  <c r="DB86" i="3"/>
  <c r="DC86" i="3"/>
  <c r="A87" i="3"/>
  <c r="Y87" i="3"/>
  <c r="CY87" i="3"/>
  <c r="CZ87" i="3"/>
  <c r="DA87" i="3"/>
  <c r="DB87" i="3"/>
  <c r="DC87" i="3"/>
  <c r="A88" i="3"/>
  <c r="Y88" i="3"/>
  <c r="CY88" i="3"/>
  <c r="CZ88" i="3"/>
  <c r="DB88" i="3" s="1"/>
  <c r="DA88" i="3"/>
  <c r="DC88" i="3"/>
  <c r="A89" i="3"/>
  <c r="Y89" i="3"/>
  <c r="CY89" i="3"/>
  <c r="CZ89" i="3"/>
  <c r="DA89" i="3"/>
  <c r="DB89" i="3"/>
  <c r="DC89" i="3"/>
  <c r="A90" i="3"/>
  <c r="Y90" i="3"/>
  <c r="CY90" i="3"/>
  <c r="CZ90" i="3"/>
  <c r="DA90" i="3"/>
  <c r="DB90" i="3"/>
  <c r="DC90" i="3"/>
  <c r="A91" i="3"/>
  <c r="Y91" i="3"/>
  <c r="CX91" i="3" s="1"/>
  <c r="DF91" i="3" s="1"/>
  <c r="CU91" i="3"/>
  <c r="CY91" i="3"/>
  <c r="CZ91" i="3"/>
  <c r="DA91" i="3"/>
  <c r="DB91" i="3"/>
  <c r="DC91" i="3"/>
  <c r="DG91" i="3"/>
  <c r="DH91" i="3"/>
  <c r="DI91" i="3"/>
  <c r="DJ91" i="3" s="1"/>
  <c r="A92" i="3"/>
  <c r="Y92" i="3"/>
  <c r="CW92" i="3"/>
  <c r="CX92" i="3"/>
  <c r="DH92" i="3" s="1"/>
  <c r="CY92" i="3"/>
  <c r="CZ92" i="3"/>
  <c r="DB92" i="3" s="1"/>
  <c r="DA92" i="3"/>
  <c r="DC92" i="3"/>
  <c r="DF92" i="3"/>
  <c r="DG92" i="3"/>
  <c r="DJ92" i="3" s="1"/>
  <c r="DI92" i="3"/>
  <c r="A93" i="3"/>
  <c r="Y93" i="3"/>
  <c r="CW93" i="3"/>
  <c r="CX93" i="3"/>
  <c r="CY93" i="3"/>
  <c r="CZ93" i="3"/>
  <c r="DB93" i="3" s="1"/>
  <c r="DA93" i="3"/>
  <c r="DC93" i="3"/>
  <c r="DG93" i="3"/>
  <c r="DJ93" i="3" s="1"/>
  <c r="DI93" i="3"/>
  <c r="A94" i="3"/>
  <c r="Y94" i="3"/>
  <c r="CV94" i="3" s="1"/>
  <c r="CU94" i="3"/>
  <c r="CX94" i="3"/>
  <c r="DG94" i="3" s="1"/>
  <c r="CY94" i="3"/>
  <c r="CZ94" i="3"/>
  <c r="DB94" i="3" s="1"/>
  <c r="DA94" i="3"/>
  <c r="DC94" i="3"/>
  <c r="DF94" i="3"/>
  <c r="DH94" i="3"/>
  <c r="DI94" i="3"/>
  <c r="DJ94" i="3" s="1"/>
  <c r="A95" i="3"/>
  <c r="Y95" i="3"/>
  <c r="CW95" i="3"/>
  <c r="CX95" i="3"/>
  <c r="DH95" i="3" s="1"/>
  <c r="CY95" i="3"/>
  <c r="CZ95" i="3"/>
  <c r="DB95" i="3" s="1"/>
  <c r="DA95" i="3"/>
  <c r="DC95" i="3"/>
  <c r="DF95" i="3"/>
  <c r="DG95" i="3"/>
  <c r="DJ95" i="3" s="1"/>
  <c r="A96" i="3"/>
  <c r="Y96" i="3"/>
  <c r="CW96" i="3" s="1"/>
  <c r="CY96" i="3"/>
  <c r="CZ96" i="3"/>
  <c r="DA96" i="3"/>
  <c r="DB96" i="3"/>
  <c r="DC96" i="3"/>
  <c r="A97" i="3"/>
  <c r="Y97" i="3"/>
  <c r="CY97" i="3"/>
  <c r="CZ97" i="3"/>
  <c r="DA97" i="3"/>
  <c r="DB97" i="3"/>
  <c r="DC97" i="3"/>
  <c r="A98" i="3"/>
  <c r="Y98" i="3"/>
  <c r="CY98" i="3"/>
  <c r="CZ98" i="3"/>
  <c r="DA98" i="3"/>
  <c r="DB98" i="3"/>
  <c r="DC98" i="3"/>
  <c r="A99" i="3"/>
  <c r="Y99" i="3"/>
  <c r="CY99" i="3"/>
  <c r="CZ99" i="3"/>
  <c r="DB99" i="3" s="1"/>
  <c r="DA99" i="3"/>
  <c r="DC99" i="3"/>
  <c r="A100" i="3"/>
  <c r="Y100" i="3"/>
  <c r="CY100" i="3"/>
  <c r="CZ100" i="3"/>
  <c r="DB100" i="3" s="1"/>
  <c r="DA100" i="3"/>
  <c r="DC100" i="3"/>
  <c r="A101" i="3"/>
  <c r="Y101" i="3"/>
  <c r="CY101" i="3"/>
  <c r="CZ101" i="3"/>
  <c r="DA101" i="3"/>
  <c r="DB101" i="3"/>
  <c r="DC101" i="3"/>
  <c r="A102" i="3"/>
  <c r="Y102" i="3"/>
  <c r="CY102" i="3"/>
  <c r="CZ102" i="3"/>
  <c r="DB102" i="3" s="1"/>
  <c r="DA102" i="3"/>
  <c r="DC102" i="3"/>
  <c r="A103" i="3"/>
  <c r="Y103" i="3"/>
  <c r="CY103" i="3"/>
  <c r="CZ103" i="3"/>
  <c r="DA103" i="3"/>
  <c r="DB103" i="3"/>
  <c r="DC103" i="3"/>
  <c r="A104" i="3"/>
  <c r="Y104" i="3"/>
  <c r="CY104" i="3"/>
  <c r="CZ104" i="3"/>
  <c r="DA104" i="3"/>
  <c r="DB104" i="3"/>
  <c r="DC104" i="3"/>
  <c r="A105" i="3"/>
  <c r="Y105" i="3"/>
  <c r="CY105" i="3"/>
  <c r="CZ105" i="3"/>
  <c r="DB105" i="3" s="1"/>
  <c r="DA105" i="3"/>
  <c r="DC105" i="3"/>
  <c r="A106" i="3"/>
  <c r="Y106" i="3"/>
  <c r="CY106" i="3"/>
  <c r="CZ106" i="3"/>
  <c r="DB106" i="3" s="1"/>
  <c r="DA106" i="3"/>
  <c r="DC106" i="3"/>
  <c r="A107" i="3"/>
  <c r="Y107" i="3"/>
  <c r="CU107" i="3"/>
  <c r="CV107" i="3"/>
  <c r="CX107" i="3"/>
  <c r="DF107" i="3" s="1"/>
  <c r="CY107" i="3"/>
  <c r="CZ107" i="3"/>
  <c r="DA107" i="3"/>
  <c r="DB107" i="3"/>
  <c r="DC107" i="3"/>
  <c r="DG107" i="3"/>
  <c r="DH107" i="3"/>
  <c r="DI107" i="3"/>
  <c r="DJ107" i="3" s="1"/>
  <c r="A108" i="3"/>
  <c r="Y108" i="3"/>
  <c r="CX108" i="3"/>
  <c r="DI108" i="3" s="1"/>
  <c r="CY108" i="3"/>
  <c r="CZ108" i="3"/>
  <c r="DB108" i="3" s="1"/>
  <c r="DA108" i="3"/>
  <c r="DC108" i="3"/>
  <c r="DF108" i="3"/>
  <c r="DJ108" i="3" s="1"/>
  <c r="DG108" i="3"/>
  <c r="DH108" i="3"/>
  <c r="A109" i="3"/>
  <c r="Y109" i="3"/>
  <c r="CX109" i="3" s="1"/>
  <c r="DI109" i="3" s="1"/>
  <c r="CY109" i="3"/>
  <c r="CZ109" i="3"/>
  <c r="DA109" i="3"/>
  <c r="DB109" i="3"/>
  <c r="DC109" i="3"/>
  <c r="DF109" i="3"/>
  <c r="DJ109" i="3" s="1"/>
  <c r="DG109" i="3"/>
  <c r="DH109" i="3"/>
  <c r="A110" i="3"/>
  <c r="Y110" i="3"/>
  <c r="CU110" i="3"/>
  <c r="CV110" i="3"/>
  <c r="CX110" i="3"/>
  <c r="DI110" i="3" s="1"/>
  <c r="DJ110" i="3" s="1"/>
  <c r="CY110" i="3"/>
  <c r="CZ110" i="3"/>
  <c r="DA110" i="3"/>
  <c r="DB110" i="3"/>
  <c r="DC110" i="3"/>
  <c r="DG110" i="3"/>
  <c r="A111" i="3"/>
  <c r="Y111" i="3"/>
  <c r="CX111" i="3" s="1"/>
  <c r="DH111" i="3" s="1"/>
  <c r="CY111" i="3"/>
  <c r="CZ111" i="3"/>
  <c r="DA111" i="3"/>
  <c r="DB111" i="3"/>
  <c r="DC111" i="3"/>
  <c r="DF111" i="3"/>
  <c r="DJ111" i="3" s="1"/>
  <c r="DI111" i="3"/>
  <c r="A112" i="3"/>
  <c r="Y112" i="3"/>
  <c r="CX112" i="3"/>
  <c r="CY112" i="3"/>
  <c r="CZ112" i="3"/>
  <c r="DB112" i="3" s="1"/>
  <c r="DA112" i="3"/>
  <c r="DC112" i="3"/>
  <c r="DH112" i="3"/>
  <c r="A113" i="3"/>
  <c r="Y113" i="3"/>
  <c r="CU113" i="3"/>
  <c r="CV113" i="3"/>
  <c r="CX113" i="3"/>
  <c r="CY113" i="3"/>
  <c r="CZ113" i="3"/>
  <c r="DB113" i="3" s="1"/>
  <c r="DA113" i="3"/>
  <c r="DC113" i="3"/>
  <c r="DG113" i="3"/>
  <c r="DI113" i="3"/>
  <c r="DJ113" i="3" s="1"/>
  <c r="A114" i="3"/>
  <c r="Y114" i="3"/>
  <c r="CU114" i="3"/>
  <c r="CV114" i="3"/>
  <c r="CX114" i="3"/>
  <c r="DG114" i="3" s="1"/>
  <c r="CY114" i="3"/>
  <c r="CZ114" i="3"/>
  <c r="DA114" i="3"/>
  <c r="DB114" i="3"/>
  <c r="DC114" i="3"/>
  <c r="DF114" i="3"/>
  <c r="DH114" i="3"/>
  <c r="A115" i="3"/>
  <c r="Y115" i="3"/>
  <c r="CX115" i="3" s="1"/>
  <c r="DG115" i="3" s="1"/>
  <c r="CU115" i="3"/>
  <c r="CY115" i="3"/>
  <c r="CZ115" i="3"/>
  <c r="DA115" i="3"/>
  <c r="DB115" i="3"/>
  <c r="DC115" i="3"/>
  <c r="DF115" i="3"/>
  <c r="DI115" i="3"/>
  <c r="DJ115" i="3" s="1"/>
  <c r="A116" i="3"/>
  <c r="Y116" i="3"/>
  <c r="CX116" i="3"/>
  <c r="DI116" i="3" s="1"/>
  <c r="CY116" i="3"/>
  <c r="CZ116" i="3"/>
  <c r="DA116" i="3"/>
  <c r="DB116" i="3"/>
  <c r="DC116" i="3"/>
  <c r="DF116" i="3"/>
  <c r="DH116" i="3"/>
  <c r="DJ116" i="3"/>
  <c r="A117" i="3"/>
  <c r="Y117" i="3"/>
  <c r="CX117" i="3" s="1"/>
  <c r="DH117" i="3" s="1"/>
  <c r="CY117" i="3"/>
  <c r="CZ117" i="3"/>
  <c r="DA117" i="3"/>
  <c r="DB117" i="3"/>
  <c r="DC117" i="3"/>
  <c r="DG117" i="3"/>
  <c r="A118" i="3"/>
  <c r="Y118" i="3"/>
  <c r="CX118" i="3"/>
  <c r="CY118" i="3"/>
  <c r="CZ118" i="3"/>
  <c r="DA118" i="3"/>
  <c r="DB118" i="3"/>
  <c r="DC118" i="3"/>
  <c r="DF118" i="3"/>
  <c r="DJ118" i="3" s="1"/>
  <c r="A119" i="3"/>
  <c r="Y119" i="3"/>
  <c r="CX119" i="3"/>
  <c r="CY119" i="3"/>
  <c r="CZ119" i="3"/>
  <c r="DB119" i="3" s="1"/>
  <c r="DA119" i="3"/>
  <c r="DC119" i="3"/>
  <c r="DG119" i="3"/>
  <c r="A120" i="3"/>
  <c r="Y120" i="3"/>
  <c r="CV120" i="3" s="1"/>
  <c r="CU120" i="3"/>
  <c r="CX120" i="3"/>
  <c r="DF120" i="3" s="1"/>
  <c r="CY120" i="3"/>
  <c r="CZ120" i="3"/>
  <c r="DB120" i="3" s="1"/>
  <c r="DA120" i="3"/>
  <c r="DC120" i="3"/>
  <c r="DH120" i="3"/>
  <c r="A121" i="3"/>
  <c r="Y121" i="3"/>
  <c r="CX121" i="3"/>
  <c r="CY121" i="3"/>
  <c r="CZ121" i="3"/>
  <c r="DA121" i="3"/>
  <c r="DB121" i="3"/>
  <c r="DC121" i="3"/>
  <c r="DG121" i="3"/>
  <c r="DH121" i="3"/>
  <c r="A122" i="3"/>
  <c r="Y122" i="3"/>
  <c r="CX122" i="3"/>
  <c r="DH122" i="3" s="1"/>
  <c r="CY122" i="3"/>
  <c r="CZ122" i="3"/>
  <c r="DB122" i="3" s="1"/>
  <c r="DA122" i="3"/>
  <c r="DC122" i="3"/>
  <c r="A123" i="3"/>
  <c r="Y123" i="3"/>
  <c r="CX123" i="3" s="1"/>
  <c r="CY123" i="3"/>
  <c r="CZ123" i="3"/>
  <c r="DA123" i="3"/>
  <c r="DB123" i="3"/>
  <c r="DC123" i="3"/>
  <c r="A124" i="3"/>
  <c r="Y124" i="3"/>
  <c r="CX124" i="3"/>
  <c r="DG124" i="3" s="1"/>
  <c r="CY124" i="3"/>
  <c r="CZ124" i="3"/>
  <c r="DA124" i="3"/>
  <c r="DB124" i="3"/>
  <c r="DC124" i="3"/>
  <c r="DF124" i="3"/>
  <c r="DJ124" i="3" s="1"/>
  <c r="DH124" i="3"/>
  <c r="A125" i="3"/>
  <c r="Y125" i="3"/>
  <c r="CY125" i="3"/>
  <c r="CZ125" i="3"/>
  <c r="DB125" i="3" s="1"/>
  <c r="DA125" i="3"/>
  <c r="DC125" i="3"/>
  <c r="A126" i="3"/>
  <c r="Y126" i="3"/>
  <c r="CY126" i="3"/>
  <c r="CZ126" i="3"/>
  <c r="DB126" i="3" s="1"/>
  <c r="DA126" i="3"/>
  <c r="DC126" i="3"/>
  <c r="A127" i="3"/>
  <c r="Y127" i="3"/>
  <c r="CY127" i="3"/>
  <c r="CZ127" i="3"/>
  <c r="DA127" i="3"/>
  <c r="DB127" i="3"/>
  <c r="DC127" i="3"/>
  <c r="A128" i="3"/>
  <c r="Y128" i="3"/>
  <c r="CY128" i="3"/>
  <c r="CZ128" i="3"/>
  <c r="DA128" i="3"/>
  <c r="DB128" i="3"/>
  <c r="DC128" i="3"/>
  <c r="A129" i="3"/>
  <c r="Y129" i="3"/>
  <c r="CY129" i="3"/>
  <c r="CZ129" i="3"/>
  <c r="DA129" i="3"/>
  <c r="DB129" i="3"/>
  <c r="DC129" i="3"/>
  <c r="A130" i="3"/>
  <c r="Y130" i="3"/>
  <c r="CY130" i="3"/>
  <c r="CZ130" i="3"/>
  <c r="DB130" i="3" s="1"/>
  <c r="DA130" i="3"/>
  <c r="DC130" i="3"/>
  <c r="A131" i="3"/>
  <c r="Y131" i="3"/>
  <c r="CY131" i="3"/>
  <c r="CZ131" i="3"/>
  <c r="DA131" i="3"/>
  <c r="DB131" i="3"/>
  <c r="DC131" i="3"/>
  <c r="A132" i="3"/>
  <c r="Y132" i="3"/>
  <c r="CY132" i="3"/>
  <c r="CZ132" i="3"/>
  <c r="DB132" i="3" s="1"/>
  <c r="DA132" i="3"/>
  <c r="DC132" i="3"/>
  <c r="A133" i="3"/>
  <c r="Y133" i="3"/>
  <c r="CY133" i="3"/>
  <c r="CZ133" i="3"/>
  <c r="DA133" i="3"/>
  <c r="DB133" i="3"/>
  <c r="DC133" i="3"/>
  <c r="A134" i="3"/>
  <c r="Y134" i="3"/>
  <c r="CY134" i="3"/>
  <c r="CZ134" i="3"/>
  <c r="DB134" i="3" s="1"/>
  <c r="DA134" i="3"/>
  <c r="DC134" i="3"/>
  <c r="A135" i="3"/>
  <c r="Y135" i="3"/>
  <c r="CY135" i="3"/>
  <c r="CZ135" i="3"/>
  <c r="DA135" i="3"/>
  <c r="DB135" i="3"/>
  <c r="DC135" i="3"/>
  <c r="A136" i="3"/>
  <c r="Y136" i="3"/>
  <c r="CY136" i="3"/>
  <c r="CZ136" i="3"/>
  <c r="DA136" i="3"/>
  <c r="DB136" i="3"/>
  <c r="DC136" i="3"/>
  <c r="A137" i="3"/>
  <c r="Y137" i="3"/>
  <c r="CV137" i="3" s="1"/>
  <c r="CU137" i="3"/>
  <c r="CY137" i="3"/>
  <c r="CZ137" i="3"/>
  <c r="DB137" i="3" s="1"/>
  <c r="DA137" i="3"/>
  <c r="DC137" i="3"/>
  <c r="A138" i="3"/>
  <c r="Y138" i="3"/>
  <c r="CX138" i="3"/>
  <c r="CY138" i="3"/>
  <c r="CZ138" i="3"/>
  <c r="DA138" i="3"/>
  <c r="DB138" i="3"/>
  <c r="DC138" i="3"/>
  <c r="DF138" i="3"/>
  <c r="DJ138" i="3" s="1"/>
  <c r="DH138" i="3"/>
  <c r="A139" i="3"/>
  <c r="Y139" i="3"/>
  <c r="CX139" i="3" s="1"/>
  <c r="DG139" i="3" s="1"/>
  <c r="CY139" i="3"/>
  <c r="CZ139" i="3"/>
  <c r="DA139" i="3"/>
  <c r="DB139" i="3"/>
  <c r="DC139" i="3"/>
  <c r="A140" i="3"/>
  <c r="Y140" i="3"/>
  <c r="CX140" i="3" s="1"/>
  <c r="CY140" i="3"/>
  <c r="CZ140" i="3"/>
  <c r="DA140" i="3"/>
  <c r="DB140" i="3"/>
  <c r="DC140" i="3"/>
  <c r="A141" i="3"/>
  <c r="Y141" i="3"/>
  <c r="CU141" i="3"/>
  <c r="CV141" i="3"/>
  <c r="CX141" i="3"/>
  <c r="CY141" i="3"/>
  <c r="CZ141" i="3"/>
  <c r="DB141" i="3" s="1"/>
  <c r="DA141" i="3"/>
  <c r="DC141" i="3"/>
  <c r="A142" i="3"/>
  <c r="Y142" i="3"/>
  <c r="CX142" i="3"/>
  <c r="CY142" i="3"/>
  <c r="CZ142" i="3"/>
  <c r="DB142" i="3" s="1"/>
  <c r="DA142" i="3"/>
  <c r="DC142" i="3"/>
  <c r="DF142" i="3"/>
  <c r="DJ142" i="3" s="1"/>
  <c r="A143" i="3"/>
  <c r="Y143" i="3"/>
  <c r="CX143" i="3" s="1"/>
  <c r="CY143" i="3"/>
  <c r="CZ143" i="3"/>
  <c r="DA143" i="3"/>
  <c r="DB143" i="3"/>
  <c r="DC143" i="3"/>
  <c r="DI143" i="3"/>
  <c r="A144" i="3"/>
  <c r="Y144" i="3"/>
  <c r="CX144" i="3"/>
  <c r="CY144" i="3"/>
  <c r="CZ144" i="3"/>
  <c r="DA144" i="3"/>
  <c r="DB144" i="3"/>
  <c r="DC144" i="3"/>
  <c r="DH144" i="3"/>
  <c r="DI144" i="3"/>
  <c r="A145" i="3"/>
  <c r="Y145" i="3"/>
  <c r="CY145" i="3"/>
  <c r="CZ145" i="3"/>
  <c r="DB145" i="3" s="1"/>
  <c r="DA145" i="3"/>
  <c r="DC145" i="3"/>
  <c r="A146" i="3"/>
  <c r="Y146" i="3"/>
  <c r="CY146" i="3"/>
  <c r="CZ146" i="3"/>
  <c r="DA146" i="3"/>
  <c r="DB146" i="3"/>
  <c r="DC146" i="3"/>
  <c r="A147" i="3"/>
  <c r="Y147" i="3"/>
  <c r="CY147" i="3"/>
  <c r="CZ147" i="3"/>
  <c r="DB147" i="3" s="1"/>
  <c r="DA147" i="3"/>
  <c r="DC147" i="3"/>
  <c r="A148" i="3"/>
  <c r="Y148" i="3"/>
  <c r="CY148" i="3"/>
  <c r="CZ148" i="3"/>
  <c r="DA148" i="3"/>
  <c r="DB148" i="3"/>
  <c r="DC148" i="3"/>
  <c r="A149" i="3"/>
  <c r="Y149" i="3"/>
  <c r="CY149" i="3"/>
  <c r="CZ149" i="3"/>
  <c r="DB149" i="3" s="1"/>
  <c r="DA149" i="3"/>
  <c r="DC149" i="3"/>
  <c r="A150" i="3"/>
  <c r="Y150" i="3"/>
  <c r="CY150" i="3"/>
  <c r="CZ150" i="3"/>
  <c r="DA150" i="3"/>
  <c r="DB150" i="3"/>
  <c r="DC150" i="3"/>
  <c r="A151" i="3"/>
  <c r="Y151" i="3"/>
  <c r="CY151" i="3"/>
  <c r="CZ151" i="3"/>
  <c r="DB151" i="3" s="1"/>
  <c r="DA151" i="3"/>
  <c r="DC151" i="3"/>
  <c r="A152" i="3"/>
  <c r="Y152" i="3"/>
  <c r="CY152" i="3"/>
  <c r="CZ152" i="3"/>
  <c r="DA152" i="3"/>
  <c r="DB152" i="3"/>
  <c r="DC152" i="3"/>
  <c r="A153" i="3"/>
  <c r="Y153" i="3"/>
  <c r="CY153" i="3"/>
  <c r="CZ153" i="3"/>
  <c r="DA153" i="3"/>
  <c r="DB153" i="3"/>
  <c r="DC153" i="3"/>
  <c r="A154" i="3"/>
  <c r="Y154" i="3"/>
  <c r="CY154" i="3"/>
  <c r="CZ154" i="3"/>
  <c r="DA154" i="3"/>
  <c r="DB154" i="3"/>
  <c r="DC154" i="3"/>
  <c r="A155" i="3"/>
  <c r="Y155" i="3"/>
  <c r="CY155" i="3"/>
  <c r="CZ155" i="3"/>
  <c r="DA155" i="3"/>
  <c r="DB155" i="3"/>
  <c r="DC155" i="3"/>
  <c r="A156" i="3"/>
  <c r="Y156" i="3"/>
  <c r="CY156" i="3"/>
  <c r="CZ156" i="3"/>
  <c r="DB156" i="3" s="1"/>
  <c r="DA156" i="3"/>
  <c r="DC156" i="3"/>
  <c r="A157" i="3"/>
  <c r="Y157" i="3"/>
  <c r="CY157" i="3"/>
  <c r="CZ157" i="3"/>
  <c r="DB157" i="3" s="1"/>
  <c r="DA157" i="3"/>
  <c r="DC157" i="3"/>
  <c r="A158" i="3"/>
  <c r="Y158" i="3"/>
  <c r="CY158" i="3"/>
  <c r="CZ158" i="3"/>
  <c r="DB158" i="3" s="1"/>
  <c r="DA158" i="3"/>
  <c r="DC158" i="3"/>
  <c r="A159" i="3"/>
  <c r="Y159" i="3"/>
  <c r="CY159" i="3"/>
  <c r="CZ159" i="3"/>
  <c r="DB159" i="3" s="1"/>
  <c r="DA159" i="3"/>
  <c r="DC159" i="3"/>
  <c r="A160" i="3"/>
  <c r="Y160" i="3"/>
  <c r="CY160" i="3"/>
  <c r="CZ160" i="3"/>
  <c r="DA160" i="3"/>
  <c r="DB160" i="3"/>
  <c r="DC160" i="3"/>
  <c r="A161" i="3"/>
  <c r="Y161" i="3"/>
  <c r="CY161" i="3"/>
  <c r="CZ161" i="3"/>
  <c r="DA161" i="3"/>
  <c r="DB161" i="3"/>
  <c r="DC161" i="3"/>
  <c r="A162" i="3"/>
  <c r="Y162" i="3"/>
  <c r="CY162" i="3"/>
  <c r="CZ162" i="3"/>
  <c r="DA162" i="3"/>
  <c r="DB162" i="3"/>
  <c r="DC162" i="3"/>
  <c r="A163" i="3"/>
  <c r="Y163" i="3"/>
  <c r="CY163" i="3"/>
  <c r="CZ163" i="3"/>
  <c r="DA163" i="3"/>
  <c r="DB163" i="3"/>
  <c r="DC163" i="3"/>
  <c r="A164" i="3"/>
  <c r="Y164" i="3"/>
  <c r="CY164" i="3"/>
  <c r="CZ164" i="3"/>
  <c r="DA164" i="3"/>
  <c r="DB164" i="3"/>
  <c r="DC164" i="3"/>
  <c r="A165" i="3"/>
  <c r="Y165" i="3"/>
  <c r="CY165" i="3"/>
  <c r="CZ165" i="3"/>
  <c r="DB165" i="3" s="1"/>
  <c r="DA165" i="3"/>
  <c r="DC165" i="3"/>
  <c r="A166" i="3"/>
  <c r="Y166" i="3"/>
  <c r="CY166" i="3"/>
  <c r="CZ166" i="3"/>
  <c r="DB166" i="3" s="1"/>
  <c r="DA166" i="3"/>
  <c r="DC166" i="3"/>
  <c r="A167" i="3"/>
  <c r="Y167" i="3"/>
  <c r="CY167" i="3"/>
  <c r="CZ167" i="3"/>
  <c r="DA167" i="3"/>
  <c r="DB167" i="3"/>
  <c r="DC167" i="3"/>
  <c r="A168" i="3"/>
  <c r="Y168" i="3"/>
  <c r="CY168" i="3"/>
  <c r="CZ168" i="3"/>
  <c r="DA168" i="3"/>
  <c r="DB168" i="3"/>
  <c r="DC168" i="3"/>
  <c r="A169" i="3"/>
  <c r="Y169" i="3"/>
  <c r="CV169" i="3" s="1"/>
  <c r="CU169" i="3"/>
  <c r="CY169" i="3"/>
  <c r="CZ169" i="3"/>
  <c r="DB169" i="3" s="1"/>
  <c r="DA169" i="3"/>
  <c r="DC169" i="3"/>
  <c r="A170" i="3"/>
  <c r="Y170" i="3"/>
  <c r="CW170" i="3"/>
  <c r="CX170" i="3"/>
  <c r="CY170" i="3"/>
  <c r="CZ170" i="3"/>
  <c r="DB170" i="3" s="1"/>
  <c r="DA170" i="3"/>
  <c r="DC170" i="3"/>
  <c r="A171" i="3"/>
  <c r="Y171" i="3"/>
  <c r="CY171" i="3"/>
  <c r="CZ171" i="3"/>
  <c r="DA171" i="3"/>
  <c r="DB171" i="3"/>
  <c r="DC171" i="3"/>
  <c r="A172" i="3"/>
  <c r="Y172" i="3"/>
  <c r="CX172" i="3" s="1"/>
  <c r="CY172" i="3"/>
  <c r="CZ172" i="3"/>
  <c r="DB172" i="3" s="1"/>
  <c r="DA172" i="3"/>
  <c r="DC172" i="3"/>
  <c r="DH172" i="3"/>
  <c r="DI172" i="3"/>
  <c r="A173" i="3"/>
  <c r="Y173" i="3"/>
  <c r="CX173" i="3" s="1"/>
  <c r="DG173" i="3" s="1"/>
  <c r="CY173" i="3"/>
  <c r="CZ173" i="3"/>
  <c r="DB173" i="3" s="1"/>
  <c r="DA173" i="3"/>
  <c r="DC173" i="3"/>
  <c r="A174" i="3"/>
  <c r="Y174" i="3"/>
  <c r="CX174" i="3"/>
  <c r="DH174" i="3" s="1"/>
  <c r="CY174" i="3"/>
  <c r="CZ174" i="3"/>
  <c r="DB174" i="3" s="1"/>
  <c r="DA174" i="3"/>
  <c r="DC174" i="3"/>
  <c r="DF174" i="3"/>
  <c r="DJ174" i="3" s="1"/>
  <c r="DG174" i="3"/>
  <c r="A175" i="3"/>
  <c r="Y175" i="3"/>
  <c r="CV175" i="3" s="1"/>
  <c r="CU175" i="3"/>
  <c r="CY175" i="3"/>
  <c r="CZ175" i="3"/>
  <c r="DA175" i="3"/>
  <c r="DB175" i="3"/>
  <c r="DC175" i="3"/>
  <c r="A176" i="3"/>
  <c r="Y176" i="3"/>
  <c r="CW176" i="3"/>
  <c r="CX176" i="3"/>
  <c r="DF176" i="3" s="1"/>
  <c r="CY176" i="3"/>
  <c r="CZ176" i="3"/>
  <c r="DB176" i="3" s="1"/>
  <c r="DA176" i="3"/>
  <c r="DC176" i="3"/>
  <c r="DG176" i="3"/>
  <c r="DJ176" i="3" s="1"/>
  <c r="DH176" i="3"/>
  <c r="DI176" i="3"/>
  <c r="A177" i="3"/>
  <c r="Y177" i="3"/>
  <c r="CW177" i="3"/>
  <c r="CX177" i="3"/>
  <c r="CY177" i="3"/>
  <c r="CZ177" i="3"/>
  <c r="DB177" i="3" s="1"/>
  <c r="DA177" i="3"/>
  <c r="DC177" i="3"/>
  <c r="A178" i="3"/>
  <c r="Y178" i="3"/>
  <c r="CX178" i="3" s="1"/>
  <c r="CY178" i="3"/>
  <c r="CZ178" i="3"/>
  <c r="DA178" i="3"/>
  <c r="DB178" i="3"/>
  <c r="DC178" i="3"/>
  <c r="A179" i="3"/>
  <c r="Y179" i="3"/>
  <c r="CX179" i="3"/>
  <c r="DF179" i="3" s="1"/>
  <c r="CY179" i="3"/>
  <c r="CZ179" i="3"/>
  <c r="DA179" i="3"/>
  <c r="DB179" i="3"/>
  <c r="DC179" i="3"/>
  <c r="DI179" i="3"/>
  <c r="DJ179" i="3"/>
  <c r="A180" i="3"/>
  <c r="Y180" i="3"/>
  <c r="CX180" i="3" s="1"/>
  <c r="CY180" i="3"/>
  <c r="CZ180" i="3"/>
  <c r="DB180" i="3" s="1"/>
  <c r="DA180" i="3"/>
  <c r="DC180" i="3"/>
  <c r="DH180" i="3"/>
  <c r="DI180" i="3"/>
  <c r="A181" i="3"/>
  <c r="Y181" i="3"/>
  <c r="CY181" i="3"/>
  <c r="CZ181" i="3"/>
  <c r="DA181" i="3"/>
  <c r="DB181" i="3"/>
  <c r="DC181" i="3"/>
  <c r="A182" i="3"/>
  <c r="Y182" i="3"/>
  <c r="CY182" i="3"/>
  <c r="CZ182" i="3"/>
  <c r="DA182" i="3"/>
  <c r="DB182" i="3"/>
  <c r="DC182" i="3"/>
  <c r="A183" i="3"/>
  <c r="Y183" i="3"/>
  <c r="CY183" i="3"/>
  <c r="CZ183" i="3"/>
  <c r="DB183" i="3" s="1"/>
  <c r="DA183" i="3"/>
  <c r="DC183" i="3"/>
  <c r="A184" i="3"/>
  <c r="Y184" i="3"/>
  <c r="CY184" i="3"/>
  <c r="CZ184" i="3"/>
  <c r="DA184" i="3"/>
  <c r="DB184" i="3"/>
  <c r="DC184" i="3"/>
  <c r="A185" i="3"/>
  <c r="Y185" i="3"/>
  <c r="CY185" i="3"/>
  <c r="CZ185" i="3"/>
  <c r="DB185" i="3" s="1"/>
  <c r="DA185" i="3"/>
  <c r="DC185" i="3"/>
  <c r="A186" i="3"/>
  <c r="Y186" i="3"/>
  <c r="CY186" i="3"/>
  <c r="CZ186" i="3"/>
  <c r="DA186" i="3"/>
  <c r="DB186" i="3"/>
  <c r="DC186" i="3"/>
  <c r="A187" i="3"/>
  <c r="Y187" i="3"/>
  <c r="CY187" i="3"/>
  <c r="CZ187" i="3"/>
  <c r="DA187" i="3"/>
  <c r="DB187" i="3"/>
  <c r="DC187" i="3"/>
  <c r="A188" i="3"/>
  <c r="Y188" i="3"/>
  <c r="CY188" i="3"/>
  <c r="CZ188" i="3"/>
  <c r="DB188" i="3" s="1"/>
  <c r="DA188" i="3"/>
  <c r="DC188" i="3"/>
  <c r="A189" i="3"/>
  <c r="Y189" i="3"/>
  <c r="CY189" i="3"/>
  <c r="CZ189" i="3"/>
  <c r="DB189" i="3" s="1"/>
  <c r="DA189" i="3"/>
  <c r="DC189" i="3"/>
  <c r="A190" i="3"/>
  <c r="Y190" i="3"/>
  <c r="CY190" i="3"/>
  <c r="CZ190" i="3"/>
  <c r="DB190" i="3" s="1"/>
  <c r="DA190" i="3"/>
  <c r="DC190" i="3"/>
  <c r="A191" i="3"/>
  <c r="Y191" i="3"/>
  <c r="CY191" i="3"/>
  <c r="CZ191" i="3"/>
  <c r="DA191" i="3"/>
  <c r="DB191" i="3"/>
  <c r="DC191" i="3"/>
  <c r="A192" i="3"/>
  <c r="Y192" i="3"/>
  <c r="CY192" i="3"/>
  <c r="CZ192" i="3"/>
  <c r="DB192" i="3" s="1"/>
  <c r="DA192" i="3"/>
  <c r="DC192" i="3"/>
  <c r="A193" i="3"/>
  <c r="Y193" i="3"/>
  <c r="CY193" i="3"/>
  <c r="CZ193" i="3"/>
  <c r="DB193" i="3" s="1"/>
  <c r="DA193" i="3"/>
  <c r="DC193" i="3"/>
  <c r="A194" i="3"/>
  <c r="Y194" i="3"/>
  <c r="CY194" i="3"/>
  <c r="CZ194" i="3"/>
  <c r="DA194" i="3"/>
  <c r="DB194" i="3"/>
  <c r="DC194" i="3"/>
  <c r="A195" i="3"/>
  <c r="Y195" i="3"/>
  <c r="CY195" i="3"/>
  <c r="CZ195" i="3"/>
  <c r="DA195" i="3"/>
  <c r="DB195" i="3"/>
  <c r="DC195" i="3"/>
  <c r="A196" i="3"/>
  <c r="Y196" i="3"/>
  <c r="CY196" i="3"/>
  <c r="CZ196" i="3"/>
  <c r="DB196" i="3" s="1"/>
  <c r="DA196" i="3"/>
  <c r="DC196" i="3"/>
  <c r="A197" i="3"/>
  <c r="Y197" i="3"/>
  <c r="CY197" i="3"/>
  <c r="CZ197" i="3"/>
  <c r="DB197" i="3" s="1"/>
  <c r="DA197" i="3"/>
  <c r="DC197" i="3"/>
  <c r="A198" i="3"/>
  <c r="Y198" i="3"/>
  <c r="CY198" i="3"/>
  <c r="CZ198" i="3"/>
  <c r="DB198" i="3" s="1"/>
  <c r="DA198" i="3"/>
  <c r="DC198" i="3"/>
  <c r="A199" i="3"/>
  <c r="Y199" i="3"/>
  <c r="CY199" i="3"/>
  <c r="CZ199" i="3"/>
  <c r="DA199" i="3"/>
  <c r="DB199" i="3"/>
  <c r="DC199" i="3"/>
  <c r="A200" i="3"/>
  <c r="Y200" i="3"/>
  <c r="CY200" i="3"/>
  <c r="CZ200" i="3"/>
  <c r="DA200" i="3"/>
  <c r="DB200" i="3"/>
  <c r="DC200" i="3"/>
  <c r="A201" i="3"/>
  <c r="Y201" i="3"/>
  <c r="CY201" i="3"/>
  <c r="CZ201" i="3"/>
  <c r="DB201" i="3" s="1"/>
  <c r="DA201" i="3"/>
  <c r="DC201" i="3"/>
  <c r="A202" i="3"/>
  <c r="Y202" i="3"/>
  <c r="CY202" i="3"/>
  <c r="CZ202" i="3"/>
  <c r="DA202" i="3"/>
  <c r="DB202" i="3"/>
  <c r="DC202" i="3"/>
  <c r="A203" i="3"/>
  <c r="Y203" i="3"/>
  <c r="CX203" i="3" s="1"/>
  <c r="CU203" i="3"/>
  <c r="CV203" i="3"/>
  <c r="CY203" i="3"/>
  <c r="CZ203" i="3"/>
  <c r="DB203" i="3" s="1"/>
  <c r="DA203" i="3"/>
  <c r="DC203" i="3"/>
  <c r="DG203" i="3"/>
  <c r="A204" i="3"/>
  <c r="Y204" i="3"/>
  <c r="CW204" i="3"/>
  <c r="CX204" i="3"/>
  <c r="DG204" i="3" s="1"/>
  <c r="DJ204" i="3" s="1"/>
  <c r="CY204" i="3"/>
  <c r="CZ204" i="3"/>
  <c r="DA204" i="3"/>
  <c r="DB204" i="3"/>
  <c r="DC204" i="3"/>
  <c r="DF204" i="3"/>
  <c r="DH204" i="3"/>
  <c r="A205" i="3"/>
  <c r="Y205" i="3"/>
  <c r="CX205" i="3" s="1"/>
  <c r="CW205" i="3"/>
  <c r="CY205" i="3"/>
  <c r="CZ205" i="3"/>
  <c r="DA205" i="3"/>
  <c r="DB205" i="3"/>
  <c r="DC205" i="3"/>
  <c r="DF205" i="3"/>
  <c r="DI205" i="3"/>
  <c r="A206" i="3"/>
  <c r="Y206" i="3"/>
  <c r="CX206" i="3"/>
  <c r="DG206" i="3" s="1"/>
  <c r="CY206" i="3"/>
  <c r="CZ206" i="3"/>
  <c r="DB206" i="3" s="1"/>
  <c r="DA206" i="3"/>
  <c r="DC206" i="3"/>
  <c r="DF206" i="3"/>
  <c r="DH206" i="3"/>
  <c r="DI206" i="3"/>
  <c r="DJ206" i="3"/>
  <c r="A207" i="3"/>
  <c r="Y207" i="3"/>
  <c r="CX207" i="3" s="1"/>
  <c r="CY207" i="3"/>
  <c r="CZ207" i="3"/>
  <c r="DB207" i="3" s="1"/>
  <c r="DA207" i="3"/>
  <c r="DC207" i="3"/>
  <c r="A208" i="3"/>
  <c r="Y208" i="3"/>
  <c r="CX208" i="3" s="1"/>
  <c r="CU208" i="3"/>
  <c r="CV208" i="3"/>
  <c r="CY208" i="3"/>
  <c r="CZ208" i="3"/>
  <c r="DA208" i="3"/>
  <c r="DB208" i="3"/>
  <c r="DC208" i="3"/>
  <c r="A209" i="3"/>
  <c r="Y209" i="3"/>
  <c r="CW209" i="3"/>
  <c r="CX209" i="3"/>
  <c r="DF209" i="3" s="1"/>
  <c r="CY209" i="3"/>
  <c r="CZ209" i="3"/>
  <c r="DB209" i="3" s="1"/>
  <c r="DA209" i="3"/>
  <c r="DC209" i="3"/>
  <c r="DH209" i="3"/>
  <c r="DI209" i="3"/>
  <c r="A210" i="3"/>
  <c r="Y210" i="3"/>
  <c r="CW210" i="3" s="1"/>
  <c r="CX210" i="3"/>
  <c r="DH210" i="3" s="1"/>
  <c r="CY210" i="3"/>
  <c r="CZ210" i="3"/>
  <c r="DB210" i="3" s="1"/>
  <c r="DA210" i="3"/>
  <c r="DC210" i="3"/>
  <c r="DG210" i="3"/>
  <c r="DJ210" i="3" s="1"/>
  <c r="DI210" i="3"/>
  <c r="A211" i="3"/>
  <c r="Y211" i="3"/>
  <c r="CX211" i="3" s="1"/>
  <c r="DF211" i="3" s="1"/>
  <c r="DJ211" i="3" s="1"/>
  <c r="CY211" i="3"/>
  <c r="CZ211" i="3"/>
  <c r="DA211" i="3"/>
  <c r="DB211" i="3"/>
  <c r="DC211" i="3"/>
  <c r="A212" i="3"/>
  <c r="Y212" i="3"/>
  <c r="CX212" i="3"/>
  <c r="DF212" i="3" s="1"/>
  <c r="DJ212" i="3" s="1"/>
  <c r="CY212" i="3"/>
  <c r="CZ212" i="3"/>
  <c r="DA212" i="3"/>
  <c r="DB212" i="3"/>
  <c r="DC212" i="3"/>
  <c r="DG212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I28" i="1"/>
  <c r="K28" i="1"/>
  <c r="AC28" i="1"/>
  <c r="AE28" i="1"/>
  <c r="AD28" i="1" s="1"/>
  <c r="AF28" i="1"/>
  <c r="AG28" i="1"/>
  <c r="CU28" i="1" s="1"/>
  <c r="T28" i="1" s="1"/>
  <c r="AH28" i="1"/>
  <c r="CV28" i="1" s="1"/>
  <c r="U28" i="1" s="1"/>
  <c r="AI28" i="1"/>
  <c r="AJ28" i="1"/>
  <c r="CR28" i="1"/>
  <c r="CS28" i="1"/>
  <c r="CT28" i="1"/>
  <c r="CW28" i="1"/>
  <c r="CX28" i="1"/>
  <c r="GL28" i="1"/>
  <c r="GN28" i="1"/>
  <c r="GP28" i="1"/>
  <c r="GV28" i="1"/>
  <c r="HC28" i="1" s="1"/>
  <c r="GX28" i="1" s="1"/>
  <c r="C29" i="1"/>
  <c r="D29" i="1"/>
  <c r="I29" i="1"/>
  <c r="K29" i="1"/>
  <c r="P29" i="1"/>
  <c r="Q29" i="1"/>
  <c r="R29" i="1"/>
  <c r="AC29" i="1"/>
  <c r="AE29" i="1"/>
  <c r="CS29" i="1" s="1"/>
  <c r="AF29" i="1"/>
  <c r="S29" i="1" s="1"/>
  <c r="AG29" i="1"/>
  <c r="AH29" i="1"/>
  <c r="CV29" i="1" s="1"/>
  <c r="U29" i="1" s="1"/>
  <c r="AI29" i="1"/>
  <c r="AJ29" i="1"/>
  <c r="CQ29" i="1"/>
  <c r="CU29" i="1"/>
  <c r="T29" i="1" s="1"/>
  <c r="CW29" i="1"/>
  <c r="V29" i="1" s="1"/>
  <c r="CX29" i="1"/>
  <c r="W29" i="1" s="1"/>
  <c r="GL29" i="1"/>
  <c r="GN29" i="1"/>
  <c r="GP29" i="1"/>
  <c r="GV29" i="1"/>
  <c r="HC29" i="1" s="1"/>
  <c r="GX29" i="1" s="1"/>
  <c r="C30" i="1"/>
  <c r="D30" i="1"/>
  <c r="Q30" i="1"/>
  <c r="S30" i="1"/>
  <c r="Y30" i="1" s="1"/>
  <c r="U30" i="1"/>
  <c r="X30" i="1"/>
  <c r="AC30" i="1"/>
  <c r="P30" i="1" s="1"/>
  <c r="AE30" i="1"/>
  <c r="AF30" i="1"/>
  <c r="CT30" i="1" s="1"/>
  <c r="AG30" i="1"/>
  <c r="CU30" i="1" s="1"/>
  <c r="T30" i="1" s="1"/>
  <c r="AH30" i="1"/>
  <c r="AI30" i="1"/>
  <c r="CW30" i="1" s="1"/>
  <c r="V30" i="1" s="1"/>
  <c r="AJ30" i="1"/>
  <c r="CX30" i="1" s="1"/>
  <c r="W30" i="1" s="1"/>
  <c r="CP30" i="1"/>
  <c r="O30" i="1" s="1"/>
  <c r="CR30" i="1"/>
  <c r="CV30" i="1"/>
  <c r="CZ30" i="1"/>
  <c r="GL30" i="1"/>
  <c r="GN30" i="1"/>
  <c r="GP30" i="1"/>
  <c r="GV30" i="1"/>
  <c r="HC30" i="1" s="1"/>
  <c r="GX30" i="1" s="1"/>
  <c r="C31" i="1"/>
  <c r="D31" i="1"/>
  <c r="P31" i="1"/>
  <c r="Q31" i="1"/>
  <c r="S31" i="1"/>
  <c r="X31" i="1" s="1"/>
  <c r="AC31" i="1"/>
  <c r="AE31" i="1"/>
  <c r="CR31" i="1" s="1"/>
  <c r="AF31" i="1"/>
  <c r="CT31" i="1" s="1"/>
  <c r="AG31" i="1"/>
  <c r="CU31" i="1" s="1"/>
  <c r="T31" i="1" s="1"/>
  <c r="AH31" i="1"/>
  <c r="CV31" i="1" s="1"/>
  <c r="U31" i="1" s="1"/>
  <c r="AI31" i="1"/>
  <c r="CW31" i="1" s="1"/>
  <c r="V31" i="1" s="1"/>
  <c r="AJ31" i="1"/>
  <c r="CQ31" i="1"/>
  <c r="CX31" i="1"/>
  <c r="W31" i="1" s="1"/>
  <c r="CZ31" i="1"/>
  <c r="GL31" i="1"/>
  <c r="GN31" i="1"/>
  <c r="GP31" i="1"/>
  <c r="GV31" i="1"/>
  <c r="GX31" i="1"/>
  <c r="HC31" i="1"/>
  <c r="C32" i="1"/>
  <c r="D32" i="1"/>
  <c r="Q32" i="1"/>
  <c r="S32" i="1"/>
  <c r="CZ32" i="1" s="1"/>
  <c r="U32" i="1"/>
  <c r="AC32" i="1"/>
  <c r="AB32" i="1" s="1"/>
  <c r="AD32" i="1"/>
  <c r="AE32" i="1"/>
  <c r="R32" i="1" s="1"/>
  <c r="AF32" i="1"/>
  <c r="AG32" i="1"/>
  <c r="CU32" i="1" s="1"/>
  <c r="T32" i="1" s="1"/>
  <c r="AH32" i="1"/>
  <c r="AI32" i="1"/>
  <c r="CW32" i="1" s="1"/>
  <c r="V32" i="1" s="1"/>
  <c r="AJ32" i="1"/>
  <c r="CQ32" i="1"/>
  <c r="CT32" i="1"/>
  <c r="CV32" i="1"/>
  <c r="CX32" i="1"/>
  <c r="W32" i="1" s="1"/>
  <c r="CY32" i="1"/>
  <c r="GL32" i="1"/>
  <c r="GN32" i="1"/>
  <c r="GP32" i="1"/>
  <c r="GV32" i="1"/>
  <c r="HC32" i="1"/>
  <c r="GX32" i="1" s="1"/>
  <c r="C33" i="1"/>
  <c r="D33" i="1"/>
  <c r="V33" i="1"/>
  <c r="AC33" i="1"/>
  <c r="P33" i="1" s="1"/>
  <c r="AE33" i="1"/>
  <c r="AD33" i="1" s="1"/>
  <c r="AF33" i="1"/>
  <c r="S33" i="1" s="1"/>
  <c r="AG33" i="1"/>
  <c r="CU33" i="1" s="1"/>
  <c r="T33" i="1" s="1"/>
  <c r="AH33" i="1"/>
  <c r="AI33" i="1"/>
  <c r="AJ33" i="1"/>
  <c r="CX33" i="1" s="1"/>
  <c r="W33" i="1" s="1"/>
  <c r="CS33" i="1"/>
  <c r="CT33" i="1"/>
  <c r="CV33" i="1"/>
  <c r="U33" i="1" s="1"/>
  <c r="CW33" i="1"/>
  <c r="GL33" i="1"/>
  <c r="GN33" i="1"/>
  <c r="GP33" i="1"/>
  <c r="GV33" i="1"/>
  <c r="HC33" i="1" s="1"/>
  <c r="GX33" i="1" s="1"/>
  <c r="C34" i="1"/>
  <c r="D34" i="1"/>
  <c r="I34" i="1"/>
  <c r="P34" i="1" s="1"/>
  <c r="K34" i="1"/>
  <c r="S34" i="1"/>
  <c r="CZ34" i="1" s="1"/>
  <c r="V34" i="1"/>
  <c r="AC34" i="1"/>
  <c r="CQ34" i="1" s="1"/>
  <c r="AE34" i="1"/>
  <c r="CR34" i="1" s="1"/>
  <c r="AF34" i="1"/>
  <c r="CT34" i="1" s="1"/>
  <c r="AG34" i="1"/>
  <c r="CU34" i="1" s="1"/>
  <c r="T34" i="1" s="1"/>
  <c r="AH34" i="1"/>
  <c r="CV34" i="1" s="1"/>
  <c r="U34" i="1" s="1"/>
  <c r="AI34" i="1"/>
  <c r="AJ34" i="1"/>
  <c r="CW34" i="1"/>
  <c r="CX34" i="1"/>
  <c r="W34" i="1" s="1"/>
  <c r="CY34" i="1"/>
  <c r="GL34" i="1"/>
  <c r="GN34" i="1"/>
  <c r="GP34" i="1"/>
  <c r="GV34" i="1"/>
  <c r="HC34" i="1"/>
  <c r="GX34" i="1" s="1"/>
  <c r="C35" i="1"/>
  <c r="D35" i="1"/>
  <c r="I35" i="1"/>
  <c r="K35" i="1"/>
  <c r="AC35" i="1"/>
  <c r="AB35" i="1" s="1"/>
  <c r="AD35" i="1"/>
  <c r="AE35" i="1"/>
  <c r="CS35" i="1" s="1"/>
  <c r="AF35" i="1"/>
  <c r="S35" i="1" s="1"/>
  <c r="AG35" i="1"/>
  <c r="AH35" i="1"/>
  <c r="CV35" i="1" s="1"/>
  <c r="U35" i="1" s="1"/>
  <c r="AI35" i="1"/>
  <c r="AJ35" i="1"/>
  <c r="CX35" i="1" s="1"/>
  <c r="W35" i="1" s="1"/>
  <c r="CQ35" i="1"/>
  <c r="CR35" i="1"/>
  <c r="CT35" i="1"/>
  <c r="CU35" i="1"/>
  <c r="CW35" i="1"/>
  <c r="GL35" i="1"/>
  <c r="GN35" i="1"/>
  <c r="GP35" i="1"/>
  <c r="GV35" i="1"/>
  <c r="HC35" i="1" s="1"/>
  <c r="GX35" i="1" s="1"/>
  <c r="C36" i="1"/>
  <c r="D36" i="1"/>
  <c r="P36" i="1"/>
  <c r="S36" i="1"/>
  <c r="CZ36" i="1" s="1"/>
  <c r="V36" i="1"/>
  <c r="AC36" i="1"/>
  <c r="CQ36" i="1" s="1"/>
  <c r="AE36" i="1"/>
  <c r="CR36" i="1" s="1"/>
  <c r="AF36" i="1"/>
  <c r="CT36" i="1" s="1"/>
  <c r="AG36" i="1"/>
  <c r="CU36" i="1" s="1"/>
  <c r="T36" i="1" s="1"/>
  <c r="AH36" i="1"/>
  <c r="CV36" i="1" s="1"/>
  <c r="U36" i="1" s="1"/>
  <c r="AI36" i="1"/>
  <c r="AJ36" i="1"/>
  <c r="CW36" i="1"/>
  <c r="CX36" i="1"/>
  <c r="W36" i="1" s="1"/>
  <c r="CY36" i="1"/>
  <c r="GL36" i="1"/>
  <c r="GN36" i="1"/>
  <c r="GP36" i="1"/>
  <c r="GV36" i="1"/>
  <c r="HC36" i="1"/>
  <c r="GX36" i="1" s="1"/>
  <c r="C37" i="1"/>
  <c r="D37" i="1"/>
  <c r="T37" i="1"/>
  <c r="V37" i="1"/>
  <c r="AC37" i="1"/>
  <c r="AE37" i="1"/>
  <c r="AD37" i="1" s="1"/>
  <c r="AF37" i="1"/>
  <c r="S37" i="1" s="1"/>
  <c r="AG37" i="1"/>
  <c r="AH37" i="1"/>
  <c r="AI37" i="1"/>
  <c r="AJ37" i="1"/>
  <c r="CX37" i="1" s="1"/>
  <c r="W37" i="1" s="1"/>
  <c r="CS37" i="1"/>
  <c r="CT37" i="1"/>
  <c r="CU37" i="1"/>
  <c r="CV37" i="1"/>
  <c r="U37" i="1" s="1"/>
  <c r="CW37" i="1"/>
  <c r="GL37" i="1"/>
  <c r="GN37" i="1"/>
  <c r="GP37" i="1"/>
  <c r="GV37" i="1"/>
  <c r="HC37" i="1" s="1"/>
  <c r="GX37" i="1" s="1"/>
  <c r="C38" i="1"/>
  <c r="D38" i="1"/>
  <c r="I38" i="1"/>
  <c r="R38" i="1" s="1"/>
  <c r="K38" i="1"/>
  <c r="S38" i="1"/>
  <c r="CZ38" i="1" s="1"/>
  <c r="T38" i="1"/>
  <c r="V38" i="1"/>
  <c r="AC38" i="1"/>
  <c r="CQ38" i="1" s="1"/>
  <c r="AE38" i="1"/>
  <c r="CR38" i="1" s="1"/>
  <c r="AF38" i="1"/>
  <c r="CT38" i="1" s="1"/>
  <c r="AG38" i="1"/>
  <c r="CU38" i="1" s="1"/>
  <c r="AH38" i="1"/>
  <c r="CV38" i="1" s="1"/>
  <c r="U38" i="1" s="1"/>
  <c r="AI38" i="1"/>
  <c r="AJ38" i="1"/>
  <c r="CW38" i="1"/>
  <c r="CX38" i="1"/>
  <c r="W38" i="1" s="1"/>
  <c r="CY38" i="1"/>
  <c r="GL38" i="1"/>
  <c r="GN38" i="1"/>
  <c r="GP38" i="1"/>
  <c r="GV38" i="1"/>
  <c r="HC38" i="1"/>
  <c r="GX38" i="1" s="1"/>
  <c r="C39" i="1"/>
  <c r="D39" i="1"/>
  <c r="I39" i="1"/>
  <c r="K39" i="1"/>
  <c r="AC39" i="1"/>
  <c r="AB39" i="1" s="1"/>
  <c r="AD39" i="1"/>
  <c r="AE39" i="1"/>
  <c r="CS39" i="1" s="1"/>
  <c r="AF39" i="1"/>
  <c r="S39" i="1" s="1"/>
  <c r="AG39" i="1"/>
  <c r="AH39" i="1"/>
  <c r="CV39" i="1" s="1"/>
  <c r="U39" i="1" s="1"/>
  <c r="AI39" i="1"/>
  <c r="AJ39" i="1"/>
  <c r="CX39" i="1" s="1"/>
  <c r="W39" i="1" s="1"/>
  <c r="CQ39" i="1"/>
  <c r="CR39" i="1"/>
  <c r="CT39" i="1"/>
  <c r="CU39" i="1"/>
  <c r="CW39" i="1"/>
  <c r="GL39" i="1"/>
  <c r="GN39" i="1"/>
  <c r="GP39" i="1"/>
  <c r="GV39" i="1"/>
  <c r="HC39" i="1" s="1"/>
  <c r="GX39" i="1" s="1"/>
  <c r="GB55" i="1" s="1"/>
  <c r="C40" i="1"/>
  <c r="D40" i="1"/>
  <c r="I40" i="1"/>
  <c r="K40" i="1"/>
  <c r="R40" i="1"/>
  <c r="T40" i="1"/>
  <c r="W40" i="1"/>
  <c r="AC40" i="1"/>
  <c r="CQ40" i="1" s="1"/>
  <c r="AE40" i="1"/>
  <c r="CR40" i="1" s="1"/>
  <c r="AF40" i="1"/>
  <c r="AG40" i="1"/>
  <c r="AH40" i="1"/>
  <c r="AI40" i="1"/>
  <c r="AJ40" i="1"/>
  <c r="CU40" i="1"/>
  <c r="CV40" i="1"/>
  <c r="U40" i="1" s="1"/>
  <c r="CW40" i="1"/>
  <c r="V40" i="1" s="1"/>
  <c r="CX40" i="1"/>
  <c r="GL40" i="1"/>
  <c r="GN40" i="1"/>
  <c r="GP40" i="1"/>
  <c r="GV40" i="1"/>
  <c r="HC40" i="1"/>
  <c r="GX40" i="1" s="1"/>
  <c r="C41" i="1"/>
  <c r="D41" i="1"/>
  <c r="I41" i="1"/>
  <c r="P41" i="1" s="1"/>
  <c r="K41" i="1"/>
  <c r="V41" i="1"/>
  <c r="W41" i="1"/>
  <c r="AC41" i="1"/>
  <c r="CQ41" i="1" s="1"/>
  <c r="AD41" i="1"/>
  <c r="AE41" i="1"/>
  <c r="CS41" i="1" s="1"/>
  <c r="AF41" i="1"/>
  <c r="CT41" i="1" s="1"/>
  <c r="AG41" i="1"/>
  <c r="AH41" i="1"/>
  <c r="CV41" i="1" s="1"/>
  <c r="U41" i="1" s="1"/>
  <c r="AI41" i="1"/>
  <c r="AJ41" i="1"/>
  <c r="CX41" i="1" s="1"/>
  <c r="CR41" i="1"/>
  <c r="CU41" i="1"/>
  <c r="CW41" i="1"/>
  <c r="GL41" i="1"/>
  <c r="GN41" i="1"/>
  <c r="GP41" i="1"/>
  <c r="GV41" i="1"/>
  <c r="HC41" i="1" s="1"/>
  <c r="GX41" i="1" s="1"/>
  <c r="C42" i="1"/>
  <c r="D42" i="1"/>
  <c r="R42" i="1"/>
  <c r="T42" i="1"/>
  <c r="AC42" i="1"/>
  <c r="CQ42" i="1" s="1"/>
  <c r="AE42" i="1"/>
  <c r="CR42" i="1" s="1"/>
  <c r="AF42" i="1"/>
  <c r="AG42" i="1"/>
  <c r="AH42" i="1"/>
  <c r="AI42" i="1"/>
  <c r="AJ42" i="1"/>
  <c r="CX42" i="1" s="1"/>
  <c r="W42" i="1" s="1"/>
  <c r="CU42" i="1"/>
  <c r="CV42" i="1"/>
  <c r="U42" i="1" s="1"/>
  <c r="CW42" i="1"/>
  <c r="V42" i="1" s="1"/>
  <c r="GL42" i="1"/>
  <c r="GN42" i="1"/>
  <c r="GP42" i="1"/>
  <c r="GV42" i="1"/>
  <c r="HC42" i="1"/>
  <c r="GX42" i="1" s="1"/>
  <c r="C43" i="1"/>
  <c r="D43" i="1"/>
  <c r="R43" i="1"/>
  <c r="V43" i="1"/>
  <c r="Y43" i="1"/>
  <c r="AC43" i="1"/>
  <c r="AE43" i="1"/>
  <c r="CS43" i="1" s="1"/>
  <c r="AF43" i="1"/>
  <c r="S43" i="1" s="1"/>
  <c r="X43" i="1" s="1"/>
  <c r="AG43" i="1"/>
  <c r="CU43" i="1" s="1"/>
  <c r="T43" i="1" s="1"/>
  <c r="AH43" i="1"/>
  <c r="CV43" i="1" s="1"/>
  <c r="U43" i="1" s="1"/>
  <c r="AI43" i="1"/>
  <c r="AJ43" i="1"/>
  <c r="CX43" i="1" s="1"/>
  <c r="W43" i="1" s="1"/>
  <c r="CQ43" i="1"/>
  <c r="CR43" i="1"/>
  <c r="CT43" i="1"/>
  <c r="CW43" i="1"/>
  <c r="GL43" i="1"/>
  <c r="GN43" i="1"/>
  <c r="GP43" i="1"/>
  <c r="GV43" i="1"/>
  <c r="HC43" i="1" s="1"/>
  <c r="GX43" i="1" s="1"/>
  <c r="C44" i="1"/>
  <c r="D44" i="1"/>
  <c r="I44" i="1"/>
  <c r="K44" i="1"/>
  <c r="T44" i="1"/>
  <c r="AC44" i="1"/>
  <c r="CQ44" i="1" s="1"/>
  <c r="AE44" i="1"/>
  <c r="AF44" i="1"/>
  <c r="AG44" i="1"/>
  <c r="AH44" i="1"/>
  <c r="AI44" i="1"/>
  <c r="AJ44" i="1"/>
  <c r="CX44" i="1" s="1"/>
  <c r="W44" i="1" s="1"/>
  <c r="CU44" i="1"/>
  <c r="CV44" i="1"/>
  <c r="U44" i="1" s="1"/>
  <c r="CW44" i="1"/>
  <c r="V44" i="1" s="1"/>
  <c r="GL44" i="1"/>
  <c r="GO44" i="1"/>
  <c r="GP44" i="1"/>
  <c r="GV44" i="1"/>
  <c r="HC44" i="1"/>
  <c r="GX44" i="1" s="1"/>
  <c r="C45" i="1"/>
  <c r="D45" i="1"/>
  <c r="I45" i="1"/>
  <c r="CU67" i="3" s="1"/>
  <c r="K45" i="1"/>
  <c r="V45" i="1"/>
  <c r="W45" i="1"/>
  <c r="AC45" i="1"/>
  <c r="CQ45" i="1" s="1"/>
  <c r="AD45" i="1"/>
  <c r="AE45" i="1"/>
  <c r="AF45" i="1"/>
  <c r="CT45" i="1" s="1"/>
  <c r="AG45" i="1"/>
  <c r="AH45" i="1"/>
  <c r="CV45" i="1" s="1"/>
  <c r="U45" i="1" s="1"/>
  <c r="AI45" i="1"/>
  <c r="AJ45" i="1"/>
  <c r="CX45" i="1" s="1"/>
  <c r="CR45" i="1"/>
  <c r="CS45" i="1"/>
  <c r="CU45" i="1"/>
  <c r="CW45" i="1"/>
  <c r="GL45" i="1"/>
  <c r="FR55" i="1" s="1"/>
  <c r="FR26" i="1" s="1"/>
  <c r="GO45" i="1"/>
  <c r="GP45" i="1"/>
  <c r="GV45" i="1"/>
  <c r="HC45" i="1" s="1"/>
  <c r="GX45" i="1" s="1"/>
  <c r="C46" i="1"/>
  <c r="D46" i="1"/>
  <c r="I46" i="1"/>
  <c r="CU69" i="3" s="1"/>
  <c r="K46" i="1"/>
  <c r="R46" i="1"/>
  <c r="AC46" i="1"/>
  <c r="AD46" i="1"/>
  <c r="AE46" i="1"/>
  <c r="AF46" i="1"/>
  <c r="S46" i="1" s="1"/>
  <c r="AG46" i="1"/>
  <c r="AH46" i="1"/>
  <c r="CV46" i="1" s="1"/>
  <c r="U46" i="1" s="1"/>
  <c r="AI46" i="1"/>
  <c r="AJ46" i="1"/>
  <c r="CR46" i="1"/>
  <c r="CS46" i="1"/>
  <c r="CT46" i="1"/>
  <c r="CU46" i="1"/>
  <c r="T46" i="1" s="1"/>
  <c r="CW46" i="1"/>
  <c r="V46" i="1" s="1"/>
  <c r="CX46" i="1"/>
  <c r="GL46" i="1"/>
  <c r="GO46" i="1"/>
  <c r="GP46" i="1"/>
  <c r="GV46" i="1"/>
  <c r="HC46" i="1" s="1"/>
  <c r="GX46" i="1" s="1"/>
  <c r="C47" i="1"/>
  <c r="D47" i="1"/>
  <c r="I47" i="1"/>
  <c r="K47" i="1"/>
  <c r="P47" i="1"/>
  <c r="R47" i="1"/>
  <c r="T47" i="1"/>
  <c r="U47" i="1"/>
  <c r="W47" i="1"/>
  <c r="AC47" i="1"/>
  <c r="AD47" i="1"/>
  <c r="AE47" i="1"/>
  <c r="CR47" i="1" s="1"/>
  <c r="AF47" i="1"/>
  <c r="AB47" i="1" s="1"/>
  <c r="AG47" i="1"/>
  <c r="AH47" i="1"/>
  <c r="CV47" i="1" s="1"/>
  <c r="AI47" i="1"/>
  <c r="CW47" i="1" s="1"/>
  <c r="V47" i="1" s="1"/>
  <c r="AJ47" i="1"/>
  <c r="CQ47" i="1"/>
  <c r="CS47" i="1"/>
  <c r="CU47" i="1"/>
  <c r="CX47" i="1"/>
  <c r="GL47" i="1"/>
  <c r="GO47" i="1"/>
  <c r="GP47" i="1"/>
  <c r="GV47" i="1"/>
  <c r="GX47" i="1"/>
  <c r="HC47" i="1"/>
  <c r="C48" i="1"/>
  <c r="D48" i="1"/>
  <c r="I48" i="1"/>
  <c r="K48" i="1"/>
  <c r="AB48" i="1"/>
  <c r="AC48" i="1"/>
  <c r="AD48" i="1"/>
  <c r="AE48" i="1"/>
  <c r="AF48" i="1"/>
  <c r="CT48" i="1" s="1"/>
  <c r="AG48" i="1"/>
  <c r="AH48" i="1"/>
  <c r="AI48" i="1"/>
  <c r="CW48" i="1" s="1"/>
  <c r="AJ48" i="1"/>
  <c r="CQ48" i="1"/>
  <c r="CR48" i="1"/>
  <c r="CS48" i="1"/>
  <c r="CU48" i="1"/>
  <c r="CV48" i="1"/>
  <c r="CX48" i="1"/>
  <c r="GL48" i="1"/>
  <c r="GN48" i="1"/>
  <c r="GP48" i="1"/>
  <c r="GV48" i="1"/>
  <c r="HC48" i="1"/>
  <c r="C49" i="1"/>
  <c r="D49" i="1"/>
  <c r="I49" i="1"/>
  <c r="K49" i="1"/>
  <c r="P49" i="1"/>
  <c r="R49" i="1"/>
  <c r="S49" i="1"/>
  <c r="U49" i="1"/>
  <c r="AC49" i="1"/>
  <c r="AD49" i="1"/>
  <c r="AB49" i="1" s="1"/>
  <c r="AE49" i="1"/>
  <c r="CR49" i="1" s="1"/>
  <c r="AF49" i="1"/>
  <c r="CT49" i="1" s="1"/>
  <c r="AG49" i="1"/>
  <c r="CU49" i="1" s="1"/>
  <c r="T49" i="1" s="1"/>
  <c r="AH49" i="1"/>
  <c r="AI49" i="1"/>
  <c r="AJ49" i="1"/>
  <c r="CQ49" i="1"/>
  <c r="CS49" i="1"/>
  <c r="CV49" i="1"/>
  <c r="CW49" i="1"/>
  <c r="V49" i="1" s="1"/>
  <c r="CX49" i="1"/>
  <c r="W49" i="1" s="1"/>
  <c r="GL49" i="1"/>
  <c r="GN49" i="1"/>
  <c r="GP49" i="1"/>
  <c r="GV49" i="1"/>
  <c r="GX49" i="1"/>
  <c r="HC49" i="1"/>
  <c r="C50" i="1"/>
  <c r="D50" i="1"/>
  <c r="I50" i="1"/>
  <c r="CU87" i="3" s="1"/>
  <c r="K50" i="1"/>
  <c r="S50" i="1"/>
  <c r="Y50" i="1" s="1"/>
  <c r="U50" i="1"/>
  <c r="W50" i="1"/>
  <c r="X50" i="1"/>
  <c r="AC50" i="1"/>
  <c r="P50" i="1" s="1"/>
  <c r="AE50" i="1"/>
  <c r="CR50" i="1" s="1"/>
  <c r="AF50" i="1"/>
  <c r="AG50" i="1"/>
  <c r="CU50" i="1" s="1"/>
  <c r="T50" i="1" s="1"/>
  <c r="AH50" i="1"/>
  <c r="AI50" i="1"/>
  <c r="CW50" i="1" s="1"/>
  <c r="V50" i="1" s="1"/>
  <c r="AJ50" i="1"/>
  <c r="CQ50" i="1"/>
  <c r="CS50" i="1"/>
  <c r="CT50" i="1"/>
  <c r="CV50" i="1"/>
  <c r="CX50" i="1"/>
  <c r="CZ50" i="1"/>
  <c r="GL50" i="1"/>
  <c r="GO50" i="1"/>
  <c r="GP50" i="1"/>
  <c r="GV50" i="1"/>
  <c r="HC50" i="1"/>
  <c r="GX50" i="1" s="1"/>
  <c r="C51" i="1"/>
  <c r="D51" i="1"/>
  <c r="I51" i="1"/>
  <c r="CU89" i="3" s="1"/>
  <c r="K51" i="1"/>
  <c r="P51" i="1"/>
  <c r="CP51" i="1" s="1"/>
  <c r="O51" i="1" s="1"/>
  <c r="Q51" i="1"/>
  <c r="S51" i="1"/>
  <c r="V51" i="1"/>
  <c r="AC51" i="1"/>
  <c r="AE51" i="1"/>
  <c r="AF51" i="1"/>
  <c r="AG51" i="1"/>
  <c r="AH51" i="1"/>
  <c r="AI51" i="1"/>
  <c r="AJ51" i="1"/>
  <c r="CQ51" i="1"/>
  <c r="CT51" i="1"/>
  <c r="CU51" i="1"/>
  <c r="T51" i="1" s="1"/>
  <c r="CV51" i="1"/>
  <c r="U51" i="1" s="1"/>
  <c r="CW51" i="1"/>
  <c r="CX51" i="1"/>
  <c r="W51" i="1" s="1"/>
  <c r="GL51" i="1"/>
  <c r="GO51" i="1"/>
  <c r="GP51" i="1"/>
  <c r="GV51" i="1"/>
  <c r="GX51" i="1"/>
  <c r="HC51" i="1"/>
  <c r="C52" i="1"/>
  <c r="D52" i="1"/>
  <c r="S52" i="1"/>
  <c r="Y52" i="1" s="1"/>
  <c r="U52" i="1"/>
  <c r="W52" i="1"/>
  <c r="X52" i="1"/>
  <c r="AC52" i="1"/>
  <c r="P52" i="1" s="1"/>
  <c r="AE52" i="1"/>
  <c r="CR52" i="1" s="1"/>
  <c r="AF52" i="1"/>
  <c r="AG52" i="1"/>
  <c r="CU52" i="1" s="1"/>
  <c r="T52" i="1" s="1"/>
  <c r="AH52" i="1"/>
  <c r="AI52" i="1"/>
  <c r="CW52" i="1" s="1"/>
  <c r="V52" i="1" s="1"/>
  <c r="AJ52" i="1"/>
  <c r="CQ52" i="1"/>
  <c r="CS52" i="1"/>
  <c r="CT52" i="1"/>
  <c r="CV52" i="1"/>
  <c r="CX52" i="1"/>
  <c r="CZ52" i="1"/>
  <c r="GL52" i="1"/>
  <c r="GN52" i="1"/>
  <c r="GP52" i="1"/>
  <c r="GV52" i="1"/>
  <c r="HC52" i="1"/>
  <c r="GX52" i="1" s="1"/>
  <c r="C53" i="1"/>
  <c r="D53" i="1"/>
  <c r="P53" i="1"/>
  <c r="R53" i="1"/>
  <c r="S53" i="1"/>
  <c r="U53" i="1"/>
  <c r="AC53" i="1"/>
  <c r="AD53" i="1"/>
  <c r="AB53" i="1" s="1"/>
  <c r="AE53" i="1"/>
  <c r="CR53" i="1" s="1"/>
  <c r="AF53" i="1"/>
  <c r="CT53" i="1" s="1"/>
  <c r="AG53" i="1"/>
  <c r="CU53" i="1" s="1"/>
  <c r="T53" i="1" s="1"/>
  <c r="AH53" i="1"/>
  <c r="AI53" i="1"/>
  <c r="AJ53" i="1"/>
  <c r="CQ53" i="1"/>
  <c r="CS53" i="1"/>
  <c r="CV53" i="1"/>
  <c r="CW53" i="1"/>
  <c r="V53" i="1" s="1"/>
  <c r="CX53" i="1"/>
  <c r="W53" i="1" s="1"/>
  <c r="GL53" i="1"/>
  <c r="GN53" i="1"/>
  <c r="GP53" i="1"/>
  <c r="GV53" i="1"/>
  <c r="GX53" i="1"/>
  <c r="HC53" i="1"/>
  <c r="B55" i="1"/>
  <c r="B26" i="1" s="1"/>
  <c r="C55" i="1"/>
  <c r="C26" i="1" s="1"/>
  <c r="D55" i="1"/>
  <c r="D26" i="1" s="1"/>
  <c r="F55" i="1"/>
  <c r="F26" i="1" s="1"/>
  <c r="G55" i="1"/>
  <c r="G26" i="1" s="1"/>
  <c r="BX55" i="1"/>
  <c r="BY55" i="1"/>
  <c r="AP55" i="1" s="1"/>
  <c r="AP26" i="1" s="1"/>
  <c r="BZ55" i="1"/>
  <c r="BZ26" i="1" s="1"/>
  <c r="CD55" i="1"/>
  <c r="CK55" i="1"/>
  <c r="CL55" i="1"/>
  <c r="CM55" i="1"/>
  <c r="EG55" i="1"/>
  <c r="ET55" i="1"/>
  <c r="FP55" i="1"/>
  <c r="FP26" i="1" s="1"/>
  <c r="FQ55" i="1"/>
  <c r="FQ26" i="1" s="1"/>
  <c r="FV55" i="1"/>
  <c r="GC55" i="1"/>
  <c r="GC26" i="1" s="1"/>
  <c r="GD55" i="1"/>
  <c r="GD26" i="1" s="1"/>
  <c r="GE55" i="1"/>
  <c r="GE26" i="1" s="1"/>
  <c r="F64" i="1"/>
  <c r="D85" i="1"/>
  <c r="E87" i="1"/>
  <c r="Z87" i="1"/>
  <c r="AA87" i="1"/>
  <c r="AM87" i="1"/>
  <c r="AN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CN87" i="1"/>
  <c r="CO87" i="1"/>
  <c r="CP87" i="1"/>
  <c r="CQ87" i="1"/>
  <c r="CR87" i="1"/>
  <c r="CS87" i="1"/>
  <c r="CT87" i="1"/>
  <c r="CU87" i="1"/>
  <c r="CV87" i="1"/>
  <c r="CW87" i="1"/>
  <c r="CX87" i="1"/>
  <c r="CY87" i="1"/>
  <c r="CZ87" i="1"/>
  <c r="DA87" i="1"/>
  <c r="DB87" i="1"/>
  <c r="DC87" i="1"/>
  <c r="DD87" i="1"/>
  <c r="DE87" i="1"/>
  <c r="DF87" i="1"/>
  <c r="DR87" i="1"/>
  <c r="DS87" i="1"/>
  <c r="EE87" i="1"/>
  <c r="EF87" i="1"/>
  <c r="EW87" i="1"/>
  <c r="EX87" i="1"/>
  <c r="EY87" i="1"/>
  <c r="EZ87" i="1"/>
  <c r="FA87" i="1"/>
  <c r="FB87" i="1"/>
  <c r="FC87" i="1"/>
  <c r="FD87" i="1"/>
  <c r="FE87" i="1"/>
  <c r="FF87" i="1"/>
  <c r="FG87" i="1"/>
  <c r="FH87" i="1"/>
  <c r="FI87" i="1"/>
  <c r="FJ87" i="1"/>
  <c r="FK87" i="1"/>
  <c r="FL87" i="1"/>
  <c r="FM87" i="1"/>
  <c r="FN87" i="1"/>
  <c r="FO87" i="1"/>
  <c r="GF87" i="1"/>
  <c r="GG87" i="1"/>
  <c r="GH87" i="1"/>
  <c r="GI87" i="1"/>
  <c r="GJ87" i="1"/>
  <c r="GK87" i="1"/>
  <c r="GL87" i="1"/>
  <c r="GM87" i="1"/>
  <c r="GN87" i="1"/>
  <c r="GO87" i="1"/>
  <c r="GP87" i="1"/>
  <c r="GQ87" i="1"/>
  <c r="GR87" i="1"/>
  <c r="GS87" i="1"/>
  <c r="GT87" i="1"/>
  <c r="GU87" i="1"/>
  <c r="GV87" i="1"/>
  <c r="GW87" i="1"/>
  <c r="GX87" i="1"/>
  <c r="C89" i="1"/>
  <c r="D89" i="1"/>
  <c r="I89" i="1"/>
  <c r="K89" i="1"/>
  <c r="P89" i="1"/>
  <c r="AB89" i="1"/>
  <c r="AC89" i="1"/>
  <c r="AD89" i="1"/>
  <c r="AE89" i="1"/>
  <c r="AF89" i="1"/>
  <c r="AG89" i="1"/>
  <c r="AH89" i="1"/>
  <c r="CV89" i="1" s="1"/>
  <c r="AI89" i="1"/>
  <c r="CW89" i="1" s="1"/>
  <c r="V89" i="1" s="1"/>
  <c r="AJ89" i="1"/>
  <c r="CX89" i="1" s="1"/>
  <c r="W89" i="1" s="1"/>
  <c r="CQ89" i="1"/>
  <c r="CR89" i="1"/>
  <c r="CS89" i="1"/>
  <c r="CT89" i="1"/>
  <c r="CU89" i="1"/>
  <c r="T89" i="1" s="1"/>
  <c r="GL89" i="1"/>
  <c r="GN89" i="1"/>
  <c r="GP89" i="1"/>
  <c r="GV89" i="1"/>
  <c r="HC89" i="1" s="1"/>
  <c r="GX89" i="1"/>
  <c r="C90" i="1"/>
  <c r="D90" i="1"/>
  <c r="I90" i="1"/>
  <c r="K90" i="1"/>
  <c r="P90" i="1"/>
  <c r="R90" i="1"/>
  <c r="U90" i="1"/>
  <c r="AC90" i="1"/>
  <c r="CQ90" i="1" s="1"/>
  <c r="AD90" i="1"/>
  <c r="AE90" i="1"/>
  <c r="CR90" i="1" s="1"/>
  <c r="AF90" i="1"/>
  <c r="CT90" i="1" s="1"/>
  <c r="AG90" i="1"/>
  <c r="AH90" i="1"/>
  <c r="AI90" i="1"/>
  <c r="CW90" i="1" s="1"/>
  <c r="V90" i="1" s="1"/>
  <c r="AJ90" i="1"/>
  <c r="CU90" i="1"/>
  <c r="T90" i="1" s="1"/>
  <c r="CV90" i="1"/>
  <c r="CX90" i="1"/>
  <c r="W90" i="1" s="1"/>
  <c r="GL90" i="1"/>
  <c r="GN90" i="1"/>
  <c r="GP90" i="1"/>
  <c r="GV90" i="1"/>
  <c r="HC90" i="1" s="1"/>
  <c r="GX90" i="1"/>
  <c r="I91" i="1"/>
  <c r="AC91" i="1"/>
  <c r="AE91" i="1"/>
  <c r="AF91" i="1"/>
  <c r="AG91" i="1"/>
  <c r="AH91" i="1"/>
  <c r="AI91" i="1"/>
  <c r="CW91" i="1" s="1"/>
  <c r="AJ91" i="1"/>
  <c r="CX91" i="1" s="1"/>
  <c r="W91" i="1" s="1"/>
  <c r="CT91" i="1"/>
  <c r="CU91" i="1"/>
  <c r="CV91" i="1"/>
  <c r="GL91" i="1"/>
  <c r="GN91" i="1"/>
  <c r="GO91" i="1"/>
  <c r="GP91" i="1"/>
  <c r="GV91" i="1"/>
  <c r="HC91" i="1" s="1"/>
  <c r="GX91" i="1"/>
  <c r="I92" i="1"/>
  <c r="R92" i="1"/>
  <c r="S92" i="1"/>
  <c r="CZ92" i="1" s="1"/>
  <c r="U92" i="1"/>
  <c r="X92" i="1"/>
  <c r="AC92" i="1"/>
  <c r="AE92" i="1"/>
  <c r="CR92" i="1" s="1"/>
  <c r="AF92" i="1"/>
  <c r="CT92" i="1" s="1"/>
  <c r="AG92" i="1"/>
  <c r="CU92" i="1" s="1"/>
  <c r="T92" i="1" s="1"/>
  <c r="AH92" i="1"/>
  <c r="CV92" i="1" s="1"/>
  <c r="AI92" i="1"/>
  <c r="CW92" i="1" s="1"/>
  <c r="V92" i="1" s="1"/>
  <c r="AJ92" i="1"/>
  <c r="CQ92" i="1"/>
  <c r="CX92" i="1"/>
  <c r="W92" i="1" s="1"/>
  <c r="GL92" i="1"/>
  <c r="GN92" i="1"/>
  <c r="GO92" i="1"/>
  <c r="GP92" i="1"/>
  <c r="GV92" i="1"/>
  <c r="HC92" i="1"/>
  <c r="GX92" i="1" s="1"/>
  <c r="C93" i="1"/>
  <c r="D93" i="1"/>
  <c r="P93" i="1"/>
  <c r="R93" i="1"/>
  <c r="U93" i="1"/>
  <c r="Y93" i="1"/>
  <c r="AC93" i="1"/>
  <c r="AD93" i="1"/>
  <c r="AE93" i="1"/>
  <c r="Q93" i="1" s="1"/>
  <c r="AF93" i="1"/>
  <c r="S93" i="1" s="1"/>
  <c r="AG93" i="1"/>
  <c r="AH93" i="1"/>
  <c r="AI93" i="1"/>
  <c r="AJ93" i="1"/>
  <c r="CX93" i="1" s="1"/>
  <c r="W93" i="1" s="1"/>
  <c r="CR93" i="1"/>
  <c r="CS93" i="1"/>
  <c r="CT93" i="1"/>
  <c r="CU93" i="1"/>
  <c r="T93" i="1" s="1"/>
  <c r="CV93" i="1"/>
  <c r="CW93" i="1"/>
  <c r="V93" i="1" s="1"/>
  <c r="GL93" i="1"/>
  <c r="GN93" i="1"/>
  <c r="GP93" i="1"/>
  <c r="GV93" i="1"/>
  <c r="HC93" i="1" s="1"/>
  <c r="GX93" i="1"/>
  <c r="C94" i="1"/>
  <c r="D94" i="1"/>
  <c r="P94" i="1"/>
  <c r="R94" i="1"/>
  <c r="S94" i="1"/>
  <c r="Y94" i="1"/>
  <c r="AC94" i="1"/>
  <c r="AB94" i="1" s="1"/>
  <c r="AD94" i="1"/>
  <c r="AE94" i="1"/>
  <c r="CS94" i="1" s="1"/>
  <c r="AF94" i="1"/>
  <c r="CT94" i="1" s="1"/>
  <c r="AG94" i="1"/>
  <c r="CU94" i="1" s="1"/>
  <c r="T94" i="1" s="1"/>
  <c r="AH94" i="1"/>
  <c r="CV94" i="1" s="1"/>
  <c r="U94" i="1" s="1"/>
  <c r="AI94" i="1"/>
  <c r="CW94" i="1" s="1"/>
  <c r="V94" i="1" s="1"/>
  <c r="AJ94" i="1"/>
  <c r="CQ94" i="1"/>
  <c r="CR94" i="1"/>
  <c r="CX94" i="1"/>
  <c r="W94" i="1" s="1"/>
  <c r="CY94" i="1"/>
  <c r="GL94" i="1"/>
  <c r="GN94" i="1"/>
  <c r="GP94" i="1"/>
  <c r="GV94" i="1"/>
  <c r="GX94" i="1"/>
  <c r="HC94" i="1"/>
  <c r="C95" i="1"/>
  <c r="D95" i="1"/>
  <c r="T95" i="1"/>
  <c r="W95" i="1"/>
  <c r="AC95" i="1"/>
  <c r="AE95" i="1"/>
  <c r="AF95" i="1"/>
  <c r="S95" i="1" s="1"/>
  <c r="AG95" i="1"/>
  <c r="AH95" i="1"/>
  <c r="CV95" i="1" s="1"/>
  <c r="U95" i="1" s="1"/>
  <c r="AI95" i="1"/>
  <c r="AJ95" i="1"/>
  <c r="CT95" i="1"/>
  <c r="CU95" i="1"/>
  <c r="CW95" i="1"/>
  <c r="V95" i="1" s="1"/>
  <c r="CX95" i="1"/>
  <c r="GL95" i="1"/>
  <c r="GN95" i="1"/>
  <c r="GP95" i="1"/>
  <c r="GV95" i="1"/>
  <c r="HC95" i="1"/>
  <c r="GX95" i="1" s="1"/>
  <c r="C96" i="1"/>
  <c r="D96" i="1"/>
  <c r="R96" i="1"/>
  <c r="V96" i="1"/>
  <c r="X96" i="1"/>
  <c r="AC96" i="1"/>
  <c r="AE96" i="1"/>
  <c r="AD96" i="1" s="1"/>
  <c r="AF96" i="1"/>
  <c r="S96" i="1" s="1"/>
  <c r="CY96" i="1" s="1"/>
  <c r="AG96" i="1"/>
  <c r="CU96" i="1" s="1"/>
  <c r="T96" i="1" s="1"/>
  <c r="AH96" i="1"/>
  <c r="CV96" i="1" s="1"/>
  <c r="U96" i="1" s="1"/>
  <c r="AI96" i="1"/>
  <c r="CW96" i="1" s="1"/>
  <c r="AJ96" i="1"/>
  <c r="CX96" i="1" s="1"/>
  <c r="W96" i="1" s="1"/>
  <c r="CQ96" i="1"/>
  <c r="CR96" i="1"/>
  <c r="CS96" i="1"/>
  <c r="CT96" i="1"/>
  <c r="GL96" i="1"/>
  <c r="GN96" i="1"/>
  <c r="GP96" i="1"/>
  <c r="GV96" i="1"/>
  <c r="HC96" i="1" s="1"/>
  <c r="GX96" i="1" s="1"/>
  <c r="R97" i="1"/>
  <c r="S97" i="1"/>
  <c r="CZ97" i="1" s="1"/>
  <c r="U97" i="1"/>
  <c r="X97" i="1"/>
  <c r="AC97" i="1"/>
  <c r="AE97" i="1"/>
  <c r="CR97" i="1" s="1"/>
  <c r="AF97" i="1"/>
  <c r="CT97" i="1" s="1"/>
  <c r="AG97" i="1"/>
  <c r="CU97" i="1" s="1"/>
  <c r="T97" i="1" s="1"/>
  <c r="AH97" i="1"/>
  <c r="CV97" i="1" s="1"/>
  <c r="AI97" i="1"/>
  <c r="CW97" i="1" s="1"/>
  <c r="V97" i="1" s="1"/>
  <c r="AJ97" i="1"/>
  <c r="CQ97" i="1"/>
  <c r="CX97" i="1"/>
  <c r="W97" i="1" s="1"/>
  <c r="GL97" i="1"/>
  <c r="GN97" i="1"/>
  <c r="GO97" i="1"/>
  <c r="GP97" i="1"/>
  <c r="GV97" i="1"/>
  <c r="HC97" i="1"/>
  <c r="GX97" i="1" s="1"/>
  <c r="Q98" i="1"/>
  <c r="R98" i="1"/>
  <c r="T98" i="1"/>
  <c r="W98" i="1"/>
  <c r="AC98" i="1"/>
  <c r="AE98" i="1"/>
  <c r="AF98" i="1"/>
  <c r="S98" i="1" s="1"/>
  <c r="AG98" i="1"/>
  <c r="AH98" i="1"/>
  <c r="AI98" i="1"/>
  <c r="AJ98" i="1"/>
  <c r="CS98" i="1"/>
  <c r="CU98" i="1"/>
  <c r="CV98" i="1"/>
  <c r="U98" i="1" s="1"/>
  <c r="CW98" i="1"/>
  <c r="V98" i="1" s="1"/>
  <c r="CX98" i="1"/>
  <c r="CY98" i="1"/>
  <c r="GL98" i="1"/>
  <c r="GN98" i="1"/>
  <c r="GO98" i="1"/>
  <c r="GP98" i="1"/>
  <c r="GV98" i="1"/>
  <c r="GX98" i="1"/>
  <c r="HC98" i="1"/>
  <c r="C99" i="1"/>
  <c r="D99" i="1"/>
  <c r="P99" i="1"/>
  <c r="S99" i="1"/>
  <c r="U99" i="1"/>
  <c r="X99" i="1"/>
  <c r="AC99" i="1"/>
  <c r="AE99" i="1"/>
  <c r="AF99" i="1"/>
  <c r="CT99" i="1" s="1"/>
  <c r="AG99" i="1"/>
  <c r="CU99" i="1" s="1"/>
  <c r="T99" i="1" s="1"/>
  <c r="AH99" i="1"/>
  <c r="AI99" i="1"/>
  <c r="CW99" i="1" s="1"/>
  <c r="V99" i="1" s="1"/>
  <c r="AJ99" i="1"/>
  <c r="CX99" i="1" s="1"/>
  <c r="W99" i="1" s="1"/>
  <c r="CQ99" i="1"/>
  <c r="CS99" i="1"/>
  <c r="CV99" i="1"/>
  <c r="CY99" i="1"/>
  <c r="CZ99" i="1"/>
  <c r="GL99" i="1"/>
  <c r="GN99" i="1"/>
  <c r="GP99" i="1"/>
  <c r="GV99" i="1"/>
  <c r="HC99" i="1"/>
  <c r="GX99" i="1" s="1"/>
  <c r="C100" i="1"/>
  <c r="D100" i="1"/>
  <c r="R100" i="1"/>
  <c r="U100" i="1"/>
  <c r="AC100" i="1"/>
  <c r="AD100" i="1"/>
  <c r="AE100" i="1"/>
  <c r="CR100" i="1" s="1"/>
  <c r="AF100" i="1"/>
  <c r="S100" i="1" s="1"/>
  <c r="AG100" i="1"/>
  <c r="CU100" i="1" s="1"/>
  <c r="T100" i="1" s="1"/>
  <c r="AH100" i="1"/>
  <c r="AI100" i="1"/>
  <c r="AJ100" i="1"/>
  <c r="CV100" i="1"/>
  <c r="CW100" i="1"/>
  <c r="V100" i="1" s="1"/>
  <c r="CX100" i="1"/>
  <c r="W100" i="1" s="1"/>
  <c r="GL100" i="1"/>
  <c r="GN100" i="1"/>
  <c r="GP100" i="1"/>
  <c r="GV100" i="1"/>
  <c r="HC100" i="1" s="1"/>
  <c r="GX100" i="1" s="1"/>
  <c r="I101" i="1"/>
  <c r="Q101" i="1" s="1"/>
  <c r="T101" i="1"/>
  <c r="W101" i="1"/>
  <c r="AC101" i="1"/>
  <c r="P101" i="1" s="1"/>
  <c r="FR101" i="1" s="1"/>
  <c r="AE101" i="1"/>
  <c r="AF101" i="1"/>
  <c r="AG101" i="1"/>
  <c r="AH101" i="1"/>
  <c r="AI101" i="1"/>
  <c r="CW101" i="1" s="1"/>
  <c r="V101" i="1" s="1"/>
  <c r="AJ101" i="1"/>
  <c r="CX101" i="1" s="1"/>
  <c r="CQ101" i="1"/>
  <c r="CS101" i="1"/>
  <c r="CT101" i="1"/>
  <c r="CU101" i="1"/>
  <c r="CV101" i="1"/>
  <c r="U101" i="1" s="1"/>
  <c r="GL101" i="1"/>
  <c r="GN101" i="1"/>
  <c r="GO101" i="1"/>
  <c r="GP101" i="1"/>
  <c r="GV101" i="1"/>
  <c r="HC101" i="1" s="1"/>
  <c r="GX101" i="1"/>
  <c r="I102" i="1"/>
  <c r="R102" i="1"/>
  <c r="S102" i="1"/>
  <c r="X102" i="1" s="1"/>
  <c r="AC102" i="1"/>
  <c r="AE102" i="1"/>
  <c r="CR102" i="1" s="1"/>
  <c r="AF102" i="1"/>
  <c r="AG102" i="1"/>
  <c r="CU102" i="1" s="1"/>
  <c r="T102" i="1" s="1"/>
  <c r="AH102" i="1"/>
  <c r="CV102" i="1" s="1"/>
  <c r="U102" i="1" s="1"/>
  <c r="AI102" i="1"/>
  <c r="CW102" i="1" s="1"/>
  <c r="V102" i="1" s="1"/>
  <c r="AJ102" i="1"/>
  <c r="CT102" i="1"/>
  <c r="CX102" i="1"/>
  <c r="W102" i="1" s="1"/>
  <c r="GL102" i="1"/>
  <c r="GN102" i="1"/>
  <c r="GO102" i="1"/>
  <c r="GP102" i="1"/>
  <c r="GV102" i="1"/>
  <c r="HC102" i="1"/>
  <c r="GX102" i="1" s="1"/>
  <c r="Q103" i="1"/>
  <c r="R103" i="1"/>
  <c r="T103" i="1"/>
  <c r="W103" i="1"/>
  <c r="AC103" i="1"/>
  <c r="AE103" i="1"/>
  <c r="AF103" i="1"/>
  <c r="AG103" i="1"/>
  <c r="AH103" i="1"/>
  <c r="AI103" i="1"/>
  <c r="AJ103" i="1"/>
  <c r="CS103" i="1"/>
  <c r="CU103" i="1"/>
  <c r="CV103" i="1"/>
  <c r="U103" i="1" s="1"/>
  <c r="CW103" i="1"/>
  <c r="V103" i="1" s="1"/>
  <c r="CX103" i="1"/>
  <c r="GL103" i="1"/>
  <c r="GN103" i="1"/>
  <c r="GO103" i="1"/>
  <c r="GP103" i="1"/>
  <c r="GV103" i="1"/>
  <c r="GX103" i="1"/>
  <c r="HC103" i="1"/>
  <c r="P104" i="1"/>
  <c r="R104" i="1"/>
  <c r="S104" i="1"/>
  <c r="U104" i="1"/>
  <c r="V104" i="1"/>
  <c r="W104" i="1"/>
  <c r="AC104" i="1"/>
  <c r="AD104" i="1"/>
  <c r="AB104" i="1" s="1"/>
  <c r="AE104" i="1"/>
  <c r="Q104" i="1" s="1"/>
  <c r="AF104" i="1"/>
  <c r="AG104" i="1"/>
  <c r="CU104" i="1" s="1"/>
  <c r="T104" i="1" s="1"/>
  <c r="AH104" i="1"/>
  <c r="AI104" i="1"/>
  <c r="CW104" i="1" s="1"/>
  <c r="AJ104" i="1"/>
  <c r="CP104" i="1"/>
  <c r="O104" i="1" s="1"/>
  <c r="CQ104" i="1"/>
  <c r="CR104" i="1"/>
  <c r="CS104" i="1"/>
  <c r="CT104" i="1"/>
  <c r="CV104" i="1"/>
  <c r="CX104" i="1"/>
  <c r="FR104" i="1"/>
  <c r="GL104" i="1"/>
  <c r="GN104" i="1"/>
  <c r="GO104" i="1"/>
  <c r="GP104" i="1"/>
  <c r="GV104" i="1"/>
  <c r="HC104" i="1" s="1"/>
  <c r="GX104" i="1" s="1"/>
  <c r="C105" i="1"/>
  <c r="D105" i="1"/>
  <c r="I105" i="1"/>
  <c r="K105" i="1"/>
  <c r="T105" i="1"/>
  <c r="W105" i="1"/>
  <c r="AC105" i="1"/>
  <c r="AE105" i="1"/>
  <c r="AF105" i="1"/>
  <c r="S105" i="1" s="1"/>
  <c r="AG105" i="1"/>
  <c r="AH105" i="1"/>
  <c r="CV105" i="1" s="1"/>
  <c r="U105" i="1" s="1"/>
  <c r="AI105" i="1"/>
  <c r="AJ105" i="1"/>
  <c r="CT105" i="1"/>
  <c r="CU105" i="1"/>
  <c r="CW105" i="1"/>
  <c r="V105" i="1" s="1"/>
  <c r="CX105" i="1"/>
  <c r="GL105" i="1"/>
  <c r="GN105" i="1"/>
  <c r="GP105" i="1"/>
  <c r="GV105" i="1"/>
  <c r="HC105" i="1" s="1"/>
  <c r="GX105" i="1" s="1"/>
  <c r="C106" i="1"/>
  <c r="D106" i="1"/>
  <c r="I106" i="1"/>
  <c r="K106" i="1"/>
  <c r="P106" i="1"/>
  <c r="AC106" i="1"/>
  <c r="AB106" i="1" s="1"/>
  <c r="AD106" i="1"/>
  <c r="AE106" i="1"/>
  <c r="CS106" i="1" s="1"/>
  <c r="AF106" i="1"/>
  <c r="CT106" i="1" s="1"/>
  <c r="AG106" i="1"/>
  <c r="AH106" i="1"/>
  <c r="CV106" i="1" s="1"/>
  <c r="U106" i="1" s="1"/>
  <c r="AI106" i="1"/>
  <c r="CW106" i="1" s="1"/>
  <c r="V106" i="1" s="1"/>
  <c r="AJ106" i="1"/>
  <c r="CQ106" i="1"/>
  <c r="CR106" i="1"/>
  <c r="CU106" i="1"/>
  <c r="T106" i="1" s="1"/>
  <c r="CX106" i="1"/>
  <c r="W106" i="1" s="1"/>
  <c r="GL106" i="1"/>
  <c r="FR126" i="1" s="1"/>
  <c r="FR87" i="1" s="1"/>
  <c r="GN106" i="1"/>
  <c r="GP106" i="1"/>
  <c r="GV106" i="1"/>
  <c r="HC106" i="1" s="1"/>
  <c r="I107" i="1"/>
  <c r="P107" i="1"/>
  <c r="R107" i="1"/>
  <c r="S107" i="1"/>
  <c r="U107" i="1"/>
  <c r="X107" i="1"/>
  <c r="AC107" i="1"/>
  <c r="AD107" i="1"/>
  <c r="AE107" i="1"/>
  <c r="CR107" i="1" s="1"/>
  <c r="AF107" i="1"/>
  <c r="AG107" i="1"/>
  <c r="AH107" i="1"/>
  <c r="CV107" i="1" s="1"/>
  <c r="AI107" i="1"/>
  <c r="AJ107" i="1"/>
  <c r="CQ107" i="1"/>
  <c r="CT107" i="1"/>
  <c r="CU107" i="1"/>
  <c r="T107" i="1" s="1"/>
  <c r="CW107" i="1"/>
  <c r="V107" i="1" s="1"/>
  <c r="CX107" i="1"/>
  <c r="W107" i="1" s="1"/>
  <c r="CZ107" i="1"/>
  <c r="GL107" i="1"/>
  <c r="GN107" i="1"/>
  <c r="GO107" i="1"/>
  <c r="GP107" i="1"/>
  <c r="GV107" i="1"/>
  <c r="HC107" i="1" s="1"/>
  <c r="GX107" i="1" s="1"/>
  <c r="I108" i="1"/>
  <c r="P108" i="1"/>
  <c r="FR108" i="1" s="1"/>
  <c r="S108" i="1"/>
  <c r="W108" i="1"/>
  <c r="Y108" i="1"/>
  <c r="AC108" i="1"/>
  <c r="CQ108" i="1" s="1"/>
  <c r="AD108" i="1"/>
  <c r="AB108" i="1" s="1"/>
  <c r="AE108" i="1"/>
  <c r="AF108" i="1"/>
  <c r="AG108" i="1"/>
  <c r="CU108" i="1" s="1"/>
  <c r="T108" i="1" s="1"/>
  <c r="AH108" i="1"/>
  <c r="CV108" i="1" s="1"/>
  <c r="U108" i="1" s="1"/>
  <c r="AI108" i="1"/>
  <c r="CW108" i="1" s="1"/>
  <c r="V108" i="1" s="1"/>
  <c r="AJ108" i="1"/>
  <c r="CR108" i="1"/>
  <c r="CS108" i="1"/>
  <c r="CT108" i="1"/>
  <c r="CX108" i="1"/>
  <c r="GL108" i="1"/>
  <c r="GN108" i="1"/>
  <c r="GO108" i="1"/>
  <c r="GP108" i="1"/>
  <c r="GV108" i="1"/>
  <c r="HC108" i="1" s="1"/>
  <c r="GX108" i="1" s="1"/>
  <c r="C109" i="1"/>
  <c r="D109" i="1"/>
  <c r="P109" i="1"/>
  <c r="S109" i="1"/>
  <c r="AC109" i="1"/>
  <c r="CQ109" i="1" s="1"/>
  <c r="AE109" i="1"/>
  <c r="AF109" i="1"/>
  <c r="CT109" i="1" s="1"/>
  <c r="AG109" i="1"/>
  <c r="AH109" i="1"/>
  <c r="CV109" i="1" s="1"/>
  <c r="U109" i="1" s="1"/>
  <c r="AI109" i="1"/>
  <c r="CW109" i="1" s="1"/>
  <c r="V109" i="1" s="1"/>
  <c r="AJ109" i="1"/>
  <c r="CU109" i="1"/>
  <c r="T109" i="1" s="1"/>
  <c r="CX109" i="1"/>
  <c r="W109" i="1" s="1"/>
  <c r="GL109" i="1"/>
  <c r="GN109" i="1"/>
  <c r="GP109" i="1"/>
  <c r="GV109" i="1"/>
  <c r="GX109" i="1"/>
  <c r="HC109" i="1"/>
  <c r="C110" i="1"/>
  <c r="D110" i="1"/>
  <c r="Q110" i="1"/>
  <c r="S110" i="1"/>
  <c r="CZ110" i="1" s="1"/>
  <c r="T110" i="1"/>
  <c r="V110" i="1"/>
  <c r="W110" i="1"/>
  <c r="X110" i="1"/>
  <c r="AC110" i="1"/>
  <c r="AE110" i="1"/>
  <c r="AF110" i="1"/>
  <c r="AG110" i="1"/>
  <c r="AH110" i="1"/>
  <c r="AI110" i="1"/>
  <c r="AJ110" i="1"/>
  <c r="CX110" i="1" s="1"/>
  <c r="CS110" i="1"/>
  <c r="CT110" i="1"/>
  <c r="CU110" i="1"/>
  <c r="CV110" i="1"/>
  <c r="U110" i="1" s="1"/>
  <c r="CW110" i="1"/>
  <c r="CY110" i="1"/>
  <c r="GL110" i="1"/>
  <c r="GN110" i="1"/>
  <c r="GP110" i="1"/>
  <c r="GV110" i="1"/>
  <c r="HC110" i="1"/>
  <c r="GX110" i="1" s="1"/>
  <c r="I111" i="1"/>
  <c r="Q111" i="1" s="1"/>
  <c r="P111" i="1"/>
  <c r="CP111" i="1" s="1"/>
  <c r="O111" i="1" s="1"/>
  <c r="R111" i="1"/>
  <c r="S111" i="1"/>
  <c r="AC111" i="1"/>
  <c r="AB111" i="1" s="1"/>
  <c r="AD111" i="1"/>
  <c r="AE111" i="1"/>
  <c r="AF111" i="1"/>
  <c r="CT111" i="1" s="1"/>
  <c r="AG111" i="1"/>
  <c r="AH111" i="1"/>
  <c r="CV111" i="1" s="1"/>
  <c r="U111" i="1" s="1"/>
  <c r="AI111" i="1"/>
  <c r="CW111" i="1" s="1"/>
  <c r="V111" i="1" s="1"/>
  <c r="AJ111" i="1"/>
  <c r="CX111" i="1" s="1"/>
  <c r="W111" i="1" s="1"/>
  <c r="CQ111" i="1"/>
  <c r="CR111" i="1"/>
  <c r="CS111" i="1"/>
  <c r="CU111" i="1"/>
  <c r="T111" i="1" s="1"/>
  <c r="FR111" i="1"/>
  <c r="GL111" i="1"/>
  <c r="GN111" i="1"/>
  <c r="GO111" i="1"/>
  <c r="GP111" i="1"/>
  <c r="GV111" i="1"/>
  <c r="HC111" i="1"/>
  <c r="GX111" i="1" s="1"/>
  <c r="I112" i="1"/>
  <c r="R112" i="1" s="1"/>
  <c r="P112" i="1"/>
  <c r="Q112" i="1"/>
  <c r="S112" i="1"/>
  <c r="AC112" i="1"/>
  <c r="CQ112" i="1" s="1"/>
  <c r="AD112" i="1"/>
  <c r="AB112" i="1" s="1"/>
  <c r="AE112" i="1"/>
  <c r="CR112" i="1" s="1"/>
  <c r="AF112" i="1"/>
  <c r="AG112" i="1"/>
  <c r="CU112" i="1" s="1"/>
  <c r="T112" i="1" s="1"/>
  <c r="AH112" i="1"/>
  <c r="CV112" i="1" s="1"/>
  <c r="U112" i="1" s="1"/>
  <c r="AI112" i="1"/>
  <c r="AJ112" i="1"/>
  <c r="CP112" i="1"/>
  <c r="O112" i="1" s="1"/>
  <c r="CT112" i="1"/>
  <c r="CW112" i="1"/>
  <c r="V112" i="1" s="1"/>
  <c r="CX112" i="1"/>
  <c r="W112" i="1" s="1"/>
  <c r="FR112" i="1"/>
  <c r="GL112" i="1"/>
  <c r="GN112" i="1"/>
  <c r="GO112" i="1"/>
  <c r="GP112" i="1"/>
  <c r="GV112" i="1"/>
  <c r="GX112" i="1"/>
  <c r="HC112" i="1"/>
  <c r="C113" i="1"/>
  <c r="D113" i="1"/>
  <c r="I113" i="1"/>
  <c r="K113" i="1"/>
  <c r="R113" i="1"/>
  <c r="S113" i="1"/>
  <c r="AC113" i="1"/>
  <c r="P113" i="1" s="1"/>
  <c r="AE113" i="1"/>
  <c r="Q113" i="1" s="1"/>
  <c r="AF113" i="1"/>
  <c r="CT113" i="1" s="1"/>
  <c r="AG113" i="1"/>
  <c r="CU113" i="1" s="1"/>
  <c r="T113" i="1" s="1"/>
  <c r="AH113" i="1"/>
  <c r="CV113" i="1" s="1"/>
  <c r="U113" i="1" s="1"/>
  <c r="AI113" i="1"/>
  <c r="CW113" i="1" s="1"/>
  <c r="V113" i="1" s="1"/>
  <c r="AJ113" i="1"/>
  <c r="CQ113" i="1"/>
  <c r="CX113" i="1"/>
  <c r="W113" i="1" s="1"/>
  <c r="GL113" i="1"/>
  <c r="GN113" i="1"/>
  <c r="GP113" i="1"/>
  <c r="GV113" i="1"/>
  <c r="HC113" i="1" s="1"/>
  <c r="GX113" i="1" s="1"/>
  <c r="C114" i="1"/>
  <c r="D114" i="1"/>
  <c r="I114" i="1"/>
  <c r="K114" i="1"/>
  <c r="Q114" i="1"/>
  <c r="S114" i="1"/>
  <c r="AC114" i="1"/>
  <c r="CQ114" i="1" s="1"/>
  <c r="AD114" i="1"/>
  <c r="AB114" i="1" s="1"/>
  <c r="AE114" i="1"/>
  <c r="CR114" i="1" s="1"/>
  <c r="AF114" i="1"/>
  <c r="AG114" i="1"/>
  <c r="CU114" i="1" s="1"/>
  <c r="T114" i="1" s="1"/>
  <c r="AH114" i="1"/>
  <c r="CV114" i="1" s="1"/>
  <c r="U114" i="1" s="1"/>
  <c r="AI114" i="1"/>
  <c r="AJ114" i="1"/>
  <c r="CT114" i="1"/>
  <c r="CW114" i="1"/>
  <c r="CX114" i="1"/>
  <c r="W114" i="1" s="1"/>
  <c r="CY114" i="1"/>
  <c r="GL114" i="1"/>
  <c r="GN114" i="1"/>
  <c r="GP114" i="1"/>
  <c r="GV114" i="1"/>
  <c r="HC114" i="1"/>
  <c r="GX114" i="1" s="1"/>
  <c r="I115" i="1"/>
  <c r="Q115" i="1" s="1"/>
  <c r="P115" i="1"/>
  <c r="R115" i="1"/>
  <c r="U115" i="1"/>
  <c r="AC115" i="1"/>
  <c r="CQ115" i="1" s="1"/>
  <c r="AD115" i="1"/>
  <c r="AE115" i="1"/>
  <c r="AF115" i="1"/>
  <c r="AG115" i="1"/>
  <c r="AH115" i="1"/>
  <c r="CV115" i="1" s="1"/>
  <c r="AI115" i="1"/>
  <c r="AJ115" i="1"/>
  <c r="CR115" i="1"/>
  <c r="CS115" i="1"/>
  <c r="CU115" i="1"/>
  <c r="T115" i="1" s="1"/>
  <c r="CW115" i="1"/>
  <c r="V115" i="1" s="1"/>
  <c r="CX115" i="1"/>
  <c r="W115" i="1" s="1"/>
  <c r="GL115" i="1"/>
  <c r="GN115" i="1"/>
  <c r="GO115" i="1"/>
  <c r="GP115" i="1"/>
  <c r="GV115" i="1"/>
  <c r="HC115" i="1" s="1"/>
  <c r="GX115" i="1" s="1"/>
  <c r="I116" i="1"/>
  <c r="W116" i="1" s="1"/>
  <c r="AC116" i="1"/>
  <c r="AD116" i="1"/>
  <c r="AE116" i="1"/>
  <c r="AF116" i="1"/>
  <c r="AG116" i="1"/>
  <c r="AH116" i="1"/>
  <c r="AI116" i="1"/>
  <c r="CW116" i="1" s="1"/>
  <c r="AJ116" i="1"/>
  <c r="CX116" i="1" s="1"/>
  <c r="CR116" i="1"/>
  <c r="CS116" i="1"/>
  <c r="CT116" i="1"/>
  <c r="CU116" i="1"/>
  <c r="CV116" i="1"/>
  <c r="GL116" i="1"/>
  <c r="GN116" i="1"/>
  <c r="GO116" i="1"/>
  <c r="GP116" i="1"/>
  <c r="GV116" i="1"/>
  <c r="HC116" i="1" s="1"/>
  <c r="GX116" i="1" s="1"/>
  <c r="C117" i="1"/>
  <c r="D117" i="1"/>
  <c r="I117" i="1"/>
  <c r="K117" i="1"/>
  <c r="T117" i="1"/>
  <c r="AC117" i="1"/>
  <c r="P117" i="1" s="1"/>
  <c r="AE117" i="1"/>
  <c r="AF117" i="1"/>
  <c r="AG117" i="1"/>
  <c r="AH117" i="1"/>
  <c r="AI117" i="1"/>
  <c r="AJ117" i="1"/>
  <c r="CQ117" i="1"/>
  <c r="CU117" i="1"/>
  <c r="CV117" i="1"/>
  <c r="U117" i="1" s="1"/>
  <c r="CW117" i="1"/>
  <c r="V117" i="1" s="1"/>
  <c r="CX117" i="1"/>
  <c r="W117" i="1" s="1"/>
  <c r="GL117" i="1"/>
  <c r="GN117" i="1"/>
  <c r="GP117" i="1"/>
  <c r="GV117" i="1"/>
  <c r="HC117" i="1"/>
  <c r="GX117" i="1" s="1"/>
  <c r="C118" i="1"/>
  <c r="D118" i="1"/>
  <c r="I118" i="1"/>
  <c r="I120" i="1" s="1"/>
  <c r="K118" i="1"/>
  <c r="W118" i="1"/>
  <c r="AB118" i="1"/>
  <c r="AC118" i="1"/>
  <c r="AE118" i="1"/>
  <c r="AD118" i="1" s="1"/>
  <c r="AF118" i="1"/>
  <c r="CT118" i="1" s="1"/>
  <c r="AG118" i="1"/>
  <c r="CU118" i="1" s="1"/>
  <c r="T118" i="1" s="1"/>
  <c r="AH118" i="1"/>
  <c r="AI118" i="1"/>
  <c r="CW118" i="1" s="1"/>
  <c r="V118" i="1" s="1"/>
  <c r="AJ118" i="1"/>
  <c r="CX118" i="1" s="1"/>
  <c r="CQ118" i="1"/>
  <c r="CR118" i="1"/>
  <c r="CS118" i="1"/>
  <c r="CV118" i="1"/>
  <c r="U118" i="1" s="1"/>
  <c r="GL118" i="1"/>
  <c r="GN118" i="1"/>
  <c r="GP118" i="1"/>
  <c r="GV118" i="1"/>
  <c r="HC118" i="1"/>
  <c r="GX118" i="1" s="1"/>
  <c r="I119" i="1"/>
  <c r="R119" i="1"/>
  <c r="S119" i="1"/>
  <c r="U119" i="1"/>
  <c r="V119" i="1"/>
  <c r="AC119" i="1"/>
  <c r="CQ119" i="1" s="1"/>
  <c r="AD119" i="1"/>
  <c r="AE119" i="1"/>
  <c r="CS119" i="1" s="1"/>
  <c r="AF119" i="1"/>
  <c r="CT119" i="1" s="1"/>
  <c r="AG119" i="1"/>
  <c r="CU119" i="1" s="1"/>
  <c r="T119" i="1" s="1"/>
  <c r="AH119" i="1"/>
  <c r="AI119" i="1"/>
  <c r="AJ119" i="1"/>
  <c r="CR119" i="1"/>
  <c r="CV119" i="1"/>
  <c r="CW119" i="1"/>
  <c r="CX119" i="1"/>
  <c r="W119" i="1" s="1"/>
  <c r="GL119" i="1"/>
  <c r="GN119" i="1"/>
  <c r="GO119" i="1"/>
  <c r="GP119" i="1"/>
  <c r="GV119" i="1"/>
  <c r="HC119" i="1"/>
  <c r="GX119" i="1" s="1"/>
  <c r="P120" i="1"/>
  <c r="AC120" i="1"/>
  <c r="AD120" i="1"/>
  <c r="AB120" i="1" s="1"/>
  <c r="AE120" i="1"/>
  <c r="AF120" i="1"/>
  <c r="AG120" i="1"/>
  <c r="AH120" i="1"/>
  <c r="AI120" i="1"/>
  <c r="CW120" i="1" s="1"/>
  <c r="AJ120" i="1"/>
  <c r="CX120" i="1" s="1"/>
  <c r="CQ120" i="1"/>
  <c r="CR120" i="1"/>
  <c r="CS120" i="1"/>
  <c r="CT120" i="1"/>
  <c r="CU120" i="1"/>
  <c r="CV120" i="1"/>
  <c r="GL120" i="1"/>
  <c r="GN120" i="1"/>
  <c r="GO120" i="1"/>
  <c r="GP120" i="1"/>
  <c r="GV120" i="1"/>
  <c r="HC120" i="1" s="1"/>
  <c r="C121" i="1"/>
  <c r="D121" i="1"/>
  <c r="P121" i="1"/>
  <c r="S121" i="1"/>
  <c r="V121" i="1"/>
  <c r="AC121" i="1"/>
  <c r="CQ121" i="1" s="1"/>
  <c r="AD121" i="1"/>
  <c r="AB121" i="1" s="1"/>
  <c r="AE121" i="1"/>
  <c r="CR121" i="1" s="1"/>
  <c r="AF121" i="1"/>
  <c r="CT121" i="1" s="1"/>
  <c r="AG121" i="1"/>
  <c r="AH121" i="1"/>
  <c r="CV121" i="1" s="1"/>
  <c r="U121" i="1" s="1"/>
  <c r="AI121" i="1"/>
  <c r="AJ121" i="1"/>
  <c r="CX121" i="1" s="1"/>
  <c r="W121" i="1" s="1"/>
  <c r="CS121" i="1"/>
  <c r="CU121" i="1"/>
  <c r="T121" i="1" s="1"/>
  <c r="CW121" i="1"/>
  <c r="CY121" i="1"/>
  <c r="GL121" i="1"/>
  <c r="GN121" i="1"/>
  <c r="GP121" i="1"/>
  <c r="CD126" i="1" s="1"/>
  <c r="GV121" i="1"/>
  <c r="GX121" i="1"/>
  <c r="HC121" i="1"/>
  <c r="C122" i="1"/>
  <c r="D122" i="1"/>
  <c r="U122" i="1"/>
  <c r="W122" i="1"/>
  <c r="AC122" i="1"/>
  <c r="AE122" i="1"/>
  <c r="AF122" i="1"/>
  <c r="AG122" i="1"/>
  <c r="AH122" i="1"/>
  <c r="AI122" i="1"/>
  <c r="AJ122" i="1"/>
  <c r="CX122" i="1" s="1"/>
  <c r="CU122" i="1"/>
  <c r="T122" i="1" s="1"/>
  <c r="CV122" i="1"/>
  <c r="CW122" i="1"/>
  <c r="V122" i="1" s="1"/>
  <c r="GL122" i="1"/>
  <c r="GN122" i="1"/>
  <c r="GP122" i="1"/>
  <c r="GV122" i="1"/>
  <c r="HC122" i="1" s="1"/>
  <c r="GX122" i="1" s="1"/>
  <c r="I123" i="1"/>
  <c r="Q123" i="1"/>
  <c r="S123" i="1"/>
  <c r="Y123" i="1" s="1"/>
  <c r="AB123" i="1"/>
  <c r="AC123" i="1"/>
  <c r="AE123" i="1"/>
  <c r="AD123" i="1" s="1"/>
  <c r="AF123" i="1"/>
  <c r="CT123" i="1" s="1"/>
  <c r="AG123" i="1"/>
  <c r="CU123" i="1" s="1"/>
  <c r="T123" i="1" s="1"/>
  <c r="AH123" i="1"/>
  <c r="AI123" i="1"/>
  <c r="CW123" i="1" s="1"/>
  <c r="V123" i="1" s="1"/>
  <c r="AJ123" i="1"/>
  <c r="CX123" i="1" s="1"/>
  <c r="W123" i="1" s="1"/>
  <c r="CQ123" i="1"/>
  <c r="CR123" i="1"/>
  <c r="CS123" i="1"/>
  <c r="CV123" i="1"/>
  <c r="U123" i="1" s="1"/>
  <c r="GL123" i="1"/>
  <c r="GN123" i="1"/>
  <c r="GO123" i="1"/>
  <c r="GP123" i="1"/>
  <c r="GV123" i="1"/>
  <c r="GX123" i="1"/>
  <c r="HC123" i="1"/>
  <c r="I124" i="1"/>
  <c r="AC124" i="1"/>
  <c r="AE124" i="1"/>
  <c r="AF124" i="1"/>
  <c r="AG124" i="1"/>
  <c r="AH124" i="1"/>
  <c r="AI124" i="1"/>
  <c r="CW124" i="1" s="1"/>
  <c r="AJ124" i="1"/>
  <c r="CQ124" i="1"/>
  <c r="CU124" i="1"/>
  <c r="CV124" i="1"/>
  <c r="CX124" i="1"/>
  <c r="GL124" i="1"/>
  <c r="GN124" i="1"/>
  <c r="GO124" i="1"/>
  <c r="GP124" i="1"/>
  <c r="GV124" i="1"/>
  <c r="HC124" i="1"/>
  <c r="B126" i="1"/>
  <c r="B87" i="1" s="1"/>
  <c r="C126" i="1"/>
  <c r="C87" i="1" s="1"/>
  <c r="D126" i="1"/>
  <c r="D87" i="1" s="1"/>
  <c r="F126" i="1"/>
  <c r="F87" i="1" s="1"/>
  <c r="G126" i="1"/>
  <c r="G87" i="1" s="1"/>
  <c r="AS126" i="1"/>
  <c r="AS87" i="1" s="1"/>
  <c r="BC126" i="1"/>
  <c r="BX126" i="1"/>
  <c r="CB126" i="1"/>
  <c r="CB87" i="1" s="1"/>
  <c r="CJ126" i="1"/>
  <c r="CK126" i="1"/>
  <c r="BB126" i="1" s="1"/>
  <c r="CL126" i="1"/>
  <c r="CL87" i="1" s="1"/>
  <c r="CM126" i="1"/>
  <c r="ET126" i="1"/>
  <c r="EU126" i="1"/>
  <c r="EU87" i="1" s="1"/>
  <c r="FP126" i="1"/>
  <c r="FT126" i="1"/>
  <c r="FT87" i="1" s="1"/>
  <c r="FV126" i="1"/>
  <c r="GC126" i="1"/>
  <c r="GC87" i="1" s="1"/>
  <c r="GD126" i="1"/>
  <c r="GD87" i="1" s="1"/>
  <c r="GE126" i="1"/>
  <c r="GE87" i="1" s="1"/>
  <c r="F143" i="1"/>
  <c r="D156" i="1"/>
  <c r="C158" i="1"/>
  <c r="E158" i="1"/>
  <c r="Z158" i="1"/>
  <c r="AA158" i="1"/>
  <c r="AM158" i="1"/>
  <c r="AN158" i="1"/>
  <c r="BE158" i="1"/>
  <c r="BF158" i="1"/>
  <c r="BG158" i="1"/>
  <c r="BH158" i="1"/>
  <c r="BI158" i="1"/>
  <c r="BJ158" i="1"/>
  <c r="BK158" i="1"/>
  <c r="BL158" i="1"/>
  <c r="BM158" i="1"/>
  <c r="BN158" i="1"/>
  <c r="BO158" i="1"/>
  <c r="BP158" i="1"/>
  <c r="BQ158" i="1"/>
  <c r="BR158" i="1"/>
  <c r="BS158" i="1"/>
  <c r="BT158" i="1"/>
  <c r="BU158" i="1"/>
  <c r="BV158" i="1"/>
  <c r="BW158" i="1"/>
  <c r="CN158" i="1"/>
  <c r="CO158" i="1"/>
  <c r="CP158" i="1"/>
  <c r="CQ158" i="1"/>
  <c r="CR158" i="1"/>
  <c r="CS158" i="1"/>
  <c r="CT158" i="1"/>
  <c r="CU158" i="1"/>
  <c r="CV158" i="1"/>
  <c r="CW158" i="1"/>
  <c r="CX158" i="1"/>
  <c r="CY158" i="1"/>
  <c r="CZ158" i="1"/>
  <c r="DA158" i="1"/>
  <c r="DB158" i="1"/>
  <c r="DC158" i="1"/>
  <c r="DD158" i="1"/>
  <c r="DE158" i="1"/>
  <c r="DF158" i="1"/>
  <c r="DR158" i="1"/>
  <c r="DS158" i="1"/>
  <c r="EE158" i="1"/>
  <c r="EF158" i="1"/>
  <c r="EV158" i="1"/>
  <c r="EW158" i="1"/>
  <c r="EX158" i="1"/>
  <c r="EY158" i="1"/>
  <c r="EZ158" i="1"/>
  <c r="FA158" i="1"/>
  <c r="FB158" i="1"/>
  <c r="FC158" i="1"/>
  <c r="FD158" i="1"/>
  <c r="FE158" i="1"/>
  <c r="FF158" i="1"/>
  <c r="FG158" i="1"/>
  <c r="FH158" i="1"/>
  <c r="FI158" i="1"/>
  <c r="FJ158" i="1"/>
  <c r="FK158" i="1"/>
  <c r="FL158" i="1"/>
  <c r="FM158" i="1"/>
  <c r="FN158" i="1"/>
  <c r="FO158" i="1"/>
  <c r="GF158" i="1"/>
  <c r="GG158" i="1"/>
  <c r="GH158" i="1"/>
  <c r="GI158" i="1"/>
  <c r="GJ158" i="1"/>
  <c r="GK158" i="1"/>
  <c r="GL158" i="1"/>
  <c r="GM158" i="1"/>
  <c r="GN158" i="1"/>
  <c r="GO158" i="1"/>
  <c r="GP158" i="1"/>
  <c r="GQ158" i="1"/>
  <c r="GR158" i="1"/>
  <c r="GS158" i="1"/>
  <c r="GT158" i="1"/>
  <c r="GU158" i="1"/>
  <c r="GV158" i="1"/>
  <c r="GW158" i="1"/>
  <c r="GX158" i="1"/>
  <c r="C160" i="1"/>
  <c r="D160" i="1"/>
  <c r="I160" i="1"/>
  <c r="Q160" i="1" s="1"/>
  <c r="K160" i="1"/>
  <c r="R160" i="1"/>
  <c r="AC160" i="1"/>
  <c r="AD160" i="1"/>
  <c r="AE160" i="1"/>
  <c r="AF160" i="1"/>
  <c r="AG160" i="1"/>
  <c r="CU160" i="1" s="1"/>
  <c r="T160" i="1" s="1"/>
  <c r="AH160" i="1"/>
  <c r="CV160" i="1" s="1"/>
  <c r="U160" i="1" s="1"/>
  <c r="AI160" i="1"/>
  <c r="AJ160" i="1"/>
  <c r="CR160" i="1"/>
  <c r="CS160" i="1"/>
  <c r="CW160" i="1"/>
  <c r="V160" i="1" s="1"/>
  <c r="CX160" i="1"/>
  <c r="W160" i="1" s="1"/>
  <c r="GL160" i="1"/>
  <c r="GN160" i="1"/>
  <c r="GP160" i="1"/>
  <c r="GV160" i="1"/>
  <c r="HC160" i="1" s="1"/>
  <c r="GX160" i="1" s="1"/>
  <c r="C161" i="1"/>
  <c r="D161" i="1"/>
  <c r="I161" i="1"/>
  <c r="K161" i="1"/>
  <c r="Q161" i="1"/>
  <c r="U161" i="1"/>
  <c r="W161" i="1"/>
  <c r="X161" i="1"/>
  <c r="AC161" i="1"/>
  <c r="AE161" i="1"/>
  <c r="AF161" i="1"/>
  <c r="S161" i="1" s="1"/>
  <c r="Y161" i="1" s="1"/>
  <c r="AG161" i="1"/>
  <c r="CU161" i="1" s="1"/>
  <c r="T161" i="1" s="1"/>
  <c r="AH161" i="1"/>
  <c r="AI161" i="1"/>
  <c r="AJ161" i="1"/>
  <c r="CQ161" i="1"/>
  <c r="CT161" i="1"/>
  <c r="CV161" i="1"/>
  <c r="CW161" i="1"/>
  <c r="V161" i="1" s="1"/>
  <c r="CX161" i="1"/>
  <c r="CZ161" i="1"/>
  <c r="GL161" i="1"/>
  <c r="GN161" i="1"/>
  <c r="GP161" i="1"/>
  <c r="GV161" i="1"/>
  <c r="HC161" i="1" s="1"/>
  <c r="GX161" i="1" s="1"/>
  <c r="I162" i="1"/>
  <c r="AC162" i="1"/>
  <c r="CQ162" i="1" s="1"/>
  <c r="AE162" i="1"/>
  <c r="AF162" i="1"/>
  <c r="AG162" i="1"/>
  <c r="CU162" i="1" s="1"/>
  <c r="T162" i="1" s="1"/>
  <c r="AH162" i="1"/>
  <c r="CV162" i="1" s="1"/>
  <c r="U162" i="1" s="1"/>
  <c r="AH177" i="1" s="1"/>
  <c r="AI162" i="1"/>
  <c r="CW162" i="1" s="1"/>
  <c r="V162" i="1" s="1"/>
  <c r="AI177" i="1" s="1"/>
  <c r="AJ162" i="1"/>
  <c r="CT162" i="1"/>
  <c r="CX162" i="1"/>
  <c r="W162" i="1" s="1"/>
  <c r="GL162" i="1"/>
  <c r="GN162" i="1"/>
  <c r="GP162" i="1"/>
  <c r="GV162" i="1"/>
  <c r="HC162" i="1"/>
  <c r="I163" i="1"/>
  <c r="P163" i="1"/>
  <c r="R163" i="1"/>
  <c r="S163" i="1"/>
  <c r="U163" i="1"/>
  <c r="V163" i="1"/>
  <c r="AC163" i="1"/>
  <c r="AB163" i="1" s="1"/>
  <c r="AD163" i="1"/>
  <c r="AE163" i="1"/>
  <c r="Q163" i="1" s="1"/>
  <c r="AF163" i="1"/>
  <c r="AG163" i="1"/>
  <c r="CU163" i="1" s="1"/>
  <c r="T163" i="1" s="1"/>
  <c r="AH163" i="1"/>
  <c r="AI163" i="1"/>
  <c r="CW163" i="1" s="1"/>
  <c r="AJ163" i="1"/>
  <c r="CX163" i="1" s="1"/>
  <c r="W163" i="1" s="1"/>
  <c r="CQ163" i="1"/>
  <c r="CR163" i="1"/>
  <c r="CT163" i="1"/>
  <c r="CV163" i="1"/>
  <c r="GL163" i="1"/>
  <c r="GN163" i="1"/>
  <c r="FT177" i="1" s="1"/>
  <c r="GP163" i="1"/>
  <c r="GV163" i="1"/>
  <c r="HC163" i="1" s="1"/>
  <c r="GX163" i="1"/>
  <c r="I164" i="1"/>
  <c r="T164" i="1"/>
  <c r="AC164" i="1"/>
  <c r="AE164" i="1"/>
  <c r="AF164" i="1"/>
  <c r="S164" i="1" s="1"/>
  <c r="AG164" i="1"/>
  <c r="CU164" i="1" s="1"/>
  <c r="AH164" i="1"/>
  <c r="AI164" i="1"/>
  <c r="AJ164" i="1"/>
  <c r="CS164" i="1"/>
  <c r="CT164" i="1"/>
  <c r="CV164" i="1"/>
  <c r="U164" i="1" s="1"/>
  <c r="CW164" i="1"/>
  <c r="V164" i="1" s="1"/>
  <c r="CX164" i="1"/>
  <c r="W164" i="1" s="1"/>
  <c r="GL164" i="1"/>
  <c r="GN164" i="1"/>
  <c r="GP164" i="1"/>
  <c r="GV164" i="1"/>
  <c r="HC164" i="1"/>
  <c r="GX164" i="1" s="1"/>
  <c r="I165" i="1"/>
  <c r="P165" i="1"/>
  <c r="Q165" i="1"/>
  <c r="V165" i="1"/>
  <c r="W165" i="1"/>
  <c r="AC165" i="1"/>
  <c r="CQ165" i="1" s="1"/>
  <c r="AD165" i="1"/>
  <c r="AE165" i="1"/>
  <c r="CS165" i="1" s="1"/>
  <c r="AF165" i="1"/>
  <c r="AG165" i="1"/>
  <c r="CU165" i="1" s="1"/>
  <c r="T165" i="1" s="1"/>
  <c r="AH165" i="1"/>
  <c r="CV165" i="1" s="1"/>
  <c r="U165" i="1" s="1"/>
  <c r="AI165" i="1"/>
  <c r="CW165" i="1" s="1"/>
  <c r="AJ165" i="1"/>
  <c r="CR165" i="1"/>
  <c r="CT165" i="1"/>
  <c r="CX165" i="1"/>
  <c r="GL165" i="1"/>
  <c r="FR177" i="1" s="1"/>
  <c r="GN165" i="1"/>
  <c r="GP165" i="1"/>
  <c r="GV165" i="1"/>
  <c r="HC165" i="1" s="1"/>
  <c r="GX165" i="1" s="1"/>
  <c r="I166" i="1"/>
  <c r="K166" i="1"/>
  <c r="Q166" i="1"/>
  <c r="R166" i="1"/>
  <c r="T166" i="1"/>
  <c r="AC166" i="1"/>
  <c r="P166" i="1" s="1"/>
  <c r="AE166" i="1"/>
  <c r="AF166" i="1"/>
  <c r="AG166" i="1"/>
  <c r="AH166" i="1"/>
  <c r="CV166" i="1" s="1"/>
  <c r="U166" i="1" s="1"/>
  <c r="AI166" i="1"/>
  <c r="CW166" i="1" s="1"/>
  <c r="V166" i="1" s="1"/>
  <c r="AJ166" i="1"/>
  <c r="CX166" i="1" s="1"/>
  <c r="W166" i="1" s="1"/>
  <c r="CS166" i="1"/>
  <c r="CU166" i="1"/>
  <c r="GL166" i="1"/>
  <c r="GN166" i="1"/>
  <c r="GP166" i="1"/>
  <c r="GV166" i="1"/>
  <c r="HC166" i="1"/>
  <c r="GX166" i="1" s="1"/>
  <c r="I167" i="1"/>
  <c r="R167" i="1" s="1"/>
  <c r="K167" i="1"/>
  <c r="Q167" i="1"/>
  <c r="S167" i="1"/>
  <c r="U167" i="1"/>
  <c r="V167" i="1"/>
  <c r="AC167" i="1"/>
  <c r="AB167" i="1" s="1"/>
  <c r="AD167" i="1"/>
  <c r="AE167" i="1"/>
  <c r="CS167" i="1" s="1"/>
  <c r="AF167" i="1"/>
  <c r="CT167" i="1" s="1"/>
  <c r="AG167" i="1"/>
  <c r="CU167" i="1" s="1"/>
  <c r="T167" i="1" s="1"/>
  <c r="DY177" i="1" s="1"/>
  <c r="AH167" i="1"/>
  <c r="AI167" i="1"/>
  <c r="AJ167" i="1"/>
  <c r="CX167" i="1" s="1"/>
  <c r="W167" i="1" s="1"/>
  <c r="CQ167" i="1"/>
  <c r="CR167" i="1"/>
  <c r="CV167" i="1"/>
  <c r="CW167" i="1"/>
  <c r="GL167" i="1"/>
  <c r="GN167" i="1"/>
  <c r="GP167" i="1"/>
  <c r="GV167" i="1"/>
  <c r="HC167" i="1" s="1"/>
  <c r="GX167" i="1"/>
  <c r="I168" i="1"/>
  <c r="K168" i="1"/>
  <c r="P168" i="1"/>
  <c r="S168" i="1"/>
  <c r="T168" i="1"/>
  <c r="V168" i="1"/>
  <c r="X168" i="1"/>
  <c r="Y168" i="1"/>
  <c r="AC168" i="1"/>
  <c r="AE168" i="1"/>
  <c r="AD168" i="1" s="1"/>
  <c r="AB168" i="1" s="1"/>
  <c r="AF168" i="1"/>
  <c r="CT168" i="1" s="1"/>
  <c r="AG168" i="1"/>
  <c r="AH168" i="1"/>
  <c r="CV168" i="1" s="1"/>
  <c r="U168" i="1" s="1"/>
  <c r="AI168" i="1"/>
  <c r="AJ168" i="1"/>
  <c r="CX168" i="1" s="1"/>
  <c r="W168" i="1" s="1"/>
  <c r="CQ168" i="1"/>
  <c r="CR168" i="1"/>
  <c r="CS168" i="1"/>
  <c r="CU168" i="1"/>
  <c r="CW168" i="1"/>
  <c r="GL168" i="1"/>
  <c r="GN168" i="1"/>
  <c r="CB177" i="1" s="1"/>
  <c r="GP168" i="1"/>
  <c r="CD177" i="1" s="1"/>
  <c r="AU177" i="1" s="1"/>
  <c r="GV168" i="1"/>
  <c r="HC168" i="1" s="1"/>
  <c r="GX168" i="1"/>
  <c r="I169" i="1"/>
  <c r="K169" i="1"/>
  <c r="R169" i="1"/>
  <c r="S169" i="1"/>
  <c r="U169" i="1"/>
  <c r="V169" i="1"/>
  <c r="AC169" i="1"/>
  <c r="CQ169" i="1" s="1"/>
  <c r="AE169" i="1"/>
  <c r="CR169" i="1" s="1"/>
  <c r="AF169" i="1"/>
  <c r="CT169" i="1" s="1"/>
  <c r="AG169" i="1"/>
  <c r="CU169" i="1" s="1"/>
  <c r="T169" i="1" s="1"/>
  <c r="AH169" i="1"/>
  <c r="AI169" i="1"/>
  <c r="CW169" i="1" s="1"/>
  <c r="AJ169" i="1"/>
  <c r="CS169" i="1"/>
  <c r="CV169" i="1"/>
  <c r="CX169" i="1"/>
  <c r="W169" i="1" s="1"/>
  <c r="EB177" i="1" s="1"/>
  <c r="CZ169" i="1"/>
  <c r="GL169" i="1"/>
  <c r="GN169" i="1"/>
  <c r="GP169" i="1"/>
  <c r="GV169" i="1"/>
  <c r="HC169" i="1" s="1"/>
  <c r="GX169" i="1" s="1"/>
  <c r="C170" i="1"/>
  <c r="D170" i="1"/>
  <c r="I170" i="1"/>
  <c r="CU201" i="3" s="1"/>
  <c r="K170" i="1"/>
  <c r="S170" i="1"/>
  <c r="X170" i="1" s="1"/>
  <c r="AC170" i="1"/>
  <c r="AB170" i="1" s="1"/>
  <c r="AD170" i="1"/>
  <c r="AE170" i="1"/>
  <c r="AF170" i="1"/>
  <c r="AG170" i="1"/>
  <c r="AH170" i="1"/>
  <c r="CV170" i="1" s="1"/>
  <c r="U170" i="1" s="1"/>
  <c r="AI170" i="1"/>
  <c r="CW170" i="1" s="1"/>
  <c r="V170" i="1" s="1"/>
  <c r="AJ170" i="1"/>
  <c r="CR170" i="1"/>
  <c r="CS170" i="1"/>
  <c r="CT170" i="1"/>
  <c r="CU170" i="1"/>
  <c r="T170" i="1" s="1"/>
  <c r="CX170" i="1"/>
  <c r="W170" i="1" s="1"/>
  <c r="GL170" i="1"/>
  <c r="GN170" i="1"/>
  <c r="GP170" i="1"/>
  <c r="GV170" i="1"/>
  <c r="HC170" i="1" s="1"/>
  <c r="GX170" i="1"/>
  <c r="C171" i="1"/>
  <c r="D171" i="1"/>
  <c r="I171" i="1"/>
  <c r="K171" i="1"/>
  <c r="P171" i="1"/>
  <c r="Q171" i="1"/>
  <c r="S171" i="1"/>
  <c r="X171" i="1"/>
  <c r="AC171" i="1"/>
  <c r="AE171" i="1"/>
  <c r="AF171" i="1"/>
  <c r="AG171" i="1"/>
  <c r="CU171" i="1" s="1"/>
  <c r="T171" i="1" s="1"/>
  <c r="AH171" i="1"/>
  <c r="AI171" i="1"/>
  <c r="CW171" i="1" s="1"/>
  <c r="V171" i="1" s="1"/>
  <c r="AJ171" i="1"/>
  <c r="CQ171" i="1"/>
  <c r="CT171" i="1"/>
  <c r="CV171" i="1"/>
  <c r="U171" i="1" s="1"/>
  <c r="CX171" i="1"/>
  <c r="W171" i="1" s="1"/>
  <c r="CZ171" i="1"/>
  <c r="GL171" i="1"/>
  <c r="GN171" i="1"/>
  <c r="GP171" i="1"/>
  <c r="GV171" i="1"/>
  <c r="GX171" i="1"/>
  <c r="HC171" i="1"/>
  <c r="I172" i="1"/>
  <c r="Q172" i="1" s="1"/>
  <c r="K172" i="1"/>
  <c r="S172" i="1"/>
  <c r="X172" i="1"/>
  <c r="AC172" i="1"/>
  <c r="P172" i="1" s="1"/>
  <c r="CP172" i="1" s="1"/>
  <c r="O172" i="1" s="1"/>
  <c r="AD172" i="1"/>
  <c r="AB172" i="1" s="1"/>
  <c r="AE172" i="1"/>
  <c r="AF172" i="1"/>
  <c r="AG172" i="1"/>
  <c r="AH172" i="1"/>
  <c r="CV172" i="1" s="1"/>
  <c r="U172" i="1" s="1"/>
  <c r="AI172" i="1"/>
  <c r="CW172" i="1" s="1"/>
  <c r="V172" i="1" s="1"/>
  <c r="AJ172" i="1"/>
  <c r="CQ172" i="1"/>
  <c r="CR172" i="1"/>
  <c r="CS172" i="1"/>
  <c r="CT172" i="1"/>
  <c r="CU172" i="1"/>
  <c r="T172" i="1" s="1"/>
  <c r="CX172" i="1"/>
  <c r="W172" i="1" s="1"/>
  <c r="GL172" i="1"/>
  <c r="GN172" i="1"/>
  <c r="GP172" i="1"/>
  <c r="GV172" i="1"/>
  <c r="HC172" i="1" s="1"/>
  <c r="GX172" i="1"/>
  <c r="K173" i="1"/>
  <c r="AC173" i="1"/>
  <c r="CQ173" i="1" s="1"/>
  <c r="AE173" i="1"/>
  <c r="CR173" i="1" s="1"/>
  <c r="AF173" i="1"/>
  <c r="CT173" i="1" s="1"/>
  <c r="AG173" i="1"/>
  <c r="CU173" i="1" s="1"/>
  <c r="AH173" i="1"/>
  <c r="AI173" i="1"/>
  <c r="AJ173" i="1"/>
  <c r="CX173" i="1" s="1"/>
  <c r="CS173" i="1"/>
  <c r="CV173" i="1"/>
  <c r="CW173" i="1"/>
  <c r="GL173" i="1"/>
  <c r="GN173" i="1"/>
  <c r="GP173" i="1"/>
  <c r="GV173" i="1"/>
  <c r="HC173" i="1" s="1"/>
  <c r="P174" i="1"/>
  <c r="R174" i="1"/>
  <c r="S174" i="1"/>
  <c r="CY174" i="1" s="1"/>
  <c r="AC174" i="1"/>
  <c r="AD174" i="1"/>
  <c r="AE174" i="1"/>
  <c r="CR174" i="1" s="1"/>
  <c r="AF174" i="1"/>
  <c r="AG174" i="1"/>
  <c r="CU174" i="1" s="1"/>
  <c r="T174" i="1" s="1"/>
  <c r="AG177" i="1" s="1"/>
  <c r="AH174" i="1"/>
  <c r="CV174" i="1" s="1"/>
  <c r="U174" i="1" s="1"/>
  <c r="AI174" i="1"/>
  <c r="AJ174" i="1"/>
  <c r="CS174" i="1"/>
  <c r="CT174" i="1"/>
  <c r="CW174" i="1"/>
  <c r="V174" i="1" s="1"/>
  <c r="CX174" i="1"/>
  <c r="W174" i="1" s="1"/>
  <c r="GL174" i="1"/>
  <c r="GN174" i="1"/>
  <c r="GP174" i="1"/>
  <c r="GV174" i="1"/>
  <c r="HC174" i="1" s="1"/>
  <c r="GX174" i="1" s="1"/>
  <c r="P175" i="1"/>
  <c r="T175" i="1"/>
  <c r="W175" i="1"/>
  <c r="AC175" i="1"/>
  <c r="AD175" i="1"/>
  <c r="AE175" i="1"/>
  <c r="CZ175" i="1" s="1"/>
  <c r="AF175" i="1"/>
  <c r="S175" i="1" s="1"/>
  <c r="X175" i="1" s="1"/>
  <c r="AG175" i="1"/>
  <c r="AH175" i="1"/>
  <c r="CV175" i="1" s="1"/>
  <c r="U175" i="1" s="1"/>
  <c r="AI175" i="1"/>
  <c r="CW175" i="1" s="1"/>
  <c r="V175" i="1" s="1"/>
  <c r="AJ175" i="1"/>
  <c r="CR175" i="1"/>
  <c r="CT175" i="1"/>
  <c r="CU175" i="1"/>
  <c r="CX175" i="1"/>
  <c r="CY175" i="1"/>
  <c r="GL175" i="1"/>
  <c r="GN175" i="1"/>
  <c r="GP175" i="1"/>
  <c r="GV175" i="1"/>
  <c r="HC175" i="1" s="1"/>
  <c r="GX175" i="1" s="1"/>
  <c r="B177" i="1"/>
  <c r="B158" i="1" s="1"/>
  <c r="C177" i="1"/>
  <c r="D177" i="1"/>
  <c r="D158" i="1" s="1"/>
  <c r="F177" i="1"/>
  <c r="F158" i="1" s="1"/>
  <c r="G177" i="1"/>
  <c r="G158" i="1" s="1"/>
  <c r="AO177" i="1"/>
  <c r="AO158" i="1" s="1"/>
  <c r="BX177" i="1"/>
  <c r="BY177" i="1"/>
  <c r="BY158" i="1" s="1"/>
  <c r="BZ177" i="1"/>
  <c r="CK177" i="1"/>
  <c r="CL177" i="1"/>
  <c r="CM177" i="1"/>
  <c r="CM158" i="1" s="1"/>
  <c r="EA177" i="1"/>
  <c r="EA158" i="1" s="1"/>
  <c r="EG177" i="1"/>
  <c r="EG158" i="1" s="1"/>
  <c r="EU177" i="1"/>
  <c r="EU158" i="1" s="1"/>
  <c r="EV177" i="1"/>
  <c r="P202" i="1" s="1"/>
  <c r="FP177" i="1"/>
  <c r="FP158" i="1" s="1"/>
  <c r="FQ177" i="1"/>
  <c r="FV177" i="1"/>
  <c r="FV158" i="1" s="1"/>
  <c r="GC177" i="1"/>
  <c r="GC158" i="1" s="1"/>
  <c r="GD177" i="1"/>
  <c r="GD158" i="1" s="1"/>
  <c r="GE177" i="1"/>
  <c r="GE158" i="1" s="1"/>
  <c r="P181" i="1"/>
  <c r="D207" i="1"/>
  <c r="E209" i="1"/>
  <c r="Z209" i="1"/>
  <c r="AA209" i="1"/>
  <c r="AM209" i="1"/>
  <c r="AN209" i="1"/>
  <c r="BC209" i="1"/>
  <c r="BE209" i="1"/>
  <c r="BF209" i="1"/>
  <c r="BG209" i="1"/>
  <c r="BH209" i="1"/>
  <c r="BI209" i="1"/>
  <c r="BJ209" i="1"/>
  <c r="BK209" i="1"/>
  <c r="BL209" i="1"/>
  <c r="BM209" i="1"/>
  <c r="BN209" i="1"/>
  <c r="BO209" i="1"/>
  <c r="BP209" i="1"/>
  <c r="BQ209" i="1"/>
  <c r="BR209" i="1"/>
  <c r="BS209" i="1"/>
  <c r="BT209" i="1"/>
  <c r="BU209" i="1"/>
  <c r="BV209" i="1"/>
  <c r="BW209" i="1"/>
  <c r="CL209" i="1"/>
  <c r="CN209" i="1"/>
  <c r="CO209" i="1"/>
  <c r="CP209" i="1"/>
  <c r="CQ209" i="1"/>
  <c r="CR209" i="1"/>
  <c r="CS209" i="1"/>
  <c r="CT209" i="1"/>
  <c r="CU209" i="1"/>
  <c r="CV209" i="1"/>
  <c r="CW209" i="1"/>
  <c r="CX209" i="1"/>
  <c r="CY209" i="1"/>
  <c r="CZ209" i="1"/>
  <c r="DA209" i="1"/>
  <c r="DB209" i="1"/>
  <c r="DC209" i="1"/>
  <c r="DD209" i="1"/>
  <c r="DE209" i="1"/>
  <c r="DF209" i="1"/>
  <c r="DR209" i="1"/>
  <c r="DS209" i="1"/>
  <c r="EE209" i="1"/>
  <c r="EF209" i="1"/>
  <c r="EW209" i="1"/>
  <c r="EX209" i="1"/>
  <c r="EY209" i="1"/>
  <c r="EZ209" i="1"/>
  <c r="FA209" i="1"/>
  <c r="FB209" i="1"/>
  <c r="FC209" i="1"/>
  <c r="FD209" i="1"/>
  <c r="FE209" i="1"/>
  <c r="FF209" i="1"/>
  <c r="FG209" i="1"/>
  <c r="FH209" i="1"/>
  <c r="FI209" i="1"/>
  <c r="FJ209" i="1"/>
  <c r="FK209" i="1"/>
  <c r="FL209" i="1"/>
  <c r="FM209" i="1"/>
  <c r="FN209" i="1"/>
  <c r="FO209" i="1"/>
  <c r="GF209" i="1"/>
  <c r="GG209" i="1"/>
  <c r="GH209" i="1"/>
  <c r="GI209" i="1"/>
  <c r="GJ209" i="1"/>
  <c r="GK209" i="1"/>
  <c r="GL209" i="1"/>
  <c r="GM209" i="1"/>
  <c r="GN209" i="1"/>
  <c r="GO209" i="1"/>
  <c r="GP209" i="1"/>
  <c r="GQ209" i="1"/>
  <c r="GR209" i="1"/>
  <c r="GS209" i="1"/>
  <c r="GT209" i="1"/>
  <c r="GU209" i="1"/>
  <c r="GV209" i="1"/>
  <c r="GW209" i="1"/>
  <c r="GX209" i="1"/>
  <c r="C211" i="1"/>
  <c r="D211" i="1"/>
  <c r="R211" i="1"/>
  <c r="U211" i="1"/>
  <c r="X211" i="1"/>
  <c r="Y211" i="1"/>
  <c r="AC211" i="1"/>
  <c r="P211" i="1" s="1"/>
  <c r="AE211" i="1"/>
  <c r="AD211" i="1" s="1"/>
  <c r="AF211" i="1"/>
  <c r="S211" i="1" s="1"/>
  <c r="CY211" i="1" s="1"/>
  <c r="AG211" i="1"/>
  <c r="AH211" i="1"/>
  <c r="AI211" i="1"/>
  <c r="CW211" i="1" s="1"/>
  <c r="V211" i="1" s="1"/>
  <c r="AJ211" i="1"/>
  <c r="CX211" i="1" s="1"/>
  <c r="W211" i="1" s="1"/>
  <c r="CR211" i="1"/>
  <c r="CS211" i="1"/>
  <c r="CT211" i="1"/>
  <c r="CU211" i="1"/>
  <c r="T211" i="1" s="1"/>
  <c r="CV211" i="1"/>
  <c r="CZ211" i="1"/>
  <c r="GL211" i="1"/>
  <c r="BZ218" i="1" s="1"/>
  <c r="GN211" i="1"/>
  <c r="GP211" i="1"/>
  <c r="GV211" i="1"/>
  <c r="HC211" i="1" s="1"/>
  <c r="GX211" i="1" s="1"/>
  <c r="C212" i="1"/>
  <c r="D212" i="1"/>
  <c r="P212" i="1"/>
  <c r="S212" i="1"/>
  <c r="CZ212" i="1" s="1"/>
  <c r="AC212" i="1"/>
  <c r="AE212" i="1"/>
  <c r="X212" i="1" s="1"/>
  <c r="AF212" i="1"/>
  <c r="CT212" i="1" s="1"/>
  <c r="AG212" i="1"/>
  <c r="AH212" i="1"/>
  <c r="AI212" i="1"/>
  <c r="CW212" i="1" s="1"/>
  <c r="V212" i="1" s="1"/>
  <c r="EA218" i="1" s="1"/>
  <c r="AJ212" i="1"/>
  <c r="CQ212" i="1"/>
  <c r="CU212" i="1"/>
  <c r="T212" i="1" s="1"/>
  <c r="CV212" i="1"/>
  <c r="U212" i="1" s="1"/>
  <c r="CX212" i="1"/>
  <c r="W212" i="1" s="1"/>
  <c r="GL212" i="1"/>
  <c r="GN212" i="1"/>
  <c r="FT218" i="1" s="1"/>
  <c r="GP212" i="1"/>
  <c r="GV212" i="1"/>
  <c r="HC212" i="1"/>
  <c r="GX212" i="1" s="1"/>
  <c r="GB218" i="1" s="1"/>
  <c r="I213" i="1"/>
  <c r="P213" i="1"/>
  <c r="AC213" i="1"/>
  <c r="AE213" i="1"/>
  <c r="CS213" i="1" s="1"/>
  <c r="AF213" i="1"/>
  <c r="S213" i="1" s="1"/>
  <c r="AG213" i="1"/>
  <c r="AH213" i="1"/>
  <c r="AI213" i="1"/>
  <c r="AJ213" i="1"/>
  <c r="CU213" i="1"/>
  <c r="T213" i="1" s="1"/>
  <c r="CV213" i="1"/>
  <c r="U213" i="1" s="1"/>
  <c r="CW213" i="1"/>
  <c r="V213" i="1" s="1"/>
  <c r="CX213" i="1"/>
  <c r="W213" i="1" s="1"/>
  <c r="AJ218" i="1" s="1"/>
  <c r="GL213" i="1"/>
  <c r="GN213" i="1"/>
  <c r="GP213" i="1"/>
  <c r="GV213" i="1"/>
  <c r="HC213" i="1"/>
  <c r="GX213" i="1" s="1"/>
  <c r="I214" i="1"/>
  <c r="R214" i="1" s="1"/>
  <c r="P214" i="1"/>
  <c r="CP214" i="1" s="1"/>
  <c r="O214" i="1" s="1"/>
  <c r="Q214" i="1"/>
  <c r="AC214" i="1"/>
  <c r="CQ214" i="1" s="1"/>
  <c r="AD214" i="1"/>
  <c r="AE214" i="1"/>
  <c r="CR214" i="1" s="1"/>
  <c r="AF214" i="1"/>
  <c r="S214" i="1" s="1"/>
  <c r="CZ214" i="1" s="1"/>
  <c r="AG214" i="1"/>
  <c r="AH214" i="1"/>
  <c r="AI214" i="1"/>
  <c r="AJ214" i="1"/>
  <c r="CX214" i="1" s="1"/>
  <c r="CS214" i="1"/>
  <c r="CU214" i="1"/>
  <c r="T214" i="1" s="1"/>
  <c r="CV214" i="1"/>
  <c r="U214" i="1" s="1"/>
  <c r="CW214" i="1"/>
  <c r="V214" i="1" s="1"/>
  <c r="CY214" i="1"/>
  <c r="GL214" i="1"/>
  <c r="GN214" i="1"/>
  <c r="GP214" i="1"/>
  <c r="GV214" i="1"/>
  <c r="HC214" i="1"/>
  <c r="GX214" i="1" s="1"/>
  <c r="I215" i="1"/>
  <c r="Q215" i="1" s="1"/>
  <c r="P215" i="1"/>
  <c r="W215" i="1"/>
  <c r="AC215" i="1"/>
  <c r="CQ215" i="1" s="1"/>
  <c r="AD215" i="1"/>
  <c r="AE215" i="1"/>
  <c r="AF215" i="1"/>
  <c r="AG215" i="1"/>
  <c r="AH215" i="1"/>
  <c r="CV215" i="1" s="1"/>
  <c r="U215" i="1" s="1"/>
  <c r="AI215" i="1"/>
  <c r="AJ215" i="1"/>
  <c r="CR215" i="1"/>
  <c r="CS215" i="1"/>
  <c r="CT215" i="1"/>
  <c r="CU215" i="1"/>
  <c r="T215" i="1" s="1"/>
  <c r="CW215" i="1"/>
  <c r="V215" i="1" s="1"/>
  <c r="CX215" i="1"/>
  <c r="GL215" i="1"/>
  <c r="GN215" i="1"/>
  <c r="CB218" i="1" s="1"/>
  <c r="GO215" i="1"/>
  <c r="GP215" i="1"/>
  <c r="CD218" i="1" s="1"/>
  <c r="GV215" i="1"/>
  <c r="HC215" i="1" s="1"/>
  <c r="GX215" i="1" s="1"/>
  <c r="I216" i="1"/>
  <c r="Q216" i="1" s="1"/>
  <c r="R216" i="1"/>
  <c r="S216" i="1"/>
  <c r="X216" i="1" s="1"/>
  <c r="V216" i="1"/>
  <c r="AC216" i="1"/>
  <c r="CQ216" i="1" s="1"/>
  <c r="AE216" i="1"/>
  <c r="CR216" i="1" s="1"/>
  <c r="AF216" i="1"/>
  <c r="CT216" i="1" s="1"/>
  <c r="AG216" i="1"/>
  <c r="CU216" i="1" s="1"/>
  <c r="T216" i="1" s="1"/>
  <c r="AH216" i="1"/>
  <c r="CV216" i="1" s="1"/>
  <c r="U216" i="1" s="1"/>
  <c r="AI216" i="1"/>
  <c r="AJ216" i="1"/>
  <c r="CX216" i="1" s="1"/>
  <c r="W216" i="1" s="1"/>
  <c r="CS216" i="1"/>
  <c r="CW216" i="1"/>
  <c r="CY216" i="1"/>
  <c r="GL216" i="1"/>
  <c r="FR218" i="1" s="1"/>
  <c r="GN216" i="1"/>
  <c r="GO216" i="1"/>
  <c r="GP216" i="1"/>
  <c r="GV216" i="1"/>
  <c r="HC216" i="1"/>
  <c r="GX216" i="1" s="1"/>
  <c r="B218" i="1"/>
  <c r="B209" i="1" s="1"/>
  <c r="C218" i="1"/>
  <c r="C209" i="1" s="1"/>
  <c r="D218" i="1"/>
  <c r="D209" i="1" s="1"/>
  <c r="F218" i="1"/>
  <c r="F209" i="1" s="1"/>
  <c r="G218" i="1"/>
  <c r="G209" i="1" s="1"/>
  <c r="AO218" i="1"/>
  <c r="F222" i="1" s="1"/>
  <c r="BB218" i="1"/>
  <c r="BB209" i="1" s="1"/>
  <c r="BC218" i="1"/>
  <c r="F234" i="1" s="1"/>
  <c r="BX218" i="1"/>
  <c r="BX209" i="1" s="1"/>
  <c r="CK218" i="1"/>
  <c r="CK209" i="1" s="1"/>
  <c r="CL218" i="1"/>
  <c r="CM218" i="1"/>
  <c r="BD218" i="1" s="1"/>
  <c r="EM218" i="1"/>
  <c r="EM209" i="1" s="1"/>
  <c r="FP218" i="1"/>
  <c r="FP209" i="1" s="1"/>
  <c r="FV218" i="1"/>
  <c r="FV209" i="1" s="1"/>
  <c r="GC218" i="1"/>
  <c r="GC209" i="1" s="1"/>
  <c r="GD218" i="1"/>
  <c r="GD209" i="1" s="1"/>
  <c r="GE218" i="1"/>
  <c r="GE209" i="1" s="1"/>
  <c r="P237" i="1"/>
  <c r="B248" i="1"/>
  <c r="B22" i="1" s="1"/>
  <c r="C248" i="1"/>
  <c r="C22" i="1" s="1"/>
  <c r="D248" i="1"/>
  <c r="D22" i="1" s="1"/>
  <c r="F248" i="1"/>
  <c r="F22" i="1" s="1"/>
  <c r="G248" i="1"/>
  <c r="G22" i="1" s="1"/>
  <c r="B278" i="1"/>
  <c r="B18" i="1" s="1"/>
  <c r="C278" i="1"/>
  <c r="C18" i="1" s="1"/>
  <c r="D278" i="1"/>
  <c r="D18" i="1" s="1"/>
  <c r="F278" i="1"/>
  <c r="F18" i="1" s="1"/>
  <c r="G278" i="1"/>
  <c r="G18" i="1" s="1"/>
  <c r="F12" i="6"/>
  <c r="G12" i="6"/>
  <c r="J67" i="7" l="1"/>
  <c r="J142" i="7"/>
  <c r="J244" i="7"/>
  <c r="O257" i="7"/>
  <c r="P277" i="7"/>
  <c r="J291" i="7" s="1"/>
  <c r="J47" i="7"/>
  <c r="O112" i="7"/>
  <c r="P133" i="7"/>
  <c r="O88" i="7"/>
  <c r="H228" i="7"/>
  <c r="J230" i="7"/>
  <c r="P244" i="7"/>
  <c r="J255" i="7"/>
  <c r="H98" i="7"/>
  <c r="J112" i="7"/>
  <c r="O144" i="7"/>
  <c r="H291" i="7"/>
  <c r="O58" i="7"/>
  <c r="O79" i="7"/>
  <c r="J86" i="7"/>
  <c r="H110" i="7"/>
  <c r="P112" i="7"/>
  <c r="H121" i="7"/>
  <c r="O205" i="7"/>
  <c r="P230" i="7"/>
  <c r="J275" i="7"/>
  <c r="P307" i="7"/>
  <c r="J310" i="7" s="1"/>
  <c r="P67" i="7"/>
  <c r="P100" i="7"/>
  <c r="J144" i="7"/>
  <c r="J58" i="7"/>
  <c r="P79" i="7"/>
  <c r="J318" i="7" s="1"/>
  <c r="J205" i="7"/>
  <c r="O49" i="7"/>
  <c r="P175" i="7"/>
  <c r="P257" i="7"/>
  <c r="H56" i="7"/>
  <c r="O67" i="7"/>
  <c r="J88" i="7"/>
  <c r="H100" i="7"/>
  <c r="P123" i="7"/>
  <c r="O175" i="7"/>
  <c r="O230" i="7"/>
  <c r="H242" i="7"/>
  <c r="J257" i="7"/>
  <c r="H277" i="7"/>
  <c r="J307" i="7"/>
  <c r="J49" i="7"/>
  <c r="J77" i="7"/>
  <c r="P88" i="7"/>
  <c r="O100" i="7"/>
  <c r="H58" i="7"/>
  <c r="J110" i="7"/>
  <c r="H142" i="7"/>
  <c r="H203" i="7"/>
  <c r="J214" i="7"/>
  <c r="H244" i="7"/>
  <c r="H255" i="7"/>
  <c r="H305" i="7"/>
  <c r="H47" i="7"/>
  <c r="J79" i="7"/>
  <c r="H123" i="7"/>
  <c r="H88" i="7"/>
  <c r="H144" i="7"/>
  <c r="H205" i="7"/>
  <c r="J216" i="7"/>
  <c r="H257" i="7"/>
  <c r="H307" i="7"/>
  <c r="H49" i="7"/>
  <c r="J65" i="7"/>
  <c r="H77" i="7"/>
  <c r="J153" i="7"/>
  <c r="J173" i="7"/>
  <c r="J228" i="7"/>
  <c r="H79" i="7"/>
  <c r="J131" i="7"/>
  <c r="J155" i="7"/>
  <c r="J183" i="7"/>
  <c r="J56" i="7"/>
  <c r="J100" i="7"/>
  <c r="H112" i="7"/>
  <c r="H216" i="7"/>
  <c r="J242" i="7"/>
  <c r="J277" i="7"/>
  <c r="H288" i="7"/>
  <c r="J133" i="7"/>
  <c r="CD209" i="1"/>
  <c r="AU218" i="1"/>
  <c r="AS218" i="1"/>
  <c r="CB209" i="1"/>
  <c r="AG218" i="1"/>
  <c r="DY158" i="1"/>
  <c r="DL177" i="1"/>
  <c r="EK177" i="1"/>
  <c r="FT158" i="1"/>
  <c r="F243" i="1"/>
  <c r="BD209" i="1"/>
  <c r="EK218" i="1"/>
  <c r="FT209" i="1"/>
  <c r="AH218" i="1"/>
  <c r="AU158" i="1"/>
  <c r="F196" i="1"/>
  <c r="CB158" i="1"/>
  <c r="AS177" i="1"/>
  <c r="AC218" i="1"/>
  <c r="DZ218" i="1"/>
  <c r="V177" i="1"/>
  <c r="AI158" i="1"/>
  <c r="CZ213" i="1"/>
  <c r="CY213" i="1"/>
  <c r="X213" i="1"/>
  <c r="Y213" i="1"/>
  <c r="DY218" i="1"/>
  <c r="AI218" i="1"/>
  <c r="AH158" i="1"/>
  <c r="U177" i="1"/>
  <c r="GB209" i="1"/>
  <c r="ES218" i="1"/>
  <c r="CJ218" i="1"/>
  <c r="FR209" i="1"/>
  <c r="EI218" i="1"/>
  <c r="EB158" i="1"/>
  <c r="DO177" i="1"/>
  <c r="DN218" i="1"/>
  <c r="EA209" i="1"/>
  <c r="AG158" i="1"/>
  <c r="T177" i="1"/>
  <c r="W218" i="1"/>
  <c r="AJ209" i="1"/>
  <c r="AQ218" i="1"/>
  <c r="CG218" i="1"/>
  <c r="BZ209" i="1"/>
  <c r="FR158" i="1"/>
  <c r="EI177" i="1"/>
  <c r="FY177" i="1"/>
  <c r="CY212" i="1"/>
  <c r="S166" i="1"/>
  <c r="CT166" i="1"/>
  <c r="CY163" i="1"/>
  <c r="X163" i="1"/>
  <c r="Y163" i="1"/>
  <c r="CZ163" i="1"/>
  <c r="DX218" i="1"/>
  <c r="CZ216" i="1"/>
  <c r="AB215" i="1"/>
  <c r="AD213" i="1"/>
  <c r="AB213" i="1" s="1"/>
  <c r="CP166" i="1"/>
  <c r="O166" i="1" s="1"/>
  <c r="CP163" i="1"/>
  <c r="O163" i="1" s="1"/>
  <c r="GM163" i="1" s="1"/>
  <c r="GO163" i="1" s="1"/>
  <c r="CD158" i="1"/>
  <c r="CT117" i="1"/>
  <c r="S117" i="1"/>
  <c r="ET177" i="1"/>
  <c r="Y212" i="1"/>
  <c r="ED218" i="1" s="1"/>
  <c r="AO209" i="1"/>
  <c r="CG177" i="1"/>
  <c r="BX158" i="1"/>
  <c r="R175" i="1"/>
  <c r="CS175" i="1"/>
  <c r="R171" i="1"/>
  <c r="CY170" i="1"/>
  <c r="CZ170" i="1"/>
  <c r="Y170" i="1"/>
  <c r="CY100" i="1"/>
  <c r="Y100" i="1"/>
  <c r="CZ100" i="1"/>
  <c r="X100" i="1"/>
  <c r="F231" i="1"/>
  <c r="AD212" i="1"/>
  <c r="AB212" i="1" s="1"/>
  <c r="CT214" i="1"/>
  <c r="CR212" i="1"/>
  <c r="CQ211" i="1"/>
  <c r="BD177" i="1"/>
  <c r="CQ170" i="1"/>
  <c r="P170" i="1"/>
  <c r="CR162" i="1"/>
  <c r="CS162" i="1"/>
  <c r="AD162" i="1"/>
  <c r="AB162" i="1" s="1"/>
  <c r="DZ177" i="1"/>
  <c r="AJ126" i="1"/>
  <c r="CQ105" i="1"/>
  <c r="P105" i="1"/>
  <c r="EV218" i="1"/>
  <c r="AB214" i="1"/>
  <c r="CT213" i="1"/>
  <c r="F181" i="1"/>
  <c r="DX177" i="1"/>
  <c r="CL158" i="1"/>
  <c r="BC177" i="1"/>
  <c r="AB175" i="1"/>
  <c r="GX173" i="1"/>
  <c r="CR171" i="1"/>
  <c r="CS171" i="1"/>
  <c r="CJ87" i="1"/>
  <c r="BA126" i="1"/>
  <c r="V124" i="1"/>
  <c r="GX120" i="1"/>
  <c r="BZ158" i="1"/>
  <c r="AQ177" i="1"/>
  <c r="FR120" i="1"/>
  <c r="CP120" i="1"/>
  <c r="O120" i="1" s="1"/>
  <c r="DU218" i="1"/>
  <c r="FY218" i="1"/>
  <c r="ET218" i="1"/>
  <c r="FR215" i="1"/>
  <c r="BY218" i="1" s="1"/>
  <c r="Y214" i="1"/>
  <c r="CR213" i="1"/>
  <c r="CK158" i="1"/>
  <c r="BB177" i="1"/>
  <c r="Y175" i="1"/>
  <c r="CY172" i="1"/>
  <c r="CZ172" i="1"/>
  <c r="Y172" i="1"/>
  <c r="GM172" i="1" s="1"/>
  <c r="GO172" i="1" s="1"/>
  <c r="CY171" i="1"/>
  <c r="AD171" i="1"/>
  <c r="X169" i="1"/>
  <c r="Y169" i="1"/>
  <c r="CY169" i="1"/>
  <c r="Q162" i="1"/>
  <c r="FV87" i="1"/>
  <c r="EM126" i="1"/>
  <c r="GX124" i="1"/>
  <c r="AB211" i="1"/>
  <c r="EU218" i="1"/>
  <c r="EG218" i="1"/>
  <c r="AD216" i="1"/>
  <c r="P216" i="1"/>
  <c r="X214" i="1"/>
  <c r="EC218" i="1" s="1"/>
  <c r="CQ213" i="1"/>
  <c r="Q211" i="1"/>
  <c r="CP211" i="1" s="1"/>
  <c r="O211" i="1" s="1"/>
  <c r="CM209" i="1"/>
  <c r="EM177" i="1"/>
  <c r="AB171" i="1"/>
  <c r="CY167" i="1"/>
  <c r="X167" i="1"/>
  <c r="Y167" i="1"/>
  <c r="CZ167" i="1"/>
  <c r="R162" i="1"/>
  <c r="S162" i="1"/>
  <c r="GX162" i="1"/>
  <c r="CJ177" i="1" s="1"/>
  <c r="P162" i="1"/>
  <c r="CS212" i="1"/>
  <c r="R212" i="1"/>
  <c r="DW218" i="1" s="1"/>
  <c r="P164" i="1"/>
  <c r="CQ164" i="1"/>
  <c r="T124" i="1"/>
  <c r="DY126" i="1" s="1"/>
  <c r="Q124" i="1"/>
  <c r="W214" i="1"/>
  <c r="EB218" i="1" s="1"/>
  <c r="CI177" i="1"/>
  <c r="GB177" i="1"/>
  <c r="R120" i="1"/>
  <c r="S120" i="1"/>
  <c r="Q120" i="1"/>
  <c r="CZ114" i="1"/>
  <c r="X114" i="1"/>
  <c r="Y114" i="1"/>
  <c r="CQ122" i="1"/>
  <c r="P122" i="1"/>
  <c r="CP122" i="1" s="1"/>
  <c r="O122" i="1" s="1"/>
  <c r="AB122" i="1"/>
  <c r="AB216" i="1"/>
  <c r="S215" i="1"/>
  <c r="CP215" i="1" s="1"/>
  <c r="O215" i="1" s="1"/>
  <c r="FQ158" i="1"/>
  <c r="GA177" i="1"/>
  <c r="CQ175" i="1"/>
  <c r="AJ177" i="1"/>
  <c r="CD87" i="1"/>
  <c r="AU126" i="1"/>
  <c r="AD91" i="1"/>
  <c r="AB91" i="1" s="1"/>
  <c r="CR91" i="1"/>
  <c r="CS91" i="1"/>
  <c r="Q91" i="1"/>
  <c r="CP171" i="1"/>
  <c r="O171" i="1" s="1"/>
  <c r="U124" i="1"/>
  <c r="Y216" i="1"/>
  <c r="R215" i="1"/>
  <c r="R213" i="1"/>
  <c r="AE218" i="1" s="1"/>
  <c r="Q212" i="1"/>
  <c r="P193" i="1"/>
  <c r="EH177" i="1"/>
  <c r="CQ174" i="1"/>
  <c r="AB174" i="1"/>
  <c r="Y164" i="1"/>
  <c r="CY164" i="1"/>
  <c r="CZ164" i="1"/>
  <c r="X164" i="1"/>
  <c r="S160" i="1"/>
  <c r="CT160" i="1"/>
  <c r="X119" i="1"/>
  <c r="Y119" i="1"/>
  <c r="CY119" i="1"/>
  <c r="CZ119" i="1"/>
  <c r="CP213" i="1"/>
  <c r="O213" i="1" s="1"/>
  <c r="GM213" i="1" s="1"/>
  <c r="GO213" i="1" s="1"/>
  <c r="CZ174" i="1"/>
  <c r="X174" i="1"/>
  <c r="Y174" i="1"/>
  <c r="Q213" i="1"/>
  <c r="DN177" i="1"/>
  <c r="Q175" i="1"/>
  <c r="CP175" i="1" s="1"/>
  <c r="O175" i="1" s="1"/>
  <c r="GM175" i="1" s="1"/>
  <c r="GO175" i="1" s="1"/>
  <c r="Y171" i="1"/>
  <c r="CR164" i="1"/>
  <c r="AD164" i="1"/>
  <c r="AB164" i="1" s="1"/>
  <c r="Q164" i="1"/>
  <c r="R164" i="1"/>
  <c r="R124" i="1"/>
  <c r="S122" i="1"/>
  <c r="CT122" i="1"/>
  <c r="F139" i="1"/>
  <c r="BB87" i="1"/>
  <c r="CR122" i="1"/>
  <c r="AD122" i="1"/>
  <c r="CR117" i="1"/>
  <c r="CS117" i="1"/>
  <c r="AD117" i="1"/>
  <c r="AB117" i="1" s="1"/>
  <c r="AB97" i="1"/>
  <c r="P91" i="1"/>
  <c r="CQ91" i="1"/>
  <c r="CY46" i="1"/>
  <c r="CZ46" i="1"/>
  <c r="X46" i="1"/>
  <c r="Y46" i="1"/>
  <c r="P37" i="1"/>
  <c r="CQ37" i="1"/>
  <c r="AB37" i="1"/>
  <c r="Q174" i="1"/>
  <c r="CP174" i="1" s="1"/>
  <c r="O174" i="1" s="1"/>
  <c r="GM174" i="1" s="1"/>
  <c r="GO174" i="1" s="1"/>
  <c r="R165" i="1"/>
  <c r="P142" i="1"/>
  <c r="FP87" i="1"/>
  <c r="EG126" i="1"/>
  <c r="W120" i="1"/>
  <c r="S103" i="1"/>
  <c r="CT103" i="1"/>
  <c r="AB100" i="1"/>
  <c r="P100" i="1"/>
  <c r="CQ100" i="1"/>
  <c r="CY123" i="1"/>
  <c r="CZ123" i="1"/>
  <c r="X123" i="1"/>
  <c r="V120" i="1"/>
  <c r="BZ126" i="1"/>
  <c r="P167" i="1"/>
  <c r="CP167" i="1" s="1"/>
  <c r="O167" i="1" s="1"/>
  <c r="AD166" i="1"/>
  <c r="CR166" i="1"/>
  <c r="AB160" i="1"/>
  <c r="P139" i="1"/>
  <c r="ET87" i="1"/>
  <c r="CT124" i="1"/>
  <c r="S124" i="1"/>
  <c r="CW165" i="3"/>
  <c r="CX165" i="3"/>
  <c r="CX166" i="3"/>
  <c r="CX168" i="3"/>
  <c r="CU163" i="3"/>
  <c r="CV163" i="3"/>
  <c r="CX163" i="3"/>
  <c r="P118" i="1"/>
  <c r="CP118" i="1" s="1"/>
  <c r="O118" i="1" s="1"/>
  <c r="Q118" i="1"/>
  <c r="R118" i="1"/>
  <c r="S118" i="1"/>
  <c r="R117" i="1"/>
  <c r="U116" i="1"/>
  <c r="DZ126" i="1" s="1"/>
  <c r="CQ116" i="1"/>
  <c r="P116" i="1"/>
  <c r="AB116" i="1"/>
  <c r="FR115" i="1"/>
  <c r="CR95" i="1"/>
  <c r="AD95" i="1"/>
  <c r="AB95" i="1" s="1"/>
  <c r="Q95" i="1"/>
  <c r="CS95" i="1"/>
  <c r="R95" i="1"/>
  <c r="Q169" i="1"/>
  <c r="DV177" i="1" s="1"/>
  <c r="CZ168" i="1"/>
  <c r="AB165" i="1"/>
  <c r="CR124" i="1"/>
  <c r="AD124" i="1"/>
  <c r="AB124" i="1" s="1"/>
  <c r="P123" i="1"/>
  <c r="R123" i="1"/>
  <c r="CS122" i="1"/>
  <c r="R122" i="1"/>
  <c r="Q117" i="1"/>
  <c r="CP117" i="1" s="1"/>
  <c r="O117" i="1" s="1"/>
  <c r="T116" i="1"/>
  <c r="CQ95" i="1"/>
  <c r="P95" i="1"/>
  <c r="CP95" i="1" s="1"/>
  <c r="O95" i="1" s="1"/>
  <c r="AP177" i="1"/>
  <c r="AD173" i="1"/>
  <c r="AB173" i="1" s="1"/>
  <c r="P173" i="1"/>
  <c r="AD169" i="1"/>
  <c r="AB169" i="1" s="1"/>
  <c r="P169" i="1"/>
  <c r="CY168" i="1"/>
  <c r="Q168" i="1"/>
  <c r="CP168" i="1" s="1"/>
  <c r="O168" i="1" s="1"/>
  <c r="GM168" i="1" s="1"/>
  <c r="GO168" i="1" s="1"/>
  <c r="AB166" i="1"/>
  <c r="W124" i="1"/>
  <c r="P124" i="1"/>
  <c r="Q122" i="1"/>
  <c r="CP113" i="1"/>
  <c r="O113" i="1" s="1"/>
  <c r="CY95" i="1"/>
  <c r="CU202" i="3"/>
  <c r="CV202" i="3"/>
  <c r="BX87" i="1"/>
  <c r="AO126" i="1"/>
  <c r="CG126" i="1"/>
  <c r="Q116" i="1"/>
  <c r="R116" i="1"/>
  <c r="S116" i="1"/>
  <c r="Y113" i="1"/>
  <c r="X113" i="1"/>
  <c r="CY113" i="1"/>
  <c r="CZ113" i="1"/>
  <c r="P110" i="1"/>
  <c r="CP110" i="1" s="1"/>
  <c r="O110" i="1" s="1"/>
  <c r="CQ110" i="1"/>
  <c r="CQ160" i="1"/>
  <c r="EK126" i="1"/>
  <c r="BC87" i="1"/>
  <c r="F142" i="1"/>
  <c r="U120" i="1"/>
  <c r="EB126" i="1"/>
  <c r="I173" i="1"/>
  <c r="W173" i="1" s="1"/>
  <c r="R172" i="1"/>
  <c r="R170" i="1"/>
  <c r="R168" i="1"/>
  <c r="CQ166" i="1"/>
  <c r="CY161" i="1"/>
  <c r="CR161" i="1"/>
  <c r="CS161" i="1"/>
  <c r="AD161" i="1"/>
  <c r="R161" i="1"/>
  <c r="DW177" i="1" s="1"/>
  <c r="P160" i="1"/>
  <c r="EI126" i="1"/>
  <c r="T120" i="1"/>
  <c r="Q170" i="1"/>
  <c r="S165" i="1"/>
  <c r="AB161" i="1"/>
  <c r="P161" i="1"/>
  <c r="FY126" i="1"/>
  <c r="CM87" i="1"/>
  <c r="BD126" i="1"/>
  <c r="CS124" i="1"/>
  <c r="X121" i="1"/>
  <c r="Y121" i="1"/>
  <c r="CZ121" i="1"/>
  <c r="V116" i="1"/>
  <c r="S115" i="1"/>
  <c r="CP115" i="1" s="1"/>
  <c r="O115" i="1" s="1"/>
  <c r="CT115" i="1"/>
  <c r="CZ112" i="1"/>
  <c r="X112" i="1"/>
  <c r="GM112" i="1" s="1"/>
  <c r="Y112" i="1"/>
  <c r="CY112" i="1"/>
  <c r="X111" i="1"/>
  <c r="GM111" i="1" s="1"/>
  <c r="Y111" i="1"/>
  <c r="CY111" i="1"/>
  <c r="CZ111" i="1"/>
  <c r="CR105" i="1"/>
  <c r="AD105" i="1"/>
  <c r="AB105" i="1" s="1"/>
  <c r="CY105" i="1"/>
  <c r="Q105" i="1"/>
  <c r="R105" i="1"/>
  <c r="CS105" i="1"/>
  <c r="CS163" i="1"/>
  <c r="EV126" i="1"/>
  <c r="P114" i="1"/>
  <c r="CP114" i="1" s="1"/>
  <c r="O114" i="1" s="1"/>
  <c r="GM114" i="1" s="1"/>
  <c r="GO114" i="1" s="1"/>
  <c r="CP108" i="1"/>
  <c r="O108" i="1" s="1"/>
  <c r="GM108" i="1" s="1"/>
  <c r="AB107" i="1"/>
  <c r="CU131" i="3"/>
  <c r="CX133" i="3"/>
  <c r="CV131" i="3"/>
  <c r="CX131" i="3"/>
  <c r="CX136" i="3"/>
  <c r="Q106" i="1"/>
  <c r="CP106" i="1" s="1"/>
  <c r="O106" i="1" s="1"/>
  <c r="R106" i="1"/>
  <c r="CR103" i="1"/>
  <c r="AD103" i="1"/>
  <c r="AB103" i="1" s="1"/>
  <c r="CP101" i="1"/>
  <c r="O101" i="1" s="1"/>
  <c r="Y99" i="1"/>
  <c r="CR99" i="1"/>
  <c r="AD99" i="1"/>
  <c r="AB99" i="1" s="1"/>
  <c r="R99" i="1"/>
  <c r="CT98" i="1"/>
  <c r="U91" i="1"/>
  <c r="S90" i="1"/>
  <c r="EG26" i="1"/>
  <c r="P59" i="1"/>
  <c r="CY108" i="1"/>
  <c r="CZ108" i="1"/>
  <c r="X108" i="1"/>
  <c r="CY104" i="1"/>
  <c r="CZ104" i="1"/>
  <c r="X104" i="1"/>
  <c r="GM104" i="1" s="1"/>
  <c r="CQ103" i="1"/>
  <c r="P103" i="1"/>
  <c r="CT100" i="1"/>
  <c r="CP93" i="1"/>
  <c r="O93" i="1" s="1"/>
  <c r="GB26" i="1"/>
  <c r="ES55" i="1"/>
  <c r="AB115" i="1"/>
  <c r="CR113" i="1"/>
  <c r="AD113" i="1"/>
  <c r="AB113" i="1" s="1"/>
  <c r="CS109" i="1"/>
  <c r="R109" i="1"/>
  <c r="R101" i="1"/>
  <c r="S101" i="1"/>
  <c r="Y97" i="1"/>
  <c r="CY97" i="1"/>
  <c r="Y92" i="1"/>
  <c r="CY92" i="1"/>
  <c r="CP90" i="1"/>
  <c r="O90" i="1" s="1"/>
  <c r="R121" i="1"/>
  <c r="Q119" i="1"/>
  <c r="CV151" i="3"/>
  <c r="CX156" i="3"/>
  <c r="CU151" i="3"/>
  <c r="CX154" i="3"/>
  <c r="CX151" i="3"/>
  <c r="R114" i="1"/>
  <c r="AD109" i="1"/>
  <c r="Q108" i="1"/>
  <c r="R108" i="1"/>
  <c r="CY107" i="1"/>
  <c r="Y107" i="1"/>
  <c r="P102" i="1"/>
  <c r="CU71" i="3"/>
  <c r="CW72" i="3"/>
  <c r="CX74" i="3"/>
  <c r="CX76" i="3"/>
  <c r="CX78" i="3"/>
  <c r="CX72" i="3"/>
  <c r="P48" i="1"/>
  <c r="CP48" i="1" s="1"/>
  <c r="O48" i="1" s="1"/>
  <c r="GX48" i="1"/>
  <c r="CJ55" i="1" s="1"/>
  <c r="Q48" i="1"/>
  <c r="R48" i="1"/>
  <c r="S48" i="1"/>
  <c r="U48" i="1"/>
  <c r="AH55" i="1" s="1"/>
  <c r="W48" i="1"/>
  <c r="CX187" i="3"/>
  <c r="CU181" i="3"/>
  <c r="CV181" i="3"/>
  <c r="CX190" i="3"/>
  <c r="CX181" i="3"/>
  <c r="CW182" i="3"/>
  <c r="CW183" i="3"/>
  <c r="CX183" i="3"/>
  <c r="CX184" i="3"/>
  <c r="Q121" i="1"/>
  <c r="CP121" i="1" s="1"/>
  <c r="O121" i="1" s="1"/>
  <c r="GM121" i="1" s="1"/>
  <c r="GO121" i="1" s="1"/>
  <c r="P119" i="1"/>
  <c r="CS114" i="1"/>
  <c r="CY109" i="1"/>
  <c r="CZ102" i="1"/>
  <c r="R91" i="1"/>
  <c r="S91" i="1"/>
  <c r="T91" i="1"/>
  <c r="AG126" i="1" s="1"/>
  <c r="CK87" i="1"/>
  <c r="CM26" i="1"/>
  <c r="BD55" i="1"/>
  <c r="AB43" i="1"/>
  <c r="Y109" i="1"/>
  <c r="FR107" i="1"/>
  <c r="CL26" i="1"/>
  <c r="BC55" i="1"/>
  <c r="AB119" i="1"/>
  <c r="CU157" i="3"/>
  <c r="CW160" i="3"/>
  <c r="CX160" i="3"/>
  <c r="CX161" i="3"/>
  <c r="CS113" i="1"/>
  <c r="AD101" i="1"/>
  <c r="AB101" i="1" s="1"/>
  <c r="CR101" i="1"/>
  <c r="CY93" i="1"/>
  <c r="CZ93" i="1"/>
  <c r="X93" i="1"/>
  <c r="V91" i="1"/>
  <c r="AI126" i="1" s="1"/>
  <c r="CU97" i="3"/>
  <c r="CX100" i="3"/>
  <c r="CX101" i="3"/>
  <c r="CW99" i="3"/>
  <c r="CW98" i="3"/>
  <c r="CX99" i="3"/>
  <c r="CX98" i="3"/>
  <c r="Q89" i="1"/>
  <c r="CP89" i="1" s="1"/>
  <c r="O89" i="1" s="1"/>
  <c r="R89" i="1"/>
  <c r="S89" i="1"/>
  <c r="Y102" i="1"/>
  <c r="CY102" i="1"/>
  <c r="CZ98" i="1"/>
  <c r="X98" i="1"/>
  <c r="Y98" i="1"/>
  <c r="CR44" i="1"/>
  <c r="CS44" i="1"/>
  <c r="AD44" i="1"/>
  <c r="AB44" i="1" s="1"/>
  <c r="Q44" i="1"/>
  <c r="R44" i="1"/>
  <c r="V114" i="1"/>
  <c r="EA126" i="1" s="1"/>
  <c r="CS112" i="1"/>
  <c r="CR109" i="1"/>
  <c r="CZ109" i="1"/>
  <c r="X109" i="1"/>
  <c r="GX106" i="1"/>
  <c r="GB126" i="1" s="1"/>
  <c r="CQ102" i="1"/>
  <c r="Q99" i="1"/>
  <c r="CP99" i="1" s="1"/>
  <c r="O99" i="1" s="1"/>
  <c r="CR98" i="1"/>
  <c r="AD98" i="1"/>
  <c r="AB98" i="1" s="1"/>
  <c r="AB96" i="1"/>
  <c r="P96" i="1"/>
  <c r="U89" i="1"/>
  <c r="AH126" i="1" s="1"/>
  <c r="CX195" i="3"/>
  <c r="CU191" i="3"/>
  <c r="CX200" i="3"/>
  <c r="CW192" i="3"/>
  <c r="CX192" i="3"/>
  <c r="CW193" i="3"/>
  <c r="CX193" i="3"/>
  <c r="CX198" i="3"/>
  <c r="AD110" i="1"/>
  <c r="AB110" i="1" s="1"/>
  <c r="R110" i="1"/>
  <c r="Y110" i="1"/>
  <c r="CR110" i="1"/>
  <c r="Q109" i="1"/>
  <c r="CP109" i="1" s="1"/>
  <c r="O109" i="1" s="1"/>
  <c r="GM109" i="1" s="1"/>
  <c r="GO109" i="1" s="1"/>
  <c r="S106" i="1"/>
  <c r="CZ105" i="1"/>
  <c r="X105" i="1"/>
  <c r="Y105" i="1"/>
  <c r="Y104" i="1"/>
  <c r="CQ98" i="1"/>
  <c r="P98" i="1"/>
  <c r="CZ96" i="1"/>
  <c r="Y96" i="1"/>
  <c r="CZ95" i="1"/>
  <c r="X95" i="1"/>
  <c r="Y95" i="1"/>
  <c r="X94" i="1"/>
  <c r="CZ94" i="1"/>
  <c r="CQ93" i="1"/>
  <c r="AB93" i="1"/>
  <c r="ET26" i="1"/>
  <c r="P68" i="1"/>
  <c r="Q107" i="1"/>
  <c r="CP107" i="1" s="1"/>
  <c r="O107" i="1" s="1"/>
  <c r="GM107" i="1" s="1"/>
  <c r="Q100" i="1"/>
  <c r="Q90" i="1"/>
  <c r="FV26" i="1"/>
  <c r="EM55" i="1"/>
  <c r="BB55" i="1"/>
  <c r="CK26" i="1"/>
  <c r="S40" i="1"/>
  <c r="CT40" i="1"/>
  <c r="CY39" i="1"/>
  <c r="CZ39" i="1"/>
  <c r="X39" i="1"/>
  <c r="V48" i="1"/>
  <c r="CQ46" i="1"/>
  <c r="AB46" i="1"/>
  <c r="CY35" i="1"/>
  <c r="CZ35" i="1"/>
  <c r="X35" i="1"/>
  <c r="Y35" i="1"/>
  <c r="CD26" i="1"/>
  <c r="AU55" i="1"/>
  <c r="EB55" i="1"/>
  <c r="CS107" i="1"/>
  <c r="CU125" i="3"/>
  <c r="CX127" i="3"/>
  <c r="CX126" i="3"/>
  <c r="CX129" i="3"/>
  <c r="CW128" i="3"/>
  <c r="CW127" i="3"/>
  <c r="Q102" i="1"/>
  <c r="CS100" i="1"/>
  <c r="Q97" i="1"/>
  <c r="Q92" i="1"/>
  <c r="CS90" i="1"/>
  <c r="AB90" i="1"/>
  <c r="P46" i="1"/>
  <c r="CP46" i="1" s="1"/>
  <c r="O46" i="1" s="1"/>
  <c r="GM46" i="1" s="1"/>
  <c r="GN46" i="1" s="1"/>
  <c r="CP34" i="1"/>
  <c r="O34" i="1" s="1"/>
  <c r="GM30" i="1"/>
  <c r="GO30" i="1" s="1"/>
  <c r="DZ55" i="1"/>
  <c r="AB109" i="1"/>
  <c r="AD102" i="1"/>
  <c r="AB102" i="1" s="1"/>
  <c r="AD97" i="1"/>
  <c r="P97" i="1"/>
  <c r="Q94" i="1"/>
  <c r="CP94" i="1" s="1"/>
  <c r="O94" i="1" s="1"/>
  <c r="GM94" i="1" s="1"/>
  <c r="GO94" i="1" s="1"/>
  <c r="AD92" i="1"/>
  <c r="AB92" i="1" s="1"/>
  <c r="P92" i="1"/>
  <c r="CU102" i="3"/>
  <c r="CX102" i="3"/>
  <c r="CX105" i="3"/>
  <c r="Y39" i="1"/>
  <c r="CY53" i="1"/>
  <c r="CZ53" i="1"/>
  <c r="X53" i="1"/>
  <c r="Y53" i="1"/>
  <c r="CR51" i="1"/>
  <c r="CS51" i="1"/>
  <c r="CY49" i="1"/>
  <c r="CZ49" i="1"/>
  <c r="X49" i="1"/>
  <c r="Y49" i="1"/>
  <c r="S42" i="1"/>
  <c r="CT42" i="1"/>
  <c r="CZ29" i="1"/>
  <c r="X29" i="1"/>
  <c r="Y29" i="1"/>
  <c r="CY29" i="1"/>
  <c r="CS102" i="1"/>
  <c r="CS97" i="1"/>
  <c r="Q96" i="1"/>
  <c r="CS92" i="1"/>
  <c r="EV55" i="1"/>
  <c r="EI55" i="1"/>
  <c r="AD51" i="1"/>
  <c r="AB51" i="1" s="1"/>
  <c r="CU40" i="3"/>
  <c r="CW41" i="3"/>
  <c r="CX41" i="3"/>
  <c r="CV40" i="3"/>
  <c r="CW42" i="3"/>
  <c r="CX43" i="3"/>
  <c r="Q39" i="1"/>
  <c r="R39" i="1"/>
  <c r="T39" i="1"/>
  <c r="V39" i="1"/>
  <c r="CY33" i="1"/>
  <c r="CZ33" i="1"/>
  <c r="X33" i="1"/>
  <c r="Y33" i="1"/>
  <c r="CX185" i="3"/>
  <c r="CU145" i="3"/>
  <c r="CX145" i="3"/>
  <c r="CW148" i="3"/>
  <c r="CX149" i="3"/>
  <c r="CX148" i="3"/>
  <c r="GA55" i="1"/>
  <c r="EU55" i="1"/>
  <c r="EH55" i="1"/>
  <c r="BX26" i="1"/>
  <c r="AO55" i="1"/>
  <c r="CG55" i="1"/>
  <c r="CP49" i="1"/>
  <c r="O49" i="1" s="1"/>
  <c r="CW164" i="3"/>
  <c r="T48" i="1"/>
  <c r="AG55" i="1" s="1"/>
  <c r="CY43" i="1"/>
  <c r="CZ43" i="1"/>
  <c r="CY37" i="1"/>
  <c r="CZ37" i="1"/>
  <c r="X37" i="1"/>
  <c r="Y37" i="1"/>
  <c r="FY55" i="1"/>
  <c r="CY51" i="1"/>
  <c r="S44" i="1"/>
  <c r="CT44" i="1"/>
  <c r="CW26" i="3"/>
  <c r="CX27" i="3"/>
  <c r="CX28" i="3"/>
  <c r="CW27" i="3"/>
  <c r="CW25" i="3"/>
  <c r="CU24" i="3"/>
  <c r="CX24" i="3"/>
  <c r="DF207" i="3"/>
  <c r="DJ207" i="3" s="1"/>
  <c r="DH207" i="3"/>
  <c r="DI207" i="3"/>
  <c r="CV201" i="3"/>
  <c r="CX186" i="3"/>
  <c r="CW159" i="3"/>
  <c r="CW153" i="3"/>
  <c r="CX146" i="3"/>
  <c r="CX134" i="3"/>
  <c r="Q42" i="1"/>
  <c r="Q40" i="1"/>
  <c r="AB33" i="1"/>
  <c r="CU1" i="3"/>
  <c r="CW3" i="3"/>
  <c r="CX3" i="3"/>
  <c r="CW2" i="3"/>
  <c r="CX4" i="3"/>
  <c r="Q28" i="1"/>
  <c r="R28" i="1"/>
  <c r="CX162" i="3"/>
  <c r="Q53" i="1"/>
  <c r="CP53" i="1" s="1"/>
  <c r="O53" i="1" s="1"/>
  <c r="GM53" i="1" s="1"/>
  <c r="GO53" i="1" s="1"/>
  <c r="Q49" i="1"/>
  <c r="S47" i="1"/>
  <c r="P44" i="1"/>
  <c r="AD42" i="1"/>
  <c r="AB42" i="1" s="1"/>
  <c r="P42" i="1"/>
  <c r="CP42" i="1" s="1"/>
  <c r="O42" i="1" s="1"/>
  <c r="AD40" i="1"/>
  <c r="AB40" i="1" s="1"/>
  <c r="P40" i="1"/>
  <c r="CP40" i="1" s="1"/>
  <c r="O40" i="1" s="1"/>
  <c r="CR37" i="1"/>
  <c r="R36" i="1"/>
  <c r="R34" i="1"/>
  <c r="CR33" i="1"/>
  <c r="P32" i="1"/>
  <c r="CP32" i="1" s="1"/>
  <c r="O32" i="1" s="1"/>
  <c r="CY31" i="1"/>
  <c r="R31" i="1"/>
  <c r="CP29" i="1"/>
  <c r="O29" i="1" s="1"/>
  <c r="BY26" i="1"/>
  <c r="DF210" i="3"/>
  <c r="DF178" i="3"/>
  <c r="DJ178" i="3" s="1"/>
  <c r="DG178" i="3"/>
  <c r="DH178" i="3"/>
  <c r="DI178" i="3"/>
  <c r="DG140" i="3"/>
  <c r="DH140" i="3"/>
  <c r="DF140" i="3"/>
  <c r="DJ140" i="3" s="1"/>
  <c r="DI140" i="3"/>
  <c r="CW80" i="3"/>
  <c r="CX80" i="3"/>
  <c r="T45" i="1"/>
  <c r="T41" i="1"/>
  <c r="Q38" i="1"/>
  <c r="Q36" i="1"/>
  <c r="CP36" i="1" s="1"/>
  <c r="O36" i="1" s="1"/>
  <c r="GM36" i="1" s="1"/>
  <c r="GO36" i="1" s="1"/>
  <c r="V35" i="1"/>
  <c r="EA55" i="1" s="1"/>
  <c r="Q34" i="1"/>
  <c r="CQ33" i="1"/>
  <c r="DH211" i="3"/>
  <c r="CW171" i="3"/>
  <c r="CX171" i="3"/>
  <c r="CX5" i="3"/>
  <c r="CY52" i="1"/>
  <c r="Y51" i="1"/>
  <c r="CY50" i="1"/>
  <c r="Q47" i="1"/>
  <c r="CP47" i="1" s="1"/>
  <c r="O47" i="1" s="1"/>
  <c r="S45" i="1"/>
  <c r="CS42" i="1"/>
  <c r="S41" i="1"/>
  <c r="DX55" i="1" s="1"/>
  <c r="CS40" i="1"/>
  <c r="AD38" i="1"/>
  <c r="P38" i="1"/>
  <c r="AD36" i="1"/>
  <c r="AD34" i="1"/>
  <c r="CP31" i="1"/>
  <c r="O31" i="1" s="1"/>
  <c r="GM31" i="1" s="1"/>
  <c r="GO31" i="1" s="1"/>
  <c r="CY30" i="1"/>
  <c r="DF208" i="3"/>
  <c r="DG208" i="3"/>
  <c r="DH208" i="3"/>
  <c r="DI208" i="3"/>
  <c r="DJ208" i="3" s="1"/>
  <c r="CX199" i="3"/>
  <c r="CX182" i="3"/>
  <c r="DH173" i="3"/>
  <c r="CV157" i="3"/>
  <c r="DH141" i="3"/>
  <c r="DI141" i="3"/>
  <c r="DJ141" i="3" s="1"/>
  <c r="DF141" i="3"/>
  <c r="DG141" i="3"/>
  <c r="X51" i="1"/>
  <c r="GM51" i="1" s="1"/>
  <c r="GN51" i="1" s="1"/>
  <c r="W46" i="1"/>
  <c r="R45" i="1"/>
  <c r="CU65" i="3"/>
  <c r="CX66" i="3"/>
  <c r="CV65" i="3"/>
  <c r="R41" i="1"/>
  <c r="CU45" i="3"/>
  <c r="CW47" i="3"/>
  <c r="CW48" i="3"/>
  <c r="CX48" i="3"/>
  <c r="CX47" i="3"/>
  <c r="CW46" i="3"/>
  <c r="T35" i="1"/>
  <c r="DY55" i="1" s="1"/>
  <c r="CS32" i="1"/>
  <c r="AD31" i="1"/>
  <c r="AB31" i="1" s="1"/>
  <c r="AD29" i="1"/>
  <c r="AB29" i="1" s="1"/>
  <c r="CW7" i="3"/>
  <c r="CX8" i="3"/>
  <c r="CU5" i="3"/>
  <c r="CQ28" i="1"/>
  <c r="AB28" i="1"/>
  <c r="P28" i="1"/>
  <c r="CX202" i="3"/>
  <c r="CX196" i="3"/>
  <c r="CW166" i="3"/>
  <c r="R52" i="1"/>
  <c r="R50" i="1"/>
  <c r="CU79" i="3"/>
  <c r="CX84" i="3"/>
  <c r="CX86" i="3"/>
  <c r="CV79" i="3"/>
  <c r="CX79" i="3"/>
  <c r="CT47" i="1"/>
  <c r="Q45" i="1"/>
  <c r="Q41" i="1"/>
  <c r="CS38" i="1"/>
  <c r="AB38" i="1"/>
  <c r="CS36" i="1"/>
  <c r="AB36" i="1"/>
  <c r="CS34" i="1"/>
  <c r="AB34" i="1"/>
  <c r="CR32" i="1"/>
  <c r="Y32" i="1"/>
  <c r="AD30" i="1"/>
  <c r="R30" i="1"/>
  <c r="DG207" i="3"/>
  <c r="DF172" i="3"/>
  <c r="DJ172" i="3" s="1"/>
  <c r="DG172" i="3"/>
  <c r="CX88" i="3"/>
  <c r="DF16" i="3"/>
  <c r="DJ16" i="3" s="1"/>
  <c r="DG16" i="3"/>
  <c r="DI16" i="3"/>
  <c r="DH16" i="3"/>
  <c r="CI55" i="1"/>
  <c r="Q52" i="1"/>
  <c r="CP52" i="1" s="1"/>
  <c r="O52" i="1" s="1"/>
  <c r="GM52" i="1" s="1"/>
  <c r="GO52" i="1" s="1"/>
  <c r="Q50" i="1"/>
  <c r="CP50" i="1" s="1"/>
  <c r="O50" i="1" s="1"/>
  <c r="GM50" i="1" s="1"/>
  <c r="GN50" i="1" s="1"/>
  <c r="P45" i="1"/>
  <c r="Y38" i="1"/>
  <c r="CX39" i="3"/>
  <c r="CU35" i="3"/>
  <c r="CX35" i="3"/>
  <c r="CW36" i="3"/>
  <c r="CX36" i="3"/>
  <c r="Y36" i="1"/>
  <c r="R35" i="1"/>
  <c r="Y34" i="1"/>
  <c r="CW20" i="3"/>
  <c r="CX21" i="3"/>
  <c r="CW22" i="3"/>
  <c r="CX22" i="3"/>
  <c r="CW21" i="3"/>
  <c r="CU19" i="3"/>
  <c r="CV19" i="3"/>
  <c r="CX23" i="3"/>
  <c r="X32" i="1"/>
  <c r="W28" i="1"/>
  <c r="AJ55" i="1" s="1"/>
  <c r="DI203" i="3"/>
  <c r="DJ203" i="3" s="1"/>
  <c r="DF203" i="3"/>
  <c r="CV191" i="3"/>
  <c r="CX188" i="3"/>
  <c r="CW152" i="3"/>
  <c r="AQ55" i="1"/>
  <c r="AD52" i="1"/>
  <c r="AB52" i="1" s="1"/>
  <c r="CZ51" i="1"/>
  <c r="AD50" i="1"/>
  <c r="AB50" i="1" s="1"/>
  <c r="CV70" i="3"/>
  <c r="CU70" i="3"/>
  <c r="CX70" i="3"/>
  <c r="Q43" i="1"/>
  <c r="X38" i="1"/>
  <c r="X36" i="1"/>
  <c r="Q35" i="1"/>
  <c r="X34" i="1"/>
  <c r="CS31" i="1"/>
  <c r="Y31" i="1"/>
  <c r="AB30" i="1"/>
  <c r="CT29" i="1"/>
  <c r="V28" i="1"/>
  <c r="AI55" i="1" s="1"/>
  <c r="DF180" i="3"/>
  <c r="DJ180" i="3" s="1"/>
  <c r="DG180" i="3"/>
  <c r="DF177" i="3"/>
  <c r="DG177" i="3"/>
  <c r="DJ177" i="3" s="1"/>
  <c r="DH177" i="3"/>
  <c r="DI177" i="3"/>
  <c r="CW158" i="3"/>
  <c r="CX155" i="3"/>
  <c r="CW81" i="3"/>
  <c r="AB45" i="1"/>
  <c r="AD43" i="1"/>
  <c r="P43" i="1"/>
  <c r="CP43" i="1" s="1"/>
  <c r="O43" i="1" s="1"/>
  <c r="GM43" i="1" s="1"/>
  <c r="GO43" i="1" s="1"/>
  <c r="AB41" i="1"/>
  <c r="P39" i="1"/>
  <c r="CP39" i="1" s="1"/>
  <c r="O39" i="1" s="1"/>
  <c r="GM39" i="1" s="1"/>
  <c r="GO39" i="1" s="1"/>
  <c r="R37" i="1"/>
  <c r="P35" i="1"/>
  <c r="R33" i="1"/>
  <c r="CS30" i="1"/>
  <c r="CR29" i="1"/>
  <c r="DG205" i="3"/>
  <c r="DJ205" i="3" s="1"/>
  <c r="DH205" i="3"/>
  <c r="CX197" i="3"/>
  <c r="DF170" i="3"/>
  <c r="DG170" i="3"/>
  <c r="DJ170" i="3" s="1"/>
  <c r="DH170" i="3"/>
  <c r="DI170" i="3"/>
  <c r="CX167" i="3"/>
  <c r="CX51" i="3"/>
  <c r="CW53" i="3"/>
  <c r="CX53" i="3"/>
  <c r="CW52" i="3"/>
  <c r="CU50" i="3"/>
  <c r="CV50" i="3"/>
  <c r="CW51" i="3"/>
  <c r="Q37" i="1"/>
  <c r="Q33" i="1"/>
  <c r="DV55" i="1" s="1"/>
  <c r="S28" i="1"/>
  <c r="DG211" i="3"/>
  <c r="DI211" i="3"/>
  <c r="CX194" i="3"/>
  <c r="DI173" i="3"/>
  <c r="DF173" i="3"/>
  <c r="DJ173" i="3" s="1"/>
  <c r="CX164" i="3"/>
  <c r="DH123" i="3"/>
  <c r="DF123" i="3"/>
  <c r="DJ123" i="3" s="1"/>
  <c r="DG123" i="3"/>
  <c r="DI123" i="3"/>
  <c r="R51" i="1"/>
  <c r="Q46" i="1"/>
  <c r="CQ30" i="1"/>
  <c r="DH203" i="3"/>
  <c r="CX189" i="3"/>
  <c r="CW146" i="3"/>
  <c r="CW134" i="3"/>
  <c r="CV89" i="3"/>
  <c r="DF17" i="3"/>
  <c r="DJ17" i="3" s="1"/>
  <c r="DH17" i="3"/>
  <c r="DI17" i="3"/>
  <c r="DG17" i="3"/>
  <c r="DG209" i="3"/>
  <c r="DJ209" i="3" s="1"/>
  <c r="CX201" i="3"/>
  <c r="DH179" i="3"/>
  <c r="CX169" i="3"/>
  <c r="CW147" i="3"/>
  <c r="CX147" i="3"/>
  <c r="CX128" i="3"/>
  <c r="CV67" i="3"/>
  <c r="CX67" i="3"/>
  <c r="DG179" i="3"/>
  <c r="DG142" i="3"/>
  <c r="DH142" i="3"/>
  <c r="DI142" i="3"/>
  <c r="CX135" i="3"/>
  <c r="DI122" i="3"/>
  <c r="CX89" i="3"/>
  <c r="CW73" i="3"/>
  <c r="CX73" i="3"/>
  <c r="CW38" i="3"/>
  <c r="CX191" i="3"/>
  <c r="CX175" i="3"/>
  <c r="DG122" i="3"/>
  <c r="DG112" i="3"/>
  <c r="DI112" i="3"/>
  <c r="DF9" i="3"/>
  <c r="DG9" i="3"/>
  <c r="DH9" i="3"/>
  <c r="DI9" i="3"/>
  <c r="DJ9" i="3" s="1"/>
  <c r="CX152" i="3"/>
  <c r="CX150" i="3"/>
  <c r="CX137" i="3"/>
  <c r="CX130" i="3"/>
  <c r="CV125" i="3"/>
  <c r="DF122" i="3"/>
  <c r="DJ122" i="3" s="1"/>
  <c r="DF119" i="3"/>
  <c r="DJ119" i="3" s="1"/>
  <c r="DH119" i="3"/>
  <c r="CX90" i="3"/>
  <c r="CV87" i="3"/>
  <c r="CX87" i="3"/>
  <c r="CX106" i="3"/>
  <c r="CX103" i="3"/>
  <c r="CV71" i="3"/>
  <c r="CW6" i="3"/>
  <c r="CW154" i="3"/>
  <c r="CX153" i="3"/>
  <c r="DF143" i="3"/>
  <c r="DJ143" i="3" s="1"/>
  <c r="DG143" i="3"/>
  <c r="DH143" i="3"/>
  <c r="DG138" i="3"/>
  <c r="DI138" i="3"/>
  <c r="DG120" i="3"/>
  <c r="DI120" i="3"/>
  <c r="DJ120" i="3" s="1"/>
  <c r="CV97" i="3"/>
  <c r="CX81" i="3"/>
  <c r="CX68" i="3"/>
  <c r="CX54" i="3"/>
  <c r="CX49" i="3"/>
  <c r="DG30" i="3"/>
  <c r="DH30" i="3"/>
  <c r="DF30" i="3"/>
  <c r="DJ30" i="3" s="1"/>
  <c r="DI30" i="3"/>
  <c r="DI212" i="3"/>
  <c r="CX159" i="3"/>
  <c r="CX158" i="3"/>
  <c r="CX44" i="3"/>
  <c r="DH212" i="3"/>
  <c r="DI204" i="3"/>
  <c r="CX157" i="3"/>
  <c r="DF144" i="3"/>
  <c r="DJ144" i="3" s="1"/>
  <c r="DG144" i="3"/>
  <c r="CW132" i="3"/>
  <c r="CX132" i="3"/>
  <c r="DF121" i="3"/>
  <c r="DJ121" i="3" s="1"/>
  <c r="DI121" i="3"/>
  <c r="DI174" i="3"/>
  <c r="DF139" i="3"/>
  <c r="DJ139" i="3" s="1"/>
  <c r="DH139" i="3"/>
  <c r="DI139" i="3"/>
  <c r="CW126" i="3"/>
  <c r="CX104" i="3"/>
  <c r="CX82" i="3"/>
  <c r="CX37" i="3"/>
  <c r="CV145" i="3"/>
  <c r="CW133" i="3"/>
  <c r="DI119" i="3"/>
  <c r="DF112" i="3"/>
  <c r="DJ112" i="3" s="1"/>
  <c r="CX69" i="3"/>
  <c r="CV69" i="3"/>
  <c r="CX42" i="3"/>
  <c r="CX125" i="3"/>
  <c r="CX50" i="3"/>
  <c r="CW43" i="3"/>
  <c r="CV115" i="3"/>
  <c r="CX52" i="3"/>
  <c r="CW37" i="3"/>
  <c r="DF31" i="3"/>
  <c r="DJ31" i="3" s="1"/>
  <c r="DG31" i="3"/>
  <c r="CV24" i="3"/>
  <c r="DG18" i="3"/>
  <c r="DH18" i="3"/>
  <c r="DG10" i="3"/>
  <c r="DH10" i="3"/>
  <c r="CV45" i="3"/>
  <c r="CX45" i="3"/>
  <c r="CX38" i="3"/>
  <c r="CX26" i="3"/>
  <c r="CX25" i="3"/>
  <c r="DF14" i="3"/>
  <c r="DJ14" i="3" s="1"/>
  <c r="DI14" i="3"/>
  <c r="DG118" i="3"/>
  <c r="DI118" i="3"/>
  <c r="DF113" i="3"/>
  <c r="DH113" i="3"/>
  <c r="CX97" i="3"/>
  <c r="CX96" i="3"/>
  <c r="DG60" i="3"/>
  <c r="DI60" i="3"/>
  <c r="DJ60" i="3" s="1"/>
  <c r="DF55" i="3"/>
  <c r="DG55" i="3"/>
  <c r="CV32" i="3"/>
  <c r="CX32" i="3"/>
  <c r="CX20" i="3"/>
  <c r="DF15" i="3"/>
  <c r="DG15" i="3"/>
  <c r="DH15" i="3"/>
  <c r="CW104" i="3"/>
  <c r="CW103" i="3"/>
  <c r="DG61" i="3"/>
  <c r="DJ61" i="3" s="1"/>
  <c r="DH61" i="3"/>
  <c r="CX46" i="3"/>
  <c r="CX19" i="3"/>
  <c r="CV5" i="3"/>
  <c r="DH115" i="3"/>
  <c r="DF93" i="3"/>
  <c r="DH93" i="3"/>
  <c r="CX71" i="3"/>
  <c r="CX40" i="3"/>
  <c r="DF34" i="3"/>
  <c r="DJ34" i="3" s="1"/>
  <c r="DI34" i="3"/>
  <c r="DI13" i="3"/>
  <c r="DG11" i="3"/>
  <c r="DI10" i="3"/>
  <c r="DJ10" i="3" s="1"/>
  <c r="CV1" i="3"/>
  <c r="CX1" i="3"/>
  <c r="DI124" i="3"/>
  <c r="DI117" i="3"/>
  <c r="DG116" i="3"/>
  <c r="DI114" i="3"/>
  <c r="DJ114" i="3" s="1"/>
  <c r="DH110" i="3"/>
  <c r="CV102" i="3"/>
  <c r="CV91" i="3"/>
  <c r="CX65" i="3"/>
  <c r="DI31" i="3"/>
  <c r="DH13" i="3"/>
  <c r="DF11" i="3"/>
  <c r="DF10" i="3"/>
  <c r="CX6" i="3"/>
  <c r="DI95" i="3"/>
  <c r="CX77" i="3"/>
  <c r="CX75" i="3"/>
  <c r="DF29" i="3"/>
  <c r="DH29" i="3"/>
  <c r="DI29" i="3"/>
  <c r="DJ29" i="3" s="1"/>
  <c r="CX7" i="3"/>
  <c r="CX2" i="3"/>
  <c r="DH118" i="3"/>
  <c r="DF117" i="3"/>
  <c r="DJ117" i="3" s="1"/>
  <c r="DG111" i="3"/>
  <c r="DF110" i="3"/>
  <c r="CX85" i="3"/>
  <c r="CX83" i="3"/>
  <c r="DI62" i="3"/>
  <c r="DH60" i="3"/>
  <c r="DI59" i="3"/>
  <c r="DG58" i="3"/>
  <c r="DI55" i="3"/>
  <c r="DJ55" i="3" s="1"/>
  <c r="CV35" i="3"/>
  <c r="DI33" i="3"/>
  <c r="DF18" i="3"/>
  <c r="DJ18" i="3" s="1"/>
  <c r="DG14" i="3"/>
  <c r="H260" i="7" l="1"/>
  <c r="J158" i="7"/>
  <c r="J314" i="7"/>
  <c r="J260" i="7"/>
  <c r="H314" i="7"/>
  <c r="H158" i="7"/>
  <c r="H318" i="7"/>
  <c r="AG26" i="1"/>
  <c r="T55" i="1"/>
  <c r="AH26" i="1"/>
  <c r="U55" i="1"/>
  <c r="GM211" i="1"/>
  <c r="AB218" i="1"/>
  <c r="DX26" i="1"/>
  <c r="DK55" i="1"/>
  <c r="DN55" i="1"/>
  <c r="EA26" i="1"/>
  <c r="DZ87" i="1"/>
  <c r="DM126" i="1"/>
  <c r="EC209" i="1"/>
  <c r="DP218" i="1"/>
  <c r="CJ26" i="1"/>
  <c r="BA55" i="1"/>
  <c r="DV158" i="1"/>
  <c r="DI177" i="1"/>
  <c r="DO218" i="1"/>
  <c r="EB209" i="1"/>
  <c r="DY87" i="1"/>
  <c r="DL126" i="1"/>
  <c r="DY26" i="1"/>
  <c r="DL55" i="1"/>
  <c r="GA26" i="1"/>
  <c r="ER55" i="1"/>
  <c r="AJ87" i="1"/>
  <c r="W126" i="1"/>
  <c r="CH218" i="1"/>
  <c r="P218" i="1"/>
  <c r="CF218" i="1"/>
  <c r="CE218" i="1"/>
  <c r="AC209" i="1"/>
  <c r="DG1" i="3"/>
  <c r="DF1" i="3"/>
  <c r="DH1" i="3"/>
  <c r="DI1" i="3"/>
  <c r="DJ1" i="3" s="1"/>
  <c r="DG132" i="3"/>
  <c r="DJ132" i="3" s="1"/>
  <c r="DH132" i="3"/>
  <c r="DF132" i="3"/>
  <c r="DI132" i="3"/>
  <c r="DF35" i="3"/>
  <c r="DG35" i="3"/>
  <c r="DH35" i="3"/>
  <c r="DI35" i="3"/>
  <c r="DJ35" i="3" s="1"/>
  <c r="DG88" i="3"/>
  <c r="DI88" i="3"/>
  <c r="DF88" i="3"/>
  <c r="DJ88" i="3" s="1"/>
  <c r="DH88" i="3"/>
  <c r="AE55" i="1"/>
  <c r="DH27" i="3"/>
  <c r="DI27" i="3"/>
  <c r="DG27" i="3"/>
  <c r="DJ27" i="3" s="1"/>
  <c r="DF27" i="3"/>
  <c r="DI148" i="3"/>
  <c r="DF148" i="3"/>
  <c r="DG148" i="3"/>
  <c r="DJ148" i="3" s="1"/>
  <c r="DH148" i="3"/>
  <c r="CP92" i="1"/>
  <c r="O92" i="1" s="1"/>
  <c r="GM92" i="1" s="1"/>
  <c r="FR92" i="1"/>
  <c r="DU126" i="1"/>
  <c r="DF193" i="3"/>
  <c r="DG193" i="3"/>
  <c r="DJ193" i="3" s="1"/>
  <c r="DH193" i="3"/>
  <c r="DI193" i="3"/>
  <c r="GM99" i="1"/>
  <c r="GO99" i="1" s="1"/>
  <c r="DF99" i="3"/>
  <c r="DH99" i="3"/>
  <c r="DI99" i="3"/>
  <c r="DG99" i="3"/>
  <c r="DJ99" i="3" s="1"/>
  <c r="CY48" i="1"/>
  <c r="CZ48" i="1"/>
  <c r="X48" i="1"/>
  <c r="Y48" i="1"/>
  <c r="GM48" i="1" s="1"/>
  <c r="GO48" i="1" s="1"/>
  <c r="F151" i="1"/>
  <c r="BD87" i="1"/>
  <c r="CY118" i="1"/>
  <c r="CZ118" i="1"/>
  <c r="X118" i="1"/>
  <c r="Y118" i="1"/>
  <c r="EH158" i="1"/>
  <c r="P186" i="1"/>
  <c r="EI158" i="1"/>
  <c r="P187" i="1"/>
  <c r="DO158" i="1"/>
  <c r="P201" i="1"/>
  <c r="V218" i="1"/>
  <c r="AI209" i="1"/>
  <c r="DF146" i="3"/>
  <c r="DH146" i="3"/>
  <c r="DI146" i="3"/>
  <c r="DG146" i="3"/>
  <c r="DJ146" i="3" s="1"/>
  <c r="FY158" i="1"/>
  <c r="EP177" i="1"/>
  <c r="DI19" i="3"/>
  <c r="DJ19" i="3" s="1"/>
  <c r="DF19" i="3"/>
  <c r="DG19" i="3"/>
  <c r="DH19" i="3"/>
  <c r="DI25" i="3"/>
  <c r="DF25" i="3"/>
  <c r="DG25" i="3"/>
  <c r="DJ25" i="3" s="1"/>
  <c r="DH25" i="3"/>
  <c r="DI197" i="3"/>
  <c r="DF197" i="3"/>
  <c r="DJ197" i="3" s="1"/>
  <c r="DG197" i="3"/>
  <c r="DH197" i="3"/>
  <c r="AD55" i="1"/>
  <c r="DH149" i="3"/>
  <c r="DI149" i="3"/>
  <c r="DF149" i="3"/>
  <c r="DJ149" i="3" s="1"/>
  <c r="DG149" i="3"/>
  <c r="DF161" i="3"/>
  <c r="DJ161" i="3" s="1"/>
  <c r="DG161" i="3"/>
  <c r="DH161" i="3"/>
  <c r="DI161" i="3"/>
  <c r="BD26" i="1"/>
  <c r="F80" i="1"/>
  <c r="BD248" i="1"/>
  <c r="DF184" i="3"/>
  <c r="DJ184" i="3" s="1"/>
  <c r="DG184" i="3"/>
  <c r="DH184" i="3"/>
  <c r="DI184" i="3"/>
  <c r="P151" i="1"/>
  <c r="EV87" i="1"/>
  <c r="AU87" i="1"/>
  <c r="F145" i="1"/>
  <c r="CP164" i="1"/>
  <c r="O164" i="1" s="1"/>
  <c r="GM164" i="1" s="1"/>
  <c r="GO164" i="1" s="1"/>
  <c r="T173" i="1"/>
  <c r="AQ158" i="1"/>
  <c r="F187" i="1"/>
  <c r="BC158" i="1"/>
  <c r="F193" i="1"/>
  <c r="DZ158" i="1"/>
  <c r="DM177" i="1"/>
  <c r="CG158" i="1"/>
  <c r="AX177" i="1"/>
  <c r="DY209" i="1"/>
  <c r="DL218" i="1"/>
  <c r="V173" i="1"/>
  <c r="FR124" i="1"/>
  <c r="CP124" i="1"/>
  <c r="O124" i="1" s="1"/>
  <c r="Y124" i="1"/>
  <c r="X124" i="1"/>
  <c r="CY124" i="1"/>
  <c r="CZ124" i="1"/>
  <c r="DN209" i="1"/>
  <c r="P241" i="1"/>
  <c r="DH46" i="3"/>
  <c r="DI46" i="3"/>
  <c r="DG46" i="3"/>
  <c r="DJ46" i="3" s="1"/>
  <c r="DF46" i="3"/>
  <c r="DG26" i="3"/>
  <c r="DJ26" i="3" s="1"/>
  <c r="DF26" i="3"/>
  <c r="DH26" i="3"/>
  <c r="DI26" i="3"/>
  <c r="DH52" i="3"/>
  <c r="DF52" i="3"/>
  <c r="DG52" i="3"/>
  <c r="DJ52" i="3" s="1"/>
  <c r="DI52" i="3"/>
  <c r="DF37" i="3"/>
  <c r="DG37" i="3"/>
  <c r="DJ37" i="3" s="1"/>
  <c r="DH37" i="3"/>
  <c r="DI37" i="3"/>
  <c r="DH39" i="3"/>
  <c r="DI39" i="3"/>
  <c r="DF39" i="3"/>
  <c r="DJ39" i="3" s="1"/>
  <c r="DG39" i="3"/>
  <c r="DF196" i="3"/>
  <c r="DJ196" i="3" s="1"/>
  <c r="DG196" i="3"/>
  <c r="DI196" i="3"/>
  <c r="DH196" i="3"/>
  <c r="DF4" i="3"/>
  <c r="DJ4" i="3" s="1"/>
  <c r="DG4" i="3"/>
  <c r="DI4" i="3"/>
  <c r="DH4" i="3"/>
  <c r="DF186" i="3"/>
  <c r="DJ186" i="3" s="1"/>
  <c r="DG186" i="3"/>
  <c r="DH186" i="3"/>
  <c r="DI186" i="3"/>
  <c r="DF43" i="3"/>
  <c r="DG43" i="3"/>
  <c r="DJ43" i="3" s="1"/>
  <c r="DH43" i="3"/>
  <c r="DI43" i="3"/>
  <c r="EB26" i="1"/>
  <c r="DO55" i="1"/>
  <c r="DF192" i="3"/>
  <c r="DG192" i="3"/>
  <c r="DJ192" i="3" s="1"/>
  <c r="DH192" i="3"/>
  <c r="DI192" i="3"/>
  <c r="DG160" i="3"/>
  <c r="DJ160" i="3" s="1"/>
  <c r="DH160" i="3"/>
  <c r="DI160" i="3"/>
  <c r="DF160" i="3"/>
  <c r="DF183" i="3"/>
  <c r="DG183" i="3"/>
  <c r="DJ183" i="3" s="1"/>
  <c r="DH183" i="3"/>
  <c r="DI183" i="3"/>
  <c r="FY87" i="1"/>
  <c r="EP126" i="1"/>
  <c r="EK87" i="1"/>
  <c r="P143" i="1"/>
  <c r="CG87" i="1"/>
  <c r="AX126" i="1"/>
  <c r="CP100" i="1"/>
  <c r="O100" i="1" s="1"/>
  <c r="GM100" i="1" s="1"/>
  <c r="GO100" i="1" s="1"/>
  <c r="DV218" i="1"/>
  <c r="CP212" i="1"/>
  <c r="O212" i="1" s="1"/>
  <c r="DW209" i="1"/>
  <c r="DJ218" i="1"/>
  <c r="P196" i="1"/>
  <c r="EM158" i="1"/>
  <c r="EI209" i="1"/>
  <c r="P228" i="1"/>
  <c r="EK158" i="1"/>
  <c r="P194" i="1"/>
  <c r="DV26" i="1"/>
  <c r="DI55" i="1"/>
  <c r="CP102" i="1"/>
  <c r="O102" i="1" s="1"/>
  <c r="GM102" i="1" s="1"/>
  <c r="FR102" i="1"/>
  <c r="DH2" i="3"/>
  <c r="DI2" i="3"/>
  <c r="DF2" i="3"/>
  <c r="DG2" i="3"/>
  <c r="DJ2" i="3" s="1"/>
  <c r="DF82" i="3"/>
  <c r="DJ82" i="3" s="1"/>
  <c r="DG82" i="3"/>
  <c r="DH82" i="3"/>
  <c r="DI82" i="3"/>
  <c r="DF67" i="3"/>
  <c r="DH67" i="3"/>
  <c r="DG67" i="3"/>
  <c r="DI67" i="3"/>
  <c r="DJ67" i="3" s="1"/>
  <c r="DF22" i="3"/>
  <c r="DG22" i="3"/>
  <c r="DJ22" i="3" s="1"/>
  <c r="DH22" i="3"/>
  <c r="DI22" i="3"/>
  <c r="CP41" i="1"/>
  <c r="O41" i="1" s="1"/>
  <c r="DF202" i="3"/>
  <c r="DG202" i="3"/>
  <c r="DH202" i="3"/>
  <c r="DI202" i="3"/>
  <c r="DJ202" i="3" s="1"/>
  <c r="DF47" i="3"/>
  <c r="DH47" i="3"/>
  <c r="DG47" i="3"/>
  <c r="DJ47" i="3" s="1"/>
  <c r="DI47" i="3"/>
  <c r="X45" i="1"/>
  <c r="Y45" i="1"/>
  <c r="CY45" i="1"/>
  <c r="CZ45" i="1"/>
  <c r="DH145" i="3"/>
  <c r="DF145" i="3"/>
  <c r="DG145" i="3"/>
  <c r="DI145" i="3"/>
  <c r="DJ145" i="3" s="1"/>
  <c r="CP97" i="1"/>
  <c r="O97" i="1" s="1"/>
  <c r="GM97" i="1" s="1"/>
  <c r="FR97" i="1"/>
  <c r="AU26" i="1"/>
  <c r="F74" i="1"/>
  <c r="AU248" i="1"/>
  <c r="GB87" i="1"/>
  <c r="ES126" i="1"/>
  <c r="DF101" i="3"/>
  <c r="DJ101" i="3" s="1"/>
  <c r="DG101" i="3"/>
  <c r="DH101" i="3"/>
  <c r="DI101" i="3"/>
  <c r="DT126" i="1"/>
  <c r="ES26" i="1"/>
  <c r="P75" i="1"/>
  <c r="DW126" i="1"/>
  <c r="CP161" i="1"/>
  <c r="O161" i="1" s="1"/>
  <c r="DU177" i="1"/>
  <c r="AO87" i="1"/>
  <c r="F130" i="1"/>
  <c r="GM118" i="1"/>
  <c r="GO118" i="1" s="1"/>
  <c r="CP37" i="1"/>
  <c r="O37" i="1" s="1"/>
  <c r="GM37" i="1" s="1"/>
  <c r="GO37" i="1" s="1"/>
  <c r="AE209" i="1"/>
  <c r="R218" i="1"/>
  <c r="AJ158" i="1"/>
  <c r="W177" i="1"/>
  <c r="EM87" i="1"/>
  <c r="P145" i="1"/>
  <c r="BB158" i="1"/>
  <c r="F190" i="1"/>
  <c r="DX158" i="1"/>
  <c r="DK177" i="1"/>
  <c r="DQ218" i="1"/>
  <c r="ED209" i="1"/>
  <c r="DX209" i="1"/>
  <c r="DK218" i="1"/>
  <c r="CG209" i="1"/>
  <c r="AX218" i="1"/>
  <c r="AS158" i="1"/>
  <c r="F194" i="1"/>
  <c r="DL158" i="1"/>
  <c r="P198" i="1"/>
  <c r="DI38" i="3"/>
  <c r="DF38" i="3"/>
  <c r="DG38" i="3"/>
  <c r="DJ38" i="3" s="1"/>
  <c r="DH38" i="3"/>
  <c r="DF175" i="3"/>
  <c r="DG175" i="3"/>
  <c r="DH175" i="3"/>
  <c r="DI175" i="3"/>
  <c r="DJ175" i="3" s="1"/>
  <c r="DF3" i="3"/>
  <c r="DG3" i="3"/>
  <c r="DJ3" i="3" s="1"/>
  <c r="DH3" i="3"/>
  <c r="DI3" i="3"/>
  <c r="CY44" i="1"/>
  <c r="CZ44" i="1"/>
  <c r="X44" i="1"/>
  <c r="Y44" i="1"/>
  <c r="GM49" i="1"/>
  <c r="GO49" i="1" s="1"/>
  <c r="CY40" i="1"/>
  <c r="CZ40" i="1"/>
  <c r="X40" i="1"/>
  <c r="Y40" i="1"/>
  <c r="GM40" i="1" s="1"/>
  <c r="GO40" i="1" s="1"/>
  <c r="DF200" i="3"/>
  <c r="DJ200" i="3" s="1"/>
  <c r="DG200" i="3"/>
  <c r="DH200" i="3"/>
  <c r="DI200" i="3"/>
  <c r="DG100" i="3"/>
  <c r="DF100" i="3"/>
  <c r="DJ100" i="3" s="1"/>
  <c r="DH100" i="3"/>
  <c r="DI100" i="3"/>
  <c r="CP169" i="1"/>
  <c r="O169" i="1" s="1"/>
  <c r="GM169" i="1" s="1"/>
  <c r="GO169" i="1" s="1"/>
  <c r="DF163" i="3"/>
  <c r="DG163" i="3"/>
  <c r="DH163" i="3"/>
  <c r="DI163" i="3"/>
  <c r="DJ163" i="3" s="1"/>
  <c r="CP162" i="1"/>
  <c r="O162" i="1" s="1"/>
  <c r="AD218" i="1"/>
  <c r="F228" i="1"/>
  <c r="AQ209" i="1"/>
  <c r="DW158" i="1"/>
  <c r="DJ177" i="1"/>
  <c r="DF157" i="3"/>
  <c r="DG157" i="3"/>
  <c r="DH157" i="3"/>
  <c r="DI157" i="3"/>
  <c r="DJ157" i="3" s="1"/>
  <c r="DF130" i="3"/>
  <c r="DJ130" i="3" s="1"/>
  <c r="DH130" i="3"/>
  <c r="DI130" i="3"/>
  <c r="DG130" i="3"/>
  <c r="DG96" i="3"/>
  <c r="DJ96" i="3" s="1"/>
  <c r="DH96" i="3"/>
  <c r="DI96" i="3"/>
  <c r="DF96" i="3"/>
  <c r="DI50" i="3"/>
  <c r="DJ50" i="3" s="1"/>
  <c r="DF50" i="3"/>
  <c r="DG50" i="3"/>
  <c r="DH50" i="3"/>
  <c r="DG68" i="3"/>
  <c r="DF68" i="3"/>
  <c r="DJ68" i="3" s="1"/>
  <c r="DH68" i="3"/>
  <c r="DI68" i="3"/>
  <c r="DH137" i="3"/>
  <c r="DG137" i="3"/>
  <c r="DI137" i="3"/>
  <c r="DJ137" i="3" s="1"/>
  <c r="DF137" i="3"/>
  <c r="DF128" i="3"/>
  <c r="DG128" i="3"/>
  <c r="DJ128" i="3" s="1"/>
  <c r="DH128" i="3"/>
  <c r="DI128" i="3"/>
  <c r="DF53" i="3"/>
  <c r="DH53" i="3"/>
  <c r="DG53" i="3"/>
  <c r="DJ53" i="3" s="1"/>
  <c r="DI53" i="3"/>
  <c r="DF188" i="3"/>
  <c r="DJ188" i="3" s="1"/>
  <c r="DG188" i="3"/>
  <c r="DH188" i="3"/>
  <c r="DI188" i="3"/>
  <c r="DH21" i="3"/>
  <c r="DI21" i="3"/>
  <c r="DF21" i="3"/>
  <c r="DG21" i="3"/>
  <c r="DJ21" i="3" s="1"/>
  <c r="DF185" i="3"/>
  <c r="DJ185" i="3" s="1"/>
  <c r="DG185" i="3"/>
  <c r="DH185" i="3"/>
  <c r="DI185" i="3"/>
  <c r="DF41" i="3"/>
  <c r="DG41" i="3"/>
  <c r="DJ41" i="3" s="1"/>
  <c r="DH41" i="3"/>
  <c r="DI41" i="3"/>
  <c r="X106" i="1"/>
  <c r="GM106" i="1" s="1"/>
  <c r="GO106" i="1" s="1"/>
  <c r="CZ106" i="1"/>
  <c r="Y106" i="1"/>
  <c r="CY106" i="1"/>
  <c r="AG87" i="1"/>
  <c r="T126" i="1"/>
  <c r="DG181" i="3"/>
  <c r="DH181" i="3"/>
  <c r="DI181" i="3"/>
  <c r="DJ181" i="3" s="1"/>
  <c r="DF181" i="3"/>
  <c r="DF72" i="3"/>
  <c r="DH72" i="3"/>
  <c r="DG72" i="3"/>
  <c r="DJ72" i="3" s="1"/>
  <c r="DI72" i="3"/>
  <c r="GM93" i="1"/>
  <c r="GO93" i="1" s="1"/>
  <c r="CY90" i="1"/>
  <c r="X90" i="1"/>
  <c r="GM90" i="1" s="1"/>
  <c r="Y90" i="1"/>
  <c r="CZ90" i="1"/>
  <c r="DX126" i="1"/>
  <c r="DF136" i="3"/>
  <c r="DJ136" i="3" s="1"/>
  <c r="DG136" i="3"/>
  <c r="DH136" i="3"/>
  <c r="DI136" i="3"/>
  <c r="CZ165" i="1"/>
  <c r="X165" i="1"/>
  <c r="Y165" i="1"/>
  <c r="ED177" i="1" s="1"/>
  <c r="CY165" i="1"/>
  <c r="FR123" i="1"/>
  <c r="CP123" i="1"/>
  <c r="O123" i="1" s="1"/>
  <c r="GM123" i="1" s="1"/>
  <c r="CZ103" i="1"/>
  <c r="X103" i="1"/>
  <c r="Y103" i="1"/>
  <c r="CY103" i="1"/>
  <c r="P200" i="1"/>
  <c r="DN158" i="1"/>
  <c r="CY160" i="1"/>
  <c r="CZ160" i="1"/>
  <c r="Y160" i="1"/>
  <c r="X160" i="1"/>
  <c r="AF177" i="1"/>
  <c r="CY120" i="1"/>
  <c r="CZ120" i="1"/>
  <c r="X120" i="1"/>
  <c r="GM120" i="1" s="1"/>
  <c r="Y120" i="1"/>
  <c r="CJ158" i="1"/>
  <c r="BA177" i="1"/>
  <c r="AD177" i="1"/>
  <c r="BA87" i="1"/>
  <c r="F146" i="1"/>
  <c r="CP170" i="1"/>
  <c r="O170" i="1" s="1"/>
  <c r="GM170" i="1" s="1"/>
  <c r="GO170" i="1" s="1"/>
  <c r="ET158" i="1"/>
  <c r="P190" i="1"/>
  <c r="ET248" i="1"/>
  <c r="AF218" i="1"/>
  <c r="GM214" i="1"/>
  <c r="GO214" i="1" s="1"/>
  <c r="AG209" i="1"/>
  <c r="T218" i="1"/>
  <c r="AI26" i="1"/>
  <c r="V55" i="1"/>
  <c r="DH198" i="3"/>
  <c r="DI198" i="3"/>
  <c r="DF198" i="3"/>
  <c r="DJ198" i="3" s="1"/>
  <c r="DG198" i="3"/>
  <c r="X116" i="1"/>
  <c r="CY116" i="1"/>
  <c r="CZ116" i="1"/>
  <c r="Y116" i="1"/>
  <c r="DI155" i="3"/>
  <c r="DG155" i="3"/>
  <c r="DH155" i="3"/>
  <c r="DF155" i="3"/>
  <c r="DJ155" i="3" s="1"/>
  <c r="CP45" i="1"/>
  <c r="O45" i="1" s="1"/>
  <c r="GM45" i="1" s="1"/>
  <c r="GN45" i="1" s="1"/>
  <c r="FT55" i="1" s="1"/>
  <c r="DH125" i="3"/>
  <c r="DF125" i="3"/>
  <c r="DG125" i="3"/>
  <c r="DI125" i="3"/>
  <c r="DJ125" i="3" s="1"/>
  <c r="DF81" i="3"/>
  <c r="DG81" i="3"/>
  <c r="DJ81" i="3" s="1"/>
  <c r="DH81" i="3"/>
  <c r="DI81" i="3"/>
  <c r="DG150" i="3"/>
  <c r="DH150" i="3"/>
  <c r="DF150" i="3"/>
  <c r="DJ150" i="3" s="1"/>
  <c r="DI150" i="3"/>
  <c r="DF73" i="3"/>
  <c r="DG73" i="3"/>
  <c r="DJ73" i="3" s="1"/>
  <c r="DH73" i="3"/>
  <c r="DI73" i="3"/>
  <c r="DF147" i="3"/>
  <c r="DG147" i="3"/>
  <c r="DJ147" i="3" s="1"/>
  <c r="DH147" i="3"/>
  <c r="DI147" i="3"/>
  <c r="DF79" i="3"/>
  <c r="DH79" i="3"/>
  <c r="DG79" i="3"/>
  <c r="DI79" i="3"/>
  <c r="DJ79" i="3" s="1"/>
  <c r="FY26" i="1"/>
  <c r="EP55" i="1"/>
  <c r="CG26" i="1"/>
  <c r="AX55" i="1"/>
  <c r="BB26" i="1"/>
  <c r="F68" i="1"/>
  <c r="BB248" i="1"/>
  <c r="DF195" i="3"/>
  <c r="DJ195" i="3" s="1"/>
  <c r="DG195" i="3"/>
  <c r="DH195" i="3"/>
  <c r="DI195" i="3"/>
  <c r="AI87" i="1"/>
  <c r="V126" i="1"/>
  <c r="BC26" i="1"/>
  <c r="F71" i="1"/>
  <c r="BC248" i="1"/>
  <c r="CY91" i="1"/>
  <c r="CZ91" i="1"/>
  <c r="Y91" i="1"/>
  <c r="X91" i="1"/>
  <c r="DH190" i="3"/>
  <c r="DI190" i="3"/>
  <c r="DF190" i="3"/>
  <c r="DJ190" i="3" s="1"/>
  <c r="DG190" i="3"/>
  <c r="DI78" i="3"/>
  <c r="DF78" i="3"/>
  <c r="DJ78" i="3" s="1"/>
  <c r="DG78" i="3"/>
  <c r="DH78" i="3"/>
  <c r="DG131" i="3"/>
  <c r="DI131" i="3"/>
  <c r="DJ131" i="3" s="1"/>
  <c r="DH131" i="3"/>
  <c r="DF131" i="3"/>
  <c r="CY115" i="1"/>
  <c r="CZ115" i="1"/>
  <c r="X115" i="1"/>
  <c r="GM115" i="1" s="1"/>
  <c r="Y115" i="1"/>
  <c r="GM110" i="1"/>
  <c r="GO110" i="1" s="1"/>
  <c r="GM167" i="1"/>
  <c r="GO167" i="1" s="1"/>
  <c r="GA158" i="1"/>
  <c r="ER177" i="1"/>
  <c r="CZ162" i="1"/>
  <c r="X162" i="1"/>
  <c r="Y162" i="1"/>
  <c r="CY162" i="1"/>
  <c r="X117" i="1"/>
  <c r="GM117" i="1" s="1"/>
  <c r="GO117" i="1" s="1"/>
  <c r="Y117" i="1"/>
  <c r="CZ117" i="1"/>
  <c r="CY117" i="1"/>
  <c r="EC177" i="1"/>
  <c r="W209" i="1"/>
  <c r="F242" i="1"/>
  <c r="CJ209" i="1"/>
  <c r="BA218" i="1"/>
  <c r="DI6" i="3"/>
  <c r="DF6" i="3"/>
  <c r="DG6" i="3"/>
  <c r="DJ6" i="3" s="1"/>
  <c r="DH6" i="3"/>
  <c r="DF23" i="3"/>
  <c r="DJ23" i="3" s="1"/>
  <c r="DG23" i="3"/>
  <c r="DI23" i="3"/>
  <c r="DH23" i="3"/>
  <c r="X41" i="1"/>
  <c r="EC55" i="1" s="1"/>
  <c r="Y41" i="1"/>
  <c r="ED55" i="1" s="1"/>
  <c r="CY41" i="1"/>
  <c r="CZ41" i="1"/>
  <c r="DG28" i="3"/>
  <c r="DH28" i="3"/>
  <c r="DI28" i="3"/>
  <c r="DF28" i="3"/>
  <c r="DJ28" i="3" s="1"/>
  <c r="CP119" i="1"/>
  <c r="O119" i="1" s="1"/>
  <c r="GM119" i="1" s="1"/>
  <c r="FR119" i="1"/>
  <c r="DG49" i="3"/>
  <c r="DH49" i="3"/>
  <c r="DF49" i="3"/>
  <c r="DJ49" i="3" s="1"/>
  <c r="DI49" i="3"/>
  <c r="DG7" i="3"/>
  <c r="DJ7" i="3" s="1"/>
  <c r="DF7" i="3"/>
  <c r="DH7" i="3"/>
  <c r="DI7" i="3"/>
  <c r="DG45" i="3"/>
  <c r="DF45" i="3"/>
  <c r="DH45" i="3"/>
  <c r="DI45" i="3"/>
  <c r="DJ45" i="3" s="1"/>
  <c r="DF164" i="3"/>
  <c r="DG164" i="3"/>
  <c r="DJ164" i="3" s="1"/>
  <c r="DH164" i="3"/>
  <c r="DI164" i="3"/>
  <c r="DH97" i="3"/>
  <c r="DF97" i="3"/>
  <c r="DG97" i="3"/>
  <c r="DI97" i="3"/>
  <c r="DJ97" i="3" s="1"/>
  <c r="DH40" i="3"/>
  <c r="DI40" i="3"/>
  <c r="DJ40" i="3" s="1"/>
  <c r="DF40" i="3"/>
  <c r="DG40" i="3"/>
  <c r="DF42" i="3"/>
  <c r="DH42" i="3"/>
  <c r="DI42" i="3"/>
  <c r="DG42" i="3"/>
  <c r="DJ42" i="3" s="1"/>
  <c r="DF44" i="3"/>
  <c r="DJ44" i="3" s="1"/>
  <c r="DG44" i="3"/>
  <c r="DH44" i="3"/>
  <c r="DI44" i="3"/>
  <c r="DI103" i="3"/>
  <c r="DG103" i="3"/>
  <c r="DJ103" i="3" s="1"/>
  <c r="DH103" i="3"/>
  <c r="DF103" i="3"/>
  <c r="DG152" i="3"/>
  <c r="DJ152" i="3" s="1"/>
  <c r="DI152" i="3"/>
  <c r="DF152" i="3"/>
  <c r="DH152" i="3"/>
  <c r="DI189" i="3"/>
  <c r="DF189" i="3"/>
  <c r="DJ189" i="3" s="1"/>
  <c r="DG189" i="3"/>
  <c r="DH189" i="3"/>
  <c r="DF194" i="3"/>
  <c r="DJ194" i="3" s="1"/>
  <c r="DG194" i="3"/>
  <c r="DH194" i="3"/>
  <c r="DI194" i="3"/>
  <c r="DG51" i="3"/>
  <c r="DJ51" i="3" s="1"/>
  <c r="DF51" i="3"/>
  <c r="DH51" i="3"/>
  <c r="DI51" i="3"/>
  <c r="CP35" i="1"/>
  <c r="O35" i="1" s="1"/>
  <c r="GM35" i="1" s="1"/>
  <c r="GO35" i="1" s="1"/>
  <c r="DU55" i="1"/>
  <c r="AZ55" i="1"/>
  <c r="CI26" i="1"/>
  <c r="CP38" i="1"/>
  <c r="O38" i="1" s="1"/>
  <c r="GM38" i="1" s="1"/>
  <c r="GO38" i="1" s="1"/>
  <c r="DF80" i="3"/>
  <c r="DH80" i="3"/>
  <c r="DG80" i="3"/>
  <c r="DJ80" i="3" s="1"/>
  <c r="DI80" i="3"/>
  <c r="GM29" i="1"/>
  <c r="DT55" i="1"/>
  <c r="CP44" i="1"/>
  <c r="O44" i="1" s="1"/>
  <c r="DF24" i="3"/>
  <c r="DG24" i="3"/>
  <c r="DH24" i="3"/>
  <c r="DI24" i="3"/>
  <c r="DJ24" i="3" s="1"/>
  <c r="CP33" i="1"/>
  <c r="O33" i="1" s="1"/>
  <c r="GM33" i="1" s="1"/>
  <c r="GO33" i="1" s="1"/>
  <c r="AO26" i="1"/>
  <c r="F59" i="1"/>
  <c r="AO248" i="1"/>
  <c r="EM26" i="1"/>
  <c r="P74" i="1"/>
  <c r="EM248" i="1"/>
  <c r="AH87" i="1"/>
  <c r="U126" i="1"/>
  <c r="DF76" i="3"/>
  <c r="DJ76" i="3" s="1"/>
  <c r="DG76" i="3"/>
  <c r="DH76" i="3"/>
  <c r="DI76" i="3"/>
  <c r="DI151" i="3"/>
  <c r="DJ151" i="3" s="1"/>
  <c r="DG151" i="3"/>
  <c r="DH151" i="3"/>
  <c r="DF151" i="3"/>
  <c r="FR103" i="1"/>
  <c r="CP103" i="1"/>
  <c r="O103" i="1" s="1"/>
  <c r="DF168" i="3"/>
  <c r="DJ168" i="3" s="1"/>
  <c r="DG168" i="3"/>
  <c r="DH168" i="3"/>
  <c r="DI168" i="3"/>
  <c r="BZ87" i="1"/>
  <c r="AQ126" i="1"/>
  <c r="EG87" i="1"/>
  <c r="P130" i="1"/>
  <c r="EG248" i="1"/>
  <c r="GM171" i="1"/>
  <c r="GO171" i="1" s="1"/>
  <c r="GB158" i="1"/>
  <c r="ES177" i="1"/>
  <c r="AE177" i="1"/>
  <c r="CP216" i="1"/>
  <c r="O216" i="1" s="1"/>
  <c r="GM216" i="1" s="1"/>
  <c r="FR216" i="1"/>
  <c r="FQ218" i="1" s="1"/>
  <c r="CI218" i="1"/>
  <c r="AP218" i="1"/>
  <c r="BY209" i="1"/>
  <c r="P243" i="1"/>
  <c r="EV209" i="1"/>
  <c r="BD158" i="1"/>
  <c r="F202" i="1"/>
  <c r="T158" i="1"/>
  <c r="F198" i="1"/>
  <c r="DF98" i="3"/>
  <c r="DH98" i="3"/>
  <c r="DG98" i="3"/>
  <c r="DJ98" i="3" s="1"/>
  <c r="DI98" i="3"/>
  <c r="DG153" i="3"/>
  <c r="DJ153" i="3" s="1"/>
  <c r="DH153" i="3"/>
  <c r="DI153" i="3"/>
  <c r="DF153" i="3"/>
  <c r="AQ26" i="1"/>
  <c r="F65" i="1"/>
  <c r="AQ248" i="1"/>
  <c r="DH65" i="3"/>
  <c r="DF65" i="3"/>
  <c r="DG65" i="3"/>
  <c r="DI65" i="3"/>
  <c r="DJ65" i="3" s="1"/>
  <c r="DG54" i="3"/>
  <c r="DI54" i="3"/>
  <c r="DH54" i="3"/>
  <c r="DF54" i="3"/>
  <c r="DJ54" i="3" s="1"/>
  <c r="DF191" i="3"/>
  <c r="DG191" i="3"/>
  <c r="DH191" i="3"/>
  <c r="DI191" i="3"/>
  <c r="DJ191" i="3" s="1"/>
  <c r="CP28" i="1"/>
  <c r="O28" i="1" s="1"/>
  <c r="AC55" i="1"/>
  <c r="DF75" i="3"/>
  <c r="DJ75" i="3" s="1"/>
  <c r="DG75" i="3"/>
  <c r="DH75" i="3"/>
  <c r="DI75" i="3"/>
  <c r="DF71" i="3"/>
  <c r="DH71" i="3"/>
  <c r="DG71" i="3"/>
  <c r="DI71" i="3"/>
  <c r="DJ71" i="3" s="1"/>
  <c r="DH158" i="3"/>
  <c r="DF158" i="3"/>
  <c r="DG158" i="3"/>
  <c r="DJ158" i="3" s="1"/>
  <c r="DI158" i="3"/>
  <c r="DG106" i="3"/>
  <c r="DI106" i="3"/>
  <c r="DF106" i="3"/>
  <c r="DJ106" i="3" s="1"/>
  <c r="DH106" i="3"/>
  <c r="DF89" i="3"/>
  <c r="DG89" i="3"/>
  <c r="DH89" i="3"/>
  <c r="DI89" i="3"/>
  <c r="DJ89" i="3" s="1"/>
  <c r="DF169" i="3"/>
  <c r="DG169" i="3"/>
  <c r="DH169" i="3"/>
  <c r="DI169" i="3"/>
  <c r="DJ169" i="3" s="1"/>
  <c r="DG167" i="3"/>
  <c r="DH167" i="3"/>
  <c r="DI167" i="3"/>
  <c r="DF167" i="3"/>
  <c r="DJ167" i="3" s="1"/>
  <c r="DI86" i="3"/>
  <c r="DF86" i="3"/>
  <c r="DJ86" i="3" s="1"/>
  <c r="DG86" i="3"/>
  <c r="DH86" i="3"/>
  <c r="DF8" i="3"/>
  <c r="DJ8" i="3" s="1"/>
  <c r="DI8" i="3"/>
  <c r="DG8" i="3"/>
  <c r="DH8" i="3"/>
  <c r="DF5" i="3"/>
  <c r="DG5" i="3"/>
  <c r="DH5" i="3"/>
  <c r="DI5" i="3"/>
  <c r="DJ5" i="3" s="1"/>
  <c r="DW55" i="1"/>
  <c r="X47" i="1"/>
  <c r="GM47" i="1" s="1"/>
  <c r="GN47" i="1" s="1"/>
  <c r="Y47" i="1"/>
  <c r="CY47" i="1"/>
  <c r="CZ47" i="1"/>
  <c r="DZ26" i="1"/>
  <c r="DM55" i="1"/>
  <c r="DF129" i="3"/>
  <c r="DJ129" i="3" s="1"/>
  <c r="DG129" i="3"/>
  <c r="DH129" i="3"/>
  <c r="DI129" i="3"/>
  <c r="CP96" i="1"/>
  <c r="O96" i="1" s="1"/>
  <c r="GM96" i="1" s="1"/>
  <c r="GO96" i="1" s="1"/>
  <c r="EA87" i="1"/>
  <c r="DN126" i="1"/>
  <c r="CY89" i="1"/>
  <c r="CZ89" i="1"/>
  <c r="X89" i="1"/>
  <c r="GM89" i="1" s="1"/>
  <c r="AF126" i="1"/>
  <c r="Y89" i="1"/>
  <c r="AL126" i="1" s="1"/>
  <c r="DF74" i="3"/>
  <c r="DJ74" i="3" s="1"/>
  <c r="DG74" i="3"/>
  <c r="DI74" i="3"/>
  <c r="DH74" i="3"/>
  <c r="DG154" i="3"/>
  <c r="DJ154" i="3" s="1"/>
  <c r="DH154" i="3"/>
  <c r="DI154" i="3"/>
  <c r="DF154" i="3"/>
  <c r="CZ101" i="1"/>
  <c r="Y101" i="1"/>
  <c r="X101" i="1"/>
  <c r="GM101" i="1" s="1"/>
  <c r="CY101" i="1"/>
  <c r="DF133" i="3"/>
  <c r="DI133" i="3"/>
  <c r="DG133" i="3"/>
  <c r="DJ133" i="3" s="1"/>
  <c r="DH133" i="3"/>
  <c r="Q173" i="1"/>
  <c r="R173" i="1"/>
  <c r="U173" i="1"/>
  <c r="AP158" i="1"/>
  <c r="F186" i="1"/>
  <c r="FR116" i="1"/>
  <c r="CP116" i="1"/>
  <c r="O116" i="1" s="1"/>
  <c r="GM116" i="1" s="1"/>
  <c r="DH166" i="3"/>
  <c r="DI166" i="3"/>
  <c r="DG166" i="3"/>
  <c r="DJ166" i="3" s="1"/>
  <c r="DF166" i="3"/>
  <c r="CY215" i="1"/>
  <c r="CZ215" i="1"/>
  <c r="X215" i="1"/>
  <c r="AK218" i="1" s="1"/>
  <c r="Y215" i="1"/>
  <c r="AL218" i="1" s="1"/>
  <c r="CI158" i="1"/>
  <c r="AZ177" i="1"/>
  <c r="P231" i="1"/>
  <c r="ET209" i="1"/>
  <c r="CP165" i="1"/>
  <c r="O165" i="1" s="1"/>
  <c r="GM165" i="1" s="1"/>
  <c r="GO165" i="1" s="1"/>
  <c r="P238" i="1"/>
  <c r="ES209" i="1"/>
  <c r="AH209" i="1"/>
  <c r="U218" i="1"/>
  <c r="AS209" i="1"/>
  <c r="F235" i="1"/>
  <c r="DH32" i="3"/>
  <c r="DG32" i="3"/>
  <c r="DI32" i="3"/>
  <c r="DJ32" i="3" s="1"/>
  <c r="DF32" i="3"/>
  <c r="DF90" i="3"/>
  <c r="DJ90" i="3" s="1"/>
  <c r="DG90" i="3"/>
  <c r="DH90" i="3"/>
  <c r="DI90" i="3"/>
  <c r="DF162" i="3"/>
  <c r="DJ162" i="3" s="1"/>
  <c r="DG162" i="3"/>
  <c r="DH162" i="3"/>
  <c r="DI162" i="3"/>
  <c r="FR98" i="1"/>
  <c r="CP98" i="1"/>
  <c r="O98" i="1" s="1"/>
  <c r="GM98" i="1" s="1"/>
  <c r="DG104" i="3"/>
  <c r="DJ104" i="3" s="1"/>
  <c r="DI104" i="3"/>
  <c r="DH104" i="3"/>
  <c r="DF104" i="3"/>
  <c r="DF48" i="3"/>
  <c r="DH48" i="3"/>
  <c r="DI48" i="3"/>
  <c r="DG48" i="3"/>
  <c r="DJ48" i="3" s="1"/>
  <c r="DF83" i="3"/>
  <c r="DJ83" i="3" s="1"/>
  <c r="DG83" i="3"/>
  <c r="DH83" i="3"/>
  <c r="DI83" i="3"/>
  <c r="DF77" i="3"/>
  <c r="DJ77" i="3" s="1"/>
  <c r="DG77" i="3"/>
  <c r="DH77" i="3"/>
  <c r="DI77" i="3"/>
  <c r="DF69" i="3"/>
  <c r="DG69" i="3"/>
  <c r="DH69" i="3"/>
  <c r="DI69" i="3"/>
  <c r="DJ69" i="3" s="1"/>
  <c r="DI159" i="3"/>
  <c r="DF159" i="3"/>
  <c r="DG159" i="3"/>
  <c r="DJ159" i="3" s="1"/>
  <c r="DH159" i="3"/>
  <c r="DF87" i="3"/>
  <c r="DH87" i="3"/>
  <c r="DG87" i="3"/>
  <c r="DI87" i="3"/>
  <c r="DJ87" i="3" s="1"/>
  <c r="DI70" i="3"/>
  <c r="DJ70" i="3" s="1"/>
  <c r="DF70" i="3"/>
  <c r="DG70" i="3"/>
  <c r="DH70" i="3"/>
  <c r="AJ26" i="1"/>
  <c r="W55" i="1"/>
  <c r="DF84" i="3"/>
  <c r="DJ84" i="3" s="1"/>
  <c r="DG84" i="3"/>
  <c r="DH84" i="3"/>
  <c r="DI84" i="3"/>
  <c r="DF182" i="3"/>
  <c r="DG182" i="3"/>
  <c r="DJ182" i="3" s="1"/>
  <c r="DH182" i="3"/>
  <c r="DI182" i="3"/>
  <c r="DF171" i="3"/>
  <c r="DG171" i="3"/>
  <c r="DJ171" i="3" s="1"/>
  <c r="DH171" i="3"/>
  <c r="DI171" i="3"/>
  <c r="EH26" i="1"/>
  <c r="P64" i="1"/>
  <c r="EI26" i="1"/>
  <c r="P65" i="1"/>
  <c r="EI248" i="1"/>
  <c r="CY42" i="1"/>
  <c r="CZ42" i="1"/>
  <c r="X42" i="1"/>
  <c r="GM42" i="1" s="1"/>
  <c r="GO42" i="1" s="1"/>
  <c r="Y42" i="1"/>
  <c r="DF105" i="3"/>
  <c r="DJ105" i="3" s="1"/>
  <c r="DH105" i="3"/>
  <c r="DG105" i="3"/>
  <c r="DI105" i="3"/>
  <c r="DF126" i="3"/>
  <c r="DG126" i="3"/>
  <c r="DJ126" i="3" s="1"/>
  <c r="DI126" i="3"/>
  <c r="DH126" i="3"/>
  <c r="DV126" i="1"/>
  <c r="AE126" i="1"/>
  <c r="DF187" i="3"/>
  <c r="DJ187" i="3" s="1"/>
  <c r="DG187" i="3"/>
  <c r="DH187" i="3"/>
  <c r="DI187" i="3"/>
  <c r="EI87" i="1"/>
  <c r="P136" i="1"/>
  <c r="EB87" i="1"/>
  <c r="DO126" i="1"/>
  <c r="GM113" i="1"/>
  <c r="GO113" i="1" s="1"/>
  <c r="DF165" i="3"/>
  <c r="DG165" i="3"/>
  <c r="DJ165" i="3" s="1"/>
  <c r="DH165" i="3"/>
  <c r="DI165" i="3"/>
  <c r="CY122" i="1"/>
  <c r="X122" i="1"/>
  <c r="GM122" i="1" s="1"/>
  <c r="GO122" i="1" s="1"/>
  <c r="Y122" i="1"/>
  <c r="CZ122" i="1"/>
  <c r="P222" i="1"/>
  <c r="EG209" i="1"/>
  <c r="FY209" i="1"/>
  <c r="EP218" i="1"/>
  <c r="CP105" i="1"/>
  <c r="O105" i="1" s="1"/>
  <c r="GM105" i="1" s="1"/>
  <c r="GO105" i="1" s="1"/>
  <c r="S173" i="1"/>
  <c r="Y166" i="1"/>
  <c r="X166" i="1"/>
  <c r="GM166" i="1" s="1"/>
  <c r="GO166" i="1" s="1"/>
  <c r="CZ166" i="1"/>
  <c r="CY166" i="1"/>
  <c r="V158" i="1"/>
  <c r="F200" i="1"/>
  <c r="AU209" i="1"/>
  <c r="F237" i="1"/>
  <c r="DF85" i="3"/>
  <c r="DJ85" i="3" s="1"/>
  <c r="DG85" i="3"/>
  <c r="DH85" i="3"/>
  <c r="DI85" i="3"/>
  <c r="DG20" i="3"/>
  <c r="DJ20" i="3" s="1"/>
  <c r="DH20" i="3"/>
  <c r="DI20" i="3"/>
  <c r="DF20" i="3"/>
  <c r="DF135" i="3"/>
  <c r="DJ135" i="3" s="1"/>
  <c r="DG135" i="3"/>
  <c r="DH135" i="3"/>
  <c r="DI135" i="3"/>
  <c r="DF201" i="3"/>
  <c r="DH201" i="3"/>
  <c r="DI201" i="3"/>
  <c r="DJ201" i="3" s="1"/>
  <c r="DG201" i="3"/>
  <c r="CZ28" i="1"/>
  <c r="X28" i="1"/>
  <c r="AK55" i="1" s="1"/>
  <c r="Y28" i="1"/>
  <c r="AF55" i="1"/>
  <c r="CY28" i="1"/>
  <c r="DF36" i="3"/>
  <c r="DH36" i="3"/>
  <c r="DI36" i="3"/>
  <c r="DG36" i="3"/>
  <c r="DJ36" i="3" s="1"/>
  <c r="DG66" i="3"/>
  <c r="DI66" i="3"/>
  <c r="DF66" i="3"/>
  <c r="DJ66" i="3" s="1"/>
  <c r="DH66" i="3"/>
  <c r="DG199" i="3"/>
  <c r="DH199" i="3"/>
  <c r="DI199" i="3"/>
  <c r="DF199" i="3"/>
  <c r="DJ199" i="3" s="1"/>
  <c r="GM32" i="1"/>
  <c r="GO32" i="1" s="1"/>
  <c r="DG134" i="3"/>
  <c r="DJ134" i="3" s="1"/>
  <c r="DH134" i="3"/>
  <c r="DI134" i="3"/>
  <c r="DF134" i="3"/>
  <c r="EU26" i="1"/>
  <c r="P71" i="1"/>
  <c r="EU248" i="1"/>
  <c r="EV26" i="1"/>
  <c r="P80" i="1"/>
  <c r="EV248" i="1"/>
  <c r="DH102" i="3"/>
  <c r="DI102" i="3"/>
  <c r="DJ102" i="3" s="1"/>
  <c r="DF102" i="3"/>
  <c r="DG102" i="3"/>
  <c r="GM34" i="1"/>
  <c r="GO34" i="1" s="1"/>
  <c r="DH127" i="3"/>
  <c r="DI127" i="3"/>
  <c r="DF127" i="3"/>
  <c r="DG127" i="3"/>
  <c r="DJ127" i="3" s="1"/>
  <c r="AD126" i="1"/>
  <c r="DH156" i="3"/>
  <c r="DI156" i="3"/>
  <c r="DF156" i="3"/>
  <c r="DJ156" i="3" s="1"/>
  <c r="DG156" i="3"/>
  <c r="CP160" i="1"/>
  <c r="O160" i="1" s="1"/>
  <c r="AC177" i="1"/>
  <c r="GM95" i="1"/>
  <c r="GO95" i="1" s="1"/>
  <c r="FR91" i="1"/>
  <c r="BY126" i="1" s="1"/>
  <c r="CP91" i="1"/>
  <c r="O91" i="1" s="1"/>
  <c r="GM91" i="1" s="1"/>
  <c r="AC126" i="1"/>
  <c r="P234" i="1"/>
  <c r="EU209" i="1"/>
  <c r="FW218" i="1"/>
  <c r="DU209" i="1"/>
  <c r="DH218" i="1"/>
  <c r="U158" i="1"/>
  <c r="F199" i="1"/>
  <c r="DZ209" i="1"/>
  <c r="DM218" i="1"/>
  <c r="EK209" i="1"/>
  <c r="P235" i="1"/>
  <c r="DQ177" i="1" l="1"/>
  <c r="ED158" i="1"/>
  <c r="GO90" i="1"/>
  <c r="FU126" i="1" s="1"/>
  <c r="EC26" i="1"/>
  <c r="DP55" i="1"/>
  <c r="GO89" i="1"/>
  <c r="CC126" i="1" s="1"/>
  <c r="ED26" i="1"/>
  <c r="DQ55" i="1"/>
  <c r="Y218" i="1"/>
  <c r="AL209" i="1"/>
  <c r="AK209" i="1"/>
  <c r="X218" i="1"/>
  <c r="F238" i="1"/>
  <c r="BA209" i="1"/>
  <c r="AX158" i="1"/>
  <c r="F184" i="1"/>
  <c r="AB126" i="1"/>
  <c r="EU22" i="1"/>
  <c r="P264" i="1"/>
  <c r="EU278" i="1"/>
  <c r="AE87" i="1"/>
  <c r="R126" i="1"/>
  <c r="U87" i="1"/>
  <c r="F148" i="1"/>
  <c r="P188" i="1"/>
  <c r="ER158" i="1"/>
  <c r="GM212" i="1"/>
  <c r="DT218" i="1"/>
  <c r="CH209" i="1"/>
  <c r="AY218" i="1"/>
  <c r="GM215" i="1"/>
  <c r="CF126" i="1"/>
  <c r="P126" i="1"/>
  <c r="AC87" i="1"/>
  <c r="CE126" i="1"/>
  <c r="CH126" i="1"/>
  <c r="X173" i="1"/>
  <c r="Y173" i="1"/>
  <c r="CY173" i="1"/>
  <c r="CZ173" i="1"/>
  <c r="DV87" i="1"/>
  <c r="DI126" i="1"/>
  <c r="DI248" i="1" s="1"/>
  <c r="AC26" i="1"/>
  <c r="CE55" i="1"/>
  <c r="CF55" i="1"/>
  <c r="CH55" i="1"/>
  <c r="P55" i="1"/>
  <c r="R177" i="1"/>
  <c r="AE158" i="1"/>
  <c r="GM44" i="1"/>
  <c r="GN44" i="1" s="1"/>
  <c r="CB55" i="1" s="1"/>
  <c r="BC22" i="1"/>
  <c r="BC278" i="1"/>
  <c r="F264" i="1"/>
  <c r="AX26" i="1"/>
  <c r="F62" i="1"/>
  <c r="AX248" i="1"/>
  <c r="ET22" i="1"/>
  <c r="P261" i="1"/>
  <c r="ET278" i="1"/>
  <c r="ED126" i="1"/>
  <c r="T87" i="1"/>
  <c r="F147" i="1"/>
  <c r="AD209" i="1"/>
  <c r="Q218" i="1"/>
  <c r="DI26" i="1"/>
  <c r="P67" i="1"/>
  <c r="DV209" i="1"/>
  <c r="DI218" i="1"/>
  <c r="DM158" i="1"/>
  <c r="P199" i="1"/>
  <c r="V209" i="1"/>
  <c r="F241" i="1"/>
  <c r="W87" i="1"/>
  <c r="F150" i="1"/>
  <c r="F232" i="1"/>
  <c r="R209" i="1"/>
  <c r="DO209" i="1"/>
  <c r="P242" i="1"/>
  <c r="DM209" i="1"/>
  <c r="P240" i="1"/>
  <c r="EI22" i="1"/>
  <c r="P258" i="1"/>
  <c r="EI278" i="1"/>
  <c r="AL87" i="1"/>
  <c r="Y126" i="1"/>
  <c r="DM26" i="1"/>
  <c r="P77" i="1"/>
  <c r="DM248" i="1"/>
  <c r="AB55" i="1"/>
  <c r="GM28" i="1"/>
  <c r="ES158" i="1"/>
  <c r="P197" i="1"/>
  <c r="GM103" i="1"/>
  <c r="CA126" i="1" s="1"/>
  <c r="EM22" i="1"/>
  <c r="EM278" i="1"/>
  <c r="P267" i="1"/>
  <c r="DT26" i="1"/>
  <c r="DG55" i="1"/>
  <c r="S177" i="1"/>
  <c r="AF158" i="1"/>
  <c r="EC126" i="1"/>
  <c r="GM162" i="1"/>
  <c r="GO162" i="1" s="1"/>
  <c r="DQ209" i="1"/>
  <c r="P245" i="1"/>
  <c r="DN26" i="1"/>
  <c r="P78" i="1"/>
  <c r="DN248" i="1"/>
  <c r="AK26" i="1"/>
  <c r="X55" i="1"/>
  <c r="AF209" i="1"/>
  <c r="S218" i="1"/>
  <c r="P233" i="1"/>
  <c r="DK209" i="1"/>
  <c r="S126" i="1"/>
  <c r="AF87" i="1"/>
  <c r="AQ22" i="1"/>
  <c r="AQ278" i="1"/>
  <c r="F258" i="1"/>
  <c r="GO29" i="1"/>
  <c r="EC158" i="1"/>
  <c r="DP177" i="1"/>
  <c r="CP173" i="1"/>
  <c r="O173" i="1" s="1"/>
  <c r="GM173" i="1" s="1"/>
  <c r="GO173" i="1" s="1"/>
  <c r="EP26" i="1"/>
  <c r="P62" i="1"/>
  <c r="EP248" i="1"/>
  <c r="AK177" i="1"/>
  <c r="DK158" i="1"/>
  <c r="P192" i="1"/>
  <c r="AX87" i="1"/>
  <c r="F133" i="1"/>
  <c r="AE26" i="1"/>
  <c r="R55" i="1"/>
  <c r="ER26" i="1"/>
  <c r="P66" i="1"/>
  <c r="DI158" i="1"/>
  <c r="P189" i="1"/>
  <c r="DK26" i="1"/>
  <c r="P70" i="1"/>
  <c r="DK248" i="1"/>
  <c r="AD87" i="1"/>
  <c r="Q126" i="1"/>
  <c r="DU26" i="1"/>
  <c r="FW55" i="1"/>
  <c r="FX55" i="1"/>
  <c r="DH55" i="1"/>
  <c r="FZ55" i="1"/>
  <c r="V87" i="1"/>
  <c r="F149" i="1"/>
  <c r="AL177" i="1"/>
  <c r="AD26" i="1"/>
  <c r="Q55" i="1"/>
  <c r="FW126" i="1"/>
  <c r="DU87" i="1"/>
  <c r="DH126" i="1"/>
  <c r="DO87" i="1"/>
  <c r="P150" i="1"/>
  <c r="EG22" i="1"/>
  <c r="EG278" i="1"/>
  <c r="P252" i="1"/>
  <c r="AO22" i="1"/>
  <c r="AO278" i="1"/>
  <c r="F252" i="1"/>
  <c r="FT26" i="1"/>
  <c r="EK55" i="1"/>
  <c r="DU158" i="1"/>
  <c r="DH177" i="1"/>
  <c r="FZ177" i="1"/>
  <c r="FW177" i="1"/>
  <c r="FX177" i="1"/>
  <c r="ES87" i="1"/>
  <c r="P146" i="1"/>
  <c r="GM41" i="1"/>
  <c r="GO41" i="1" s="1"/>
  <c r="BD22" i="1"/>
  <c r="F273" i="1"/>
  <c r="BD278" i="1"/>
  <c r="P184" i="1"/>
  <c r="EP158" i="1"/>
  <c r="FQ126" i="1"/>
  <c r="DL26" i="1"/>
  <c r="P76" i="1"/>
  <c r="DL248" i="1"/>
  <c r="BA26" i="1"/>
  <c r="F75" i="1"/>
  <c r="BA248" i="1"/>
  <c r="O218" i="1"/>
  <c r="AB209" i="1"/>
  <c r="FQ209" i="1"/>
  <c r="EH218" i="1"/>
  <c r="GA218" i="1"/>
  <c r="AP126" i="1"/>
  <c r="BY87" i="1"/>
  <c r="CI126" i="1"/>
  <c r="AC158" i="1"/>
  <c r="CH177" i="1"/>
  <c r="CE177" i="1"/>
  <c r="CF177" i="1"/>
  <c r="P177" i="1"/>
  <c r="DH209" i="1"/>
  <c r="P221" i="1"/>
  <c r="V26" i="1"/>
  <c r="F78" i="1"/>
  <c r="V248" i="1"/>
  <c r="GM161" i="1"/>
  <c r="DT177" i="1"/>
  <c r="GM124" i="1"/>
  <c r="FS126" i="1" s="1"/>
  <c r="GO211" i="1"/>
  <c r="CC218" i="1" s="1"/>
  <c r="CA218" i="1"/>
  <c r="EP209" i="1"/>
  <c r="P225" i="1"/>
  <c r="GM160" i="1"/>
  <c r="AB177" i="1"/>
  <c r="FZ218" i="1"/>
  <c r="DN87" i="1"/>
  <c r="P149" i="1"/>
  <c r="AD158" i="1"/>
  <c r="Q177" i="1"/>
  <c r="DW87" i="1"/>
  <c r="DJ126" i="1"/>
  <c r="AU22" i="1"/>
  <c r="F267" i="1"/>
  <c r="AU278" i="1"/>
  <c r="EP87" i="1"/>
  <c r="P133" i="1"/>
  <c r="DL87" i="1"/>
  <c r="P147" i="1"/>
  <c r="P244" i="1"/>
  <c r="DP209" i="1"/>
  <c r="U26" i="1"/>
  <c r="F77" i="1"/>
  <c r="U248" i="1"/>
  <c r="DK126" i="1"/>
  <c r="DX87" i="1"/>
  <c r="AK126" i="1"/>
  <c r="AZ158" i="1"/>
  <c r="F188" i="1"/>
  <c r="FX218" i="1"/>
  <c r="W26" i="1"/>
  <c r="F79" i="1"/>
  <c r="W248" i="1"/>
  <c r="DJ55" i="1"/>
  <c r="DW26" i="1"/>
  <c r="AQ87" i="1"/>
  <c r="F136" i="1"/>
  <c r="F239" i="1"/>
  <c r="T209" i="1"/>
  <c r="BA158" i="1"/>
  <c r="F197" i="1"/>
  <c r="ES248" i="1"/>
  <c r="DT87" i="1"/>
  <c r="DG126" i="1"/>
  <c r="P209" i="1"/>
  <c r="F221" i="1"/>
  <c r="EV22" i="1"/>
  <c r="P273" i="1"/>
  <c r="EV278" i="1"/>
  <c r="AF26" i="1"/>
  <c r="S55" i="1"/>
  <c r="F227" i="1"/>
  <c r="AP209" i="1"/>
  <c r="DJ158" i="1"/>
  <c r="P191" i="1"/>
  <c r="AX209" i="1"/>
  <c r="F225" i="1"/>
  <c r="F201" i="1"/>
  <c r="W158" i="1"/>
  <c r="DO26" i="1"/>
  <c r="P79" i="1"/>
  <c r="DO248" i="1"/>
  <c r="P239" i="1"/>
  <c r="DL209" i="1"/>
  <c r="AV218" i="1"/>
  <c r="CE209" i="1"/>
  <c r="DM87" i="1"/>
  <c r="P148" i="1"/>
  <c r="T26" i="1"/>
  <c r="F76" i="1"/>
  <c r="T248" i="1"/>
  <c r="EN218" i="1"/>
  <c r="FW209" i="1"/>
  <c r="AL55" i="1"/>
  <c r="U209" i="1"/>
  <c r="F240" i="1"/>
  <c r="CI209" i="1"/>
  <c r="AZ218" i="1"/>
  <c r="AZ26" i="1"/>
  <c r="F66" i="1"/>
  <c r="BB22" i="1"/>
  <c r="F261" i="1"/>
  <c r="BB278" i="1"/>
  <c r="P232" i="1"/>
  <c r="DJ209" i="1"/>
  <c r="CF209" i="1"/>
  <c r="AW218" i="1"/>
  <c r="DI22" i="1" l="1"/>
  <c r="P260" i="1"/>
  <c r="DI278" i="1"/>
  <c r="CA87" i="1"/>
  <c r="AR126" i="1"/>
  <c r="FS87" i="1"/>
  <c r="EJ126" i="1"/>
  <c r="AU18" i="1"/>
  <c r="F297" i="1"/>
  <c r="CH26" i="1"/>
  <c r="AY55" i="1"/>
  <c r="BA22" i="1"/>
  <c r="BA278" i="1"/>
  <c r="F268" i="1"/>
  <c r="DI209" i="1"/>
  <c r="P230" i="1"/>
  <c r="CF26" i="1"/>
  <c r="AW55" i="1"/>
  <c r="P87" i="1"/>
  <c r="F129" i="1"/>
  <c r="EV18" i="1"/>
  <c r="P303" i="1"/>
  <c r="DK87" i="1"/>
  <c r="P141" i="1"/>
  <c r="AR218" i="1"/>
  <c r="CA209" i="1"/>
  <c r="CE158" i="1"/>
  <c r="AV177" i="1"/>
  <c r="AL158" i="1"/>
  <c r="Y177" i="1"/>
  <c r="AK158" i="1"/>
  <c r="X177" i="1"/>
  <c r="AX22" i="1"/>
  <c r="AX278" i="1"/>
  <c r="F255" i="1"/>
  <c r="AV55" i="1"/>
  <c r="CE26" i="1"/>
  <c r="CF87" i="1"/>
  <c r="AW126" i="1"/>
  <c r="EU18" i="1"/>
  <c r="P294" i="1"/>
  <c r="DQ26" i="1"/>
  <c r="P82" i="1"/>
  <c r="AW209" i="1"/>
  <c r="F224" i="1"/>
  <c r="Y55" i="1"/>
  <c r="AL26" i="1"/>
  <c r="Y209" i="1"/>
  <c r="F245" i="1"/>
  <c r="BB18" i="1"/>
  <c r="F291" i="1"/>
  <c r="EN209" i="1"/>
  <c r="P223" i="1"/>
  <c r="U22" i="1"/>
  <c r="U278" i="1"/>
  <c r="F270" i="1"/>
  <c r="DJ87" i="1"/>
  <c r="P140" i="1"/>
  <c r="CC209" i="1"/>
  <c r="AT218" i="1"/>
  <c r="CH158" i="1"/>
  <c r="AY177" i="1"/>
  <c r="EG18" i="1"/>
  <c r="P282" i="1"/>
  <c r="EP22" i="1"/>
  <c r="EP278" i="1"/>
  <c r="P255" i="1"/>
  <c r="S87" i="1"/>
  <c r="F141" i="1"/>
  <c r="GO28" i="1"/>
  <c r="CC55" i="1" s="1"/>
  <c r="CA55" i="1"/>
  <c r="AK87" i="1"/>
  <c r="X126" i="1"/>
  <c r="AO18" i="1"/>
  <c r="F282" i="1"/>
  <c r="P158" i="1"/>
  <c r="F180" i="1"/>
  <c r="H16" i="2"/>
  <c r="DJ26" i="1"/>
  <c r="P69" i="1"/>
  <c r="DJ248" i="1"/>
  <c r="Q158" i="1"/>
  <c r="F189" i="1"/>
  <c r="EN177" i="1"/>
  <c r="FW158" i="1"/>
  <c r="FZ26" i="1"/>
  <c r="EQ55" i="1"/>
  <c r="DM22" i="1"/>
  <c r="DM278" i="1"/>
  <c r="P270" i="1"/>
  <c r="AB87" i="1"/>
  <c r="O126" i="1"/>
  <c r="GO160" i="1"/>
  <c r="CC177" i="1" s="1"/>
  <c r="CA177" i="1"/>
  <c r="DK22" i="1"/>
  <c r="DK278" i="1"/>
  <c r="P263" i="1"/>
  <c r="CF158" i="1"/>
  <c r="AW177" i="1"/>
  <c r="DL22" i="1"/>
  <c r="DL278" i="1"/>
  <c r="P269" i="1"/>
  <c r="F226" i="1"/>
  <c r="AY209" i="1"/>
  <c r="DT158" i="1"/>
  <c r="DG177" i="1"/>
  <c r="CI87" i="1"/>
  <c r="AZ126" i="1"/>
  <c r="W22" i="1"/>
  <c r="W278" i="1"/>
  <c r="F272" i="1"/>
  <c r="GO161" i="1"/>
  <c r="FU177" i="1" s="1"/>
  <c r="FS177" i="1"/>
  <c r="FZ158" i="1"/>
  <c r="EQ177" i="1"/>
  <c r="DH26" i="1"/>
  <c r="P58" i="1"/>
  <c r="DH248" i="1"/>
  <c r="F233" i="1"/>
  <c r="S209" i="1"/>
  <c r="S158" i="1"/>
  <c r="F192" i="1"/>
  <c r="F230" i="1"/>
  <c r="Q209" i="1"/>
  <c r="BC18" i="1"/>
  <c r="F294" i="1"/>
  <c r="DT209" i="1"/>
  <c r="DG218" i="1"/>
  <c r="DP26" i="1"/>
  <c r="P81" i="1"/>
  <c r="DP248" i="1"/>
  <c r="CC87" i="1"/>
  <c r="AT126" i="1"/>
  <c r="V22" i="1"/>
  <c r="F271" i="1"/>
  <c r="V278" i="1"/>
  <c r="AP87" i="1"/>
  <c r="F135" i="1"/>
  <c r="AP248" i="1"/>
  <c r="FQ87" i="1"/>
  <c r="GA126" i="1"/>
  <c r="EH126" i="1"/>
  <c r="DH158" i="1"/>
  <c r="P180" i="1"/>
  <c r="FZ126" i="1"/>
  <c r="FX26" i="1"/>
  <c r="EO55" i="1"/>
  <c r="DP158" i="1"/>
  <c r="P203" i="1"/>
  <c r="DG26" i="1"/>
  <c r="P57" i="1"/>
  <c r="GO212" i="1"/>
  <c r="FU218" i="1" s="1"/>
  <c r="FS218" i="1"/>
  <c r="O209" i="1"/>
  <c r="F220" i="1"/>
  <c r="AQ18" i="1"/>
  <c r="F288" i="1"/>
  <c r="EC87" i="1"/>
  <c r="DP126" i="1"/>
  <c r="DH87" i="1"/>
  <c r="P129" i="1"/>
  <c r="FW26" i="1"/>
  <c r="EN55" i="1"/>
  <c r="R26" i="1"/>
  <c r="F69" i="1"/>
  <c r="R248" i="1"/>
  <c r="X26" i="1"/>
  <c r="F81" i="1"/>
  <c r="X248" i="1"/>
  <c r="Y87" i="1"/>
  <c r="F153" i="1"/>
  <c r="CB26" i="1"/>
  <c r="AS55" i="1"/>
  <c r="S26" i="1"/>
  <c r="F70" i="1"/>
  <c r="S248" i="1"/>
  <c r="Q26" i="1"/>
  <c r="F67" i="1"/>
  <c r="Q248" i="1"/>
  <c r="R87" i="1"/>
  <c r="F140" i="1"/>
  <c r="AB26" i="1"/>
  <c r="O55" i="1"/>
  <c r="GA209" i="1"/>
  <c r="ER218" i="1"/>
  <c r="AZ209" i="1"/>
  <c r="F229" i="1"/>
  <c r="ES22" i="1"/>
  <c r="P268" i="1"/>
  <c r="ES278" i="1"/>
  <c r="EO218" i="1"/>
  <c r="FX209" i="1"/>
  <c r="EQ218" i="1"/>
  <c r="FZ209" i="1"/>
  <c r="P227" i="1"/>
  <c r="EH209" i="1"/>
  <c r="EK26" i="1"/>
  <c r="P72" i="1"/>
  <c r="EK248" i="1"/>
  <c r="FS55" i="1"/>
  <c r="W16" i="2"/>
  <c r="FU87" i="1"/>
  <c r="EL126" i="1"/>
  <c r="DO22" i="1"/>
  <c r="P272" i="1"/>
  <c r="DO278" i="1"/>
  <c r="T22" i="1"/>
  <c r="F269" i="1"/>
  <c r="T278" i="1"/>
  <c r="FX158" i="1"/>
  <c r="EO177" i="1"/>
  <c r="DI87" i="1"/>
  <c r="P138" i="1"/>
  <c r="DG87" i="1"/>
  <c r="P128" i="1"/>
  <c r="AV209" i="1"/>
  <c r="F223" i="1"/>
  <c r="O177" i="1"/>
  <c r="AB158" i="1"/>
  <c r="BD18" i="1"/>
  <c r="F303" i="1"/>
  <c r="FX126" i="1"/>
  <c r="Q87" i="1"/>
  <c r="F138" i="1"/>
  <c r="FU55" i="1"/>
  <c r="DN22" i="1"/>
  <c r="P271" i="1"/>
  <c r="DN278" i="1"/>
  <c r="EM18" i="1"/>
  <c r="P297" i="1"/>
  <c r="EI18" i="1"/>
  <c r="P288" i="1"/>
  <c r="ED87" i="1"/>
  <c r="DQ126" i="1"/>
  <c r="DQ248" i="1" s="1"/>
  <c r="R158" i="1"/>
  <c r="F191" i="1"/>
  <c r="CH87" i="1"/>
  <c r="AY126" i="1"/>
  <c r="F244" i="1"/>
  <c r="X209" i="1"/>
  <c r="FW87" i="1"/>
  <c r="EN126" i="1"/>
  <c r="ET18" i="1"/>
  <c r="P291" i="1"/>
  <c r="P26" i="1"/>
  <c r="F58" i="1"/>
  <c r="P248" i="1"/>
  <c r="CE87" i="1"/>
  <c r="AV126" i="1"/>
  <c r="DQ158" i="1"/>
  <c r="P204" i="1"/>
  <c r="DQ22" i="1" l="1"/>
  <c r="DQ278" i="1"/>
  <c r="P275" i="1"/>
  <c r="AR55" i="1"/>
  <c r="CA26" i="1"/>
  <c r="AV87" i="1"/>
  <c r="F131" i="1"/>
  <c r="DH22" i="1"/>
  <c r="P251" i="1"/>
  <c r="DH278" i="1"/>
  <c r="DG158" i="1"/>
  <c r="P179" i="1"/>
  <c r="AR177" i="1"/>
  <c r="CA158" i="1"/>
  <c r="CC26" i="1"/>
  <c r="AT55" i="1"/>
  <c r="Y26" i="1"/>
  <c r="F82" i="1"/>
  <c r="Y248" i="1"/>
  <c r="AY26" i="1"/>
  <c r="F63" i="1"/>
  <c r="AY248" i="1"/>
  <c r="FU26" i="1"/>
  <c r="EL55" i="1"/>
  <c r="FU209" i="1"/>
  <c r="EL218" i="1"/>
  <c r="GA87" i="1"/>
  <c r="ER126" i="1"/>
  <c r="CC158" i="1"/>
  <c r="AT177" i="1"/>
  <c r="DJ22" i="1"/>
  <c r="P262" i="1"/>
  <c r="DJ278" i="1"/>
  <c r="AX18" i="1"/>
  <c r="F285" i="1"/>
  <c r="AY87" i="1"/>
  <c r="F134" i="1"/>
  <c r="FX87" i="1"/>
  <c r="EO126" i="1"/>
  <c r="AP22" i="1"/>
  <c r="F257" i="1"/>
  <c r="G16" i="2" s="1"/>
  <c r="AP278" i="1"/>
  <c r="EQ158" i="1"/>
  <c r="P185" i="1"/>
  <c r="U18" i="1"/>
  <c r="F300" i="1"/>
  <c r="X158" i="1"/>
  <c r="F203" i="1"/>
  <c r="DP22" i="1"/>
  <c r="DP278" i="1"/>
  <c r="P274" i="1"/>
  <c r="O87" i="1"/>
  <c r="F128" i="1"/>
  <c r="DQ87" i="1"/>
  <c r="P153" i="1"/>
  <c r="T18" i="1"/>
  <c r="F299" i="1"/>
  <c r="ER209" i="1"/>
  <c r="P229" i="1"/>
  <c r="AS26" i="1"/>
  <c r="F72" i="1"/>
  <c r="AS248" i="1"/>
  <c r="EP18" i="1"/>
  <c r="P285" i="1"/>
  <c r="EJ87" i="1"/>
  <c r="P154" i="1"/>
  <c r="ES18" i="1"/>
  <c r="P298" i="1"/>
  <c r="AV26" i="1"/>
  <c r="F60" i="1"/>
  <c r="AV248" i="1"/>
  <c r="EH87" i="1"/>
  <c r="P135" i="1"/>
  <c r="EH248" i="1"/>
  <c r="P22" i="1"/>
  <c r="P278" i="1"/>
  <c r="F251" i="1"/>
  <c r="EN26" i="1"/>
  <c r="P60" i="1"/>
  <c r="EN248" i="1"/>
  <c r="EJ177" i="1"/>
  <c r="FS158" i="1"/>
  <c r="DL18" i="1"/>
  <c r="P299" i="1"/>
  <c r="DM18" i="1"/>
  <c r="P300" i="1"/>
  <c r="Y158" i="1"/>
  <c r="F204" i="1"/>
  <c r="AW26" i="1"/>
  <c r="F61" i="1"/>
  <c r="AW248" i="1"/>
  <c r="FS26" i="1"/>
  <c r="EJ55" i="1"/>
  <c r="DG248" i="1"/>
  <c r="V18" i="1"/>
  <c r="F301" i="1"/>
  <c r="FU158" i="1"/>
  <c r="EL177" i="1"/>
  <c r="AR87" i="1"/>
  <c r="F154" i="1"/>
  <c r="EK22" i="1"/>
  <c r="P265" i="1"/>
  <c r="T16" i="2" s="1"/>
  <c r="EK278" i="1"/>
  <c r="O26" i="1"/>
  <c r="F57" i="1"/>
  <c r="O248" i="1"/>
  <c r="DP87" i="1"/>
  <c r="P152" i="1"/>
  <c r="EN87" i="1"/>
  <c r="P131" i="1"/>
  <c r="O158" i="1"/>
  <c r="F179" i="1"/>
  <c r="DO18" i="1"/>
  <c r="P302" i="1"/>
  <c r="EO26" i="1"/>
  <c r="P61" i="1"/>
  <c r="EO248" i="1"/>
  <c r="AW158" i="1"/>
  <c r="F183" i="1"/>
  <c r="EQ26" i="1"/>
  <c r="P63" i="1"/>
  <c r="AV158" i="1"/>
  <c r="F182" i="1"/>
  <c r="EJ218" i="1"/>
  <c r="FS209" i="1"/>
  <c r="EO158" i="1"/>
  <c r="P183" i="1"/>
  <c r="AW87" i="1"/>
  <c r="F132" i="1"/>
  <c r="DI18" i="1"/>
  <c r="P290" i="1"/>
  <c r="DN18" i="1"/>
  <c r="P301" i="1"/>
  <c r="FZ87" i="1"/>
  <c r="EQ126" i="1"/>
  <c r="AT87" i="1"/>
  <c r="F144" i="1"/>
  <c r="Y16" i="2"/>
  <c r="X87" i="1"/>
  <c r="F152" i="1"/>
  <c r="R22" i="1"/>
  <c r="R278" i="1"/>
  <c r="F262" i="1"/>
  <c r="S22" i="1"/>
  <c r="F263" i="1"/>
  <c r="S278" i="1"/>
  <c r="DG209" i="1"/>
  <c r="P220" i="1"/>
  <c r="P226" i="1"/>
  <c r="EQ209" i="1"/>
  <c r="X22" i="1"/>
  <c r="X278" i="1"/>
  <c r="F274" i="1"/>
  <c r="W18" i="1"/>
  <c r="F302" i="1"/>
  <c r="AY158" i="1"/>
  <c r="F185" i="1"/>
  <c r="EL87" i="1"/>
  <c r="P144" i="1"/>
  <c r="EO209" i="1"/>
  <c r="P224" i="1"/>
  <c r="Q22" i="1"/>
  <c r="F260" i="1"/>
  <c r="Q278" i="1"/>
  <c r="AZ87" i="1"/>
  <c r="F137" i="1"/>
  <c r="AZ248" i="1"/>
  <c r="DK18" i="1"/>
  <c r="P293" i="1"/>
  <c r="EN158" i="1"/>
  <c r="P182" i="1"/>
  <c r="AT209" i="1"/>
  <c r="F236" i="1"/>
  <c r="F246" i="1"/>
  <c r="AR209" i="1"/>
  <c r="BA18" i="1"/>
  <c r="F298" i="1"/>
  <c r="AZ22" i="1" l="1"/>
  <c r="AZ278" i="1"/>
  <c r="F259" i="1"/>
  <c r="R18" i="1"/>
  <c r="F292" i="1"/>
  <c r="AV22" i="1"/>
  <c r="F253" i="1"/>
  <c r="AV278" i="1"/>
  <c r="DG22" i="1"/>
  <c r="P250" i="1"/>
  <c r="DG278" i="1"/>
  <c r="AY22" i="1"/>
  <c r="AY278" i="1"/>
  <c r="F256" i="1"/>
  <c r="DH18" i="1"/>
  <c r="P281" i="1"/>
  <c r="EL26" i="1"/>
  <c r="P73" i="1"/>
  <c r="EL248" i="1"/>
  <c r="EJ26" i="1"/>
  <c r="P83" i="1"/>
  <c r="EJ248" i="1"/>
  <c r="EJ158" i="1"/>
  <c r="P205" i="1"/>
  <c r="DJ18" i="1"/>
  <c r="P292" i="1"/>
  <c r="EN22" i="1"/>
  <c r="P253" i="1"/>
  <c r="EN278" i="1"/>
  <c r="Q18" i="1"/>
  <c r="F290" i="1"/>
  <c r="EK18" i="1"/>
  <c r="P295" i="1"/>
  <c r="AW22" i="1"/>
  <c r="F254" i="1"/>
  <c r="AW278" i="1"/>
  <c r="Y22" i="1"/>
  <c r="Y278" i="1"/>
  <c r="F275" i="1"/>
  <c r="X18" i="1"/>
  <c r="F304" i="1"/>
  <c r="AP18" i="1"/>
  <c r="F287" i="1"/>
  <c r="F195" i="1"/>
  <c r="AT158" i="1"/>
  <c r="P246" i="1"/>
  <c r="EJ209" i="1"/>
  <c r="EO22" i="1"/>
  <c r="P254" i="1"/>
  <c r="EO278" i="1"/>
  <c r="EQ87" i="1"/>
  <c r="P134" i="1"/>
  <c r="P18" i="1"/>
  <c r="F281" i="1"/>
  <c r="ER87" i="1"/>
  <c r="P137" i="1"/>
  <c r="ER248" i="1"/>
  <c r="AT26" i="1"/>
  <c r="F73" i="1"/>
  <c r="AT248" i="1"/>
  <c r="AR26" i="1"/>
  <c r="F83" i="1"/>
  <c r="AR248" i="1"/>
  <c r="O22" i="1"/>
  <c r="O278" i="1"/>
  <c r="F250" i="1"/>
  <c r="S18" i="1"/>
  <c r="F293" i="1"/>
  <c r="EO87" i="1"/>
  <c r="P132" i="1"/>
  <c r="J16" i="2"/>
  <c r="EQ248" i="1"/>
  <c r="EL158" i="1"/>
  <c r="P195" i="1"/>
  <c r="EH22" i="1"/>
  <c r="EH278" i="1"/>
  <c r="P257" i="1"/>
  <c r="V16" i="2" s="1"/>
  <c r="AS22" i="1"/>
  <c r="F265" i="1"/>
  <c r="E16" i="2" s="1"/>
  <c r="AS278" i="1"/>
  <c r="DP18" i="1"/>
  <c r="P304" i="1"/>
  <c r="EL209" i="1"/>
  <c r="P236" i="1"/>
  <c r="DQ18" i="1"/>
  <c r="P305" i="1"/>
  <c r="AR158" i="1"/>
  <c r="F205" i="1"/>
  <c r="DG18" i="1" l="1"/>
  <c r="P280" i="1"/>
  <c r="EJ22" i="1"/>
  <c r="P276" i="1"/>
  <c r="EJ278" i="1"/>
  <c r="AV18" i="1"/>
  <c r="F283" i="1"/>
  <c r="ER22" i="1"/>
  <c r="P259" i="1"/>
  <c r="ER278" i="1"/>
  <c r="EL22" i="1"/>
  <c r="P266" i="1"/>
  <c r="U16" i="2" s="1"/>
  <c r="X16" i="2" s="1"/>
  <c r="AC16" i="2" s="1"/>
  <c r="EL278" i="1"/>
  <c r="O18" i="1"/>
  <c r="F280" i="1"/>
  <c r="AS18" i="1"/>
  <c r="F295" i="1"/>
  <c r="EH18" i="1"/>
  <c r="P287" i="1"/>
  <c r="EN18" i="1"/>
  <c r="P283" i="1"/>
  <c r="AW18" i="1"/>
  <c r="F284" i="1"/>
  <c r="AR22" i="1"/>
  <c r="AR278" i="1"/>
  <c r="F276" i="1"/>
  <c r="Y18" i="1"/>
  <c r="F305" i="1"/>
  <c r="AZ18" i="1"/>
  <c r="F289" i="1"/>
  <c r="EO18" i="1"/>
  <c r="P284" i="1"/>
  <c r="EQ22" i="1"/>
  <c r="EQ278" i="1"/>
  <c r="P256" i="1"/>
  <c r="AT22" i="1"/>
  <c r="F266" i="1"/>
  <c r="F16" i="2" s="1"/>
  <c r="I16" i="2" s="1"/>
  <c r="N16" i="2" s="1"/>
  <c r="AT278" i="1"/>
  <c r="AY18" i="1"/>
  <c r="F286" i="1"/>
  <c r="EJ18" i="1" l="1"/>
  <c r="P306" i="1"/>
  <c r="EQ18" i="1"/>
  <c r="P286" i="1"/>
  <c r="AT18" i="1"/>
  <c r="F296" i="1"/>
  <c r="AR18" i="1"/>
  <c r="F306" i="1"/>
  <c r="EL18" i="1"/>
  <c r="P296" i="1"/>
  <c r="ER18" i="1"/>
  <c r="P289" i="1"/>
</calcChain>
</file>

<file path=xl/sharedStrings.xml><?xml version="1.0" encoding="utf-8"?>
<sst xmlns="http://schemas.openxmlformats.org/spreadsheetml/2006/main" count="10887" uniqueCount="490">
  <si>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</si>
  <si>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</si>
  <si>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</si>
  <si>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</si>
  <si>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t>
  </si>
  <si>
    <t>02-01-15</t>
  </si>
  <si>
    <t>02-01-15 СКУД 16.07.26</t>
  </si>
  <si>
    <t>2024-00375-01-0-ИОС5.8</t>
  </si>
  <si>
    <t>Сметные нормы списания</t>
  </si>
  <si>
    <t>Коды ОКП для ТСН-2001 МГЭ Дополнение 81</t>
  </si>
  <si>
    <t>ТСН-2001 (МГЭ) Доп 81 - Новое строительство</t>
  </si>
  <si>
    <t>Типовой расчет для ТСН-2001 МГЭ, Дополнение 81, строительство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</si>
  <si>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</si>
  <si>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</si>
  <si>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</si>
  <si>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</si>
  <si>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Система контроля и управления доступом</t>
  </si>
  <si>
    <t>Новый раздел</t>
  </si>
  <si>
    <t>Демонтажные работы  (Письмо от АНО «РГТ» об утверждении объёмов демонтажных работ)</t>
  </si>
  <si>
    <t>1</t>
  </si>
  <si>
    <t>4.10-176-1</t>
  </si>
  <si>
    <t>Монтаж блока контроля датчиков (контроллер) / демонтаж</t>
  </si>
  <si>
    <t>10 шт.</t>
  </si>
  <si>
    <t>ТСН-2001.4 Доп. 80, Сб. 10, т. 176, поз. 1</t>
  </si>
  <si>
    <t>*1)*0</t>
  </si>
  <si>
    <t>*1,2)*0,3</t>
  </si>
  <si>
    <t>Монтаж оборудования</t>
  </si>
  <si>
    <t>ТСН-2001.4-10. Прокладка и монтаж сетей связи</t>
  </si>
  <si>
    <t>ТСН-2001.4-10-1</t>
  </si>
  <si>
    <t>Поправка: Гл.12.Прил.8.п.8. 3_12.00.01.11.001
Поправка: Гл.4.Прил.2.2.п.2.2.29_04.00.01.35.003</t>
  </si>
  <si>
    <t>2</t>
  </si>
  <si>
    <t>4.10-81-4</t>
  </si>
  <si>
    <t>Извещатели ОС автоматические, контактный, магнито-контактный на открывание окон, дверей / демонтаж элемента дистанционного управления</t>
  </si>
  <si>
    <t>1  ШТ.</t>
  </si>
  <si>
    <t>ТСН-2001.4. Доп. 1-42. Сб. 10, т. 81, поз. 4</t>
  </si>
  <si>
    <t>3</t>
  </si>
  <si>
    <t>4.10-173-2</t>
  </si>
  <si>
    <t>Монтаж блока бесперебойного питания (ББП) в диспетчерской / демонтаж аккумуляторов</t>
  </si>
  <si>
    <t>ТСН-2001.4 Доп. 67, Сб. 10, т. 173, поз. 2</t>
  </si>
  <si>
    <t>4</t>
  </si>
  <si>
    <t>4.10-177-1</t>
  </si>
  <si>
    <t>Монтаж устройства связи с согласующим устройством (вызывная панель) / демонтаж считывателя</t>
  </si>
  <si>
    <t>ТСН-2001.4 Доп. 80, Сб. 10, т. 177, поз. 1</t>
  </si>
  <si>
    <t>5</t>
  </si>
  <si>
    <t>4.10-76-10</t>
  </si>
  <si>
    <t>Монтаж ключа или кнопки на панели / демонтаж кнопки выхода</t>
  </si>
  <si>
    <t>ТСН-2001.4 Доп. 79, Сб. 10, т. 76, поз. 10</t>
  </si>
  <si>
    <t>ТСН-2001.4-10. Монтаж радиотелевизионного и электронного оборудования</t>
  </si>
  <si>
    <t>ТСН-2001.4-10-2</t>
  </si>
  <si>
    <t>6</t>
  </si>
  <si>
    <t>Монтаж устройства связи с согласующим устройством (вызывная панель) / демонтаж вызывной панели</t>
  </si>
  <si>
    <t>7</t>
  </si>
  <si>
    <t>Монтаж устройства связи с согласующим устройством (вызывная панель) / демонтаж настольного USB-считывателя</t>
  </si>
  <si>
    <t>8</t>
  </si>
  <si>
    <t>4.10-175-1</t>
  </si>
  <si>
    <t>Монтаж домового регистратора / демонтаж видеомонитора</t>
  </si>
  <si>
    <t>ТСН-2001.4 Доп. 80, Сб. 10, т. 175, поз. 1</t>
  </si>
  <si>
    <t>9</t>
  </si>
  <si>
    <t>6.67-5-1</t>
  </si>
  <si>
    <t>Демонтаж трубных проводок, первого провода сечением 6 мм2</t>
  </si>
  <si>
    <t>100 м</t>
  </si>
  <si>
    <t>ТСН-2001.6. Доп. 1-42. Сб. 67, т. 5, поз. 1</t>
  </si>
  <si>
    <t>*1</t>
  </si>
  <si>
    <t>*1,2</t>
  </si>
  <si>
    <t>Ремонтно-строительные работы</t>
  </si>
  <si>
    <t>ТСН-2001.6-67. Электромонтажные работы</t>
  </si>
  <si>
    <t>ТСН-2001.6-67-1</t>
  </si>
  <si>
    <t>Поправка: Гл.12.Прил.8.п.8. 3_12.00.01.11.001</t>
  </si>
  <si>
    <t>6.67-6-1</t>
  </si>
  <si>
    <t>Демонтаж кабеля</t>
  </si>
  <si>
    <t>ТСН-2001.6. Доп. 1-42. Сб. 67, т. 6, поз. 1</t>
  </si>
  <si>
    <t>10</t>
  </si>
  <si>
    <t>4.10-186-5</t>
  </si>
  <si>
    <t>Прокладка кабеля связи симметричного для цифровых систем передачи в трубах гофрированных: по бетонным и кирпичным поверхностям стен и потолка</t>
  </si>
  <si>
    <t>ТСН-2001.4 Доп. 79, Сб. 10, т. 186, поз. 5</t>
  </si>
  <si>
    <t>6.67-5-12</t>
  </si>
  <si>
    <t>Демонтаж трубных проводок, трубы в борозде диаметром 25 мм</t>
  </si>
  <si>
    <t>ТСН-2001.6. Доп. 1-42. Сб. 67, т. 5, поз. 12</t>
  </si>
  <si>
    <t>11</t>
  </si>
  <si>
    <t>4.11-16-1</t>
  </si>
  <si>
    <t>Монтаж механизма исполнительного массой до 20 кг / демонтаж электромагнитного замка</t>
  </si>
  <si>
    <t>ТСН-2001.4 Доп. 68, Сб. 11, т. 16, поз. 1</t>
  </si>
  <si>
    <t>ТСН-2001.4-11. Приборы и средства автоматизации и вычислительной техники</t>
  </si>
  <si>
    <t>ТСН-2001.4-11-1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</si>
  <si>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</si>
  <si>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</si>
  <si>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</si>
  <si>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</si>
  <si>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</si>
  <si>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</si>
  <si>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</si>
  <si>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</si>
  <si>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</si>
  <si>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</si>
  <si>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</si>
  <si>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</si>
  <si>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</si>
  <si>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</si>
  <si>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</si>
  <si>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</si>
  <si>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</si>
  <si>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</si>
  <si>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</si>
  <si>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</si>
  <si>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</si>
  <si>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</si>
  <si>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</si>
  <si>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</si>
  <si>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</si>
  <si>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</si>
  <si>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</si>
  <si>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</si>
  <si>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</si>
  <si>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</si>
  <si>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</si>
  <si>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</si>
  <si>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</si>
  <si>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</si>
  <si>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</si>
  <si>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</si>
  <si>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</si>
  <si>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</si>
  <si>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</si>
  <si>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</si>
  <si>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</si>
  <si>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</si>
  <si>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</si>
  <si>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</si>
  <si>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</si>
  <si>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</si>
  <si>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</si>
  <si>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</si>
  <si>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</si>
  <si>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</si>
  <si>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</si>
  <si>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</si>
  <si>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</si>
  <si>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</si>
  <si>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Оборудование</t>
  </si>
  <si>
    <t>12</t>
  </si>
  <si>
    <t>Монтаж блока контроля датчиков (контроллер)</t>
  </si>
  <si>
    <t>12,1</t>
  </si>
  <si>
    <t>КА, п.1</t>
  </si>
  <si>
    <t>Контроллер сетевой STR20-1AP-IP-M</t>
  </si>
  <si>
    <t>ШТ</t>
  </si>
  <si>
    <t>Оборудование, отсутствующие в СНБ</t>
  </si>
  <si>
    <t>Оборуд. КА</t>
  </si>
  <si>
    <t>[173 880 / 1,22 /  7,57] +  3% Трансп +  1,2% Заг.скл</t>
  </si>
  <si>
    <t>1,2</t>
  </si>
  <si>
    <t>13</t>
  </si>
  <si>
    <t>Монтаж ключа или кнопки на панели</t>
  </si>
  <si>
    <t>Извещатели ОС автоматические, контактный, магнито-контактный на открывание окон, дверей</t>
  </si>
  <si>
    <t>14</t>
  </si>
  <si>
    <t>КА, п.2</t>
  </si>
  <si>
    <t>Элемент дистанционного управления с двумя группами переключающихся контактов ИР 513-10 исп.1 "Аварийный выход"</t>
  </si>
  <si>
    <t>[1 234 / 1,22 /  7,57] +  3% Трансп +  1,2% Заг.скл</t>
  </si>
  <si>
    <t>Монтаж блока бесперебойного питания (ББП) в диспетчерской</t>
  </si>
  <si>
    <t>13.1-1-661</t>
  </si>
  <si>
    <t>Аккумулятор герметичный свинцово-кислотный 12 В, 4,5 А•ч. Габаритные размеры 90х70х101 мм</t>
  </si>
  <si>
    <t>шт.</t>
  </si>
  <si>
    <t>ТСН-2001.13-2. Доп. 41. 13.1-1-661</t>
  </si>
  <si>
    <t>Сметная стоимость оборудования</t>
  </si>
  <si>
    <t>ТСН-2001.13. Сметная стоимость оборудования</t>
  </si>
  <si>
    <t>ТСН-2001.13</t>
  </si>
  <si>
    <t>15</t>
  </si>
  <si>
    <t>16</t>
  </si>
  <si>
    <t>Монтаж устройства связи с согласующим устройством (вызывная панель)</t>
  </si>
  <si>
    <t>16,1</t>
  </si>
  <si>
    <t>КА, п.3</t>
  </si>
  <si>
    <t>Считыватель PW-101-Plus MF</t>
  </si>
  <si>
    <t>[5 900 / 1,22 /  7,57] +  3% Трансп +  1,2% Заг.скл</t>
  </si>
  <si>
    <t>17</t>
  </si>
  <si>
    <t>17,1</t>
  </si>
  <si>
    <t>КА, п.4</t>
  </si>
  <si>
    <t>Кнопка выхода ST-EX010SM</t>
  </si>
  <si>
    <t>[490 / 1,22 /  7,57] +  3% Трансп +  1,2% Заг.скл</t>
  </si>
  <si>
    <t>18</t>
  </si>
  <si>
    <t>18,1</t>
  </si>
  <si>
    <t>КА, п.5</t>
  </si>
  <si>
    <t>Вызывная панель IP-домофона DS06АР (Black)</t>
  </si>
  <si>
    <t>[22 800 / 1,22 /  7,57] +  3% Трансп +  1,2% Заг.скл</t>
  </si>
  <si>
    <t>19</t>
  </si>
  <si>
    <t>19,1</t>
  </si>
  <si>
    <t>КА, п.6</t>
  </si>
  <si>
    <t>Настольный USB-считыватель Z-2 (мод. RD_ALL)/Z-2 USB</t>
  </si>
  <si>
    <t>[8 100 / 1,22 /  7,57] +  3% Трансп +  1,2% Заг.скл</t>
  </si>
  <si>
    <t>20</t>
  </si>
  <si>
    <t>Монтаж домового регистратора</t>
  </si>
  <si>
    <t>20,1</t>
  </si>
  <si>
    <t>КА, п.7</t>
  </si>
  <si>
    <t>IP-Видеомонитор SM730</t>
  </si>
  <si>
    <t>[15 300 / 1,22 /  7,57] +  3% Трансп +  1,2% Заг.скл</t>
  </si>
  <si>
    <t>Кабельные изделия и кабеленесущие конструкции</t>
  </si>
  <si>
    <t>21</t>
  </si>
  <si>
    <t>21,1</t>
  </si>
  <si>
    <t>КА, п.8</t>
  </si>
  <si>
    <t>Гибкая гофрированная ПЛЛ труба без содержания галогенов, ДУ20, O 19.7 / 14.8 мм, протяжка, цвет белый, бухта 100 м 81820</t>
  </si>
  <si>
    <t>м</t>
  </si>
  <si>
    <t>Материалы, отсутствующие в СНБ (Строительные)</t>
  </si>
  <si>
    <t>МР КА Строительные</t>
  </si>
  <si>
    <t>[133 / 1,22 /  9,84] +  2% Заг.скл</t>
  </si>
  <si>
    <t>0</t>
  </si>
  <si>
    <t>21,2</t>
  </si>
  <si>
    <t>1.21-5-1136</t>
  </si>
  <si>
    <t>Держатель пластиковый с защелкой для крепления труб, рукавов и гибких вводов диаметром 20 мм</t>
  </si>
  <si>
    <t>100 шт.</t>
  </si>
  <si>
    <t>ТСН-2001.1 Доп. 73, Р. 21, о. 5, поз. 1136</t>
  </si>
  <si>
    <t>22</t>
  </si>
  <si>
    <t>КА, п.9</t>
  </si>
  <si>
    <t>Кабель связи, симметричной парной скрутки КПСВВнг(А)-LSLTx1x2x0,75</t>
  </si>
  <si>
    <t>[57,49 / 1,22 /  9,84] +  2% Заг.скл</t>
  </si>
  <si>
    <t>23</t>
  </si>
  <si>
    <t>КА, п.10</t>
  </si>
  <si>
    <t>Кабель для СКС/IP ParLan U/UTP Cat5e PVCLSнг(А)-LSLTx 4х2х0,52 ТУ 3574-010-39793330-2009  108771</t>
  </si>
  <si>
    <t>[98 / 1,22 /  9,84] +  2% Заг.скл</t>
  </si>
  <si>
    <t>4.8-86-2</t>
  </si>
  <si>
    <t>Герметизация прохода при вводе кабелей, заделка прохода при прокладке кабелей по стенам и потолкам</t>
  </si>
  <si>
    <t>100 М УЛОЖЕННОГО КАБЕЛЯ</t>
  </si>
  <si>
    <t>ТСН-2001.4 Доп. 67, Сб. 8, т. 86, поз. 2</t>
  </si>
  <si>
    <t>ТСН-2001.4-8. Электротехнические установки</t>
  </si>
  <si>
    <t>ТСН-2001.4-8-1</t>
  </si>
  <si>
    <t>1.1-1-7994</t>
  </si>
  <si>
    <t>Шнур асбестовый, общего назначения, типа ШАОН, диаметр от 3 до 5 мм</t>
  </si>
  <si>
    <t>т</t>
  </si>
  <si>
    <t>ТСН-2001.1 Доп. 79, Р. 1, о. 1, поз. 7994</t>
  </si>
  <si>
    <t>Материалы строительные</t>
  </si>
  <si>
    <t>ТСН-2001.1 Материалы строительные</t>
  </si>
  <si>
    <t>ТСН-2001.1-1</t>
  </si>
  <si>
    <t>24</t>
  </si>
  <si>
    <t>КА, п.11</t>
  </si>
  <si>
    <t>Пена однокомпонентная огнезащитная DF 1201, баллон 740 мл</t>
  </si>
  <si>
    <t>[2 934,83 / 1,22 /  9,84] +  2% Заг.скл</t>
  </si>
  <si>
    <t>Исполнительные устройства</t>
  </si>
  <si>
    <t>25</t>
  </si>
  <si>
    <t>Монтаж механизма исполнительного массой до 20 кг</t>
  </si>
  <si>
    <t>25,1</t>
  </si>
  <si>
    <t>1.1-1-8146</t>
  </si>
  <si>
    <t>Болты стальные оцинкованные с шестигранной головкой, с полной резьбой, с гайкой оцинкованной, М6, длина от 12 до 60 мм</t>
  </si>
  <si>
    <t>кг</t>
  </si>
  <si>
    <t>ТСН-2001.1 Доп. 79, Р. 1, о. 1, поз. 8146</t>
  </si>
  <si>
    <t>25,2</t>
  </si>
  <si>
    <t>КА, п.12</t>
  </si>
  <si>
    <t>Замок электромагнитный Smartec ST-CL210М</t>
  </si>
  <si>
    <t>[8 415 / 1,22 /  7,57] +  3% Трансп +  1,2% Заг.скл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</si>
  <si>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</si>
  <si>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</si>
  <si>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</si>
  <si>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</si>
  <si>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</si>
  <si>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3.27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</si>
  <si>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</si>
  <si>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3.29 Отдел 1.5; табл. 3.29-1905...1906</t>
  </si>
  <si>
    <t>4.10_МЕЖГ</t>
  </si>
  <si>
    <t>{вкл} - Прокладка и монтаж междугородных линий связи  {выкл} - Прокладка и монтаж сетей связи  4.10 Раздел 1.7.3...1.7.5</t>
  </si>
  <si>
    <t>Базовый уровень цен</t>
  </si>
  <si>
    <t>Сборник индексов</t>
  </si>
  <si>
    <t>Коэффициенты к ТСН-2001 МГЭ Дополнение 81, строительство</t>
  </si>
  <si>
    <t>Текущий уровень цен</t>
  </si>
  <si>
    <t>219/81</t>
  </si>
  <si>
    <t>Коэффициенты к ТСН-2001.13-2 Дополнение 47</t>
  </si>
  <si>
    <t>64/47</t>
  </si>
  <si>
    <t>_OBSM_</t>
  </si>
  <si>
    <t>9999990008</t>
  </si>
  <si>
    <t>Трудозатраты рабочих</t>
  </si>
  <si>
    <t>чел.-ч.</t>
  </si>
  <si>
    <t>2.1-18-7</t>
  </si>
  <si>
    <t>ТСН-2001.2. Доп. 68. п.1-18-7 (183001)</t>
  </si>
  <si>
    <t>Автомобили грузовые бортовые, грузоподъемность до 5 т</t>
  </si>
  <si>
    <t>маш.-ч</t>
  </si>
  <si>
    <t>9999990009</t>
  </si>
  <si>
    <t>2.1-30-56</t>
  </si>
  <si>
    <t>ТСН-2001.2. Доп. 68. п.1-30-56 (309101)</t>
  </si>
  <si>
    <t>Шуруповерты</t>
  </si>
  <si>
    <t>1.1-1-2381</t>
  </si>
  <si>
    <t>ТСН-2001.1 Доп. 79, Р. 1, о. 1, поз. 2381</t>
  </si>
  <si>
    <t>Винты с полукруглой головкой, М6х10</t>
  </si>
  <si>
    <t>1.1-1-2628</t>
  </si>
  <si>
    <t>ТСН-2001.1 Доп. 79, Р. 1, о. 1, поз. 2628</t>
  </si>
  <si>
    <t>Винты самонарезающие, оцинкованные, для металла, диаметр 4 мм, длина 35 мм</t>
  </si>
  <si>
    <t>1.1-1-945</t>
  </si>
  <si>
    <t>ТСН-2001.1 Доп. 79, Р. 1, о. 1, поз. 945</t>
  </si>
  <si>
    <t>Припой оловянно-свинцовый, в прутках, диаметр 8 мм, типа ПОС-40</t>
  </si>
  <si>
    <t>1.7-3-112</t>
  </si>
  <si>
    <t>ТСН-2001.1 Доп. 67, Р. 7, о. 3, поз. 112</t>
  </si>
  <si>
    <t>Сверло спиральное HSS, для сверления алюминия, нержавеющей стали, углеродистой стали и чугуна, диаметр 4 мм, длина 75 мм</t>
  </si>
  <si>
    <t>2.1-30-102</t>
  </si>
  <si>
    <t>ТСН-2001.2. Доп. 68. п.1-30-102 (303704)</t>
  </si>
  <si>
    <t>Дрели, мощность до 800 Вт</t>
  </si>
  <si>
    <t>1.23-11-3</t>
  </si>
  <si>
    <t>ТСН-2001.1 Доп. 79, Р. 23, о. 11, поз. 3</t>
  </si>
  <si>
    <t>Провод монтажный с гибкой жилой из медной луженой проволоки с комбинированной волокнистой и поливинилхлоридной изоляцией, марка МГШВ, напряжение 1000 В, число жил и сечение 1х0,35 мм2</t>
  </si>
  <si>
    <t>км</t>
  </si>
  <si>
    <t>1.1-1-946</t>
  </si>
  <si>
    <t>ТСН-2001.1 Доп. 79, Р. 1, о. 1, поз. 946</t>
  </si>
  <si>
    <t>Припой оловянно-свинцовый, в прутках, диаметр 8 мм, типа ПОС-61</t>
  </si>
  <si>
    <t>9999990001</t>
  </si>
  <si>
    <t>Масса мусора</t>
  </si>
  <si>
    <t>2.1-30-10</t>
  </si>
  <si>
    <t>ТСН-2001.2. Доп. 68. п.1-30-10 (304101)</t>
  </si>
  <si>
    <t>Перфораторы, мощность до 800 Вт</t>
  </si>
  <si>
    <t>1.1-1-2494</t>
  </si>
  <si>
    <t>ТСН-2001.1 Доп. 79, Р. 1, о. 1, поз. 2494</t>
  </si>
  <si>
    <t>Шурупы-саморезы, диаметр 3,5 мм, длина 45 мм</t>
  </si>
  <si>
    <t>1.1-1-3693</t>
  </si>
  <si>
    <t>ТСН-2001.1 Доп. 80, Р. 1, о. 1, поз. 3693</t>
  </si>
  <si>
    <t>Дюбель распорный пластмассовый, диаметр 6 мм, длина 40 мм</t>
  </si>
  <si>
    <t>1.21-5-1180</t>
  </si>
  <si>
    <t>ТСН-2001.1 Доп. 79, Р. 21, о. 5, поз. 1180</t>
  </si>
  <si>
    <t>Бирка маркировочная для кабелей и проводов, типа У134 У3,5</t>
  </si>
  <si>
    <t>1000 шт.</t>
  </si>
  <si>
    <t>1.21-5-926</t>
  </si>
  <si>
    <t>ТСН-2001.1 Доп. 67, Р. 21, о. 5, поз. 926</t>
  </si>
  <si>
    <t>Хомут (стяжка) кабельный из полиамида, размеры 3,6х200 мм</t>
  </si>
  <si>
    <t>1.7-3-130</t>
  </si>
  <si>
    <t>ТСН-2001.1 Доп. 65, Р. 7, о. 3, поз. 130</t>
  </si>
  <si>
    <t>Бур с наконечником из твердого сплава, с хвостовиком SDS-plus, диаметр 6 мм, длина 210 мм</t>
  </si>
  <si>
    <t>2.1-4-23</t>
  </si>
  <si>
    <t>ТСН-2001.2. Доп. 68. п.1-4-23 (042006)</t>
  </si>
  <si>
    <t>Вышки телескопические на автомобильном шасси, высота до 25 м, грузоподъемность до 300 кг</t>
  </si>
  <si>
    <t>26.20.30.150, п.1</t>
  </si>
  <si>
    <t>26.30.50.170, п.3</t>
  </si>
  <si>
    <t>27.33.13.162, п.4</t>
  </si>
  <si>
    <t>26.30.23.143, п.5</t>
  </si>
  <si>
    <t>26.30.50.170, п.6</t>
  </si>
  <si>
    <t>26.30.23.143, п.7</t>
  </si>
  <si>
    <t>22.21.29.120, п.8</t>
  </si>
  <si>
    <t>27.33.13.163, п.12</t>
  </si>
  <si>
    <t>4372910000</t>
  </si>
  <si>
    <t>Блоки контроля датчиков (контроллеры)</t>
  </si>
  <si>
    <t>Блоки бесперебойного питания (ББП)</t>
  </si>
  <si>
    <t>4372900000</t>
  </si>
  <si>
    <t>Устройства связи с согласующими устройствами (вызывные панели)</t>
  </si>
  <si>
    <t>3428400000</t>
  </si>
  <si>
    <t>Ключи или кнопки пусковые</t>
  </si>
  <si>
    <t>4442400000</t>
  </si>
  <si>
    <t>Домовые регистраторы</t>
  </si>
  <si>
    <t>2248200000</t>
  </si>
  <si>
    <t>Трубы электротехнические гофрированные (2248100000)</t>
  </si>
  <si>
    <t>3449651000</t>
  </si>
  <si>
    <t>Держатели пластиковые для крепления труб</t>
  </si>
  <si>
    <t>3574100000</t>
  </si>
  <si>
    <t>Кабели связи симметричные (3573110000)</t>
  </si>
  <si>
    <t>1297020000</t>
  </si>
  <si>
    <t>Болты строительные с гайками и шайбами (1297030000, 1610000000, 1620000000, 1680000000)</t>
  </si>
  <si>
    <t>4218500000</t>
  </si>
  <si>
    <t>Механизмы исполнительные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</si>
  <si>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</si>
  <si>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</si>
  <si>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</si>
  <si>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*0</t>
  </si>
  <si>
    <t>*0,3</t>
  </si>
  <si>
    <t>Гл.4.Прил.2.2.п.2.2.29_04.00.01.35.003</t>
  </si>
  <si>
    <t>При демонтаже оборудования, предназначенного в лом</t>
  </si>
  <si>
    <t>Глава 4</t>
  </si>
  <si>
    <t>1.1</t>
  </si>
  <si>
    <t>КА</t>
  </si>
  <si>
    <t>ООО «Главмаг»</t>
  </si>
  <si>
    <t>7724416493</t>
  </si>
  <si>
    <t>стр. п.</t>
  </si>
  <si>
    <t>1.2</t>
  </si>
  <si>
    <t>ООО «АЛМАЛЛ»</t>
  </si>
  <si>
    <t>5024200689</t>
  </si>
  <si>
    <t>1.3</t>
  </si>
  <si>
    <t>ООО «ББРС.РУ»</t>
  </si>
  <si>
    <t>7714352064</t>
  </si>
  <si>
    <t>2.1</t>
  </si>
  <si>
    <t>ООО "ТД Тинко"</t>
  </si>
  <si>
    <t>7702680818</t>
  </si>
  <si>
    <t>2.2</t>
  </si>
  <si>
    <t>ООО «ДЕАН СБ»</t>
  </si>
  <si>
    <t>0105070781</t>
  </si>
  <si>
    <t>2.3</t>
  </si>
  <si>
    <t>ООО «ВИДЕОГЛАЗ ЦЕНТР»</t>
  </si>
  <si>
    <t>7719840097</t>
  </si>
  <si>
    <t>3.1</t>
  </si>
  <si>
    <t>3.2</t>
  </si>
  <si>
    <t>ООО "Тантос"</t>
  </si>
  <si>
    <t>9721058155</t>
  </si>
  <si>
    <t>3.3</t>
  </si>
  <si>
    <t>4.1</t>
  </si>
  <si>
    <t>АО "ЧИП и ДИП"</t>
  </si>
  <si>
    <t>7729108750</t>
  </si>
  <si>
    <t>4.2</t>
  </si>
  <si>
    <t>4.3</t>
  </si>
  <si>
    <t>ООО «ДЕАН СБ» ОП Актив</t>
  </si>
  <si>
    <t>5.1</t>
  </si>
  <si>
    <t>5.2</t>
  </si>
  <si>
    <t>ООО "ТД Твоя безопасность"</t>
  </si>
  <si>
    <t>9715308907</t>
  </si>
  <si>
    <t>5.3</t>
  </si>
  <si>
    <t>6.1</t>
  </si>
  <si>
    <t>ООО«Смарт Системз»</t>
  </si>
  <si>
    <t>7735539296</t>
  </si>
  <si>
    <t>6.2</t>
  </si>
  <si>
    <t>6.3</t>
  </si>
  <si>
    <t>7.1</t>
  </si>
  <si>
    <t>ООО «ТД РЕДУТ СБ»</t>
  </si>
  <si>
    <t>7717798361</t>
  </si>
  <si>
    <t>7.2</t>
  </si>
  <si>
    <t>7.3</t>
  </si>
  <si>
    <t>8.1</t>
  </si>
  <si>
    <t>АО «ТД ЭЛЕКТРОТЕХМОНТАЖ»</t>
  </si>
  <si>
    <t>7842224734</t>
  </si>
  <si>
    <t>8.2</t>
  </si>
  <si>
    <t>8.3</t>
  </si>
  <si>
    <t>9.1</t>
  </si>
  <si>
    <t>9.2</t>
  </si>
  <si>
    <t>9.3</t>
  </si>
  <si>
    <t>10.1</t>
  </si>
  <si>
    <t>ООО «АЛЬФА-СБ»</t>
  </si>
  <si>
    <t>6679042890</t>
  </si>
  <si>
    <t>10.2</t>
  </si>
  <si>
    <t>ООО "ТПД Паритет"</t>
  </si>
  <si>
    <t>5074008028</t>
  </si>
  <si>
    <t>10.3</t>
  </si>
  <si>
    <t>11.1</t>
  </si>
  <si>
    <t>11.2</t>
  </si>
  <si>
    <t>11.3</t>
  </si>
  <si>
    <t>12.1</t>
  </si>
  <si>
    <t>12.2</t>
  </si>
  <si>
    <t>12.3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</si>
  <si>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Гл.4.Прил.2.2.п.2.2.29_04.00.01.35.003
Наименование: При демонтаже оборудования, предназначенного в лом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</si>
  <si>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</si>
  <si>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</si>
  <si>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"СОГЛАСОВАНО"</t>
  </si>
  <si>
    <t>"УТВЕРЖДАЮ"</t>
  </si>
  <si>
    <t>Форма № 4б</t>
  </si>
  <si>
    <t>"_____"________________ 2026 г.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</si>
  <si>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</si>
  <si>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</si>
  <si>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</si>
  <si>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</si>
  <si>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</si>
  <si>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</si>
  <si>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</si>
  <si>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</si>
  <si>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</si>
  <si>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</si>
  <si>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</si>
  <si>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</si>
  <si>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</si>
  <si>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</si>
  <si>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</si>
  <si>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</si>
  <si>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</si>
  <si>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</si>
  <si>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</si>
  <si>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</si>
  <si>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</si>
  <si>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02-01-15 СКУД 16.07.26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</si>
  <si>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</si>
  <si>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строительство №219/81 I квартал 2026 года и Коэффициенты к ТСН-2001.13-2 Дополнение 47 №64/47 I квартал 2026 года</t>
  </si>
  <si>
    <t>Всего в
ценах на
январь 2000 года,
руб.</t>
  </si>
  <si>
    <t>ЗП</t>
  </si>
  <si>
    <t>1,2*0,3</t>
  </si>
  <si>
    <t>ЭМ</t>
  </si>
  <si>
    <t>в т.ч. ЗПМ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</si>
  <si>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</si>
  <si>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</si>
  <si>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</si>
  <si>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</si>
  <si>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</si>
  <si>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</si>
  <si>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</si>
  <si>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</si>
  <si>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 xml:space="preserve">   Итого по ТСН-2001.16</t>
  </si>
  <si>
    <t xml:space="preserve">   Итого возвратных сумм</t>
  </si>
  <si>
    <t>МР</t>
  </si>
  <si>
    <r>
      <t>ОБОРУДОВАНИЕ:_x000D_
Контроллер сетевой STR20-1AP-IP-M</t>
    </r>
    <r>
      <rPr>
        <i/>
        <sz val="10"/>
        <color rgb="FF821E82"/>
        <rFont val="Arial"/>
        <family val="2"/>
        <charset val="204"/>
      </rPr>
      <t xml:space="preserve">
19 625,09 = [173 880 / 1,22 /  7,57] +  3% Трансп +  1,2% Заг.скл</t>
    </r>
  </si>
  <si>
    <r>
      <t>ОБОРУДОВАНИЕ:_x000D_
Элемент дистанционного управления с двумя группами переключающихся контактов ИР 513-10 исп.1 "Аварийный выход"</t>
    </r>
    <r>
      <rPr>
        <i/>
        <sz val="10"/>
        <color rgb="FF821E82"/>
        <rFont val="Arial"/>
        <family val="2"/>
        <charset val="204"/>
      </rPr>
      <t xml:space="preserve">
139,28 = [1 234 / 1,22 /  7,57] +  3% Трансп +  1,2% Заг.скл</t>
    </r>
  </si>
  <si>
    <t>ОБОРУДОВАНИЕ:_x000D_
Аккумулятор герметичный свинцово-кислотный 12 В, 4,5 А•ч. Габаритные размеры 90х70х101 мм</t>
  </si>
  <si>
    <r>
      <t>ОБОРУДОВАНИЕ:_x000D_
Считыватель PW-101-Plus MF</t>
    </r>
    <r>
      <rPr>
        <i/>
        <sz val="10"/>
        <color rgb="FF821E82"/>
        <rFont val="Arial"/>
        <family val="2"/>
        <charset val="204"/>
      </rPr>
      <t xml:space="preserve">
665,92 = [5 900 / 1,22 /  7,57] +  3% Трансп +  1,2% Заг.скл</t>
    </r>
  </si>
  <si>
    <r>
      <t>ОБОРУДОВАНИЕ:_x000D_
Кнопка выхода ST-EX010SM</t>
    </r>
    <r>
      <rPr>
        <i/>
        <sz val="10"/>
        <color rgb="FF821E82"/>
        <rFont val="Arial"/>
        <family val="2"/>
        <charset val="204"/>
      </rPr>
      <t xml:space="preserve">
55,31 = [490 / 1,22 /  7,57] +  3% Трансп +  1,2% Заг.скл</t>
    </r>
  </si>
  <si>
    <r>
      <t>ОБОРУДОВАНИЕ:_x000D_
Вызывная панель IP-домофона DS06АР (Black)</t>
    </r>
    <r>
      <rPr>
        <i/>
        <sz val="10"/>
        <color rgb="FF821E82"/>
        <rFont val="Arial"/>
        <family val="2"/>
        <charset val="204"/>
      </rPr>
      <t xml:space="preserve">
2 573,33 = [22 800 / 1,22 /  7,57] +  3% Трансп +  1,2% Заг.скл</t>
    </r>
  </si>
  <si>
    <r>
      <t>ОБОРУДОВАНИЕ:_x000D_
Настольный USB-считыватель Z-2 (мод. RD_ALL)/Z-2 USB</t>
    </r>
    <r>
      <rPr>
        <i/>
        <sz val="10"/>
        <color rgb="FF821E82"/>
        <rFont val="Arial"/>
        <family val="2"/>
        <charset val="204"/>
      </rPr>
      <t xml:space="preserve">
914,21 = [8 100 / 1,22 /  7,57] +  3% Трансп +  1,2% Заг.скл</t>
    </r>
  </si>
  <si>
    <r>
      <t>ОБОРУДОВАНИЕ:_x000D_
IP-Видеомонитор SM730</t>
    </r>
    <r>
      <rPr>
        <i/>
        <sz val="10"/>
        <color rgb="FF821E82"/>
        <rFont val="Arial"/>
        <family val="2"/>
        <charset val="204"/>
      </rPr>
      <t xml:space="preserve">
1 726,85 = [15 300 / 1,22 /  7,57] +  3% Трансп +  1,2% Заг.скл</t>
    </r>
  </si>
  <si>
    <r>
      <t>Гибкая гофрированная ПЛЛ труба без содержания галогенов, ДУ20, O 19.7 / 14.8 мм, протяжка, цвет белый, бухта 100 м 81820</t>
    </r>
    <r>
      <rPr>
        <i/>
        <sz val="10"/>
        <rFont val="Arial"/>
        <family val="2"/>
        <charset val="204"/>
      </rPr>
      <t xml:space="preserve">
11,30 = [133 / 1,22 /  9,84] +  2% Заг.скл</t>
    </r>
  </si>
  <si>
    <r>
      <t>Кабель связи, симметричной парной скрутки КПСВВнг(А)-LSLTx1x2x0,75</t>
    </r>
    <r>
      <rPr>
        <i/>
        <sz val="10"/>
        <rFont val="Arial"/>
        <family val="2"/>
        <charset val="204"/>
      </rPr>
      <t xml:space="preserve">
4,89 = [57,49 / 1,22 /  9,84] +  2% Заг.скл</t>
    </r>
  </si>
  <si>
    <r>
      <t>Кабель для СКС/IP ParLan U/UTP Cat5e PVCLSнг(А)-LSLTx 4х2х0,52 ТУ 3574-010-39793330-2009  108771</t>
    </r>
    <r>
      <rPr>
        <i/>
        <sz val="10"/>
        <rFont val="Arial"/>
        <family val="2"/>
        <charset val="204"/>
      </rPr>
      <t xml:space="preserve">
8,32 = [98 / 1,22 /  9,84] +  2% Заг.скл</t>
    </r>
  </si>
  <si>
    <r>
      <t>Пена однокомпонентная огнезащитная DF 1201, баллон 740 мл</t>
    </r>
    <r>
      <rPr>
        <i/>
        <sz val="10"/>
        <rFont val="Arial"/>
        <family val="2"/>
        <charset val="204"/>
      </rPr>
      <t xml:space="preserve">
249,36 = [2 934,83 / 1,22 /  9,84] +  2% Заг.скл</t>
    </r>
  </si>
  <si>
    <r>
      <t>ОБОРУДОВАНИЕ:_x000D_
Замок электромагнитный Smartec ST-CL210М</t>
    </r>
    <r>
      <rPr>
        <i/>
        <sz val="10"/>
        <color rgb="FF821E82"/>
        <rFont val="Arial"/>
        <family val="2"/>
        <charset val="204"/>
      </rPr>
      <t xml:space="preserve">
949,77 = [8 415 / 1,22 /  7,57] +  3% Трансп +  1,2%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</si>
  <si>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</si>
  <si>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</si>
  <si>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</si>
  <si>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</si>
  <si>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</t>
  </si>
  <si>
    <t>Ведущий инженер-сметчик</t>
  </si>
  <si>
    <t>О.А.Гришечкина</t>
  </si>
  <si>
    <t>Начальник отдела</t>
  </si>
  <si>
    <t>И.В.Феденко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</si>
</sst>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\ #,##0.00"/>
  </numFmts>
  <fonts count="25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3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83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left" wrapText="1"/>
    </xf>
    <xf numFmtId="164" fontId="17" fillId="0" borderId="0" xfId="0" applyNumberFormat="1" applyFont="1"/>
    <xf numFmtId="0" fontId="17" fillId="0" borderId="0" xfId="0" applyFont="1"/>
    <xf numFmtId="164" fontId="12" fillId="0" borderId="0" xfId="0" applyNumberFormat="1" applyFont="1"/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3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 wrapText="1"/>
    </xf>
    <xf numFmtId="0" fontId="12" fillId="0" borderId="0" xfId="0" quotePrefix="1" applyFont="1" applyAlignment="1">
      <alignment horizontal="right" vertical="top" wrapText="1"/>
    </xf>
    <xf numFmtId="164" fontId="18" fillId="0" borderId="0" xfId="0" applyNumberFormat="1" applyFont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quotePrefix="1" applyFont="1" applyBorder="1" applyAlignment="1">
      <alignment horizontal="right" vertical="top" wrapText="1"/>
    </xf>
    <xf numFmtId="0" fontId="17" fillId="0" borderId="0" xfId="0" applyFont="1" applyAlignment="1">
      <alignment vertical="top"/>
    </xf>
    <xf numFmtId="164" fontId="0" fillId="0" borderId="0" xfId="0" applyNumberFormat="1"/>
    <xf numFmtId="0" fontId="17" fillId="0" borderId="0" xfId="0" applyFont="1" applyAlignment="1">
      <alignment horizontal="left" wrapText="1"/>
    </xf>
    <xf numFmtId="0" fontId="19" fillId="0" borderId="0" xfId="0" applyFont="1" applyAlignment="1">
      <alignment horizontal="left" vertical="top" wrapText="1"/>
    </xf>
    <xf numFmtId="0" fontId="20" fillId="0" borderId="0" xfId="0" applyFont="1" applyAlignment="1">
      <alignment horizontal="right" vertical="top" wrapText="1"/>
    </xf>
    <xf numFmtId="0" fontId="19" fillId="0" borderId="0" xfId="0" applyFont="1" applyAlignment="1">
      <alignment horizontal="right" vertical="top"/>
    </xf>
    <xf numFmtId="164" fontId="19" fillId="0" borderId="0" xfId="0" applyNumberFormat="1" applyFont="1" applyAlignment="1">
      <alignment horizontal="right" vertical="top"/>
    </xf>
    <xf numFmtId="0" fontId="19" fillId="0" borderId="0" xfId="0" quotePrefix="1" applyFont="1" applyAlignment="1">
      <alignment horizontal="right" vertical="top" wrapText="1"/>
    </xf>
    <xf numFmtId="0" fontId="19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right" vertical="top" wrapText="1"/>
    </xf>
    <xf numFmtId="0" fontId="19" fillId="0" borderId="1" xfId="0" applyFont="1" applyBorder="1" applyAlignment="1">
      <alignment horizontal="right" vertical="top"/>
    </xf>
    <xf numFmtId="164" fontId="19" fillId="0" borderId="1" xfId="0" applyNumberFormat="1" applyFont="1" applyBorder="1" applyAlignment="1">
      <alignment horizontal="right" vertical="top"/>
    </xf>
    <xf numFmtId="0" fontId="19" fillId="0" borderId="1" xfId="0" quotePrefix="1" applyFont="1" applyBorder="1" applyAlignment="1">
      <alignment horizontal="right" vertical="top" wrapText="1"/>
    </xf>
    <xf numFmtId="0" fontId="22" fillId="0" borderId="0" xfId="0" applyFont="1"/>
    <xf numFmtId="0" fontId="23" fillId="0" borderId="0" xfId="0" applyFont="1" applyAlignment="1">
      <alignment vertical="top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2" fillId="0" borderId="1" xfId="0" applyFont="1" applyBorder="1"/>
    <xf numFmtId="0" fontId="12" fillId="0" borderId="0" xfId="0" applyFont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/>
    </xf>
    <xf numFmtId="0" fontId="11" fillId="0" borderId="2" xfId="0" applyFont="1" applyBorder="1" applyAlignment="1">
      <alignment horizontal="center"/>
    </xf>
    <xf numFmtId="164" fontId="17" fillId="0" borderId="0" xfId="0" applyNumberFormat="1" applyFont="1" applyAlignment="1">
      <alignment horizontal="right" vertical="top"/>
    </xf>
    <xf numFmtId="0" fontId="17" fillId="0" borderId="0" xfId="0" applyFont="1" applyAlignment="1">
      <alignment horizontal="right" vertical="top"/>
    </xf>
    <xf numFmtId="0" fontId="17" fillId="0" borderId="0" xfId="0" applyFont="1" applyAlignment="1">
      <alignment horizontal="left" wrapText="1"/>
    </xf>
    <xf numFmtId="164" fontId="17" fillId="0" borderId="2" xfId="0" applyNumberFormat="1" applyFont="1" applyBorder="1" applyAlignment="1">
      <alignment horizontal="right" vertical="top"/>
    </xf>
    <xf numFmtId="0" fontId="13" fillId="0" borderId="0" xfId="0" applyFont="1" applyAlignment="1">
      <alignment horizontal="center" vertical="top" wrapText="1"/>
    </xf>
    <xf numFmtId="164" fontId="23" fillId="0" borderId="2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left" wrapText="1"/>
    </xf>
    <xf numFmtId="0" fontId="12" fillId="0" borderId="0" xfId="1" applyFont="1" applyAlignment="1">
      <alignment horizontal="left"/>
    </xf>
    <xf numFmtId="0" fontId="16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/>
    <xf numFmtId="0" fontId="17" fillId="0" borderId="0" xfId="0" applyFont="1" applyAlignment="1">
      <alignment horizontal="left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right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4" fillId="0" borderId="0" xfId="0" applyFont="1" applyAlignment="1">
      <alignment horizontal="left"/>
    </xf>
  </cellXfs>
  <cellStyles count="2">
    <cellStyle name="Обычный" xfId="0" builtinId="0"/>
    <cellStyle name="Обычный 4" xfId="1" xr:uid="{86112A54-49E6-4BBE-9ADE-F58413509A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E7D75-50A6-4A9C-B8A6-679F8C7963F8}">
  <sheetPr>
    <pageSetUpPr fitToPage="1"/>
  </sheetPr>
  <dimension ref="A1:AQ327"/>
  <sheetViews>
    <sheetView tabSelected="1" view="pageBreakPreview" topLeftCell="A297" zoomScaleNormal="100" zoomScaleSheetLayoutView="100" workbookViewId="0">
      <selection activeCell="C323" sqref="C323:K326"/>
    </sheetView>
  </sheetViews>
  <sheetFormatPr defaultRowHeight="12.5" x14ac:dyDescent="0.25"/>
  <cols>
    <col min="1" max="1" width="5.6328125" customWidth="1"/>
    <col min="2" max="2" width="11.6328125" customWidth="1"/>
    <col min="3" max="3" width="40.6328125" customWidth="1"/>
    <col min="4" max="4" width="11.6328125" customWidth="1"/>
    <col min="5" max="5" width="8.54296875" bestFit="1" customWidth="1"/>
    <col min="6" max="6" width="9.6328125" bestFit="1" customWidth="1"/>
    <col min="7" max="7" width="8.453125" bestFit="1" customWidth="1"/>
    <col min="9" max="9" width="10.7265625" bestFit="1" customWidth="1"/>
    <col min="10" max="10" width="9.81640625" bestFit="1" customWidth="1"/>
    <col min="11" max="11" width="12.54296875" bestFit="1" customWidth="1"/>
    <col min="15" max="41" width="0" hidden="1" customWidth="1"/>
    <col min="42" max="42" width="127.26953125" hidden="1" customWidth="1"/>
    <col min="43" max="43" width="94.90625" hidden="1" customWidth="1"/>
    <col min="44" max="47" width="0" hidden="1" customWidth="1"/>
  </cols>
  <sheetData>
    <row r="1" spans="1:42" x14ac:dyDescent="0.25">
      <c r="A1" s="15" t="str">
        <f>Source!B1</f>
        <v>Smeta.RU  (495) 974-1589</v>
      </c>
    </row>
    <row r="2" spans="1:42" ht="14" x14ac:dyDescent="0.3">
      <c r="A2" s="16"/>
      <c r="B2" s="16"/>
      <c r="C2" s="16"/>
      <c r="D2" s="16"/>
      <c r="E2" s="16"/>
      <c r="F2" s="16"/>
      <c r="G2" s="16"/>
      <c r="H2" s="16"/>
      <c r="I2" s="16"/>
      <c r="J2" s="79" t="s">
        <v>426</v>
      </c>
      <c r="K2" s="79"/>
    </row>
    <row r="3" spans="1:42" ht="16.5" hidden="1" x14ac:dyDescent="0.35">
      <c r="A3" s="18"/>
      <c r="B3" s="82" t="s">
        <v>424</v>
      </c>
      <c r="C3" s="82"/>
      <c r="D3" s="82"/>
      <c r="E3" s="82"/>
      <c r="F3" s="17"/>
      <c r="G3" s="82" t="s">
        <v>425</v>
      </c>
      <c r="H3" s="82"/>
      <c r="I3" s="82"/>
      <c r="J3" s="82"/>
      <c r="K3" s="82"/>
    </row>
    <row r="4" spans="1:42" ht="14" hidden="1" x14ac:dyDescent="0.3">
      <c r="A4" s="17"/>
      <c r="B4" s="64"/>
      <c r="C4" s="64"/>
      <c r="D4" s="64"/>
      <c r="E4" s="64"/>
      <c r="F4" s="17"/>
      <c r="G4" s="64"/>
      <c r="H4" s="64"/>
      <c r="I4" s="64"/>
      <c r="J4" s="64"/>
      <c r="K4" s="64"/>
    </row>
    <row r="5" spans="1:42" ht="14" hidden="1" x14ac:dyDescent="0.3">
      <c r="A5" s="17"/>
      <c r="B5" s="17"/>
      <c r="C5" s="19"/>
      <c r="D5" s="19"/>
      <c r="E5" s="19"/>
      <c r="F5" s="17"/>
      <c r="G5" s="19"/>
      <c r="H5" s="19"/>
      <c r="I5" s="19"/>
      <c r="J5" s="19"/>
      <c r="K5" s="19"/>
    </row>
    <row r="6" spans="1:42" ht="14" hidden="1" x14ac:dyDescent="0.3">
      <c r="A6" s="19"/>
      <c r="B6" s="64" t="str">
        <f>CONCATENATE("______________________ ", IF(Source!AL12&lt;&gt;"", Source!AL12, ""))</f>
        <v xml:space="preserve">______________________ </v>
      </c>
      <c r="C6" s="64"/>
      <c r="D6" s="64"/>
      <c r="E6" s="64"/>
      <c r="F6" s="17"/>
      <c r="G6" s="64" t="str">
        <f>CONCATENATE("______________________ ", IF(Source!AH12&lt;&gt;"", Source!AH12, ""))</f>
        <v xml:space="preserve">______________________ </v>
      </c>
      <c r="H6" s="64"/>
      <c r="I6" s="64"/>
      <c r="J6" s="64"/>
      <c r="K6" s="64"/>
    </row>
    <row r="7" spans="1:42" ht="14" hidden="1" x14ac:dyDescent="0.3">
      <c r="A7" s="20"/>
      <c r="B7" s="78" t="s">
        <v>427</v>
      </c>
      <c r="C7" s="78"/>
      <c r="D7" s="78"/>
      <c r="E7" s="78"/>
      <c r="F7" s="17"/>
      <c r="G7" s="78" t="s">
        <v>427</v>
      </c>
      <c r="H7" s="78"/>
      <c r="I7" s="78"/>
      <c r="J7" s="78"/>
      <c r="K7" s="78"/>
    </row>
    <row r="8" spans="1:42" hidden="1" x14ac:dyDescent="0.25"/>
    <row r="9" spans="1:42" ht="14" x14ac:dyDescent="0.3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42" ht="46.5" x14ac:dyDescent="0.35">
      <c r="A10" s="80" t="s">
        <v>485</v>
      </c>
      <c r="B10" s="80"/>
      <c r="C10" s="80"/>
      <c r="D10" s="80"/>
      <c r="E10" s="80"/>
      <c r="F10" s="80"/>
      <c r="G10" s="80"/>
      <c r="H10" s="80"/>
      <c r="I10" s="80"/>
      <c r="J10" s="80"/>
      <c r="K10" s="80"/>
      <c r="AP10" s="27" t="s">
        <v>449</v>
      </c>
    </row>
    <row r="11" spans="1:42" x14ac:dyDescent="0.25">
      <c r="A11" s="65" t="s">
        <v>428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</row>
    <row r="12" spans="1:42" ht="14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42" ht="15.5" x14ac:dyDescent="0.35">
      <c r="A13" s="80" t="str">
        <f>CONCATENATE( "ЛОКАЛЬНАЯ СМЕТА № ",IF(Source!F12&lt;&gt;"Новый объект", Source!F12, ""))</f>
        <v>ЛОКАЛЬНАЯ СМЕТА № 02-01-15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</row>
    <row r="14" spans="1:42" ht="14" x14ac:dyDescent="0.3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42" ht="18" x14ac:dyDescent="0.4">
      <c r="A15" s="74" t="str">
        <f>Source!G20</f>
        <v>Система контроля и управления доступом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</row>
    <row r="16" spans="1:42" x14ac:dyDescent="0.25">
      <c r="A16" s="75" t="s">
        <v>429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</row>
    <row r="17" spans="1:42" ht="14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spans="1:42" ht="14" x14ac:dyDescent="0.3">
      <c r="A18" s="72" t="str">
        <f>CONCATENATE( "Основание: чертежи № ", Source!J12)</f>
        <v>Основание: чертежи № 2024-00375-01-0-ИОС5.8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</row>
    <row r="19" spans="1:42" ht="14" x14ac:dyDescent="0.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</row>
    <row r="20" spans="1:42" ht="56" x14ac:dyDescent="0.3">
      <c r="A20" s="17"/>
      <c r="B20" s="17"/>
      <c r="C20" s="17"/>
      <c r="D20" s="17"/>
      <c r="E20" s="17"/>
      <c r="F20" s="17"/>
      <c r="G20" s="17"/>
      <c r="H20" s="17"/>
      <c r="I20" s="61" t="s">
        <v>430</v>
      </c>
      <c r="J20" s="61" t="s">
        <v>431</v>
      </c>
      <c r="K20" s="17"/>
    </row>
    <row r="21" spans="1:42" ht="14" x14ac:dyDescent="0.3">
      <c r="A21" s="17"/>
      <c r="B21" s="17"/>
      <c r="C21" s="17"/>
      <c r="D21" s="17"/>
      <c r="E21" s="77" t="s">
        <v>432</v>
      </c>
      <c r="F21" s="77"/>
      <c r="G21" s="77"/>
      <c r="H21" s="77"/>
      <c r="I21" s="22">
        <f>I22+I23+I24+I25</f>
        <v>483.51</v>
      </c>
      <c r="J21" s="22">
        <f>J22+J23+J24+J25</f>
        <v>4335.08</v>
      </c>
      <c r="K21" s="23" t="s">
        <v>481</v>
      </c>
    </row>
    <row r="22" spans="1:42" ht="14" x14ac:dyDescent="0.3">
      <c r="A22" s="17"/>
      <c r="B22" s="17"/>
      <c r="C22" s="17"/>
      <c r="D22" s="17"/>
      <c r="E22" s="64" t="s">
        <v>433</v>
      </c>
      <c r="F22" s="64"/>
      <c r="G22" s="64"/>
      <c r="H22" s="64"/>
      <c r="I22" s="24">
        <f>ROUND((Source!F295)/1000, 2)</f>
        <v>0.41</v>
      </c>
      <c r="J22" s="24">
        <f>ROUND((Source!P295)/1000, 2)</f>
        <v>23.26</v>
      </c>
      <c r="K22" s="17" t="s">
        <v>481</v>
      </c>
    </row>
    <row r="23" spans="1:42" ht="14" x14ac:dyDescent="0.3">
      <c r="A23" s="17"/>
      <c r="B23" s="17"/>
      <c r="C23" s="17"/>
      <c r="D23" s="17"/>
      <c r="E23" s="64" t="s">
        <v>434</v>
      </c>
      <c r="F23" s="64"/>
      <c r="G23" s="64"/>
      <c r="H23" s="64"/>
      <c r="I23" s="24">
        <f>ROUND((Source!F296)/1000, 2)</f>
        <v>25.99</v>
      </c>
      <c r="J23" s="24">
        <f>ROUND((Source!P296)/1000, 2)</f>
        <v>843.2</v>
      </c>
      <c r="K23" s="17" t="s">
        <v>481</v>
      </c>
    </row>
    <row r="24" spans="1:42" ht="14" x14ac:dyDescent="0.3">
      <c r="A24" s="17"/>
      <c r="B24" s="17"/>
      <c r="C24" s="17"/>
      <c r="D24" s="17"/>
      <c r="E24" s="64" t="s">
        <v>138</v>
      </c>
      <c r="F24" s="64"/>
      <c r="G24" s="64"/>
      <c r="H24" s="64"/>
      <c r="I24" s="24">
        <f>ROUND((Source!F287)/1000, 2)</f>
        <v>457.11</v>
      </c>
      <c r="J24" s="24">
        <f>ROUND((Source!P287)/1000, 2)</f>
        <v>3468.62</v>
      </c>
      <c r="K24" s="17" t="s">
        <v>481</v>
      </c>
    </row>
    <row r="25" spans="1:42" ht="14" x14ac:dyDescent="0.3">
      <c r="A25" s="17"/>
      <c r="B25" s="17"/>
      <c r="C25" s="17"/>
      <c r="D25" s="17"/>
      <c r="E25" s="64" t="s">
        <v>435</v>
      </c>
      <c r="F25" s="64"/>
      <c r="G25" s="64"/>
      <c r="H25" s="64"/>
      <c r="I25" s="24">
        <f>ROUND((Source!F297+Source!F298)/1000, 2)</f>
        <v>0</v>
      </c>
      <c r="J25" s="24">
        <f>ROUND((Source!P297+Source!P298)/1000, 2)</f>
        <v>0</v>
      </c>
      <c r="K25" s="17" t="s">
        <v>481</v>
      </c>
    </row>
    <row r="26" spans="1:42" ht="14" x14ac:dyDescent="0.3">
      <c r="A26" s="17"/>
      <c r="B26" s="17"/>
      <c r="C26" s="17"/>
      <c r="D26" s="17"/>
      <c r="E26" s="64" t="s">
        <v>436</v>
      </c>
      <c r="F26" s="64"/>
      <c r="G26" s="64"/>
      <c r="H26" s="64"/>
      <c r="I26" s="24">
        <f>(Source!F293+ Source!F292)/1000</f>
        <v>5.6006500000000008</v>
      </c>
      <c r="J26" s="24">
        <f>((Source!P293 + Source!P292)/1000)</f>
        <v>315.59665000000001</v>
      </c>
      <c r="K26" s="17" t="s">
        <v>481</v>
      </c>
    </row>
    <row r="27" spans="1:42" ht="14" x14ac:dyDescent="0.3">
      <c r="A27" s="17"/>
      <c r="B27" s="17"/>
      <c r="C27" s="17"/>
      <c r="D27" s="17"/>
      <c r="E27" s="64" t="s">
        <v>437</v>
      </c>
      <c r="F27" s="64"/>
      <c r="G27" s="64"/>
      <c r="H27" s="64"/>
      <c r="I27" s="24">
        <f>Source!F300</f>
        <v>399.26218428000004</v>
      </c>
      <c r="J27" s="24"/>
      <c r="K27" s="17" t="s">
        <v>264</v>
      </c>
    </row>
    <row r="28" spans="1:42" ht="14" hidden="1" x14ac:dyDescent="0.3">
      <c r="A28" s="17"/>
      <c r="B28" s="17"/>
      <c r="C28" s="17"/>
      <c r="D28" s="17"/>
      <c r="E28" s="64" t="s">
        <v>438</v>
      </c>
      <c r="F28" s="64"/>
      <c r="G28" s="64"/>
      <c r="H28" s="64"/>
      <c r="I28" s="24"/>
      <c r="J28" s="24"/>
      <c r="K28" s="17"/>
    </row>
    <row r="29" spans="1:42" ht="14" hidden="1" x14ac:dyDescent="0.3">
      <c r="A29" s="17"/>
      <c r="B29" s="17"/>
      <c r="C29" s="17"/>
      <c r="D29" s="17"/>
      <c r="E29" s="73" t="s">
        <v>123</v>
      </c>
      <c r="F29" s="73"/>
      <c r="G29" s="73"/>
      <c r="H29" s="73"/>
      <c r="I29" s="24">
        <f>SUM(Y1:Y320)/1000</f>
        <v>0</v>
      </c>
      <c r="J29" s="24">
        <f>SUM(Z1:Z320)/1000</f>
        <v>0</v>
      </c>
      <c r="K29" s="17" t="s">
        <v>481</v>
      </c>
    </row>
    <row r="30" spans="1:42" ht="14" x14ac:dyDescent="0.3">
      <c r="A30" s="17"/>
      <c r="B30" s="17"/>
      <c r="C30" s="17"/>
      <c r="D30" s="17"/>
      <c r="E30" s="17"/>
      <c r="F30" s="19"/>
      <c r="G30" s="19"/>
      <c r="H30" s="19"/>
      <c r="I30" s="24"/>
      <c r="J30" s="24"/>
      <c r="K30" s="17"/>
    </row>
    <row r="31" spans="1:42" ht="14" x14ac:dyDescent="0.3">
      <c r="A31" s="17" t="s">
        <v>450</v>
      </c>
      <c r="B31" s="17"/>
      <c r="C31" s="17"/>
      <c r="D31" s="17"/>
      <c r="E31" s="17"/>
      <c r="F31" s="19"/>
      <c r="G31" s="19"/>
      <c r="H31" s="19"/>
      <c r="I31" s="24"/>
      <c r="J31" s="24"/>
      <c r="K31" s="17"/>
    </row>
    <row r="32" spans="1:42" ht="28" x14ac:dyDescent="0.3">
      <c r="A32" s="72" t="s">
        <v>451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AP32" s="28" t="s">
        <v>451</v>
      </c>
    </row>
    <row r="33" spans="1:42" ht="98" x14ac:dyDescent="0.25">
      <c r="A33" s="25" t="s">
        <v>439</v>
      </c>
      <c r="B33" s="25" t="s">
        <v>440</v>
      </c>
      <c r="C33" s="25" t="s">
        <v>441</v>
      </c>
      <c r="D33" s="25" t="s">
        <v>442</v>
      </c>
      <c r="E33" s="25" t="s">
        <v>443</v>
      </c>
      <c r="F33" s="25" t="s">
        <v>444</v>
      </c>
      <c r="G33" s="26" t="s">
        <v>445</v>
      </c>
      <c r="H33" s="26" t="s">
        <v>446</v>
      </c>
      <c r="I33" s="25" t="s">
        <v>452</v>
      </c>
      <c r="J33" s="62" t="s">
        <v>447</v>
      </c>
      <c r="K33" s="25" t="s">
        <v>448</v>
      </c>
    </row>
    <row r="34" spans="1:42" ht="14" x14ac:dyDescent="0.25">
      <c r="A34" s="25">
        <v>1</v>
      </c>
      <c r="B34" s="25">
        <v>2</v>
      </c>
      <c r="C34" s="25">
        <v>3</v>
      </c>
      <c r="D34" s="25">
        <v>4</v>
      </c>
      <c r="E34" s="25">
        <v>5</v>
      </c>
      <c r="F34" s="25">
        <v>6</v>
      </c>
      <c r="G34" s="25">
        <v>7</v>
      </c>
      <c r="H34" s="25">
        <v>8</v>
      </c>
      <c r="I34" s="25">
        <v>9</v>
      </c>
      <c r="J34" s="25">
        <v>10</v>
      </c>
      <c r="K34" s="25">
        <v>11</v>
      </c>
    </row>
    <row r="36" spans="1:42" ht="16.5" x14ac:dyDescent="0.25">
      <c r="A36" s="70" t="str">
        <f>CONCATENATE("Локальная смета: ",IF(Source!G20&lt;&gt;"Новая локальная смета", Source!G20, ""))</f>
        <v>Локальная смета: Система контроля и управления доступом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</row>
    <row r="38" spans="1:42" ht="16.5" x14ac:dyDescent="0.25">
      <c r="A38" s="70" t="str">
        <f>CONCATENATE("Раздел: ",IF(Source!G24&lt;&gt;"Новый раздел", Source!G24, ""))</f>
        <v>Раздел: Демонтажные работы  (Письмо от АНО «РГТ» об утверждении объёмов демонтажных работ)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AP38" s="29" t="str">
        <f>CONCATENATE("Раздел: ",IF(Source!G24&lt;&gt;"Новый раздел", Source!G24, ""))</f>
        <v>Раздел: Демонтажные работы  (Письмо от АНО «РГТ» об утверждении объёмов демонтажных работ)</v>
      </c>
    </row>
    <row r="39" spans="1:42" ht="28" x14ac:dyDescent="0.25">
      <c r="A39" s="30">
        <v>1</v>
      </c>
      <c r="B39" s="30" t="str">
        <f>Source!F28</f>
        <v>4.10-176-1</v>
      </c>
      <c r="C39" s="30" t="s">
        <v>21</v>
      </c>
      <c r="D39" s="32" t="str">
        <f>Source!H28</f>
        <v>10 шт.</v>
      </c>
      <c r="E39" s="31">
        <f>Source!I28</f>
        <v>2</v>
      </c>
      <c r="F39" s="34"/>
      <c r="G39" s="33"/>
      <c r="H39" s="31"/>
      <c r="I39" s="34"/>
      <c r="J39" s="31"/>
      <c r="K39" s="34"/>
      <c r="Q39">
        <f>Source!X28</f>
        <v>319.60000000000002</v>
      </c>
      <c r="R39">
        <f>Source!X29</f>
        <v>18009.41</v>
      </c>
      <c r="S39">
        <f>Source!Y28</f>
        <v>163.35</v>
      </c>
      <c r="T39">
        <f>Source!Y29</f>
        <v>9204.81</v>
      </c>
      <c r="U39">
        <f>ROUND((175/100)*ROUND(Source!R28, 2), 2)</f>
        <v>0.18</v>
      </c>
      <c r="V39">
        <f>ROUND((0/100)*ROUND(Source!R29, 2), 2)</f>
        <v>0</v>
      </c>
      <c r="AC39">
        <v>0</v>
      </c>
    </row>
    <row r="40" spans="1:42" x14ac:dyDescent="0.25">
      <c r="C40" s="35" t="str">
        <f>"Объем: "&amp;Source!I28&amp;"=20/"&amp;"10"</f>
        <v>Объем: 2=20/10</v>
      </c>
    </row>
    <row r="41" spans="1:42" ht="14.5" x14ac:dyDescent="0.25">
      <c r="A41" s="30"/>
      <c r="B41" s="30"/>
      <c r="C41" s="30" t="s">
        <v>453</v>
      </c>
      <c r="D41" s="32"/>
      <c r="E41" s="31"/>
      <c r="F41" s="34">
        <f>Source!AO28</f>
        <v>470.94</v>
      </c>
      <c r="G41" s="36" t="s">
        <v>454</v>
      </c>
      <c r="H41" s="31">
        <f>Source!AV29</f>
        <v>1.0469999999999999</v>
      </c>
      <c r="I41" s="34">
        <f>Source!S28</f>
        <v>355.01</v>
      </c>
      <c r="J41" s="31">
        <f>IF(Source!BA29&lt;&gt; 0, Source!BA29, 1)</f>
        <v>56.35</v>
      </c>
      <c r="K41" s="34">
        <f>Source!S29</f>
        <v>20004.810000000001</v>
      </c>
    </row>
    <row r="42" spans="1:42" ht="14.5" x14ac:dyDescent="0.25">
      <c r="A42" s="30"/>
      <c r="B42" s="30"/>
      <c r="C42" s="30" t="s">
        <v>455</v>
      </c>
      <c r="D42" s="32"/>
      <c r="E42" s="31"/>
      <c r="F42" s="34">
        <f>Source!AM28</f>
        <v>1.1000000000000001</v>
      </c>
      <c r="G42" s="36" t="s">
        <v>454</v>
      </c>
      <c r="H42" s="31">
        <f>Source!AV29</f>
        <v>1.0469999999999999</v>
      </c>
      <c r="I42" s="34">
        <f>Source!Q28</f>
        <v>0.83</v>
      </c>
      <c r="J42" s="31">
        <f>IF(Source!BB29&lt;&gt; 0, Source!BB29, 1)</f>
        <v>15.29</v>
      </c>
      <c r="K42" s="34">
        <f>Source!Q29</f>
        <v>12.69</v>
      </c>
    </row>
    <row r="43" spans="1:42" ht="14.5" x14ac:dyDescent="0.25">
      <c r="A43" s="30"/>
      <c r="B43" s="30"/>
      <c r="C43" s="30" t="s">
        <v>456</v>
      </c>
      <c r="D43" s="32"/>
      <c r="E43" s="31"/>
      <c r="F43" s="34">
        <f>Source!AN28</f>
        <v>0.13</v>
      </c>
      <c r="G43" s="36" t="s">
        <v>454</v>
      </c>
      <c r="H43" s="31">
        <f>Source!AV29</f>
        <v>1.0469999999999999</v>
      </c>
      <c r="I43" s="37">
        <f>Source!R28</f>
        <v>0.1</v>
      </c>
      <c r="J43" s="31">
        <f>IF(Source!BS29&lt;&gt; 0, Source!BS29, 1)</f>
        <v>56.35</v>
      </c>
      <c r="K43" s="37">
        <f>Source!R29</f>
        <v>5.64</v>
      </c>
    </row>
    <row r="44" spans="1:42" ht="14.5" x14ac:dyDescent="0.25">
      <c r="A44" s="30"/>
      <c r="B44" s="30"/>
      <c r="C44" s="30" t="s">
        <v>457</v>
      </c>
      <c r="D44" s="32" t="s">
        <v>458</v>
      </c>
      <c r="E44" s="31">
        <f>Source!BZ29</f>
        <v>90</v>
      </c>
      <c r="F44" s="34"/>
      <c r="G44" s="33"/>
      <c r="H44" s="31"/>
      <c r="I44" s="34">
        <f>SUM(Q39:Q43)</f>
        <v>319.60000000000002</v>
      </c>
      <c r="J44" s="31">
        <f>Source!AT29</f>
        <v>90</v>
      </c>
      <c r="K44" s="34">
        <f>SUM(R39:R43)</f>
        <v>18009.41</v>
      </c>
    </row>
    <row r="45" spans="1:42" ht="14.5" x14ac:dyDescent="0.25">
      <c r="A45" s="30"/>
      <c r="B45" s="30"/>
      <c r="C45" s="30" t="s">
        <v>459</v>
      </c>
      <c r="D45" s="32" t="s">
        <v>458</v>
      </c>
      <c r="E45" s="31">
        <f>Source!CA29</f>
        <v>46</v>
      </c>
      <c r="F45" s="34"/>
      <c r="G45" s="33"/>
      <c r="H45" s="31"/>
      <c r="I45" s="34">
        <f>SUM(S39:S44)</f>
        <v>163.35</v>
      </c>
      <c r="J45" s="31">
        <f>Source!AU29</f>
        <v>46</v>
      </c>
      <c r="K45" s="34">
        <f>SUM(T39:T44)</f>
        <v>9204.81</v>
      </c>
    </row>
    <row r="46" spans="1:42" ht="14.5" x14ac:dyDescent="0.25">
      <c r="A46" s="38"/>
      <c r="B46" s="38"/>
      <c r="C46" s="38" t="s">
        <v>460</v>
      </c>
      <c r="D46" s="39" t="s">
        <v>461</v>
      </c>
      <c r="E46" s="40">
        <f>Source!AQ28</f>
        <v>29.96</v>
      </c>
      <c r="F46" s="41"/>
      <c r="G46" s="42" t="s">
        <v>454</v>
      </c>
      <c r="H46" s="40">
        <f>Source!AV29</f>
        <v>1.0469999999999999</v>
      </c>
      <c r="I46" s="41">
        <f>Source!U28</f>
        <v>22.585046399999996</v>
      </c>
      <c r="J46" s="40"/>
      <c r="K46" s="41"/>
    </row>
    <row r="47" spans="1:42" ht="14" x14ac:dyDescent="0.25">
      <c r="C47" s="43" t="s">
        <v>462</v>
      </c>
      <c r="H47" s="69">
        <f>I41+I42+I44+I45+0-0-0</f>
        <v>838.79000000000008</v>
      </c>
      <c r="I47" s="69"/>
      <c r="J47" s="69">
        <f>K41+K42+K44+K45+0-0-0</f>
        <v>47231.72</v>
      </c>
      <c r="K47" s="69"/>
    </row>
    <row r="48" spans="1:42" ht="14" hidden="1" x14ac:dyDescent="0.25">
      <c r="C48" s="43" t="s">
        <v>463</v>
      </c>
      <c r="H48" s="66">
        <f>0+0</f>
        <v>0</v>
      </c>
      <c r="I48" s="66"/>
      <c r="J48" s="66">
        <f>0+0</f>
        <v>0</v>
      </c>
      <c r="K48" s="66"/>
    </row>
    <row r="49" spans="1:29" ht="14" x14ac:dyDescent="0.25">
      <c r="C49" s="43" t="s">
        <v>464</v>
      </c>
      <c r="H49" s="66">
        <f>I41+I42+I44+I45+0</f>
        <v>838.79000000000008</v>
      </c>
      <c r="I49" s="66"/>
      <c r="J49" s="66">
        <f>K41+K42+K44+K45+0</f>
        <v>47231.72</v>
      </c>
      <c r="K49" s="66"/>
      <c r="O49" s="44">
        <f>I41+I42+I44+I45+0</f>
        <v>838.79000000000008</v>
      </c>
      <c r="P49" s="44">
        <f>K41+K42+K44+K45+0</f>
        <v>47231.72</v>
      </c>
    </row>
    <row r="51" spans="1:29" ht="56" x14ac:dyDescent="0.25">
      <c r="A51" s="30">
        <v>2</v>
      </c>
      <c r="B51" s="30" t="str">
        <f>Source!F30</f>
        <v>4.10-81-4</v>
      </c>
      <c r="C51" s="30" t="s">
        <v>32</v>
      </c>
      <c r="D51" s="32" t="str">
        <f>Source!H30</f>
        <v>1  ШТ.</v>
      </c>
      <c r="E51" s="31">
        <f>Source!I30</f>
        <v>21</v>
      </c>
      <c r="F51" s="34"/>
      <c r="G51" s="33"/>
      <c r="H51" s="31"/>
      <c r="I51" s="34"/>
      <c r="J51" s="31"/>
      <c r="K51" s="34"/>
      <c r="Q51">
        <f>Source!X30</f>
        <v>75.510000000000005</v>
      </c>
      <c r="R51">
        <f>Source!X31</f>
        <v>4254.99</v>
      </c>
      <c r="S51">
        <f>Source!Y30</f>
        <v>38.590000000000003</v>
      </c>
      <c r="T51">
        <f>Source!Y31</f>
        <v>2174.77</v>
      </c>
      <c r="U51">
        <f>ROUND((175/100)*ROUND(Source!R30, 2), 2)</f>
        <v>0</v>
      </c>
      <c r="V51">
        <f>ROUND((0/100)*ROUND(Source!R31, 2), 2)</f>
        <v>0</v>
      </c>
      <c r="AC51">
        <v>0</v>
      </c>
    </row>
    <row r="52" spans="1:29" ht="14.5" x14ac:dyDescent="0.25">
      <c r="A52" s="30"/>
      <c r="B52" s="30"/>
      <c r="C52" s="30" t="s">
        <v>453</v>
      </c>
      <c r="D52" s="32"/>
      <c r="E52" s="31"/>
      <c r="F52" s="34">
        <f>Source!AO30</f>
        <v>10.6</v>
      </c>
      <c r="G52" s="36" t="s">
        <v>454</v>
      </c>
      <c r="H52" s="31">
        <f>Source!AV31</f>
        <v>1.0469999999999999</v>
      </c>
      <c r="I52" s="34">
        <f>Source!S30</f>
        <v>83.9</v>
      </c>
      <c r="J52" s="31">
        <f>IF(Source!BA31&lt;&gt; 0, Source!BA31, 1)</f>
        <v>56.35</v>
      </c>
      <c r="K52" s="34">
        <f>Source!S31</f>
        <v>4727.7700000000004</v>
      </c>
    </row>
    <row r="53" spans="1:29" ht="14.5" x14ac:dyDescent="0.25">
      <c r="A53" s="30"/>
      <c r="B53" s="30"/>
      <c r="C53" s="30" t="s">
        <v>457</v>
      </c>
      <c r="D53" s="32" t="s">
        <v>458</v>
      </c>
      <c r="E53" s="31">
        <f>Source!BZ31</f>
        <v>90</v>
      </c>
      <c r="F53" s="34"/>
      <c r="G53" s="33"/>
      <c r="H53" s="31"/>
      <c r="I53" s="34">
        <f>SUM(Q51:Q52)</f>
        <v>75.510000000000005</v>
      </c>
      <c r="J53" s="31">
        <f>Source!AT31</f>
        <v>90</v>
      </c>
      <c r="K53" s="34">
        <f>SUM(R51:R52)</f>
        <v>4254.99</v>
      </c>
    </row>
    <row r="54" spans="1:29" ht="14.5" x14ac:dyDescent="0.25">
      <c r="A54" s="30"/>
      <c r="B54" s="30"/>
      <c r="C54" s="30" t="s">
        <v>459</v>
      </c>
      <c r="D54" s="32" t="s">
        <v>458</v>
      </c>
      <c r="E54" s="31">
        <f>Source!CA31</f>
        <v>46</v>
      </c>
      <c r="F54" s="34"/>
      <c r="G54" s="33"/>
      <c r="H54" s="31"/>
      <c r="I54" s="34">
        <f>SUM(S51:S53)</f>
        <v>38.590000000000003</v>
      </c>
      <c r="J54" s="31">
        <f>Source!AU31</f>
        <v>46</v>
      </c>
      <c r="K54" s="34">
        <f>SUM(T51:T53)</f>
        <v>2174.77</v>
      </c>
    </row>
    <row r="55" spans="1:29" ht="14.5" x14ac:dyDescent="0.25">
      <c r="A55" s="38"/>
      <c r="B55" s="38"/>
      <c r="C55" s="38" t="s">
        <v>460</v>
      </c>
      <c r="D55" s="39" t="s">
        <v>461</v>
      </c>
      <c r="E55" s="40">
        <f>Source!AQ30</f>
        <v>0.84</v>
      </c>
      <c r="F55" s="41"/>
      <c r="G55" s="42" t="s">
        <v>454</v>
      </c>
      <c r="H55" s="40">
        <f>Source!AV31</f>
        <v>1.0469999999999999</v>
      </c>
      <c r="I55" s="41">
        <f>Source!U30</f>
        <v>6.6488687999999998</v>
      </c>
      <c r="J55" s="40"/>
      <c r="K55" s="41"/>
    </row>
    <row r="56" spans="1:29" ht="14" x14ac:dyDescent="0.25">
      <c r="C56" s="43" t="s">
        <v>462</v>
      </c>
      <c r="H56" s="69">
        <f>I52+I53+I54+0-0-0</f>
        <v>198.00000000000003</v>
      </c>
      <c r="I56" s="69"/>
      <c r="J56" s="69">
        <f>K52+K53+K54+0-0-0</f>
        <v>11157.53</v>
      </c>
      <c r="K56" s="69"/>
    </row>
    <row r="57" spans="1:29" ht="14" hidden="1" x14ac:dyDescent="0.25">
      <c r="C57" s="43" t="s">
        <v>463</v>
      </c>
      <c r="H57" s="66">
        <f>0+0</f>
        <v>0</v>
      </c>
      <c r="I57" s="66"/>
      <c r="J57" s="66">
        <f>0+0</f>
        <v>0</v>
      </c>
      <c r="K57" s="66"/>
    </row>
    <row r="58" spans="1:29" ht="14" x14ac:dyDescent="0.25">
      <c r="C58" s="43" t="s">
        <v>464</v>
      </c>
      <c r="H58" s="66">
        <f>I52+I53+I54+0</f>
        <v>198.00000000000003</v>
      </c>
      <c r="I58" s="66"/>
      <c r="J58" s="66">
        <f>K52+K53+K54+0</f>
        <v>11157.53</v>
      </c>
      <c r="K58" s="66"/>
      <c r="O58" s="44">
        <f>I52+I53+I54+0</f>
        <v>198.00000000000003</v>
      </c>
      <c r="P58" s="44">
        <f>K52+K53+K54+0</f>
        <v>11157.53</v>
      </c>
    </row>
    <row r="60" spans="1:29" ht="42" x14ac:dyDescent="0.25">
      <c r="A60" s="30">
        <v>3</v>
      </c>
      <c r="B60" s="30" t="str">
        <f>Source!F32</f>
        <v>4.10-173-2</v>
      </c>
      <c r="C60" s="30" t="s">
        <v>37</v>
      </c>
      <c r="D60" s="32" t="str">
        <f>Source!H32</f>
        <v>1  ШТ.</v>
      </c>
      <c r="E60" s="31">
        <f>Source!I32</f>
        <v>20</v>
      </c>
      <c r="F60" s="34"/>
      <c r="G60" s="33"/>
      <c r="H60" s="31"/>
      <c r="I60" s="34"/>
      <c r="J60" s="31"/>
      <c r="K60" s="34"/>
      <c r="Q60">
        <f>Source!X32</f>
        <v>272.54000000000002</v>
      </c>
      <c r="R60">
        <f>Source!X33</f>
        <v>15357.52</v>
      </c>
      <c r="S60">
        <f>Source!Y32</f>
        <v>139.30000000000001</v>
      </c>
      <c r="T60">
        <f>Source!Y33</f>
        <v>7849.4</v>
      </c>
      <c r="U60">
        <f>ROUND((175/100)*ROUND(Source!R32, 2), 2)</f>
        <v>0</v>
      </c>
      <c r="V60">
        <f>ROUND((0/100)*ROUND(Source!R33, 2), 2)</f>
        <v>0</v>
      </c>
      <c r="AC60">
        <v>0</v>
      </c>
    </row>
    <row r="61" spans="1:29" ht="14.5" x14ac:dyDescent="0.25">
      <c r="A61" s="30"/>
      <c r="B61" s="30"/>
      <c r="C61" s="30" t="s">
        <v>453</v>
      </c>
      <c r="D61" s="32"/>
      <c r="E61" s="31"/>
      <c r="F61" s="34">
        <f>Source!AO32</f>
        <v>40.17</v>
      </c>
      <c r="G61" s="36" t="s">
        <v>454</v>
      </c>
      <c r="H61" s="31">
        <f>Source!AV33</f>
        <v>1.0469999999999999</v>
      </c>
      <c r="I61" s="34">
        <f>Source!S32</f>
        <v>302.82</v>
      </c>
      <c r="J61" s="31">
        <f>IF(Source!BA33&lt;&gt; 0, Source!BA33, 1)</f>
        <v>56.35</v>
      </c>
      <c r="K61" s="34">
        <f>Source!S33</f>
        <v>17063.91</v>
      </c>
    </row>
    <row r="62" spans="1:29" ht="14.5" x14ac:dyDescent="0.25">
      <c r="A62" s="30"/>
      <c r="B62" s="30"/>
      <c r="C62" s="30" t="s">
        <v>457</v>
      </c>
      <c r="D62" s="32" t="s">
        <v>458</v>
      </c>
      <c r="E62" s="31">
        <f>Source!BZ33</f>
        <v>90</v>
      </c>
      <c r="F62" s="34"/>
      <c r="G62" s="33"/>
      <c r="H62" s="31"/>
      <c r="I62" s="34">
        <f>SUM(Q60:Q61)</f>
        <v>272.54000000000002</v>
      </c>
      <c r="J62" s="31">
        <f>Source!AT33</f>
        <v>90</v>
      </c>
      <c r="K62" s="34">
        <f>SUM(R60:R61)</f>
        <v>15357.52</v>
      </c>
    </row>
    <row r="63" spans="1:29" ht="14.5" x14ac:dyDescent="0.25">
      <c r="A63" s="30"/>
      <c r="B63" s="30"/>
      <c r="C63" s="30" t="s">
        <v>459</v>
      </c>
      <c r="D63" s="32" t="s">
        <v>458</v>
      </c>
      <c r="E63" s="31">
        <f>Source!CA33</f>
        <v>46</v>
      </c>
      <c r="F63" s="34"/>
      <c r="G63" s="33"/>
      <c r="H63" s="31"/>
      <c r="I63" s="34">
        <f>SUM(S60:S62)</f>
        <v>139.30000000000001</v>
      </c>
      <c r="J63" s="31">
        <f>Source!AU33</f>
        <v>46</v>
      </c>
      <c r="K63" s="34">
        <f>SUM(T60:T62)</f>
        <v>7849.4</v>
      </c>
    </row>
    <row r="64" spans="1:29" ht="14.5" x14ac:dyDescent="0.25">
      <c r="A64" s="38"/>
      <c r="B64" s="38"/>
      <c r="C64" s="38" t="s">
        <v>460</v>
      </c>
      <c r="D64" s="39" t="s">
        <v>461</v>
      </c>
      <c r="E64" s="40">
        <f>Source!AQ32</f>
        <v>3.18</v>
      </c>
      <c r="F64" s="41"/>
      <c r="G64" s="42" t="s">
        <v>454</v>
      </c>
      <c r="H64" s="40">
        <f>Source!AV33</f>
        <v>1.0469999999999999</v>
      </c>
      <c r="I64" s="41">
        <f>Source!U32</f>
        <v>23.972111999999996</v>
      </c>
      <c r="J64" s="40"/>
      <c r="K64" s="41"/>
    </row>
    <row r="65" spans="1:29" ht="14" x14ac:dyDescent="0.25">
      <c r="C65" s="43" t="s">
        <v>462</v>
      </c>
      <c r="H65" s="69">
        <f>I61+I62+I63+0-0-0</f>
        <v>714.66000000000008</v>
      </c>
      <c r="I65" s="69"/>
      <c r="J65" s="69">
        <f>K61+K62+K63+0-0-0</f>
        <v>40270.83</v>
      </c>
      <c r="K65" s="69"/>
    </row>
    <row r="66" spans="1:29" ht="14" hidden="1" x14ac:dyDescent="0.25">
      <c r="C66" s="43" t="s">
        <v>463</v>
      </c>
      <c r="H66" s="66">
        <f>0+0</f>
        <v>0</v>
      </c>
      <c r="I66" s="66"/>
      <c r="J66" s="66">
        <f>0+0</f>
        <v>0</v>
      </c>
      <c r="K66" s="66"/>
    </row>
    <row r="67" spans="1:29" ht="14" x14ac:dyDescent="0.25">
      <c r="C67" s="43" t="s">
        <v>464</v>
      </c>
      <c r="H67" s="66">
        <f>I61+I62+I63+0</f>
        <v>714.66000000000008</v>
      </c>
      <c r="I67" s="66"/>
      <c r="J67" s="66">
        <f>K61+K62+K63+0</f>
        <v>40270.83</v>
      </c>
      <c r="K67" s="66"/>
      <c r="O67" s="44">
        <f>I61+I62+I63+0</f>
        <v>714.66000000000008</v>
      </c>
      <c r="P67" s="44">
        <f>K61+K62+K63+0</f>
        <v>40270.83</v>
      </c>
    </row>
    <row r="69" spans="1:29" ht="42" x14ac:dyDescent="0.25">
      <c r="A69" s="30">
        <v>4</v>
      </c>
      <c r="B69" s="30" t="str">
        <f>Source!F34</f>
        <v>4.10-177-1</v>
      </c>
      <c r="C69" s="30" t="s">
        <v>41</v>
      </c>
      <c r="D69" s="32" t="str">
        <f>Source!H34</f>
        <v>10 шт.</v>
      </c>
      <c r="E69" s="31">
        <f>Source!I34</f>
        <v>3.5</v>
      </c>
      <c r="F69" s="34"/>
      <c r="G69" s="33"/>
      <c r="H69" s="31"/>
      <c r="I69" s="34"/>
      <c r="J69" s="31"/>
      <c r="K69" s="34"/>
      <c r="Q69">
        <f>Source!X34</f>
        <v>270.94</v>
      </c>
      <c r="R69">
        <f>Source!X35</f>
        <v>15267.24</v>
      </c>
      <c r="S69">
        <f>Source!Y34</f>
        <v>138.47999999999999</v>
      </c>
      <c r="T69">
        <f>Source!Y35</f>
        <v>7803.26</v>
      </c>
      <c r="U69">
        <f>ROUND((175/100)*ROUND(Source!R34, 2), 2)</f>
        <v>1.75</v>
      </c>
      <c r="V69">
        <f>ROUND((0/100)*ROUND(Source!R35, 2), 2)</f>
        <v>0</v>
      </c>
      <c r="AC69">
        <v>0</v>
      </c>
    </row>
    <row r="70" spans="1:29" x14ac:dyDescent="0.25">
      <c r="C70" s="35" t="str">
        <f>"Объем: "&amp;Source!I34&amp;"=35/"&amp;"10"</f>
        <v>Объем: 3,5=35/10</v>
      </c>
    </row>
    <row r="71" spans="1:29" ht="14.5" x14ac:dyDescent="0.25">
      <c r="A71" s="30"/>
      <c r="B71" s="30"/>
      <c r="C71" s="30" t="s">
        <v>453</v>
      </c>
      <c r="D71" s="32"/>
      <c r="E71" s="31"/>
      <c r="F71" s="34">
        <f>Source!AO34</f>
        <v>227.44</v>
      </c>
      <c r="G71" s="36" t="s">
        <v>454</v>
      </c>
      <c r="H71" s="31">
        <f>Source!AV35</f>
        <v>1.0469999999999999</v>
      </c>
      <c r="I71" s="34">
        <f>Source!S34</f>
        <v>300.04000000000002</v>
      </c>
      <c r="J71" s="31">
        <f>IF(Source!BA35&lt;&gt; 0, Source!BA35, 1)</f>
        <v>56.35</v>
      </c>
      <c r="K71" s="34">
        <f>Source!S35</f>
        <v>16907.25</v>
      </c>
    </row>
    <row r="72" spans="1:29" ht="14.5" x14ac:dyDescent="0.25">
      <c r="A72" s="30"/>
      <c r="B72" s="30"/>
      <c r="C72" s="30" t="s">
        <v>455</v>
      </c>
      <c r="D72" s="32"/>
      <c r="E72" s="31"/>
      <c r="F72" s="34">
        <f>Source!AM34</f>
        <v>6.07</v>
      </c>
      <c r="G72" s="36" t="s">
        <v>454</v>
      </c>
      <c r="H72" s="31">
        <f>Source!AV35</f>
        <v>1.0469999999999999</v>
      </c>
      <c r="I72" s="34">
        <f>Source!Q34</f>
        <v>8.01</v>
      </c>
      <c r="J72" s="31">
        <f>IF(Source!BB35&lt;&gt; 0, Source!BB35, 1)</f>
        <v>15.73</v>
      </c>
      <c r="K72" s="34">
        <f>Source!Q35</f>
        <v>126</v>
      </c>
    </row>
    <row r="73" spans="1:29" ht="14.5" x14ac:dyDescent="0.25">
      <c r="A73" s="30"/>
      <c r="B73" s="30"/>
      <c r="C73" s="30" t="s">
        <v>456</v>
      </c>
      <c r="D73" s="32"/>
      <c r="E73" s="31"/>
      <c r="F73" s="34">
        <f>Source!AN34</f>
        <v>0.76</v>
      </c>
      <c r="G73" s="36" t="s">
        <v>454</v>
      </c>
      <c r="H73" s="31">
        <f>Source!AV35</f>
        <v>1.0469999999999999</v>
      </c>
      <c r="I73" s="37">
        <f>Source!R34</f>
        <v>1</v>
      </c>
      <c r="J73" s="31">
        <f>IF(Source!BS35&lt;&gt; 0, Source!BS35, 1)</f>
        <v>56.35</v>
      </c>
      <c r="K73" s="37">
        <f>Source!R35</f>
        <v>56.35</v>
      </c>
    </row>
    <row r="74" spans="1:29" ht="14.5" x14ac:dyDescent="0.25">
      <c r="A74" s="30"/>
      <c r="B74" s="30"/>
      <c r="C74" s="30" t="s">
        <v>457</v>
      </c>
      <c r="D74" s="32" t="s">
        <v>458</v>
      </c>
      <c r="E74" s="31">
        <f>Source!BZ35</f>
        <v>90</v>
      </c>
      <c r="F74" s="34"/>
      <c r="G74" s="33"/>
      <c r="H74" s="31"/>
      <c r="I74" s="34">
        <f>SUM(Q69:Q73)</f>
        <v>270.94</v>
      </c>
      <c r="J74" s="31">
        <f>Source!AT35</f>
        <v>90</v>
      </c>
      <c r="K74" s="34">
        <f>SUM(R69:R73)</f>
        <v>15267.24</v>
      </c>
    </row>
    <row r="75" spans="1:29" ht="14.5" x14ac:dyDescent="0.25">
      <c r="A75" s="30"/>
      <c r="B75" s="30"/>
      <c r="C75" s="30" t="s">
        <v>459</v>
      </c>
      <c r="D75" s="32" t="s">
        <v>458</v>
      </c>
      <c r="E75" s="31">
        <f>Source!CA35</f>
        <v>46</v>
      </c>
      <c r="F75" s="34"/>
      <c r="G75" s="33"/>
      <c r="H75" s="31"/>
      <c r="I75" s="34">
        <f>SUM(S69:S74)</f>
        <v>138.47999999999999</v>
      </c>
      <c r="J75" s="31">
        <f>Source!AU35</f>
        <v>46</v>
      </c>
      <c r="K75" s="34">
        <f>SUM(T69:T74)</f>
        <v>7803.26</v>
      </c>
    </row>
    <row r="76" spans="1:29" ht="14.5" x14ac:dyDescent="0.25">
      <c r="A76" s="38"/>
      <c r="B76" s="38"/>
      <c r="C76" s="38" t="s">
        <v>460</v>
      </c>
      <c r="D76" s="39" t="s">
        <v>461</v>
      </c>
      <c r="E76" s="40">
        <f>Source!AQ34</f>
        <v>14.64</v>
      </c>
      <c r="F76" s="41"/>
      <c r="G76" s="42" t="s">
        <v>454</v>
      </c>
      <c r="H76" s="40">
        <f>Source!AV35</f>
        <v>1.0469999999999999</v>
      </c>
      <c r="I76" s="41">
        <f>Source!U34</f>
        <v>19.313380800000001</v>
      </c>
      <c r="J76" s="40"/>
      <c r="K76" s="41"/>
    </row>
    <row r="77" spans="1:29" ht="14" x14ac:dyDescent="0.25">
      <c r="C77" s="43" t="s">
        <v>462</v>
      </c>
      <c r="H77" s="69">
        <f>I71+I72+I74+I75+0-0-0</f>
        <v>717.47</v>
      </c>
      <c r="I77" s="69"/>
      <c r="J77" s="69">
        <f>K71+K72+K74+K75+0-0-0</f>
        <v>40103.75</v>
      </c>
      <c r="K77" s="69"/>
    </row>
    <row r="78" spans="1:29" ht="14" hidden="1" x14ac:dyDescent="0.25">
      <c r="C78" s="43" t="s">
        <v>463</v>
      </c>
      <c r="H78" s="66">
        <f>0+0</f>
        <v>0</v>
      </c>
      <c r="I78" s="66"/>
      <c r="J78" s="66">
        <f>0+0</f>
        <v>0</v>
      </c>
      <c r="K78" s="66"/>
    </row>
    <row r="79" spans="1:29" ht="14" x14ac:dyDescent="0.25">
      <c r="C79" s="43" t="s">
        <v>464</v>
      </c>
      <c r="H79" s="66">
        <f>I71+I72+I74+I75+0</f>
        <v>717.47</v>
      </c>
      <c r="I79" s="66"/>
      <c r="J79" s="66">
        <f>K71+K72+K74+K75+0</f>
        <v>40103.75</v>
      </c>
      <c r="K79" s="66"/>
      <c r="O79" s="44">
        <f>I71+I72+I74+I75+0</f>
        <v>717.47</v>
      </c>
      <c r="P79" s="44">
        <f>K71+K72+K74+K75+0</f>
        <v>40103.75</v>
      </c>
    </row>
    <row r="81" spans="1:29" ht="28" x14ac:dyDescent="0.25">
      <c r="A81" s="30">
        <v>5</v>
      </c>
      <c r="B81" s="30" t="str">
        <f>Source!F36</f>
        <v>4.10-76-10</v>
      </c>
      <c r="C81" s="30" t="s">
        <v>45</v>
      </c>
      <c r="D81" s="32" t="str">
        <f>Source!H36</f>
        <v>1  ШТ.</v>
      </c>
      <c r="E81" s="31">
        <f>Source!I36</f>
        <v>7</v>
      </c>
      <c r="F81" s="34"/>
      <c r="G81" s="33"/>
      <c r="H81" s="31"/>
      <c r="I81" s="34"/>
      <c r="J81" s="31"/>
      <c r="K81" s="34"/>
      <c r="Q81">
        <f>Source!X36</f>
        <v>29.8</v>
      </c>
      <c r="R81">
        <f>Source!X37</f>
        <v>1679.32</v>
      </c>
      <c r="S81">
        <f>Source!Y36</f>
        <v>16.63</v>
      </c>
      <c r="T81">
        <f>Source!Y37</f>
        <v>936.88</v>
      </c>
      <c r="U81">
        <f>ROUND((175/100)*ROUND(Source!R36, 2), 2)</f>
        <v>0</v>
      </c>
      <c r="V81">
        <f>ROUND((0/100)*ROUND(Source!R37, 2), 2)</f>
        <v>0</v>
      </c>
      <c r="AC81">
        <v>0</v>
      </c>
    </row>
    <row r="82" spans="1:29" ht="14.5" x14ac:dyDescent="0.25">
      <c r="A82" s="30"/>
      <c r="B82" s="30"/>
      <c r="C82" s="30" t="s">
        <v>453</v>
      </c>
      <c r="D82" s="32"/>
      <c r="E82" s="31"/>
      <c r="F82" s="34">
        <f>Source!AO36</f>
        <v>11.89</v>
      </c>
      <c r="G82" s="36" t="s">
        <v>454</v>
      </c>
      <c r="H82" s="31">
        <f>Source!AV37</f>
        <v>1.0469999999999999</v>
      </c>
      <c r="I82" s="34">
        <f>Source!S36</f>
        <v>31.37</v>
      </c>
      <c r="J82" s="31">
        <f>IF(Source!BA37&lt;&gt; 0, Source!BA37, 1)</f>
        <v>56.35</v>
      </c>
      <c r="K82" s="34">
        <f>Source!S37</f>
        <v>1767.7</v>
      </c>
    </row>
    <row r="83" spans="1:29" ht="14.5" x14ac:dyDescent="0.25">
      <c r="A83" s="30"/>
      <c r="B83" s="30"/>
      <c r="C83" s="30" t="s">
        <v>457</v>
      </c>
      <c r="D83" s="32" t="s">
        <v>458</v>
      </c>
      <c r="E83" s="31">
        <f>Source!BZ37</f>
        <v>95</v>
      </c>
      <c r="F83" s="34"/>
      <c r="G83" s="33"/>
      <c r="H83" s="31"/>
      <c r="I83" s="34">
        <f>SUM(Q81:Q82)</f>
        <v>29.8</v>
      </c>
      <c r="J83" s="31">
        <f>Source!AT37</f>
        <v>95</v>
      </c>
      <c r="K83" s="34">
        <f>SUM(R81:R82)</f>
        <v>1679.32</v>
      </c>
    </row>
    <row r="84" spans="1:29" ht="14.5" x14ac:dyDescent="0.25">
      <c r="A84" s="30"/>
      <c r="B84" s="30"/>
      <c r="C84" s="30" t="s">
        <v>459</v>
      </c>
      <c r="D84" s="32" t="s">
        <v>458</v>
      </c>
      <c r="E84" s="31">
        <f>Source!CA37</f>
        <v>53</v>
      </c>
      <c r="F84" s="34"/>
      <c r="G84" s="33"/>
      <c r="H84" s="31"/>
      <c r="I84" s="34">
        <f>SUM(S81:S83)</f>
        <v>16.63</v>
      </c>
      <c r="J84" s="31">
        <f>Source!AU37</f>
        <v>53</v>
      </c>
      <c r="K84" s="34">
        <f>SUM(T81:T83)</f>
        <v>936.88</v>
      </c>
    </row>
    <row r="85" spans="1:29" ht="14.5" x14ac:dyDescent="0.25">
      <c r="A85" s="38"/>
      <c r="B85" s="38"/>
      <c r="C85" s="38" t="s">
        <v>460</v>
      </c>
      <c r="D85" s="39" t="s">
        <v>461</v>
      </c>
      <c r="E85" s="40">
        <f>Source!AQ36</f>
        <v>1</v>
      </c>
      <c r="F85" s="41"/>
      <c r="G85" s="42" t="s">
        <v>454</v>
      </c>
      <c r="H85" s="40">
        <f>Source!AV37</f>
        <v>1.0469999999999999</v>
      </c>
      <c r="I85" s="41">
        <f>Source!U36</f>
        <v>2.6384399999999997</v>
      </c>
      <c r="J85" s="40"/>
      <c r="K85" s="41"/>
    </row>
    <row r="86" spans="1:29" ht="14" x14ac:dyDescent="0.25">
      <c r="C86" s="43" t="s">
        <v>462</v>
      </c>
      <c r="H86" s="69">
        <f>I82+I83+I84+0-0-0</f>
        <v>77.8</v>
      </c>
      <c r="I86" s="69"/>
      <c r="J86" s="69">
        <f>K82+K83+K84+0-0-0</f>
        <v>4383.8999999999996</v>
      </c>
      <c r="K86" s="69"/>
    </row>
    <row r="87" spans="1:29" ht="14" hidden="1" x14ac:dyDescent="0.25">
      <c r="C87" s="43" t="s">
        <v>463</v>
      </c>
      <c r="H87" s="66">
        <f>0+0</f>
        <v>0</v>
      </c>
      <c r="I87" s="66"/>
      <c r="J87" s="66">
        <f>0+0</f>
        <v>0</v>
      </c>
      <c r="K87" s="66"/>
    </row>
    <row r="88" spans="1:29" ht="14" x14ac:dyDescent="0.25">
      <c r="C88" s="43" t="s">
        <v>464</v>
      </c>
      <c r="H88" s="66">
        <f>I82+I83+I84+0</f>
        <v>77.8</v>
      </c>
      <c r="I88" s="66"/>
      <c r="J88" s="66">
        <f>K82+K83+K84+0</f>
        <v>4383.8999999999996</v>
      </c>
      <c r="K88" s="66"/>
      <c r="O88" s="44">
        <f>I82+I83+I84+0</f>
        <v>77.8</v>
      </c>
      <c r="P88" s="44">
        <f>K82+K83+K84+0</f>
        <v>4383.8999999999996</v>
      </c>
    </row>
    <row r="90" spans="1:29" ht="42" x14ac:dyDescent="0.25">
      <c r="A90" s="30">
        <v>6</v>
      </c>
      <c r="B90" s="30" t="str">
        <f>Source!F38</f>
        <v>4.10-177-1</v>
      </c>
      <c r="C90" s="30" t="s">
        <v>50</v>
      </c>
      <c r="D90" s="32" t="str">
        <f>Source!H38</f>
        <v>10 шт.</v>
      </c>
      <c r="E90" s="31">
        <f>Source!I38</f>
        <v>0.3</v>
      </c>
      <c r="F90" s="34"/>
      <c r="G90" s="33"/>
      <c r="H90" s="31"/>
      <c r="I90" s="34"/>
      <c r="J90" s="31"/>
      <c r="K90" s="34"/>
      <c r="Q90">
        <f>Source!X38</f>
        <v>23.23</v>
      </c>
      <c r="R90">
        <f>Source!X39</f>
        <v>1308.95</v>
      </c>
      <c r="S90">
        <f>Source!Y38</f>
        <v>11.87</v>
      </c>
      <c r="T90">
        <f>Source!Y39</f>
        <v>669.02</v>
      </c>
      <c r="U90">
        <f>ROUND((175/100)*ROUND(Source!R38, 2), 2)</f>
        <v>0.16</v>
      </c>
      <c r="V90">
        <f>ROUND((0/100)*ROUND(Source!R39, 2), 2)</f>
        <v>0</v>
      </c>
      <c r="AC90">
        <v>0</v>
      </c>
    </row>
    <row r="91" spans="1:29" x14ac:dyDescent="0.25">
      <c r="C91" s="35" t="str">
        <f>"Объем: "&amp;Source!I38&amp;"=3/"&amp;"10"</f>
        <v>Объем: 0,3=3/10</v>
      </c>
    </row>
    <row r="92" spans="1:29" ht="14.5" x14ac:dyDescent="0.25">
      <c r="A92" s="30"/>
      <c r="B92" s="30"/>
      <c r="C92" s="30" t="s">
        <v>453</v>
      </c>
      <c r="D92" s="32"/>
      <c r="E92" s="31"/>
      <c r="F92" s="34">
        <f>Source!AO38</f>
        <v>227.44</v>
      </c>
      <c r="G92" s="36" t="s">
        <v>454</v>
      </c>
      <c r="H92" s="31">
        <f>Source!AV39</f>
        <v>1.0469999999999999</v>
      </c>
      <c r="I92" s="34">
        <f>Source!S38</f>
        <v>25.72</v>
      </c>
      <c r="J92" s="31">
        <f>IF(Source!BA39&lt;&gt; 0, Source!BA39, 1)</f>
        <v>56.35</v>
      </c>
      <c r="K92" s="34">
        <f>Source!S39</f>
        <v>1449.32</v>
      </c>
    </row>
    <row r="93" spans="1:29" ht="14.5" x14ac:dyDescent="0.25">
      <c r="A93" s="30"/>
      <c r="B93" s="30"/>
      <c r="C93" s="30" t="s">
        <v>455</v>
      </c>
      <c r="D93" s="32"/>
      <c r="E93" s="31"/>
      <c r="F93" s="34">
        <f>Source!AM38</f>
        <v>6.07</v>
      </c>
      <c r="G93" s="36" t="s">
        <v>454</v>
      </c>
      <c r="H93" s="31">
        <f>Source!AV39</f>
        <v>1.0469999999999999</v>
      </c>
      <c r="I93" s="34">
        <f>Source!Q38</f>
        <v>0.69</v>
      </c>
      <c r="J93" s="31">
        <f>IF(Source!BB39&lt;&gt; 0, Source!BB39, 1)</f>
        <v>15.73</v>
      </c>
      <c r="K93" s="34">
        <f>Source!Q39</f>
        <v>10.85</v>
      </c>
    </row>
    <row r="94" spans="1:29" ht="14.5" x14ac:dyDescent="0.25">
      <c r="A94" s="30"/>
      <c r="B94" s="30"/>
      <c r="C94" s="30" t="s">
        <v>456</v>
      </c>
      <c r="D94" s="32"/>
      <c r="E94" s="31"/>
      <c r="F94" s="34">
        <f>Source!AN38</f>
        <v>0.76</v>
      </c>
      <c r="G94" s="36" t="s">
        <v>454</v>
      </c>
      <c r="H94" s="31">
        <f>Source!AV39</f>
        <v>1.0469999999999999</v>
      </c>
      <c r="I94" s="37">
        <f>Source!R38</f>
        <v>0.09</v>
      </c>
      <c r="J94" s="31">
        <f>IF(Source!BS39&lt;&gt; 0, Source!BS39, 1)</f>
        <v>56.35</v>
      </c>
      <c r="K94" s="37">
        <f>Source!R39</f>
        <v>5.07</v>
      </c>
    </row>
    <row r="95" spans="1:29" ht="14.5" x14ac:dyDescent="0.25">
      <c r="A95" s="30"/>
      <c r="B95" s="30"/>
      <c r="C95" s="30" t="s">
        <v>457</v>
      </c>
      <c r="D95" s="32" t="s">
        <v>458</v>
      </c>
      <c r="E95" s="31">
        <f>Source!BZ39</f>
        <v>90</v>
      </c>
      <c r="F95" s="34"/>
      <c r="G95" s="33"/>
      <c r="H95" s="31"/>
      <c r="I95" s="34">
        <f>SUM(Q90:Q94)</f>
        <v>23.23</v>
      </c>
      <c r="J95" s="31">
        <f>Source!AT39</f>
        <v>90</v>
      </c>
      <c r="K95" s="34">
        <f>SUM(R90:R94)</f>
        <v>1308.95</v>
      </c>
    </row>
    <row r="96" spans="1:29" ht="14.5" x14ac:dyDescent="0.25">
      <c r="A96" s="30"/>
      <c r="B96" s="30"/>
      <c r="C96" s="30" t="s">
        <v>459</v>
      </c>
      <c r="D96" s="32" t="s">
        <v>458</v>
      </c>
      <c r="E96" s="31">
        <f>Source!CA39</f>
        <v>46</v>
      </c>
      <c r="F96" s="34"/>
      <c r="G96" s="33"/>
      <c r="H96" s="31"/>
      <c r="I96" s="34">
        <f>SUM(S90:S95)</f>
        <v>11.87</v>
      </c>
      <c r="J96" s="31">
        <f>Source!AU39</f>
        <v>46</v>
      </c>
      <c r="K96" s="34">
        <f>SUM(T90:T95)</f>
        <v>669.02</v>
      </c>
    </row>
    <row r="97" spans="1:29" ht="14.5" x14ac:dyDescent="0.25">
      <c r="A97" s="38"/>
      <c r="B97" s="38"/>
      <c r="C97" s="38" t="s">
        <v>460</v>
      </c>
      <c r="D97" s="39" t="s">
        <v>461</v>
      </c>
      <c r="E97" s="40">
        <f>Source!AQ38</f>
        <v>14.64</v>
      </c>
      <c r="F97" s="41"/>
      <c r="G97" s="42" t="s">
        <v>454</v>
      </c>
      <c r="H97" s="40">
        <f>Source!AV39</f>
        <v>1.0469999999999999</v>
      </c>
      <c r="I97" s="41">
        <f>Source!U38</f>
        <v>1.6554326400000001</v>
      </c>
      <c r="J97" s="40"/>
      <c r="K97" s="41"/>
    </row>
    <row r="98" spans="1:29" ht="14" x14ac:dyDescent="0.25">
      <c r="C98" s="43" t="s">
        <v>462</v>
      </c>
      <c r="H98" s="69">
        <f>I92+I93+I95+I96+0-0-0</f>
        <v>61.51</v>
      </c>
      <c r="I98" s="69"/>
      <c r="J98" s="69">
        <f>K92+K93+K95+K96+0-0-0</f>
        <v>3438.14</v>
      </c>
      <c r="K98" s="69"/>
    </row>
    <row r="99" spans="1:29" ht="14" hidden="1" x14ac:dyDescent="0.25">
      <c r="C99" s="43" t="s">
        <v>463</v>
      </c>
      <c r="H99" s="66">
        <f>0+0</f>
        <v>0</v>
      </c>
      <c r="I99" s="66"/>
      <c r="J99" s="66">
        <f>0+0</f>
        <v>0</v>
      </c>
      <c r="K99" s="66"/>
    </row>
    <row r="100" spans="1:29" ht="14" x14ac:dyDescent="0.25">
      <c r="C100" s="43" t="s">
        <v>464</v>
      </c>
      <c r="H100" s="66">
        <f>I92+I93+I95+I96+0</f>
        <v>61.51</v>
      </c>
      <c r="I100" s="66"/>
      <c r="J100" s="66">
        <f>K92+K93+K95+K96+0</f>
        <v>3438.14</v>
      </c>
      <c r="K100" s="66"/>
      <c r="O100" s="44">
        <f>I92+I93+I95+I96+0</f>
        <v>61.51</v>
      </c>
      <c r="P100" s="44">
        <f>K92+K93+K95+K96+0</f>
        <v>3438.14</v>
      </c>
    </row>
    <row r="102" spans="1:29" ht="56" x14ac:dyDescent="0.25">
      <c r="A102" s="30">
        <v>7</v>
      </c>
      <c r="B102" s="30" t="str">
        <f>Source!F40</f>
        <v>4.10-177-1</v>
      </c>
      <c r="C102" s="30" t="s">
        <v>52</v>
      </c>
      <c r="D102" s="32" t="str">
        <f>Source!H40</f>
        <v>10 шт.</v>
      </c>
      <c r="E102" s="31">
        <f>Source!I40</f>
        <v>0.1</v>
      </c>
      <c r="F102" s="34"/>
      <c r="G102" s="33"/>
      <c r="H102" s="31"/>
      <c r="I102" s="34"/>
      <c r="J102" s="31"/>
      <c r="K102" s="34"/>
      <c r="Q102">
        <f>Source!X40</f>
        <v>7.74</v>
      </c>
      <c r="R102">
        <f>Source!X41</f>
        <v>436.15</v>
      </c>
      <c r="S102">
        <f>Source!Y40</f>
        <v>3.96</v>
      </c>
      <c r="T102">
        <f>Source!Y41</f>
        <v>222.92</v>
      </c>
      <c r="U102">
        <f>ROUND((175/100)*ROUND(Source!R40, 2), 2)</f>
        <v>0.05</v>
      </c>
      <c r="V102">
        <f>ROUND((0/100)*ROUND(Source!R41, 2), 2)</f>
        <v>0</v>
      </c>
      <c r="AC102">
        <v>0</v>
      </c>
    </row>
    <row r="103" spans="1:29" x14ac:dyDescent="0.25">
      <c r="C103" s="35" t="str">
        <f>"Объем: "&amp;Source!I40&amp;"=1/"&amp;"10"</f>
        <v>Объем: 0,1=1/10</v>
      </c>
    </row>
    <row r="104" spans="1:29" ht="14.5" x14ac:dyDescent="0.25">
      <c r="A104" s="30"/>
      <c r="B104" s="30"/>
      <c r="C104" s="30" t="s">
        <v>453</v>
      </c>
      <c r="D104" s="32"/>
      <c r="E104" s="31"/>
      <c r="F104" s="34">
        <f>Source!AO40</f>
        <v>227.44</v>
      </c>
      <c r="G104" s="36" t="s">
        <v>454</v>
      </c>
      <c r="H104" s="31">
        <f>Source!AV41</f>
        <v>1.0469999999999999</v>
      </c>
      <c r="I104" s="34">
        <f>Source!S40</f>
        <v>8.57</v>
      </c>
      <c r="J104" s="31">
        <f>IF(Source!BA41&lt;&gt; 0, Source!BA41, 1)</f>
        <v>56.35</v>
      </c>
      <c r="K104" s="34">
        <f>Source!S41</f>
        <v>482.92</v>
      </c>
    </row>
    <row r="105" spans="1:29" ht="14.5" x14ac:dyDescent="0.25">
      <c r="A105" s="30"/>
      <c r="B105" s="30"/>
      <c r="C105" s="30" t="s">
        <v>455</v>
      </c>
      <c r="D105" s="32"/>
      <c r="E105" s="31"/>
      <c r="F105" s="34">
        <f>Source!AM40</f>
        <v>6.07</v>
      </c>
      <c r="G105" s="36" t="s">
        <v>454</v>
      </c>
      <c r="H105" s="31">
        <f>Source!AV41</f>
        <v>1.0469999999999999</v>
      </c>
      <c r="I105" s="34">
        <f>Source!Q40</f>
        <v>0.23</v>
      </c>
      <c r="J105" s="31">
        <f>IF(Source!BB41&lt;&gt; 0, Source!BB41, 1)</f>
        <v>15.73</v>
      </c>
      <c r="K105" s="34">
        <f>Source!Q41</f>
        <v>3.62</v>
      </c>
    </row>
    <row r="106" spans="1:29" ht="14.5" x14ac:dyDescent="0.25">
      <c r="A106" s="30"/>
      <c r="B106" s="30"/>
      <c r="C106" s="30" t="s">
        <v>456</v>
      </c>
      <c r="D106" s="32"/>
      <c r="E106" s="31"/>
      <c r="F106" s="34">
        <f>Source!AN40</f>
        <v>0.76</v>
      </c>
      <c r="G106" s="36" t="s">
        <v>454</v>
      </c>
      <c r="H106" s="31">
        <f>Source!AV41</f>
        <v>1.0469999999999999</v>
      </c>
      <c r="I106" s="37">
        <f>Source!R40</f>
        <v>0.03</v>
      </c>
      <c r="J106" s="31">
        <f>IF(Source!BS41&lt;&gt; 0, Source!BS41, 1)</f>
        <v>56.35</v>
      </c>
      <c r="K106" s="37">
        <f>Source!R41</f>
        <v>1.69</v>
      </c>
    </row>
    <row r="107" spans="1:29" ht="14.5" x14ac:dyDescent="0.25">
      <c r="A107" s="30"/>
      <c r="B107" s="30"/>
      <c r="C107" s="30" t="s">
        <v>457</v>
      </c>
      <c r="D107" s="32" t="s">
        <v>458</v>
      </c>
      <c r="E107" s="31">
        <f>Source!BZ41</f>
        <v>90</v>
      </c>
      <c r="F107" s="34"/>
      <c r="G107" s="33"/>
      <c r="H107" s="31"/>
      <c r="I107" s="34">
        <f>SUM(Q102:Q106)</f>
        <v>7.74</v>
      </c>
      <c r="J107" s="31">
        <f>Source!AT41</f>
        <v>90</v>
      </c>
      <c r="K107" s="34">
        <f>SUM(R102:R106)</f>
        <v>436.15</v>
      </c>
    </row>
    <row r="108" spans="1:29" ht="14.5" x14ac:dyDescent="0.25">
      <c r="A108" s="30"/>
      <c r="B108" s="30"/>
      <c r="C108" s="30" t="s">
        <v>459</v>
      </c>
      <c r="D108" s="32" t="s">
        <v>458</v>
      </c>
      <c r="E108" s="31">
        <f>Source!CA41</f>
        <v>46</v>
      </c>
      <c r="F108" s="34"/>
      <c r="G108" s="33"/>
      <c r="H108" s="31"/>
      <c r="I108" s="34">
        <f>SUM(S102:S107)</f>
        <v>3.96</v>
      </c>
      <c r="J108" s="31">
        <f>Source!AU41</f>
        <v>46</v>
      </c>
      <c r="K108" s="34">
        <f>SUM(T102:T107)</f>
        <v>222.92</v>
      </c>
    </row>
    <row r="109" spans="1:29" ht="14.5" x14ac:dyDescent="0.25">
      <c r="A109" s="38"/>
      <c r="B109" s="38"/>
      <c r="C109" s="38" t="s">
        <v>460</v>
      </c>
      <c r="D109" s="39" t="s">
        <v>461</v>
      </c>
      <c r="E109" s="40">
        <f>Source!AQ40</f>
        <v>14.64</v>
      </c>
      <c r="F109" s="41"/>
      <c r="G109" s="42" t="s">
        <v>454</v>
      </c>
      <c r="H109" s="40">
        <f>Source!AV41</f>
        <v>1.0469999999999999</v>
      </c>
      <c r="I109" s="41">
        <f>Source!U40</f>
        <v>0.55181088</v>
      </c>
      <c r="J109" s="40"/>
      <c r="K109" s="41"/>
    </row>
    <row r="110" spans="1:29" ht="14" x14ac:dyDescent="0.25">
      <c r="C110" s="43" t="s">
        <v>462</v>
      </c>
      <c r="H110" s="69">
        <f>I104+I105+I107+I108+0-0-0</f>
        <v>20.5</v>
      </c>
      <c r="I110" s="69"/>
      <c r="J110" s="69">
        <f>K104+K105+K107+K108+0-0-0</f>
        <v>1145.6100000000001</v>
      </c>
      <c r="K110" s="69"/>
    </row>
    <row r="111" spans="1:29" ht="14" hidden="1" x14ac:dyDescent="0.25">
      <c r="C111" s="43" t="s">
        <v>463</v>
      </c>
      <c r="H111" s="66">
        <f>0+0</f>
        <v>0</v>
      </c>
      <c r="I111" s="66"/>
      <c r="J111" s="66">
        <f>0+0</f>
        <v>0</v>
      </c>
      <c r="K111" s="66"/>
    </row>
    <row r="112" spans="1:29" ht="14" x14ac:dyDescent="0.25">
      <c r="C112" s="43" t="s">
        <v>464</v>
      </c>
      <c r="H112" s="66">
        <f>I104+I105+I107+I108+0</f>
        <v>20.5</v>
      </c>
      <c r="I112" s="66"/>
      <c r="J112" s="66">
        <f>K104+K105+K107+K108+0</f>
        <v>1145.6100000000001</v>
      </c>
      <c r="K112" s="66"/>
      <c r="O112" s="44">
        <f>I104+I105+I107+I108+0</f>
        <v>20.5</v>
      </c>
      <c r="P112" s="44">
        <f>K104+K105+K107+K108+0</f>
        <v>1145.6100000000001</v>
      </c>
    </row>
    <row r="114" spans="1:29" ht="28" x14ac:dyDescent="0.25">
      <c r="A114" s="30">
        <v>8</v>
      </c>
      <c r="B114" s="30" t="str">
        <f>Source!F42</f>
        <v>4.10-175-1</v>
      </c>
      <c r="C114" s="30" t="s">
        <v>55</v>
      </c>
      <c r="D114" s="32" t="str">
        <f>Source!H42</f>
        <v>1  ШТ.</v>
      </c>
      <c r="E114" s="31">
        <f>Source!I42</f>
        <v>1</v>
      </c>
      <c r="F114" s="34"/>
      <c r="G114" s="33"/>
      <c r="H114" s="31"/>
      <c r="I114" s="34"/>
      <c r="J114" s="31"/>
      <c r="K114" s="34"/>
      <c r="Q114">
        <f>Source!X42</f>
        <v>7.05</v>
      </c>
      <c r="R114">
        <f>Source!X43</f>
        <v>397.1</v>
      </c>
      <c r="S114">
        <f>Source!Y42</f>
        <v>3.6</v>
      </c>
      <c r="T114">
        <f>Source!Y43</f>
        <v>202.96</v>
      </c>
      <c r="U114">
        <f>ROUND((175/100)*ROUND(Source!R42, 2), 2)</f>
        <v>0.09</v>
      </c>
      <c r="V114">
        <f>ROUND((0/100)*ROUND(Source!R43, 2), 2)</f>
        <v>0</v>
      </c>
      <c r="AC114">
        <v>0</v>
      </c>
    </row>
    <row r="115" spans="1:29" ht="14.5" x14ac:dyDescent="0.25">
      <c r="A115" s="30"/>
      <c r="B115" s="30"/>
      <c r="C115" s="30" t="s">
        <v>453</v>
      </c>
      <c r="D115" s="32"/>
      <c r="E115" s="31"/>
      <c r="F115" s="34">
        <f>Source!AO42</f>
        <v>20.63</v>
      </c>
      <c r="G115" s="36" t="s">
        <v>454</v>
      </c>
      <c r="H115" s="31">
        <f>Source!AV43</f>
        <v>1.0469999999999999</v>
      </c>
      <c r="I115" s="34">
        <f>Source!S42</f>
        <v>7.78</v>
      </c>
      <c r="J115" s="31">
        <f>IF(Source!BA43&lt;&gt; 0, Source!BA43, 1)</f>
        <v>56.35</v>
      </c>
      <c r="K115" s="34">
        <f>Source!S43</f>
        <v>438.4</v>
      </c>
    </row>
    <row r="116" spans="1:29" ht="14.5" x14ac:dyDescent="0.25">
      <c r="A116" s="30"/>
      <c r="B116" s="30"/>
      <c r="C116" s="30" t="s">
        <v>455</v>
      </c>
      <c r="D116" s="32"/>
      <c r="E116" s="31"/>
      <c r="F116" s="34">
        <f>Source!AM42</f>
        <v>0.91</v>
      </c>
      <c r="G116" s="36" t="s">
        <v>454</v>
      </c>
      <c r="H116" s="31">
        <f>Source!AV43</f>
        <v>1.0469999999999999</v>
      </c>
      <c r="I116" s="34">
        <f>Source!Q42</f>
        <v>0.34</v>
      </c>
      <c r="J116" s="31">
        <f>IF(Source!BB43&lt;&gt; 0, Source!BB43, 1)</f>
        <v>16.440000000000001</v>
      </c>
      <c r="K116" s="34">
        <f>Source!Q43</f>
        <v>5.59</v>
      </c>
    </row>
    <row r="117" spans="1:29" ht="14.5" x14ac:dyDescent="0.25">
      <c r="A117" s="30"/>
      <c r="B117" s="30"/>
      <c r="C117" s="30" t="s">
        <v>456</v>
      </c>
      <c r="D117" s="32"/>
      <c r="E117" s="31"/>
      <c r="F117" s="34">
        <f>Source!AN42</f>
        <v>0.13</v>
      </c>
      <c r="G117" s="36" t="s">
        <v>454</v>
      </c>
      <c r="H117" s="31">
        <f>Source!AV43</f>
        <v>1.0469999999999999</v>
      </c>
      <c r="I117" s="37">
        <f>Source!R42</f>
        <v>0.05</v>
      </c>
      <c r="J117" s="31">
        <f>IF(Source!BS43&lt;&gt; 0, Source!BS43, 1)</f>
        <v>56.35</v>
      </c>
      <c r="K117" s="37">
        <f>Source!R43</f>
        <v>2.82</v>
      </c>
    </row>
    <row r="118" spans="1:29" ht="14.5" x14ac:dyDescent="0.25">
      <c r="A118" s="30"/>
      <c r="B118" s="30"/>
      <c r="C118" s="30" t="s">
        <v>457</v>
      </c>
      <c r="D118" s="32" t="s">
        <v>458</v>
      </c>
      <c r="E118" s="31">
        <f>Source!BZ43</f>
        <v>90</v>
      </c>
      <c r="F118" s="34"/>
      <c r="G118" s="33"/>
      <c r="H118" s="31"/>
      <c r="I118" s="34">
        <f>SUM(Q114:Q117)</f>
        <v>7.05</v>
      </c>
      <c r="J118" s="31">
        <f>Source!AT43</f>
        <v>90</v>
      </c>
      <c r="K118" s="34">
        <f>SUM(R114:R117)</f>
        <v>397.1</v>
      </c>
    </row>
    <row r="119" spans="1:29" ht="14.5" x14ac:dyDescent="0.25">
      <c r="A119" s="30"/>
      <c r="B119" s="30"/>
      <c r="C119" s="30" t="s">
        <v>459</v>
      </c>
      <c r="D119" s="32" t="s">
        <v>458</v>
      </c>
      <c r="E119" s="31">
        <f>Source!CA43</f>
        <v>46</v>
      </c>
      <c r="F119" s="34"/>
      <c r="G119" s="33"/>
      <c r="H119" s="31"/>
      <c r="I119" s="34">
        <f>SUM(S114:S118)</f>
        <v>3.6</v>
      </c>
      <c r="J119" s="31">
        <f>Source!AU43</f>
        <v>46</v>
      </c>
      <c r="K119" s="34">
        <f>SUM(T114:T118)</f>
        <v>202.96</v>
      </c>
    </row>
    <row r="120" spans="1:29" ht="14.5" x14ac:dyDescent="0.25">
      <c r="A120" s="38"/>
      <c r="B120" s="38"/>
      <c r="C120" s="38" t="s">
        <v>460</v>
      </c>
      <c r="D120" s="39" t="s">
        <v>461</v>
      </c>
      <c r="E120" s="40">
        <f>Source!AQ42</f>
        <v>1.35</v>
      </c>
      <c r="F120" s="41"/>
      <c r="G120" s="42" t="s">
        <v>454</v>
      </c>
      <c r="H120" s="40">
        <f>Source!AV43</f>
        <v>1.0469999999999999</v>
      </c>
      <c r="I120" s="41">
        <f>Source!U42</f>
        <v>0.50884199999999991</v>
      </c>
      <c r="J120" s="40"/>
      <c r="K120" s="41"/>
    </row>
    <row r="121" spans="1:29" ht="14" x14ac:dyDescent="0.25">
      <c r="C121" s="43" t="s">
        <v>462</v>
      </c>
      <c r="H121" s="69">
        <f>I115+I116+I118+I119+0-0-0</f>
        <v>18.770000000000003</v>
      </c>
      <c r="I121" s="69"/>
      <c r="J121" s="69">
        <f>K115+K116+K118+K119+0-0-0</f>
        <v>1044.05</v>
      </c>
      <c r="K121" s="69"/>
    </row>
    <row r="122" spans="1:29" ht="14" hidden="1" x14ac:dyDescent="0.25">
      <c r="C122" s="43" t="s">
        <v>463</v>
      </c>
      <c r="H122" s="66">
        <f>0+0</f>
        <v>0</v>
      </c>
      <c r="I122" s="66"/>
      <c r="J122" s="66">
        <f>0+0</f>
        <v>0</v>
      </c>
      <c r="K122" s="66"/>
    </row>
    <row r="123" spans="1:29" ht="14" x14ac:dyDescent="0.25">
      <c r="C123" s="43" t="s">
        <v>464</v>
      </c>
      <c r="H123" s="66">
        <f>I115+I116+I118+I119+0</f>
        <v>18.770000000000003</v>
      </c>
      <c r="I123" s="66"/>
      <c r="J123" s="66">
        <f>K115+K116+K118+K119+0</f>
        <v>1044.05</v>
      </c>
      <c r="K123" s="66"/>
      <c r="O123" s="44">
        <f>I115+I116+I118+I119+0</f>
        <v>18.770000000000003</v>
      </c>
      <c r="P123" s="44">
        <f>K115+K116+K118+K119+0</f>
        <v>1044.05</v>
      </c>
    </row>
    <row r="125" spans="1:29" ht="28" x14ac:dyDescent="0.25">
      <c r="A125" s="30">
        <v>9</v>
      </c>
      <c r="B125" s="30" t="str">
        <f>Source!F44</f>
        <v>6.67-5-1</v>
      </c>
      <c r="C125" s="30" t="s">
        <v>59</v>
      </c>
      <c r="D125" s="32" t="str">
        <f>Source!H44</f>
        <v>100 м</v>
      </c>
      <c r="E125" s="31">
        <f>Source!I44</f>
        <v>5.71</v>
      </c>
      <c r="F125" s="34"/>
      <c r="G125" s="33"/>
      <c r="H125" s="31"/>
      <c r="I125" s="34"/>
      <c r="J125" s="31"/>
      <c r="K125" s="34"/>
      <c r="Q125">
        <f>Source!X44</f>
        <v>157.13999999999999</v>
      </c>
      <c r="R125">
        <f>Source!X45</f>
        <v>8854.77</v>
      </c>
      <c r="S125">
        <f>Source!Y44</f>
        <v>82.89</v>
      </c>
      <c r="T125">
        <f>Source!Y45</f>
        <v>4670.6499999999996</v>
      </c>
      <c r="U125">
        <f>ROUND((175/100)*ROUND(Source!R44, 2), 2)</f>
        <v>0</v>
      </c>
      <c r="V125">
        <f>ROUND((0/100)*ROUND(Source!R45, 2), 2)</f>
        <v>0</v>
      </c>
      <c r="AC125">
        <v>0</v>
      </c>
    </row>
    <row r="126" spans="1:29" x14ac:dyDescent="0.25">
      <c r="C126" s="35" t="str">
        <f>"Объем: "&amp;Source!I44&amp;"=(310+"&amp;"624-"&amp;"363)/"&amp;"100"</f>
        <v>Объем: 5,71=(310+624-363)/100</v>
      </c>
    </row>
    <row r="127" spans="1:29" ht="14.5" x14ac:dyDescent="0.25">
      <c r="A127" s="30"/>
      <c r="B127" s="30"/>
      <c r="C127" s="30" t="s">
        <v>453</v>
      </c>
      <c r="D127" s="32"/>
      <c r="E127" s="31"/>
      <c r="F127" s="34">
        <f>Source!AO44</f>
        <v>24.07</v>
      </c>
      <c r="G127" s="36" t="s">
        <v>148</v>
      </c>
      <c r="H127" s="31">
        <f>Source!AV45</f>
        <v>1.0469999999999999</v>
      </c>
      <c r="I127" s="34">
        <f>Source!S44</f>
        <v>172.68</v>
      </c>
      <c r="J127" s="31">
        <f>IF(Source!BA45&lt;&gt; 0, Source!BA45, 1)</f>
        <v>56.35</v>
      </c>
      <c r="K127" s="34">
        <f>Source!S45</f>
        <v>9730.52</v>
      </c>
    </row>
    <row r="128" spans="1:29" ht="14.5" x14ac:dyDescent="0.25">
      <c r="A128" s="30"/>
      <c r="B128" s="30"/>
      <c r="C128" s="30" t="s">
        <v>457</v>
      </c>
      <c r="D128" s="32" t="s">
        <v>458</v>
      </c>
      <c r="E128" s="31">
        <f>Source!BZ45</f>
        <v>91</v>
      </c>
      <c r="F128" s="34"/>
      <c r="G128" s="33"/>
      <c r="H128" s="31"/>
      <c r="I128" s="34">
        <f>SUM(Q125:Q127)</f>
        <v>157.13999999999999</v>
      </c>
      <c r="J128" s="31">
        <f>Source!AT45</f>
        <v>91</v>
      </c>
      <c r="K128" s="34">
        <f>SUM(R125:R127)</f>
        <v>8854.77</v>
      </c>
    </row>
    <row r="129" spans="1:29" ht="14.5" x14ac:dyDescent="0.25">
      <c r="A129" s="30"/>
      <c r="B129" s="30"/>
      <c r="C129" s="30" t="s">
        <v>459</v>
      </c>
      <c r="D129" s="32" t="s">
        <v>458</v>
      </c>
      <c r="E129" s="31">
        <f>Source!CA45</f>
        <v>48</v>
      </c>
      <c r="F129" s="34"/>
      <c r="G129" s="33"/>
      <c r="H129" s="31"/>
      <c r="I129" s="34">
        <f>SUM(S125:S128)</f>
        <v>82.89</v>
      </c>
      <c r="J129" s="31">
        <f>Source!AU45</f>
        <v>48</v>
      </c>
      <c r="K129" s="34">
        <f>SUM(T125:T128)</f>
        <v>4670.6499999999996</v>
      </c>
    </row>
    <row r="130" spans="1:29" ht="14.5" x14ac:dyDescent="0.25">
      <c r="A130" s="38"/>
      <c r="B130" s="38"/>
      <c r="C130" s="38" t="s">
        <v>460</v>
      </c>
      <c r="D130" s="39" t="s">
        <v>461</v>
      </c>
      <c r="E130" s="40">
        <f>Source!AQ44</f>
        <v>2.25</v>
      </c>
      <c r="F130" s="41"/>
      <c r="G130" s="42" t="s">
        <v>148</v>
      </c>
      <c r="H130" s="40">
        <f>Source!AV45</f>
        <v>1.0469999999999999</v>
      </c>
      <c r="I130" s="41">
        <f>Source!U44</f>
        <v>16.141598999999999</v>
      </c>
      <c r="J130" s="40"/>
      <c r="K130" s="41"/>
    </row>
    <row r="131" spans="1:29" ht="14" x14ac:dyDescent="0.25">
      <c r="C131" s="43" t="s">
        <v>462</v>
      </c>
      <c r="H131" s="69">
        <f>I127+I128+I129+0-0-0</f>
        <v>412.71</v>
      </c>
      <c r="I131" s="69"/>
      <c r="J131" s="69">
        <f>K127+K128+K129+0-0-0</f>
        <v>23255.940000000002</v>
      </c>
      <c r="K131" s="69"/>
    </row>
    <row r="132" spans="1:29" ht="14" hidden="1" x14ac:dyDescent="0.25">
      <c r="C132" s="43" t="s">
        <v>463</v>
      </c>
      <c r="H132" s="66">
        <f>0+0</f>
        <v>0</v>
      </c>
      <c r="I132" s="66"/>
      <c r="J132" s="66">
        <f>0+0</f>
        <v>0</v>
      </c>
      <c r="K132" s="66"/>
    </row>
    <row r="133" spans="1:29" ht="14" x14ac:dyDescent="0.25">
      <c r="C133" s="43" t="s">
        <v>464</v>
      </c>
      <c r="H133" s="66">
        <f>I127+I128+I129+0</f>
        <v>412.71</v>
      </c>
      <c r="I133" s="66"/>
      <c r="J133" s="66">
        <f>K127+K128+K129+0</f>
        <v>23255.940000000002</v>
      </c>
      <c r="K133" s="66"/>
      <c r="O133" s="44">
        <f>I127+I128+I129+0</f>
        <v>412.71</v>
      </c>
      <c r="P133" s="44">
        <f>K127+K128+K129+0</f>
        <v>23255.940000000002</v>
      </c>
    </row>
    <row r="135" spans="1:29" ht="56" x14ac:dyDescent="0.25">
      <c r="A135" s="30">
        <v>10</v>
      </c>
      <c r="B135" s="30" t="str">
        <f>Source!F48</f>
        <v>4.10-186-5</v>
      </c>
      <c r="C135" s="30" t="s">
        <v>73</v>
      </c>
      <c r="D135" s="32" t="str">
        <f>Source!H48</f>
        <v>100 м</v>
      </c>
      <c r="E135" s="31">
        <f>Source!I48</f>
        <v>3.63</v>
      </c>
      <c r="F135" s="34"/>
      <c r="G135" s="33"/>
      <c r="H135" s="31"/>
      <c r="I135" s="34"/>
      <c r="J135" s="31"/>
      <c r="K135" s="34"/>
      <c r="Q135">
        <f>Source!X48</f>
        <v>242.93</v>
      </c>
      <c r="R135">
        <f>Source!X49</f>
        <v>13688.99</v>
      </c>
      <c r="S135">
        <f>Source!Y48</f>
        <v>124.16</v>
      </c>
      <c r="T135">
        <f>Source!Y49</f>
        <v>6996.6</v>
      </c>
      <c r="U135">
        <f>ROUND((175/100)*ROUND(Source!R48, 2), 2)</f>
        <v>0</v>
      </c>
      <c r="V135">
        <f>ROUND((0/100)*ROUND(Source!R49, 2), 2)</f>
        <v>0</v>
      </c>
      <c r="AC135">
        <v>0</v>
      </c>
    </row>
    <row r="136" spans="1:29" x14ac:dyDescent="0.25">
      <c r="C136" s="35" t="str">
        <f>"Объем: "&amp;Source!I48&amp;"=363/"&amp;"100"</f>
        <v>Объем: 3,63=363/100</v>
      </c>
    </row>
    <row r="137" spans="1:29" ht="14.5" x14ac:dyDescent="0.25">
      <c r="A137" s="30"/>
      <c r="B137" s="30"/>
      <c r="C137" s="30" t="s">
        <v>453</v>
      </c>
      <c r="D137" s="32"/>
      <c r="E137" s="31"/>
      <c r="F137" s="34">
        <f>Source!AO48</f>
        <v>197.28</v>
      </c>
      <c r="G137" s="36" t="s">
        <v>454</v>
      </c>
      <c r="H137" s="31">
        <f>Source!AV49</f>
        <v>1.0469999999999999</v>
      </c>
      <c r="I137" s="34">
        <f>Source!S48</f>
        <v>269.92</v>
      </c>
      <c r="J137" s="31">
        <f>IF(Source!BA49&lt;&gt; 0, Source!BA49, 1)</f>
        <v>56.35</v>
      </c>
      <c r="K137" s="34">
        <f>Source!S49</f>
        <v>15209.99</v>
      </c>
    </row>
    <row r="138" spans="1:29" ht="14.5" x14ac:dyDescent="0.25">
      <c r="A138" s="30"/>
      <c r="B138" s="30"/>
      <c r="C138" s="30" t="s">
        <v>455</v>
      </c>
      <c r="D138" s="32"/>
      <c r="E138" s="31"/>
      <c r="F138" s="34">
        <f>Source!AM48</f>
        <v>1.73</v>
      </c>
      <c r="G138" s="36" t="s">
        <v>454</v>
      </c>
      <c r="H138" s="31">
        <f>Source!AV49</f>
        <v>1.0469999999999999</v>
      </c>
      <c r="I138" s="34">
        <f>Source!Q48</f>
        <v>2.37</v>
      </c>
      <c r="J138" s="31">
        <f>IF(Source!BB49&lt;&gt; 0, Source!BB49, 1)</f>
        <v>9.6199999999999992</v>
      </c>
      <c r="K138" s="34">
        <f>Source!Q49</f>
        <v>22.8</v>
      </c>
    </row>
    <row r="139" spans="1:29" ht="14.5" x14ac:dyDescent="0.25">
      <c r="A139" s="30"/>
      <c r="B139" s="30"/>
      <c r="C139" s="30" t="s">
        <v>457</v>
      </c>
      <c r="D139" s="32" t="s">
        <v>458</v>
      </c>
      <c r="E139" s="31">
        <f>Source!BZ49</f>
        <v>90</v>
      </c>
      <c r="F139" s="34"/>
      <c r="G139" s="33"/>
      <c r="H139" s="31"/>
      <c r="I139" s="34">
        <f>SUM(Q135:Q138)</f>
        <v>242.93</v>
      </c>
      <c r="J139" s="31">
        <f>Source!AT49</f>
        <v>90</v>
      </c>
      <c r="K139" s="34">
        <f>SUM(R135:R138)</f>
        <v>13688.99</v>
      </c>
    </row>
    <row r="140" spans="1:29" ht="14.5" x14ac:dyDescent="0.25">
      <c r="A140" s="30"/>
      <c r="B140" s="30"/>
      <c r="C140" s="30" t="s">
        <v>459</v>
      </c>
      <c r="D140" s="32" t="s">
        <v>458</v>
      </c>
      <c r="E140" s="31">
        <f>Source!CA49</f>
        <v>46</v>
      </c>
      <c r="F140" s="34"/>
      <c r="G140" s="33"/>
      <c r="H140" s="31"/>
      <c r="I140" s="34">
        <f>SUM(S135:S139)</f>
        <v>124.16</v>
      </c>
      <c r="J140" s="31">
        <f>Source!AU49</f>
        <v>46</v>
      </c>
      <c r="K140" s="34">
        <f>SUM(T135:T139)</f>
        <v>6996.6</v>
      </c>
    </row>
    <row r="141" spans="1:29" ht="14.5" x14ac:dyDescent="0.25">
      <c r="A141" s="38"/>
      <c r="B141" s="38"/>
      <c r="C141" s="38" t="s">
        <v>460</v>
      </c>
      <c r="D141" s="39" t="s">
        <v>461</v>
      </c>
      <c r="E141" s="40">
        <f>Source!AQ48</f>
        <v>16.600000000000001</v>
      </c>
      <c r="F141" s="41"/>
      <c r="G141" s="42" t="s">
        <v>454</v>
      </c>
      <c r="H141" s="40">
        <f>Source!AV49</f>
        <v>1.0469999999999999</v>
      </c>
      <c r="I141" s="41">
        <f>Source!U48</f>
        <v>22.712445359999997</v>
      </c>
      <c r="J141" s="40"/>
      <c r="K141" s="41"/>
    </row>
    <row r="142" spans="1:29" ht="14" x14ac:dyDescent="0.25">
      <c r="C142" s="43" t="s">
        <v>462</v>
      </c>
      <c r="H142" s="69">
        <f>I137+I138+I139+I140+0-0-0</f>
        <v>639.38</v>
      </c>
      <c r="I142" s="69"/>
      <c r="J142" s="69">
        <f>K137+K138+K139+K140+0-0-0</f>
        <v>35918.379999999997</v>
      </c>
      <c r="K142" s="69"/>
    </row>
    <row r="143" spans="1:29" ht="14" hidden="1" x14ac:dyDescent="0.25">
      <c r="C143" s="43" t="s">
        <v>463</v>
      </c>
      <c r="H143" s="66">
        <f>0+0</f>
        <v>0</v>
      </c>
      <c r="I143" s="66"/>
      <c r="J143" s="66">
        <f>0+0</f>
        <v>0</v>
      </c>
      <c r="K143" s="66"/>
    </row>
    <row r="144" spans="1:29" ht="14" x14ac:dyDescent="0.25">
      <c r="C144" s="43" t="s">
        <v>464</v>
      </c>
      <c r="H144" s="66">
        <f>I137+I138+I139+I140+0</f>
        <v>639.38</v>
      </c>
      <c r="I144" s="66"/>
      <c r="J144" s="66">
        <f>K137+K138+K139+K140+0</f>
        <v>35918.379999999997</v>
      </c>
      <c r="K144" s="66"/>
      <c r="O144" s="44">
        <f>I137+I138+I139+I140+0</f>
        <v>639.38</v>
      </c>
      <c r="P144" s="44">
        <f>K137+K138+K139+K140+0</f>
        <v>35918.379999999997</v>
      </c>
    </row>
    <row r="146" spans="1:43" ht="42" x14ac:dyDescent="0.25">
      <c r="A146" s="30">
        <v>11</v>
      </c>
      <c r="B146" s="30" t="str">
        <f>Source!F52</f>
        <v>4.11-16-1</v>
      </c>
      <c r="C146" s="30" t="s">
        <v>80</v>
      </c>
      <c r="D146" s="32" t="str">
        <f>Source!H52</f>
        <v>1  ШТ.</v>
      </c>
      <c r="E146" s="31">
        <f>Source!I52</f>
        <v>27</v>
      </c>
      <c r="F146" s="34"/>
      <c r="G146" s="33"/>
      <c r="H146" s="31"/>
      <c r="I146" s="34"/>
      <c r="J146" s="31"/>
      <c r="K146" s="34"/>
      <c r="Q146">
        <f>Source!X52</f>
        <v>82.16</v>
      </c>
      <c r="R146">
        <f>Source!X53</f>
        <v>4629.78</v>
      </c>
      <c r="S146">
        <f>Source!Y52</f>
        <v>41.99</v>
      </c>
      <c r="T146">
        <f>Source!Y53</f>
        <v>2366.33</v>
      </c>
      <c r="U146">
        <f>ROUND((175/100)*ROUND(Source!R52, 2), 2)</f>
        <v>56.28</v>
      </c>
      <c r="V146">
        <f>ROUND((0/100)*ROUND(Source!R53, 2), 2)</f>
        <v>0</v>
      </c>
      <c r="AC146">
        <v>0</v>
      </c>
    </row>
    <row r="147" spans="1:43" ht="14.5" x14ac:dyDescent="0.25">
      <c r="A147" s="30"/>
      <c r="B147" s="30"/>
      <c r="C147" s="30" t="s">
        <v>453</v>
      </c>
      <c r="D147" s="32"/>
      <c r="E147" s="31"/>
      <c r="F147" s="34">
        <f>Source!AO52</f>
        <v>5.81</v>
      </c>
      <c r="G147" s="36" t="s">
        <v>454</v>
      </c>
      <c r="H147" s="31">
        <f>Source!AV53</f>
        <v>1.0469999999999999</v>
      </c>
      <c r="I147" s="34">
        <f>Source!S52</f>
        <v>59.13</v>
      </c>
      <c r="J147" s="31">
        <f>IF(Source!BA53&lt;&gt; 0, Source!BA53, 1)</f>
        <v>56.35</v>
      </c>
      <c r="K147" s="34">
        <f>Source!S53</f>
        <v>3331.98</v>
      </c>
    </row>
    <row r="148" spans="1:43" ht="14.5" x14ac:dyDescent="0.25">
      <c r="A148" s="30"/>
      <c r="B148" s="30"/>
      <c r="C148" s="30" t="s">
        <v>455</v>
      </c>
      <c r="D148" s="32"/>
      <c r="E148" s="31"/>
      <c r="F148" s="34">
        <f>Source!AM52</f>
        <v>28.19</v>
      </c>
      <c r="G148" s="36" t="s">
        <v>454</v>
      </c>
      <c r="H148" s="31">
        <f>Source!AV53</f>
        <v>1.0469999999999999</v>
      </c>
      <c r="I148" s="34">
        <f>Source!Q52</f>
        <v>286.89</v>
      </c>
      <c r="J148" s="31">
        <f>IF(Source!BB53&lt;&gt; 0, Source!BB53, 1)</f>
        <v>15.53</v>
      </c>
      <c r="K148" s="34">
        <f>Source!Q53</f>
        <v>4455.3999999999996</v>
      </c>
    </row>
    <row r="149" spans="1:43" ht="14.5" x14ac:dyDescent="0.25">
      <c r="A149" s="30"/>
      <c r="B149" s="30"/>
      <c r="C149" s="30" t="s">
        <v>456</v>
      </c>
      <c r="D149" s="32"/>
      <c r="E149" s="31"/>
      <c r="F149" s="34">
        <f>Source!AN52</f>
        <v>3.16</v>
      </c>
      <c r="G149" s="36" t="s">
        <v>454</v>
      </c>
      <c r="H149" s="31">
        <f>Source!AV53</f>
        <v>1.0469999999999999</v>
      </c>
      <c r="I149" s="37">
        <f>Source!R52</f>
        <v>32.159999999999997</v>
      </c>
      <c r="J149" s="31">
        <f>IF(Source!BS53&lt;&gt; 0, Source!BS53, 1)</f>
        <v>56.35</v>
      </c>
      <c r="K149" s="37">
        <f>Source!R53</f>
        <v>1812.22</v>
      </c>
    </row>
    <row r="150" spans="1:43" ht="14.5" x14ac:dyDescent="0.25">
      <c r="A150" s="30"/>
      <c r="B150" s="30"/>
      <c r="C150" s="30" t="s">
        <v>457</v>
      </c>
      <c r="D150" s="32" t="s">
        <v>458</v>
      </c>
      <c r="E150" s="31">
        <f>Source!BZ53</f>
        <v>90</v>
      </c>
      <c r="F150" s="34"/>
      <c r="G150" s="33"/>
      <c r="H150" s="31"/>
      <c r="I150" s="34">
        <f>SUM(Q146:Q149)</f>
        <v>82.16</v>
      </c>
      <c r="J150" s="31">
        <f>Source!AT53</f>
        <v>90</v>
      </c>
      <c r="K150" s="34">
        <f>SUM(R146:R149)</f>
        <v>4629.78</v>
      </c>
    </row>
    <row r="151" spans="1:43" ht="14.5" x14ac:dyDescent="0.25">
      <c r="A151" s="30"/>
      <c r="B151" s="30"/>
      <c r="C151" s="30" t="s">
        <v>459</v>
      </c>
      <c r="D151" s="32" t="s">
        <v>458</v>
      </c>
      <c r="E151" s="31">
        <f>Source!CA53</f>
        <v>46</v>
      </c>
      <c r="F151" s="34"/>
      <c r="G151" s="33"/>
      <c r="H151" s="31"/>
      <c r="I151" s="34">
        <f>SUM(S146:S150)</f>
        <v>41.99</v>
      </c>
      <c r="J151" s="31">
        <f>Source!AU53</f>
        <v>46</v>
      </c>
      <c r="K151" s="34">
        <f>SUM(T146:T150)</f>
        <v>2366.33</v>
      </c>
    </row>
    <row r="152" spans="1:43" ht="14.5" x14ac:dyDescent="0.25">
      <c r="A152" s="38"/>
      <c r="B152" s="38"/>
      <c r="C152" s="38" t="s">
        <v>460</v>
      </c>
      <c r="D152" s="39" t="s">
        <v>461</v>
      </c>
      <c r="E152" s="40">
        <f>Source!AQ52</f>
        <v>0.52</v>
      </c>
      <c r="F152" s="41"/>
      <c r="G152" s="42" t="s">
        <v>454</v>
      </c>
      <c r="H152" s="40">
        <f>Source!AV53</f>
        <v>1.0469999999999999</v>
      </c>
      <c r="I152" s="41">
        <f>Source!U52</f>
        <v>5.2919567999999995</v>
      </c>
      <c r="J152" s="40"/>
      <c r="K152" s="41"/>
    </row>
    <row r="153" spans="1:43" ht="14" x14ac:dyDescent="0.25">
      <c r="C153" s="43" t="s">
        <v>462</v>
      </c>
      <c r="H153" s="69">
        <f>I147+I148+I150+I151+0-0-0</f>
        <v>470.16999999999996</v>
      </c>
      <c r="I153" s="69"/>
      <c r="J153" s="69">
        <f>K147+K148+K150+K151+0-0-0</f>
        <v>14783.49</v>
      </c>
      <c r="K153" s="69"/>
    </row>
    <row r="154" spans="1:43" ht="14" hidden="1" x14ac:dyDescent="0.25">
      <c r="C154" s="43" t="s">
        <v>463</v>
      </c>
      <c r="H154" s="66">
        <f>0+0</f>
        <v>0</v>
      </c>
      <c r="I154" s="66"/>
      <c r="J154" s="66">
        <f>0+0</f>
        <v>0</v>
      </c>
      <c r="K154" s="66"/>
    </row>
    <row r="155" spans="1:43" ht="14" x14ac:dyDescent="0.25">
      <c r="C155" s="43" t="s">
        <v>464</v>
      </c>
      <c r="H155" s="66">
        <f>I147+I148+I150+I151+0</f>
        <v>470.16999999999996</v>
      </c>
      <c r="I155" s="66"/>
      <c r="J155" s="66">
        <f>K147+K148+K150+K151+0</f>
        <v>14783.49</v>
      </c>
      <c r="K155" s="66"/>
      <c r="O155" s="44">
        <f>I147+I148+I150+I151+0</f>
        <v>470.16999999999996</v>
      </c>
      <c r="P155" s="44">
        <f>K147+K148+K150+K151+0</f>
        <v>14783.49</v>
      </c>
    </row>
    <row r="158" spans="1:43" ht="28" x14ac:dyDescent="0.3">
      <c r="A158" s="68" t="str">
        <f>CONCATENATE("Итого по разделу: ",IF(Source!G55&lt;&gt;"Новый раздел", Source!G55, ""))</f>
        <v>Итого по разделу: Демонтажные работы  (Письмо от АНО «РГТ» об утверждении объёмов демонтажных работ)</v>
      </c>
      <c r="B158" s="68"/>
      <c r="C158" s="68"/>
      <c r="D158" s="68"/>
      <c r="E158" s="68"/>
      <c r="F158" s="68"/>
      <c r="G158" s="68"/>
      <c r="H158" s="66">
        <f>SUM(O38:O157)</f>
        <v>4169.76</v>
      </c>
      <c r="I158" s="67"/>
      <c r="J158" s="66">
        <f>SUM(P38:P157)</f>
        <v>222733.34</v>
      </c>
      <c r="K158" s="67"/>
      <c r="AQ158" s="45" t="str">
        <f>CONCATENATE("Итого по разделу: ",IF(Source!G55&lt;&gt;"Новый раздел", Source!G55, ""))</f>
        <v>Итого по разделу: Демонтажные работы  (Письмо от АНО «РГТ» об утверждении объёмов демонтажных работ)</v>
      </c>
    </row>
    <row r="159" spans="1:43" hidden="1" x14ac:dyDescent="0.25">
      <c r="A159" t="s">
        <v>465</v>
      </c>
      <c r="I159">
        <f>SUM(W38:W158)</f>
        <v>0</v>
      </c>
      <c r="J159">
        <f>SUM(X38:X158)</f>
        <v>0</v>
      </c>
    </row>
    <row r="160" spans="1:43" hidden="1" x14ac:dyDescent="0.25">
      <c r="A160" t="s">
        <v>466</v>
      </c>
      <c r="I160">
        <f>SUM(Y38:Y159)</f>
        <v>0</v>
      </c>
      <c r="J160">
        <f>SUM(Z38:Z159)</f>
        <v>0</v>
      </c>
    </row>
    <row r="162" spans="1:29" ht="16.5" x14ac:dyDescent="0.25">
      <c r="A162" s="70" t="str">
        <f>CONCATENATE("Раздел: ",IF(Source!G85&lt;&gt;"Новый раздел", Source!G85, ""))</f>
        <v>Раздел: Оборудование</v>
      </c>
      <c r="B162" s="70"/>
      <c r="C162" s="70"/>
      <c r="D162" s="70"/>
      <c r="E162" s="70"/>
      <c r="F162" s="70"/>
      <c r="G162" s="70"/>
      <c r="H162" s="70"/>
      <c r="I162" s="70"/>
      <c r="J162" s="70"/>
      <c r="K162" s="70"/>
    </row>
    <row r="163" spans="1:29" ht="28" x14ac:dyDescent="0.25">
      <c r="A163" s="30">
        <v>12</v>
      </c>
      <c r="B163" s="30" t="str">
        <f>Source!F89</f>
        <v>4.10-176-1</v>
      </c>
      <c r="C163" s="30" t="s">
        <v>140</v>
      </c>
      <c r="D163" s="32" t="str">
        <f>Source!H89</f>
        <v>10 шт.</v>
      </c>
      <c r="E163" s="31">
        <f>Source!I89</f>
        <v>2</v>
      </c>
      <c r="F163" s="34"/>
      <c r="G163" s="33"/>
      <c r="H163" s="31"/>
      <c r="I163" s="34"/>
      <c r="J163" s="31"/>
      <c r="K163" s="34"/>
      <c r="Q163">
        <f>Source!X89</f>
        <v>1065.3399999999999</v>
      </c>
      <c r="R163">
        <f>Source!X90</f>
        <v>60031.85</v>
      </c>
      <c r="S163">
        <f>Source!Y89</f>
        <v>544.51</v>
      </c>
      <c r="T163">
        <f>Source!Y90</f>
        <v>30682.95</v>
      </c>
      <c r="U163">
        <f>ROUND((175/100)*ROUND(Source!R89, 2), 2)</f>
        <v>0.57999999999999996</v>
      </c>
      <c r="V163">
        <f>ROUND((0/100)*ROUND(Source!R90, 2), 2)</f>
        <v>0</v>
      </c>
      <c r="AC163">
        <v>0</v>
      </c>
    </row>
    <row r="164" spans="1:29" x14ac:dyDescent="0.25">
      <c r="C164" s="35" t="str">
        <f>"Объем: "&amp;Source!I89&amp;"=20/"&amp;"10"</f>
        <v>Объем: 2=20/10</v>
      </c>
    </row>
    <row r="165" spans="1:29" ht="14.5" x14ac:dyDescent="0.25">
      <c r="A165" s="30"/>
      <c r="B165" s="30"/>
      <c r="C165" s="30" t="s">
        <v>453</v>
      </c>
      <c r="D165" s="32"/>
      <c r="E165" s="31"/>
      <c r="F165" s="34">
        <f>Source!AO89</f>
        <v>470.94</v>
      </c>
      <c r="G165" s="36" t="s">
        <v>148</v>
      </c>
      <c r="H165" s="31">
        <f>Source!AV90</f>
        <v>1.0469999999999999</v>
      </c>
      <c r="I165" s="34">
        <f>Source!S89</f>
        <v>1183.3800000000001</v>
      </c>
      <c r="J165" s="31">
        <f>IF(Source!BA90&lt;&gt; 0, Source!BA90, 1)</f>
        <v>56.35</v>
      </c>
      <c r="K165" s="34">
        <f>Source!S90</f>
        <v>66683.460000000006</v>
      </c>
    </row>
    <row r="166" spans="1:29" ht="14.5" x14ac:dyDescent="0.25">
      <c r="A166" s="30"/>
      <c r="B166" s="30"/>
      <c r="C166" s="30" t="s">
        <v>455</v>
      </c>
      <c r="D166" s="32"/>
      <c r="E166" s="31"/>
      <c r="F166" s="34">
        <f>Source!AM89</f>
        <v>1.1000000000000001</v>
      </c>
      <c r="G166" s="36" t="s">
        <v>148</v>
      </c>
      <c r="H166" s="31">
        <f>Source!AV90</f>
        <v>1.0469999999999999</v>
      </c>
      <c r="I166" s="34">
        <f>Source!Q89</f>
        <v>2.76</v>
      </c>
      <c r="J166" s="31">
        <f>IF(Source!BB90&lt;&gt; 0, Source!BB90, 1)</f>
        <v>15.29</v>
      </c>
      <c r="K166" s="34">
        <f>Source!Q90</f>
        <v>42.2</v>
      </c>
    </row>
    <row r="167" spans="1:29" ht="14.5" x14ac:dyDescent="0.25">
      <c r="A167" s="30"/>
      <c r="B167" s="30"/>
      <c r="C167" s="30" t="s">
        <v>456</v>
      </c>
      <c r="D167" s="32"/>
      <c r="E167" s="31"/>
      <c r="F167" s="34">
        <f>Source!AN89</f>
        <v>0.13</v>
      </c>
      <c r="G167" s="36" t="s">
        <v>148</v>
      </c>
      <c r="H167" s="31">
        <f>Source!AV90</f>
        <v>1.0469999999999999</v>
      </c>
      <c r="I167" s="37">
        <f>Source!R89</f>
        <v>0.33</v>
      </c>
      <c r="J167" s="31">
        <f>IF(Source!BS90&lt;&gt; 0, Source!BS90, 1)</f>
        <v>56.35</v>
      </c>
      <c r="K167" s="37">
        <f>Source!R90</f>
        <v>18.600000000000001</v>
      </c>
    </row>
    <row r="168" spans="1:29" ht="14.5" x14ac:dyDescent="0.25">
      <c r="A168" s="30"/>
      <c r="B168" s="30"/>
      <c r="C168" s="30" t="s">
        <v>467</v>
      </c>
      <c r="D168" s="32"/>
      <c r="E168" s="31"/>
      <c r="F168" s="34">
        <f>Source!AL89</f>
        <v>1.29</v>
      </c>
      <c r="G168" s="36" t="s">
        <v>3</v>
      </c>
      <c r="H168" s="31">
        <f>Source!AW90</f>
        <v>1</v>
      </c>
      <c r="I168" s="34">
        <f>Source!P89</f>
        <v>2.58</v>
      </c>
      <c r="J168" s="31">
        <f>IF(Source!BC90&lt;&gt; 0, Source!BC90, 1)</f>
        <v>7.61</v>
      </c>
      <c r="K168" s="34">
        <f>Source!P90</f>
        <v>19.63</v>
      </c>
    </row>
    <row r="169" spans="1:29" ht="54" x14ac:dyDescent="0.25">
      <c r="A169" s="46" t="s">
        <v>141</v>
      </c>
      <c r="B169" s="46" t="str">
        <f>Source!F91</f>
        <v>КА, п.1</v>
      </c>
      <c r="C169" s="46" t="s">
        <v>468</v>
      </c>
      <c r="D169" s="47" t="str">
        <f>Source!H91</f>
        <v>ШТ</v>
      </c>
      <c r="E169" s="48">
        <f>Source!I91</f>
        <v>20</v>
      </c>
      <c r="F169" s="49">
        <f>Source!AK91</f>
        <v>19625.09</v>
      </c>
      <c r="G169" s="50" t="s">
        <v>3</v>
      </c>
      <c r="H169" s="48">
        <f>Source!AW92</f>
        <v>1</v>
      </c>
      <c r="I169" s="49">
        <f>Source!O91</f>
        <v>392501.8</v>
      </c>
      <c r="J169" s="48">
        <f>IF(Source!BC92&lt;&gt; 0, Source!BC92, 1)</f>
        <v>7.57</v>
      </c>
      <c r="K169" s="49">
        <f>Source!O92</f>
        <v>2971238.63</v>
      </c>
      <c r="Q169">
        <f>Source!X91</f>
        <v>0</v>
      </c>
      <c r="R169">
        <f>Source!X92</f>
        <v>0</v>
      </c>
      <c r="S169">
        <f>Source!Y91</f>
        <v>0</v>
      </c>
      <c r="T169">
        <f>Source!Y92</f>
        <v>0</v>
      </c>
      <c r="U169">
        <f>ROUND((175/100)*ROUND(Source!R91, 2), 2)</f>
        <v>0</v>
      </c>
      <c r="V169">
        <f>ROUND((0/100)*ROUND(Source!R92, 2), 2)</f>
        <v>0</v>
      </c>
      <c r="AC169">
        <v>5</v>
      </c>
    </row>
    <row r="170" spans="1:29" ht="14.5" x14ac:dyDescent="0.25">
      <c r="A170" s="30"/>
      <c r="B170" s="30"/>
      <c r="C170" s="30" t="s">
        <v>457</v>
      </c>
      <c r="D170" s="32" t="s">
        <v>458</v>
      </c>
      <c r="E170" s="31">
        <f>Source!BZ90</f>
        <v>90</v>
      </c>
      <c r="F170" s="34"/>
      <c r="G170" s="33"/>
      <c r="H170" s="31"/>
      <c r="I170" s="34">
        <f>SUM(Q163:Q169)</f>
        <v>1065.3399999999999</v>
      </c>
      <c r="J170" s="31">
        <f>Source!AT90</f>
        <v>90</v>
      </c>
      <c r="K170" s="34">
        <f>SUM(R163:R169)</f>
        <v>60031.85</v>
      </c>
    </row>
    <row r="171" spans="1:29" ht="14.5" x14ac:dyDescent="0.25">
      <c r="A171" s="30"/>
      <c r="B171" s="30"/>
      <c r="C171" s="30" t="s">
        <v>459</v>
      </c>
      <c r="D171" s="32" t="s">
        <v>458</v>
      </c>
      <c r="E171" s="31">
        <f>Source!CA90</f>
        <v>46</v>
      </c>
      <c r="F171" s="34"/>
      <c r="G171" s="33"/>
      <c r="H171" s="31"/>
      <c r="I171" s="34">
        <f>SUM(S163:S170)</f>
        <v>544.51</v>
      </c>
      <c r="J171" s="31">
        <f>Source!AU90</f>
        <v>46</v>
      </c>
      <c r="K171" s="34">
        <f>SUM(T163:T170)</f>
        <v>30682.95</v>
      </c>
    </row>
    <row r="172" spans="1:29" ht="14.5" x14ac:dyDescent="0.25">
      <c r="A172" s="38"/>
      <c r="B172" s="38"/>
      <c r="C172" s="38" t="s">
        <v>460</v>
      </c>
      <c r="D172" s="39" t="s">
        <v>461</v>
      </c>
      <c r="E172" s="40">
        <f>Source!AQ89</f>
        <v>29.96</v>
      </c>
      <c r="F172" s="41"/>
      <c r="G172" s="42" t="s">
        <v>148</v>
      </c>
      <c r="H172" s="40">
        <f>Source!AV90</f>
        <v>1.0469999999999999</v>
      </c>
      <c r="I172" s="41">
        <f>Source!U89</f>
        <v>75.283487999999991</v>
      </c>
      <c r="J172" s="40"/>
      <c r="K172" s="41"/>
    </row>
    <row r="173" spans="1:29" ht="14" x14ac:dyDescent="0.25">
      <c r="C173" s="43" t="s">
        <v>462</v>
      </c>
      <c r="H173" s="69">
        <f>I165+I166+I168+I170+I171+SUM(I169:I169)-SUMIF(AC169:AC169, 5, I169:I169)-SUMIF(AC169:AC169, 6, I169:I169)</f>
        <v>2798.570000000007</v>
      </c>
      <c r="I173" s="69"/>
      <c r="J173" s="69">
        <f>K165+K166+K168+K170+K171+SUM(K169:K169)-SUMIF(AC169:AC169, 5, K169:K169)-SUMIF(AC169:AC169, 6, K169:K169)</f>
        <v>157460.08999999985</v>
      </c>
      <c r="K173" s="69"/>
    </row>
    <row r="174" spans="1:29" ht="14" x14ac:dyDescent="0.25">
      <c r="C174" s="43" t="s">
        <v>463</v>
      </c>
      <c r="H174" s="66">
        <f>SUMIF(AC169:AC169, 5, I169:I169)+SUMIF(AC169:AC169, 6, I169:I169)</f>
        <v>392501.8</v>
      </c>
      <c r="I174" s="66"/>
      <c r="J174" s="66">
        <f>SUMIF(AC169:AC169, 5, K169:K169)+SUMIF(AC169:AC169, 6, K169:K169)</f>
        <v>2971238.63</v>
      </c>
      <c r="K174" s="66"/>
    </row>
    <row r="175" spans="1:29" ht="14" x14ac:dyDescent="0.25">
      <c r="C175" s="43" t="s">
        <v>464</v>
      </c>
      <c r="H175" s="66">
        <f>I165+I166+I168+I170+I171+SUM(I169:I169)</f>
        <v>395300.37</v>
      </c>
      <c r="I175" s="66"/>
      <c r="J175" s="66">
        <f>K165+K166+K168+K170+K171+SUM(K169:K169)</f>
        <v>3128698.7199999997</v>
      </c>
      <c r="K175" s="66"/>
      <c r="O175" s="44">
        <f>I165+I166+I168+I170+I171+SUM(I169:I169)</f>
        <v>395300.37</v>
      </c>
      <c r="P175" s="44">
        <f>K165+K166+K168+K170+K171+SUM(K169:K169)</f>
        <v>3128698.7199999997</v>
      </c>
    </row>
    <row r="177" spans="1:29" ht="14.5" x14ac:dyDescent="0.25">
      <c r="A177" s="30">
        <v>13</v>
      </c>
      <c r="B177" s="30" t="str">
        <f>Source!F93</f>
        <v>4.10-76-10</v>
      </c>
      <c r="C177" s="30" t="s">
        <v>150</v>
      </c>
      <c r="D177" s="32" t="str">
        <f>Source!H93</f>
        <v>1  ШТ.</v>
      </c>
      <c r="E177" s="31">
        <f>Source!I93</f>
        <v>21</v>
      </c>
      <c r="F177" s="34"/>
      <c r="G177" s="33"/>
      <c r="H177" s="31"/>
      <c r="I177" s="34"/>
      <c r="J177" s="31"/>
      <c r="K177" s="34"/>
      <c r="Q177">
        <f>Source!X93</f>
        <v>298.02</v>
      </c>
      <c r="R177">
        <f>Source!X94</f>
        <v>16793.68</v>
      </c>
      <c r="S177">
        <f>Source!Y93</f>
        <v>166.27</v>
      </c>
      <c r="T177">
        <f>Source!Y94</f>
        <v>9369.11</v>
      </c>
      <c r="U177">
        <f>ROUND((175/100)*ROUND(Source!R93, 2), 2)</f>
        <v>0</v>
      </c>
      <c r="V177">
        <f>ROUND((0/100)*ROUND(Source!R94, 2), 2)</f>
        <v>0</v>
      </c>
      <c r="AC177">
        <v>0</v>
      </c>
    </row>
    <row r="178" spans="1:29" ht="14.5" x14ac:dyDescent="0.25">
      <c r="A178" s="30"/>
      <c r="B178" s="30"/>
      <c r="C178" s="30" t="s">
        <v>453</v>
      </c>
      <c r="D178" s="32"/>
      <c r="E178" s="31"/>
      <c r="F178" s="34">
        <f>Source!AO93</f>
        <v>11.89</v>
      </c>
      <c r="G178" s="36" t="s">
        <v>148</v>
      </c>
      <c r="H178" s="31">
        <f>Source!AV94</f>
        <v>1.0469999999999999</v>
      </c>
      <c r="I178" s="34">
        <f>Source!S93</f>
        <v>313.70999999999998</v>
      </c>
      <c r="J178" s="31">
        <f>IF(Source!BA94&lt;&gt; 0, Source!BA94, 1)</f>
        <v>56.35</v>
      </c>
      <c r="K178" s="34">
        <f>Source!S94</f>
        <v>17677.560000000001</v>
      </c>
    </row>
    <row r="179" spans="1:29" ht="14.5" x14ac:dyDescent="0.25">
      <c r="A179" s="30"/>
      <c r="B179" s="30"/>
      <c r="C179" s="30" t="s">
        <v>467</v>
      </c>
      <c r="D179" s="32"/>
      <c r="E179" s="31"/>
      <c r="F179" s="34">
        <f>Source!AL93</f>
        <v>1.67</v>
      </c>
      <c r="G179" s="36" t="s">
        <v>3</v>
      </c>
      <c r="H179" s="31">
        <f>Source!AW94</f>
        <v>1</v>
      </c>
      <c r="I179" s="34">
        <f>Source!P93</f>
        <v>35.07</v>
      </c>
      <c r="J179" s="31">
        <f>IF(Source!BC94&lt;&gt; 0, Source!BC94, 1)</f>
        <v>17.87</v>
      </c>
      <c r="K179" s="34">
        <f>Source!P94</f>
        <v>626.70000000000005</v>
      </c>
    </row>
    <row r="180" spans="1:29" ht="14.5" x14ac:dyDescent="0.25">
      <c r="A180" s="30"/>
      <c r="B180" s="30"/>
      <c r="C180" s="30" t="s">
        <v>457</v>
      </c>
      <c r="D180" s="32" t="s">
        <v>458</v>
      </c>
      <c r="E180" s="31">
        <f>Source!BZ94</f>
        <v>95</v>
      </c>
      <c r="F180" s="34"/>
      <c r="G180" s="33"/>
      <c r="H180" s="31"/>
      <c r="I180" s="34">
        <f>SUM(Q177:Q179)</f>
        <v>298.02</v>
      </c>
      <c r="J180" s="31">
        <f>Source!AT94</f>
        <v>95</v>
      </c>
      <c r="K180" s="34">
        <f>SUM(R177:R179)</f>
        <v>16793.68</v>
      </c>
    </row>
    <row r="181" spans="1:29" ht="14.5" x14ac:dyDescent="0.25">
      <c r="A181" s="30"/>
      <c r="B181" s="30"/>
      <c r="C181" s="30" t="s">
        <v>459</v>
      </c>
      <c r="D181" s="32" t="s">
        <v>458</v>
      </c>
      <c r="E181" s="31">
        <f>Source!CA94</f>
        <v>53</v>
      </c>
      <c r="F181" s="34"/>
      <c r="G181" s="33"/>
      <c r="H181" s="31"/>
      <c r="I181" s="34">
        <f>SUM(S177:S180)</f>
        <v>166.27</v>
      </c>
      <c r="J181" s="31">
        <f>Source!AU94</f>
        <v>53</v>
      </c>
      <c r="K181" s="34">
        <f>SUM(T177:T180)</f>
        <v>9369.11</v>
      </c>
    </row>
    <row r="182" spans="1:29" ht="14.5" x14ac:dyDescent="0.25">
      <c r="A182" s="38"/>
      <c r="B182" s="38"/>
      <c r="C182" s="38" t="s">
        <v>460</v>
      </c>
      <c r="D182" s="39" t="s">
        <v>461</v>
      </c>
      <c r="E182" s="40">
        <f>Source!AQ93</f>
        <v>1</v>
      </c>
      <c r="F182" s="41"/>
      <c r="G182" s="42" t="s">
        <v>148</v>
      </c>
      <c r="H182" s="40">
        <f>Source!AV94</f>
        <v>1.0469999999999999</v>
      </c>
      <c r="I182" s="41">
        <f>Source!U93</f>
        <v>26.384399999999999</v>
      </c>
      <c r="J182" s="40"/>
      <c r="K182" s="41"/>
    </row>
    <row r="183" spans="1:29" ht="14" x14ac:dyDescent="0.25">
      <c r="C183" s="43" t="s">
        <v>462</v>
      </c>
      <c r="H183" s="69">
        <f>I178+I179+I180+I181+0-0-0</f>
        <v>813.06999999999994</v>
      </c>
      <c r="I183" s="69"/>
      <c r="J183" s="69">
        <f>K178+K179+K180+K181+0-0-0</f>
        <v>44467.05</v>
      </c>
      <c r="K183" s="69"/>
    </row>
    <row r="184" spans="1:29" ht="14" hidden="1" x14ac:dyDescent="0.25">
      <c r="C184" s="43" t="s">
        <v>463</v>
      </c>
      <c r="H184" s="66">
        <f>0+0</f>
        <v>0</v>
      </c>
      <c r="I184" s="66"/>
      <c r="J184" s="66">
        <f>0+0</f>
        <v>0</v>
      </c>
      <c r="K184" s="66"/>
    </row>
    <row r="185" spans="1:29" ht="14" x14ac:dyDescent="0.25">
      <c r="C185" s="43" t="s">
        <v>464</v>
      </c>
      <c r="H185" s="66">
        <f>I178+I179+I180+I181+0</f>
        <v>813.06999999999994</v>
      </c>
      <c r="I185" s="66"/>
      <c r="J185" s="66">
        <f>K178+K179+K180+K181+0</f>
        <v>44467.05</v>
      </c>
      <c r="K185" s="66"/>
      <c r="O185" s="44">
        <f>I178+I179+I180+I181+0</f>
        <v>813.06999999999994</v>
      </c>
      <c r="P185" s="44">
        <f>K178+K179+K180+K181+0</f>
        <v>44467.05</v>
      </c>
    </row>
    <row r="187" spans="1:29" ht="96" x14ac:dyDescent="0.25">
      <c r="A187" s="51">
        <v>14</v>
      </c>
      <c r="B187" s="51" t="str">
        <f>Source!F97</f>
        <v>КА, п.2</v>
      </c>
      <c r="C187" s="51" t="s">
        <v>469</v>
      </c>
      <c r="D187" s="52" t="str">
        <f>Source!H97</f>
        <v>ШТ</v>
      </c>
      <c r="E187" s="53">
        <f>Source!I97</f>
        <v>21</v>
      </c>
      <c r="F187" s="54">
        <f>Source!AL97</f>
        <v>139.28</v>
      </c>
      <c r="G187" s="55" t="s">
        <v>3</v>
      </c>
      <c r="H187" s="53">
        <f>Source!AW98</f>
        <v>1</v>
      </c>
      <c r="I187" s="54">
        <f>Source!P97</f>
        <v>2924.88</v>
      </c>
      <c r="J187" s="53">
        <f>IF(Source!BC98&lt;&gt; 0, Source!BC98, 1)</f>
        <v>7.57</v>
      </c>
      <c r="K187" s="54">
        <f>Source!P98</f>
        <v>22141.34</v>
      </c>
      <c r="Q187">
        <f>Source!X97</f>
        <v>0</v>
      </c>
      <c r="R187">
        <f>Source!X98</f>
        <v>0</v>
      </c>
      <c r="S187">
        <f>Source!Y97</f>
        <v>0</v>
      </c>
      <c r="T187">
        <f>Source!Y98</f>
        <v>0</v>
      </c>
      <c r="U187">
        <f>ROUND((175/100)*ROUND(Source!R97, 2), 2)</f>
        <v>0</v>
      </c>
      <c r="V187">
        <f>ROUND((0/100)*ROUND(Source!R98, 2), 2)</f>
        <v>0</v>
      </c>
      <c r="AC187">
        <v>5</v>
      </c>
    </row>
    <row r="188" spans="1:29" ht="14" x14ac:dyDescent="0.25">
      <c r="A188" s="56"/>
      <c r="B188" s="56"/>
      <c r="C188" s="57" t="s">
        <v>464</v>
      </c>
      <c r="D188" s="56"/>
      <c r="E188" s="56"/>
      <c r="F188" s="56"/>
      <c r="G188" s="56"/>
      <c r="H188" s="71">
        <f>I187+0</f>
        <v>2924.88</v>
      </c>
      <c r="I188" s="71"/>
      <c r="J188" s="71">
        <f>K187+0</f>
        <v>22141.34</v>
      </c>
      <c r="K188" s="71"/>
      <c r="O188" s="44">
        <f>I187+0</f>
        <v>2924.88</v>
      </c>
      <c r="P188" s="44">
        <f>K187+0</f>
        <v>22141.34</v>
      </c>
    </row>
    <row r="190" spans="1:29" ht="56" x14ac:dyDescent="0.25">
      <c r="A190" s="51">
        <v>15</v>
      </c>
      <c r="B190" s="51" t="str">
        <f>Source!F103</f>
        <v>13.1-1-661</v>
      </c>
      <c r="C190" s="51" t="s">
        <v>470</v>
      </c>
      <c r="D190" s="52" t="str">
        <f>Source!H103</f>
        <v>шт.</v>
      </c>
      <c r="E190" s="53">
        <f>Source!I103</f>
        <v>20</v>
      </c>
      <c r="F190" s="54">
        <f>Source!AL103</f>
        <v>99.15</v>
      </c>
      <c r="G190" s="55" t="s">
        <v>3</v>
      </c>
      <c r="H190" s="53">
        <f>Source!AW104</f>
        <v>1</v>
      </c>
      <c r="I190" s="54">
        <f>Source!P103</f>
        <v>1983</v>
      </c>
      <c r="J190" s="53">
        <f>IF(Source!BC104&lt;&gt; 0, Source!BC104, 1)</f>
        <v>11.76</v>
      </c>
      <c r="K190" s="54">
        <f>Source!P104</f>
        <v>23320.080000000002</v>
      </c>
      <c r="Q190">
        <f>Source!X103</f>
        <v>0</v>
      </c>
      <c r="R190">
        <f>Source!X104</f>
        <v>0</v>
      </c>
      <c r="S190">
        <f>Source!Y103</f>
        <v>0</v>
      </c>
      <c r="T190">
        <f>Source!Y104</f>
        <v>0</v>
      </c>
      <c r="U190">
        <f>ROUND((175/100)*ROUND(Source!R103, 2), 2)</f>
        <v>0</v>
      </c>
      <c r="V190">
        <f>ROUND((0/100)*ROUND(Source!R104, 2), 2)</f>
        <v>0</v>
      </c>
      <c r="AC190">
        <v>5</v>
      </c>
    </row>
    <row r="191" spans="1:29" ht="14" x14ac:dyDescent="0.25">
      <c r="A191" s="56"/>
      <c r="B191" s="56"/>
      <c r="C191" s="57" t="s">
        <v>464</v>
      </c>
      <c r="D191" s="56"/>
      <c r="E191" s="56"/>
      <c r="F191" s="56"/>
      <c r="G191" s="56"/>
      <c r="H191" s="71">
        <f>I190+0</f>
        <v>1983</v>
      </c>
      <c r="I191" s="71"/>
      <c r="J191" s="71">
        <f>K190+0</f>
        <v>23320.080000000002</v>
      </c>
      <c r="K191" s="71"/>
      <c r="O191" s="44">
        <f>I190+0</f>
        <v>1983</v>
      </c>
      <c r="P191" s="44">
        <f>K190+0</f>
        <v>23320.080000000002</v>
      </c>
    </row>
    <row r="193" spans="1:29" ht="42" x14ac:dyDescent="0.25">
      <c r="A193" s="30">
        <v>16</v>
      </c>
      <c r="B193" s="30" t="str">
        <f>Source!F105</f>
        <v>4.10-177-1</v>
      </c>
      <c r="C193" s="30" t="s">
        <v>166</v>
      </c>
      <c r="D193" s="32" t="str">
        <f>Source!H105</f>
        <v>10 шт.</v>
      </c>
      <c r="E193" s="31">
        <f>Source!I105</f>
        <v>3.5</v>
      </c>
      <c r="F193" s="34"/>
      <c r="G193" s="33"/>
      <c r="H193" s="31"/>
      <c r="I193" s="34"/>
      <c r="J193" s="31"/>
      <c r="K193" s="34"/>
      <c r="Q193">
        <f>Source!X105</f>
        <v>903.13</v>
      </c>
      <c r="R193">
        <f>Source!X106</f>
        <v>50891.49</v>
      </c>
      <c r="S193">
        <f>Source!Y105</f>
        <v>461.6</v>
      </c>
      <c r="T193">
        <f>Source!Y106</f>
        <v>26011.21</v>
      </c>
      <c r="U193">
        <f>ROUND((175/100)*ROUND(Source!R105, 2), 2)</f>
        <v>5.85</v>
      </c>
      <c r="V193">
        <f>ROUND((0/100)*ROUND(Source!R106, 2), 2)</f>
        <v>0</v>
      </c>
      <c r="AC193">
        <v>0</v>
      </c>
    </row>
    <row r="194" spans="1:29" x14ac:dyDescent="0.25">
      <c r="C194" s="35" t="str">
        <f>"Объем: "&amp;Source!I105&amp;"=35/"&amp;"10"</f>
        <v>Объем: 3,5=35/10</v>
      </c>
    </row>
    <row r="195" spans="1:29" ht="14.5" x14ac:dyDescent="0.25">
      <c r="A195" s="30"/>
      <c r="B195" s="30"/>
      <c r="C195" s="30" t="s">
        <v>453</v>
      </c>
      <c r="D195" s="32"/>
      <c r="E195" s="31"/>
      <c r="F195" s="34">
        <f>Source!AO105</f>
        <v>227.44</v>
      </c>
      <c r="G195" s="36" t="s">
        <v>148</v>
      </c>
      <c r="H195" s="31">
        <f>Source!AV106</f>
        <v>1.0469999999999999</v>
      </c>
      <c r="I195" s="34">
        <f>Source!S105</f>
        <v>1000.14</v>
      </c>
      <c r="J195" s="31">
        <f>IF(Source!BA106&lt;&gt; 0, Source!BA106, 1)</f>
        <v>56.35</v>
      </c>
      <c r="K195" s="34">
        <f>Source!S106</f>
        <v>56357.89</v>
      </c>
    </row>
    <row r="196" spans="1:29" ht="14.5" x14ac:dyDescent="0.25">
      <c r="A196" s="30"/>
      <c r="B196" s="30"/>
      <c r="C196" s="30" t="s">
        <v>455</v>
      </c>
      <c r="D196" s="32"/>
      <c r="E196" s="31"/>
      <c r="F196" s="34">
        <f>Source!AM105</f>
        <v>6.07</v>
      </c>
      <c r="G196" s="36" t="s">
        <v>148</v>
      </c>
      <c r="H196" s="31">
        <f>Source!AV106</f>
        <v>1.0469999999999999</v>
      </c>
      <c r="I196" s="34">
        <f>Source!Q105</f>
        <v>26.69</v>
      </c>
      <c r="J196" s="31">
        <f>IF(Source!BB106&lt;&gt; 0, Source!BB106, 1)</f>
        <v>15.73</v>
      </c>
      <c r="K196" s="34">
        <f>Source!Q106</f>
        <v>419.83</v>
      </c>
    </row>
    <row r="197" spans="1:29" ht="14.5" x14ac:dyDescent="0.25">
      <c r="A197" s="30"/>
      <c r="B197" s="30"/>
      <c r="C197" s="30" t="s">
        <v>456</v>
      </c>
      <c r="D197" s="32"/>
      <c r="E197" s="31"/>
      <c r="F197" s="34">
        <f>Source!AN105</f>
        <v>0.76</v>
      </c>
      <c r="G197" s="36" t="s">
        <v>148</v>
      </c>
      <c r="H197" s="31">
        <f>Source!AV106</f>
        <v>1.0469999999999999</v>
      </c>
      <c r="I197" s="37">
        <f>Source!R105</f>
        <v>3.34</v>
      </c>
      <c r="J197" s="31">
        <f>IF(Source!BS106&lt;&gt; 0, Source!BS106, 1)</f>
        <v>56.35</v>
      </c>
      <c r="K197" s="37">
        <f>Source!R106</f>
        <v>188.21</v>
      </c>
    </row>
    <row r="198" spans="1:29" ht="14.5" x14ac:dyDescent="0.25">
      <c r="A198" s="30"/>
      <c r="B198" s="30"/>
      <c r="C198" s="30" t="s">
        <v>467</v>
      </c>
      <c r="D198" s="32"/>
      <c r="E198" s="31"/>
      <c r="F198" s="34">
        <f>Source!AL105</f>
        <v>2.44</v>
      </c>
      <c r="G198" s="36" t="s">
        <v>3</v>
      </c>
      <c r="H198" s="31">
        <f>Source!AW106</f>
        <v>1</v>
      </c>
      <c r="I198" s="34">
        <f>Source!P105</f>
        <v>8.5399999999999991</v>
      </c>
      <c r="J198" s="31">
        <f>IF(Source!BC106&lt;&gt; 0, Source!BC106, 1)</f>
        <v>7.61</v>
      </c>
      <c r="K198" s="34">
        <f>Source!P106</f>
        <v>64.989999999999995</v>
      </c>
    </row>
    <row r="199" spans="1:29" ht="54" x14ac:dyDescent="0.25">
      <c r="A199" s="46" t="s">
        <v>167</v>
      </c>
      <c r="B199" s="46" t="str">
        <f>Source!F107</f>
        <v>КА, п.3</v>
      </c>
      <c r="C199" s="46" t="s">
        <v>471</v>
      </c>
      <c r="D199" s="47" t="str">
        <f>Source!H107</f>
        <v>ШТ</v>
      </c>
      <c r="E199" s="48">
        <f>Source!I107</f>
        <v>35</v>
      </c>
      <c r="F199" s="49">
        <f>Source!AK107</f>
        <v>665.92</v>
      </c>
      <c r="G199" s="50" t="s">
        <v>3</v>
      </c>
      <c r="H199" s="48">
        <f>Source!AW108</f>
        <v>1</v>
      </c>
      <c r="I199" s="49">
        <f>Source!O107</f>
        <v>23307.200000000001</v>
      </c>
      <c r="J199" s="48">
        <f>IF(Source!BC108&lt;&gt; 0, Source!BC108, 1)</f>
        <v>7.57</v>
      </c>
      <c r="K199" s="49">
        <f>Source!O108</f>
        <v>176435.5</v>
      </c>
      <c r="Q199">
        <f>Source!X107</f>
        <v>0</v>
      </c>
      <c r="R199">
        <f>Source!X108</f>
        <v>0</v>
      </c>
      <c r="S199">
        <f>Source!Y107</f>
        <v>0</v>
      </c>
      <c r="T199">
        <f>Source!Y108</f>
        <v>0</v>
      </c>
      <c r="U199">
        <f>ROUND((175/100)*ROUND(Source!R107, 2), 2)</f>
        <v>0</v>
      </c>
      <c r="V199">
        <f>ROUND((0/100)*ROUND(Source!R108, 2), 2)</f>
        <v>0</v>
      </c>
      <c r="AC199">
        <v>5</v>
      </c>
    </row>
    <row r="200" spans="1:29" ht="14.5" x14ac:dyDescent="0.25">
      <c r="A200" s="30"/>
      <c r="B200" s="30"/>
      <c r="C200" s="30" t="s">
        <v>457</v>
      </c>
      <c r="D200" s="32" t="s">
        <v>458</v>
      </c>
      <c r="E200" s="31">
        <f>Source!BZ106</f>
        <v>90</v>
      </c>
      <c r="F200" s="34"/>
      <c r="G200" s="33"/>
      <c r="H200" s="31"/>
      <c r="I200" s="34">
        <f>SUM(Q193:Q199)</f>
        <v>903.13</v>
      </c>
      <c r="J200" s="31">
        <f>Source!AT106</f>
        <v>90</v>
      </c>
      <c r="K200" s="34">
        <f>SUM(R193:R199)</f>
        <v>50891.49</v>
      </c>
    </row>
    <row r="201" spans="1:29" ht="14.5" x14ac:dyDescent="0.25">
      <c r="A201" s="30"/>
      <c r="B201" s="30"/>
      <c r="C201" s="30" t="s">
        <v>459</v>
      </c>
      <c r="D201" s="32" t="s">
        <v>458</v>
      </c>
      <c r="E201" s="31">
        <f>Source!CA106</f>
        <v>46</v>
      </c>
      <c r="F201" s="34"/>
      <c r="G201" s="33"/>
      <c r="H201" s="31"/>
      <c r="I201" s="34">
        <f>SUM(S193:S200)</f>
        <v>461.6</v>
      </c>
      <c r="J201" s="31">
        <f>Source!AU106</f>
        <v>46</v>
      </c>
      <c r="K201" s="34">
        <f>SUM(T193:T200)</f>
        <v>26011.21</v>
      </c>
    </row>
    <row r="202" spans="1:29" ht="14.5" x14ac:dyDescent="0.25">
      <c r="A202" s="38"/>
      <c r="B202" s="38"/>
      <c r="C202" s="38" t="s">
        <v>460</v>
      </c>
      <c r="D202" s="39" t="s">
        <v>461</v>
      </c>
      <c r="E202" s="40">
        <f>Source!AQ105</f>
        <v>14.64</v>
      </c>
      <c r="F202" s="41"/>
      <c r="G202" s="42" t="s">
        <v>148</v>
      </c>
      <c r="H202" s="40">
        <f>Source!AV106</f>
        <v>1.0469999999999999</v>
      </c>
      <c r="I202" s="41">
        <f>Source!U105</f>
        <v>64.377935999999991</v>
      </c>
      <c r="J202" s="40"/>
      <c r="K202" s="41"/>
    </row>
    <row r="203" spans="1:29" ht="14" x14ac:dyDescent="0.25">
      <c r="C203" s="43" t="s">
        <v>462</v>
      </c>
      <c r="H203" s="69">
        <f>I195+I196+I198+I200+I201+SUM(I199:I199)-SUMIF(AC199:AC199, 5, I199:I199)-SUMIF(AC199:AC199, 6, I199:I199)</f>
        <v>2400.0999999999985</v>
      </c>
      <c r="I203" s="69"/>
      <c r="J203" s="69">
        <f>K195+K196+K198+K200+K201+SUM(K199:K199)-SUMIF(AC199:AC199, 5, K199:K199)-SUMIF(AC199:AC199, 6, K199:K199)</f>
        <v>133745.41000000003</v>
      </c>
      <c r="K203" s="69"/>
    </row>
    <row r="204" spans="1:29" ht="14" x14ac:dyDescent="0.25">
      <c r="C204" s="43" t="s">
        <v>463</v>
      </c>
      <c r="H204" s="66">
        <f>SUMIF(AC199:AC199, 5, I199:I199)+SUMIF(AC199:AC199, 6, I199:I199)</f>
        <v>23307.200000000001</v>
      </c>
      <c r="I204" s="66"/>
      <c r="J204" s="66">
        <f>SUMIF(AC199:AC199, 5, K199:K199)+SUMIF(AC199:AC199, 6, K199:K199)</f>
        <v>176435.5</v>
      </c>
      <c r="K204" s="66"/>
    </row>
    <row r="205" spans="1:29" ht="14" x14ac:dyDescent="0.25">
      <c r="C205" s="43" t="s">
        <v>464</v>
      </c>
      <c r="H205" s="66">
        <f>I195+I196+I198+I200+I201+SUM(I199:I199)</f>
        <v>25707.3</v>
      </c>
      <c r="I205" s="66"/>
      <c r="J205" s="66">
        <f>K195+K196+K198+K200+K201+SUM(K199:K199)</f>
        <v>310180.91000000003</v>
      </c>
      <c r="K205" s="66"/>
      <c r="O205" s="44">
        <f>I195+I196+I198+I200+I201+SUM(I199:I199)</f>
        <v>25707.3</v>
      </c>
      <c r="P205" s="44">
        <f>K195+K196+K198+K200+K201+SUM(K199:K199)</f>
        <v>310180.91000000003</v>
      </c>
    </row>
    <row r="207" spans="1:29" ht="14.5" x14ac:dyDescent="0.25">
      <c r="A207" s="30">
        <v>17</v>
      </c>
      <c r="B207" s="30" t="str">
        <f>Source!F109</f>
        <v>4.10-76-10</v>
      </c>
      <c r="C207" s="30" t="s">
        <v>150</v>
      </c>
      <c r="D207" s="32" t="str">
        <f>Source!H109</f>
        <v>1  ШТ.</v>
      </c>
      <c r="E207" s="31">
        <f>Source!I109</f>
        <v>7</v>
      </c>
      <c r="F207" s="34"/>
      <c r="G207" s="33"/>
      <c r="H207" s="31"/>
      <c r="I207" s="34"/>
      <c r="J207" s="31"/>
      <c r="K207" s="34"/>
      <c r="Q207">
        <f>Source!X109</f>
        <v>99.34</v>
      </c>
      <c r="R207">
        <f>Source!X110</f>
        <v>5597.89</v>
      </c>
      <c r="S207">
        <f>Source!Y109</f>
        <v>55.42</v>
      </c>
      <c r="T207">
        <f>Source!Y110</f>
        <v>3123.04</v>
      </c>
      <c r="U207">
        <f>ROUND((175/100)*ROUND(Source!R109, 2), 2)</f>
        <v>0</v>
      </c>
      <c r="V207">
        <f>ROUND((0/100)*ROUND(Source!R110, 2), 2)</f>
        <v>0</v>
      </c>
      <c r="AC207">
        <v>0</v>
      </c>
    </row>
    <row r="208" spans="1:29" ht="14.5" x14ac:dyDescent="0.25">
      <c r="A208" s="30"/>
      <c r="B208" s="30"/>
      <c r="C208" s="30" t="s">
        <v>453</v>
      </c>
      <c r="D208" s="32"/>
      <c r="E208" s="31"/>
      <c r="F208" s="34">
        <f>Source!AO109</f>
        <v>11.89</v>
      </c>
      <c r="G208" s="36" t="s">
        <v>148</v>
      </c>
      <c r="H208" s="31">
        <f>Source!AV110</f>
        <v>1.0469999999999999</v>
      </c>
      <c r="I208" s="34">
        <f>Source!S109</f>
        <v>104.57</v>
      </c>
      <c r="J208" s="31">
        <f>IF(Source!BA110&lt;&gt; 0, Source!BA110, 1)</f>
        <v>56.35</v>
      </c>
      <c r="K208" s="34">
        <f>Source!S110</f>
        <v>5892.52</v>
      </c>
    </row>
    <row r="209" spans="1:29" ht="14.5" x14ac:dyDescent="0.25">
      <c r="A209" s="30"/>
      <c r="B209" s="30"/>
      <c r="C209" s="30" t="s">
        <v>467</v>
      </c>
      <c r="D209" s="32"/>
      <c r="E209" s="31"/>
      <c r="F209" s="34">
        <f>Source!AL109</f>
        <v>1.67</v>
      </c>
      <c r="G209" s="36" t="s">
        <v>3</v>
      </c>
      <c r="H209" s="31">
        <f>Source!AW110</f>
        <v>1</v>
      </c>
      <c r="I209" s="34">
        <f>Source!P109</f>
        <v>11.69</v>
      </c>
      <c r="J209" s="31">
        <f>IF(Source!BC110&lt;&gt; 0, Source!BC110, 1)</f>
        <v>17.87</v>
      </c>
      <c r="K209" s="34">
        <f>Source!P110</f>
        <v>208.9</v>
      </c>
    </row>
    <row r="210" spans="1:29" ht="54" x14ac:dyDescent="0.25">
      <c r="A210" s="46" t="s">
        <v>172</v>
      </c>
      <c r="B210" s="46" t="str">
        <f>Source!F111</f>
        <v>КА, п.4</v>
      </c>
      <c r="C210" s="46" t="s">
        <v>472</v>
      </c>
      <c r="D210" s="47" t="str">
        <f>Source!H111</f>
        <v>ШТ</v>
      </c>
      <c r="E210" s="48">
        <f>Source!I111</f>
        <v>7</v>
      </c>
      <c r="F210" s="49">
        <f>Source!AK111</f>
        <v>55.31</v>
      </c>
      <c r="G210" s="50" t="s">
        <v>3</v>
      </c>
      <c r="H210" s="48">
        <f>Source!AW112</f>
        <v>1</v>
      </c>
      <c r="I210" s="49">
        <f>Source!O111</f>
        <v>387.17</v>
      </c>
      <c r="J210" s="48">
        <f>IF(Source!BC112&lt;&gt; 0, Source!BC112, 1)</f>
        <v>7.57</v>
      </c>
      <c r="K210" s="49">
        <f>Source!O112</f>
        <v>2930.88</v>
      </c>
      <c r="Q210">
        <f>Source!X111</f>
        <v>0</v>
      </c>
      <c r="R210">
        <f>Source!X112</f>
        <v>0</v>
      </c>
      <c r="S210">
        <f>Source!Y111</f>
        <v>0</v>
      </c>
      <c r="T210">
        <f>Source!Y112</f>
        <v>0</v>
      </c>
      <c r="U210">
        <f>ROUND((175/100)*ROUND(Source!R111, 2), 2)</f>
        <v>0</v>
      </c>
      <c r="V210">
        <f>ROUND((0/100)*ROUND(Source!R112, 2), 2)</f>
        <v>0</v>
      </c>
      <c r="AC210">
        <v>5</v>
      </c>
    </row>
    <row r="211" spans="1:29" ht="14.5" x14ac:dyDescent="0.25">
      <c r="A211" s="30"/>
      <c r="B211" s="30"/>
      <c r="C211" s="30" t="s">
        <v>457</v>
      </c>
      <c r="D211" s="32" t="s">
        <v>458</v>
      </c>
      <c r="E211" s="31">
        <f>Source!BZ110</f>
        <v>95</v>
      </c>
      <c r="F211" s="34"/>
      <c r="G211" s="33"/>
      <c r="H211" s="31"/>
      <c r="I211" s="34">
        <f>SUM(Q207:Q210)</f>
        <v>99.34</v>
      </c>
      <c r="J211" s="31">
        <f>Source!AT110</f>
        <v>95</v>
      </c>
      <c r="K211" s="34">
        <f>SUM(R207:R210)</f>
        <v>5597.89</v>
      </c>
    </row>
    <row r="212" spans="1:29" ht="14.5" x14ac:dyDescent="0.25">
      <c r="A212" s="30"/>
      <c r="B212" s="30"/>
      <c r="C212" s="30" t="s">
        <v>459</v>
      </c>
      <c r="D212" s="32" t="s">
        <v>458</v>
      </c>
      <c r="E212" s="31">
        <f>Source!CA110</f>
        <v>53</v>
      </c>
      <c r="F212" s="34"/>
      <c r="G212" s="33"/>
      <c r="H212" s="31"/>
      <c r="I212" s="34">
        <f>SUM(S207:S211)</f>
        <v>55.42</v>
      </c>
      <c r="J212" s="31">
        <f>Source!AU110</f>
        <v>53</v>
      </c>
      <c r="K212" s="34">
        <f>SUM(T207:T211)</f>
        <v>3123.04</v>
      </c>
    </row>
    <row r="213" spans="1:29" ht="14.5" x14ac:dyDescent="0.25">
      <c r="A213" s="38"/>
      <c r="B213" s="38"/>
      <c r="C213" s="38" t="s">
        <v>460</v>
      </c>
      <c r="D213" s="39" t="s">
        <v>461</v>
      </c>
      <c r="E213" s="40">
        <f>Source!AQ109</f>
        <v>1</v>
      </c>
      <c r="F213" s="41"/>
      <c r="G213" s="42" t="s">
        <v>148</v>
      </c>
      <c r="H213" s="40">
        <f>Source!AV110</f>
        <v>1.0469999999999999</v>
      </c>
      <c r="I213" s="41">
        <f>Source!U109</f>
        <v>8.7948000000000004</v>
      </c>
      <c r="J213" s="40"/>
      <c r="K213" s="41"/>
    </row>
    <row r="214" spans="1:29" ht="14" x14ac:dyDescent="0.25">
      <c r="C214" s="43" t="s">
        <v>462</v>
      </c>
      <c r="H214" s="69">
        <f>I208+I209+I211+I212+SUM(I210:I210)-SUMIF(AC210:AC210, 5, I210:I210)-SUMIF(AC210:AC210, 6, I210:I210)</f>
        <v>271.02000000000004</v>
      </c>
      <c r="I214" s="69"/>
      <c r="J214" s="69">
        <f>K208+K209+K211+K212+SUM(K210:K210)-SUMIF(AC210:AC210, 5, K210:K210)-SUMIF(AC210:AC210, 6, K210:K210)</f>
        <v>14822.350000000002</v>
      </c>
      <c r="K214" s="69"/>
    </row>
    <row r="215" spans="1:29" ht="14" x14ac:dyDescent="0.25">
      <c r="C215" s="43" t="s">
        <v>463</v>
      </c>
      <c r="H215" s="66">
        <f>SUMIF(AC210:AC210, 5, I210:I210)+SUMIF(AC210:AC210, 6, I210:I210)</f>
        <v>387.17</v>
      </c>
      <c r="I215" s="66"/>
      <c r="J215" s="66">
        <f>SUMIF(AC210:AC210, 5, K210:K210)+SUMIF(AC210:AC210, 6, K210:K210)</f>
        <v>2930.88</v>
      </c>
      <c r="K215" s="66"/>
    </row>
    <row r="216" spans="1:29" ht="14" x14ac:dyDescent="0.25">
      <c r="C216" s="43" t="s">
        <v>464</v>
      </c>
      <c r="H216" s="66">
        <f>I208+I209+I211+I212+SUM(I210:I210)</f>
        <v>658.19</v>
      </c>
      <c r="I216" s="66"/>
      <c r="J216" s="66">
        <f>K208+K209+K211+K212+SUM(K210:K210)</f>
        <v>17753.230000000003</v>
      </c>
      <c r="K216" s="66"/>
      <c r="O216" s="44">
        <f>I208+I209+I211+I212+SUM(I210:I210)</f>
        <v>658.19</v>
      </c>
      <c r="P216" s="44">
        <f>K208+K209+K211+K212+SUM(K210:K210)</f>
        <v>17753.230000000003</v>
      </c>
    </row>
    <row r="218" spans="1:29" ht="42" x14ac:dyDescent="0.25">
      <c r="A218" s="30">
        <v>18</v>
      </c>
      <c r="B218" s="30" t="str">
        <f>Source!F113</f>
        <v>4.10-177-1</v>
      </c>
      <c r="C218" s="30" t="s">
        <v>166</v>
      </c>
      <c r="D218" s="32" t="str">
        <f>Source!H113</f>
        <v>10 шт.</v>
      </c>
      <c r="E218" s="31">
        <f>Source!I113</f>
        <v>0.3</v>
      </c>
      <c r="F218" s="34"/>
      <c r="G218" s="33"/>
      <c r="H218" s="31"/>
      <c r="I218" s="34"/>
      <c r="J218" s="31"/>
      <c r="K218" s="34"/>
      <c r="Q218">
        <f>Source!X113</f>
        <v>77.42</v>
      </c>
      <c r="R218">
        <f>Source!X114</f>
        <v>4362.51</v>
      </c>
      <c r="S218">
        <f>Source!Y113</f>
        <v>39.57</v>
      </c>
      <c r="T218">
        <f>Source!Y114</f>
        <v>2229.73</v>
      </c>
      <c r="U218">
        <f>ROUND((175/100)*ROUND(Source!R113, 2), 2)</f>
        <v>0.51</v>
      </c>
      <c r="V218">
        <f>ROUND((0/100)*ROUND(Source!R114, 2), 2)</f>
        <v>0</v>
      </c>
      <c r="AC218">
        <v>0</v>
      </c>
    </row>
    <row r="219" spans="1:29" x14ac:dyDescent="0.25">
      <c r="C219" s="35" t="str">
        <f>"Объем: "&amp;Source!I113&amp;"=3/"&amp;"10"</f>
        <v>Объем: 0,3=3/10</v>
      </c>
    </row>
    <row r="220" spans="1:29" ht="14.5" x14ac:dyDescent="0.25">
      <c r="A220" s="30"/>
      <c r="B220" s="30"/>
      <c r="C220" s="30" t="s">
        <v>453</v>
      </c>
      <c r="D220" s="32"/>
      <c r="E220" s="31"/>
      <c r="F220" s="34">
        <f>Source!AO113</f>
        <v>227.44</v>
      </c>
      <c r="G220" s="36" t="s">
        <v>148</v>
      </c>
      <c r="H220" s="31">
        <f>Source!AV114</f>
        <v>1.0469999999999999</v>
      </c>
      <c r="I220" s="34">
        <f>Source!S113</f>
        <v>85.73</v>
      </c>
      <c r="J220" s="31">
        <f>IF(Source!BA114&lt;&gt; 0, Source!BA114, 1)</f>
        <v>56.35</v>
      </c>
      <c r="K220" s="34">
        <f>Source!S114</f>
        <v>4830.8900000000003</v>
      </c>
    </row>
    <row r="221" spans="1:29" ht="14.5" x14ac:dyDescent="0.25">
      <c r="A221" s="30"/>
      <c r="B221" s="30"/>
      <c r="C221" s="30" t="s">
        <v>455</v>
      </c>
      <c r="D221" s="32"/>
      <c r="E221" s="31"/>
      <c r="F221" s="34">
        <f>Source!AM113</f>
        <v>6.07</v>
      </c>
      <c r="G221" s="36" t="s">
        <v>148</v>
      </c>
      <c r="H221" s="31">
        <f>Source!AV114</f>
        <v>1.0469999999999999</v>
      </c>
      <c r="I221" s="34">
        <f>Source!Q113</f>
        <v>2.29</v>
      </c>
      <c r="J221" s="31">
        <f>IF(Source!BB114&lt;&gt; 0, Source!BB114, 1)</f>
        <v>15.73</v>
      </c>
      <c r="K221" s="34">
        <f>Source!Q114</f>
        <v>36.020000000000003</v>
      </c>
    </row>
    <row r="222" spans="1:29" ht="14.5" x14ac:dyDescent="0.25">
      <c r="A222" s="30"/>
      <c r="B222" s="30"/>
      <c r="C222" s="30" t="s">
        <v>456</v>
      </c>
      <c r="D222" s="32"/>
      <c r="E222" s="31"/>
      <c r="F222" s="34">
        <f>Source!AN113</f>
        <v>0.76</v>
      </c>
      <c r="G222" s="36" t="s">
        <v>148</v>
      </c>
      <c r="H222" s="31">
        <f>Source!AV114</f>
        <v>1.0469999999999999</v>
      </c>
      <c r="I222" s="37">
        <f>Source!R113</f>
        <v>0.28999999999999998</v>
      </c>
      <c r="J222" s="31">
        <f>IF(Source!BS114&lt;&gt; 0, Source!BS114, 1)</f>
        <v>56.35</v>
      </c>
      <c r="K222" s="37">
        <f>Source!R114</f>
        <v>16.34</v>
      </c>
    </row>
    <row r="223" spans="1:29" ht="14.5" x14ac:dyDescent="0.25">
      <c r="A223" s="30"/>
      <c r="B223" s="30"/>
      <c r="C223" s="30" t="s">
        <v>467</v>
      </c>
      <c r="D223" s="32"/>
      <c r="E223" s="31"/>
      <c r="F223" s="34">
        <f>Source!AL113</f>
        <v>2.44</v>
      </c>
      <c r="G223" s="36" t="s">
        <v>3</v>
      </c>
      <c r="H223" s="31">
        <f>Source!AW114</f>
        <v>1</v>
      </c>
      <c r="I223" s="34">
        <f>Source!P113</f>
        <v>0.73</v>
      </c>
      <c r="J223" s="31">
        <f>IF(Source!BC114&lt;&gt; 0, Source!BC114, 1)</f>
        <v>7.61</v>
      </c>
      <c r="K223" s="34">
        <f>Source!P114</f>
        <v>5.56</v>
      </c>
    </row>
    <row r="224" spans="1:29" ht="68" x14ac:dyDescent="0.25">
      <c r="A224" s="46" t="s">
        <v>177</v>
      </c>
      <c r="B224" s="46" t="str">
        <f>Source!F115</f>
        <v>КА, п.5</v>
      </c>
      <c r="C224" s="46" t="s">
        <v>473</v>
      </c>
      <c r="D224" s="47" t="str">
        <f>Source!H115</f>
        <v>ШТ</v>
      </c>
      <c r="E224" s="48">
        <f>Source!I115</f>
        <v>3</v>
      </c>
      <c r="F224" s="49">
        <f>Source!AK115</f>
        <v>2573.3300000000004</v>
      </c>
      <c r="G224" s="50" t="s">
        <v>3</v>
      </c>
      <c r="H224" s="48">
        <f>Source!AW116</f>
        <v>1</v>
      </c>
      <c r="I224" s="49">
        <f>Source!O115</f>
        <v>7719.99</v>
      </c>
      <c r="J224" s="48">
        <f>IF(Source!BC116&lt;&gt; 0, Source!BC116, 1)</f>
        <v>7.57</v>
      </c>
      <c r="K224" s="49">
        <f>Source!O116</f>
        <v>58440.32</v>
      </c>
      <c r="Q224">
        <f>Source!X115</f>
        <v>0</v>
      </c>
      <c r="R224">
        <f>Source!X116</f>
        <v>0</v>
      </c>
      <c r="S224">
        <f>Source!Y115</f>
        <v>0</v>
      </c>
      <c r="T224">
        <f>Source!Y116</f>
        <v>0</v>
      </c>
      <c r="U224">
        <f>ROUND((175/100)*ROUND(Source!R115, 2), 2)</f>
        <v>0</v>
      </c>
      <c r="V224">
        <f>ROUND((0/100)*ROUND(Source!R116, 2), 2)</f>
        <v>0</v>
      </c>
      <c r="AC224">
        <v>5</v>
      </c>
    </row>
    <row r="225" spans="1:29" ht="14.5" x14ac:dyDescent="0.25">
      <c r="A225" s="30"/>
      <c r="B225" s="30"/>
      <c r="C225" s="30" t="s">
        <v>457</v>
      </c>
      <c r="D225" s="32" t="s">
        <v>458</v>
      </c>
      <c r="E225" s="31">
        <f>Source!BZ114</f>
        <v>90</v>
      </c>
      <c r="F225" s="34"/>
      <c r="G225" s="33"/>
      <c r="H225" s="31"/>
      <c r="I225" s="34">
        <f>SUM(Q218:Q224)</f>
        <v>77.42</v>
      </c>
      <c r="J225" s="31">
        <f>Source!AT114</f>
        <v>90</v>
      </c>
      <c r="K225" s="34">
        <f>SUM(R218:R224)</f>
        <v>4362.51</v>
      </c>
    </row>
    <row r="226" spans="1:29" ht="14.5" x14ac:dyDescent="0.25">
      <c r="A226" s="30"/>
      <c r="B226" s="30"/>
      <c r="C226" s="30" t="s">
        <v>459</v>
      </c>
      <c r="D226" s="32" t="s">
        <v>458</v>
      </c>
      <c r="E226" s="31">
        <f>Source!CA114</f>
        <v>46</v>
      </c>
      <c r="F226" s="34"/>
      <c r="G226" s="33"/>
      <c r="H226" s="31"/>
      <c r="I226" s="34">
        <f>SUM(S218:S225)</f>
        <v>39.57</v>
      </c>
      <c r="J226" s="31">
        <f>Source!AU114</f>
        <v>46</v>
      </c>
      <c r="K226" s="34">
        <f>SUM(T218:T225)</f>
        <v>2229.73</v>
      </c>
    </row>
    <row r="227" spans="1:29" ht="14.5" x14ac:dyDescent="0.25">
      <c r="A227" s="38"/>
      <c r="B227" s="38"/>
      <c r="C227" s="38" t="s">
        <v>460</v>
      </c>
      <c r="D227" s="39" t="s">
        <v>461</v>
      </c>
      <c r="E227" s="40">
        <f>Source!AQ113</f>
        <v>14.64</v>
      </c>
      <c r="F227" s="41"/>
      <c r="G227" s="42" t="s">
        <v>148</v>
      </c>
      <c r="H227" s="40">
        <f>Source!AV114</f>
        <v>1.0469999999999999</v>
      </c>
      <c r="I227" s="41">
        <f>Source!U113</f>
        <v>5.5181087999999994</v>
      </c>
      <c r="J227" s="40"/>
      <c r="K227" s="41"/>
    </row>
    <row r="228" spans="1:29" ht="14" x14ac:dyDescent="0.25">
      <c r="C228" s="43" t="s">
        <v>462</v>
      </c>
      <c r="H228" s="69">
        <f>I220+I221+I223+I225+I226+SUM(I224:I224)-SUMIF(AC224:AC224, 5, I224:I224)-SUMIF(AC224:AC224, 6, I224:I224)</f>
        <v>205.73999999999978</v>
      </c>
      <c r="I228" s="69"/>
      <c r="J228" s="69">
        <f>K220+K221+K223+K225+K226+SUM(K224:K224)-SUMIF(AC224:AC224, 5, K224:K224)-SUMIF(AC224:AC224, 6, K224:K224)</f>
        <v>11464.71</v>
      </c>
      <c r="K228" s="69"/>
    </row>
    <row r="229" spans="1:29" ht="14" x14ac:dyDescent="0.25">
      <c r="C229" s="43" t="s">
        <v>463</v>
      </c>
      <c r="H229" s="66">
        <f>SUMIF(AC224:AC224, 5, I224:I224)+SUMIF(AC224:AC224, 6, I224:I224)</f>
        <v>7719.99</v>
      </c>
      <c r="I229" s="66"/>
      <c r="J229" s="66">
        <f>SUMIF(AC224:AC224, 5, K224:K224)+SUMIF(AC224:AC224, 6, K224:K224)</f>
        <v>58440.32</v>
      </c>
      <c r="K229" s="66"/>
    </row>
    <row r="230" spans="1:29" ht="14" x14ac:dyDescent="0.25">
      <c r="C230" s="43" t="s">
        <v>464</v>
      </c>
      <c r="H230" s="66">
        <f>I220+I221+I223+I225+I226+SUM(I224:I224)</f>
        <v>7925.73</v>
      </c>
      <c r="I230" s="66"/>
      <c r="J230" s="66">
        <f>K220+K221+K223+K225+K226+SUM(K224:K224)</f>
        <v>69905.03</v>
      </c>
      <c r="K230" s="66"/>
      <c r="O230" s="44">
        <f>I220+I221+I223+I225+I226+SUM(I224:I224)</f>
        <v>7925.73</v>
      </c>
      <c r="P230" s="44">
        <f>K220+K221+K223+K225+K226+SUM(K224:K224)</f>
        <v>69905.03</v>
      </c>
    </row>
    <row r="232" spans="1:29" ht="42" x14ac:dyDescent="0.25">
      <c r="A232" s="30">
        <v>19</v>
      </c>
      <c r="B232" s="30" t="str">
        <f>Source!F117</f>
        <v>4.10-177-1</v>
      </c>
      <c r="C232" s="30" t="s">
        <v>166</v>
      </c>
      <c r="D232" s="32" t="str">
        <f>Source!H117</f>
        <v>10 шт.</v>
      </c>
      <c r="E232" s="31">
        <f>Source!I117</f>
        <v>0.1</v>
      </c>
      <c r="F232" s="34"/>
      <c r="G232" s="33"/>
      <c r="H232" s="31"/>
      <c r="I232" s="34"/>
      <c r="J232" s="31"/>
      <c r="K232" s="34"/>
      <c r="Q232">
        <f>Source!X117</f>
        <v>25.81</v>
      </c>
      <c r="R232">
        <f>Source!X118</f>
        <v>1454.51</v>
      </c>
      <c r="S232">
        <f>Source!Y117</f>
        <v>13.19</v>
      </c>
      <c r="T232">
        <f>Source!Y118</f>
        <v>743.42</v>
      </c>
      <c r="U232">
        <f>ROUND((175/100)*ROUND(Source!R117, 2), 2)</f>
        <v>0.18</v>
      </c>
      <c r="V232">
        <f>ROUND((0/100)*ROUND(Source!R118, 2), 2)</f>
        <v>0</v>
      </c>
      <c r="AC232">
        <v>0</v>
      </c>
    </row>
    <row r="233" spans="1:29" x14ac:dyDescent="0.25">
      <c r="C233" s="35" t="str">
        <f>"Объем: "&amp;Source!I117&amp;"=1/"&amp;"10"</f>
        <v>Объем: 0,1=1/10</v>
      </c>
    </row>
    <row r="234" spans="1:29" ht="14.5" x14ac:dyDescent="0.25">
      <c r="A234" s="30"/>
      <c r="B234" s="30"/>
      <c r="C234" s="30" t="s">
        <v>453</v>
      </c>
      <c r="D234" s="32"/>
      <c r="E234" s="31"/>
      <c r="F234" s="34">
        <f>Source!AO117</f>
        <v>227.44</v>
      </c>
      <c r="G234" s="36" t="s">
        <v>148</v>
      </c>
      <c r="H234" s="31">
        <f>Source!AV118</f>
        <v>1.0469999999999999</v>
      </c>
      <c r="I234" s="34">
        <f>Source!S117</f>
        <v>28.58</v>
      </c>
      <c r="J234" s="31">
        <f>IF(Source!BA118&lt;&gt; 0, Source!BA118, 1)</f>
        <v>56.35</v>
      </c>
      <c r="K234" s="34">
        <f>Source!S118</f>
        <v>1610.48</v>
      </c>
    </row>
    <row r="235" spans="1:29" ht="14.5" x14ac:dyDescent="0.25">
      <c r="A235" s="30"/>
      <c r="B235" s="30"/>
      <c r="C235" s="30" t="s">
        <v>455</v>
      </c>
      <c r="D235" s="32"/>
      <c r="E235" s="31"/>
      <c r="F235" s="34">
        <f>Source!AM117</f>
        <v>6.07</v>
      </c>
      <c r="G235" s="36" t="s">
        <v>148</v>
      </c>
      <c r="H235" s="31">
        <f>Source!AV118</f>
        <v>1.0469999999999999</v>
      </c>
      <c r="I235" s="34">
        <f>Source!Q117</f>
        <v>0.76</v>
      </c>
      <c r="J235" s="31">
        <f>IF(Source!BB118&lt;&gt; 0, Source!BB118, 1)</f>
        <v>15.73</v>
      </c>
      <c r="K235" s="34">
        <f>Source!Q118</f>
        <v>11.95</v>
      </c>
    </row>
    <row r="236" spans="1:29" ht="14.5" x14ac:dyDescent="0.25">
      <c r="A236" s="30"/>
      <c r="B236" s="30"/>
      <c r="C236" s="30" t="s">
        <v>456</v>
      </c>
      <c r="D236" s="32"/>
      <c r="E236" s="31"/>
      <c r="F236" s="34">
        <f>Source!AN117</f>
        <v>0.76</v>
      </c>
      <c r="G236" s="36" t="s">
        <v>148</v>
      </c>
      <c r="H236" s="31">
        <f>Source!AV118</f>
        <v>1.0469999999999999</v>
      </c>
      <c r="I236" s="37">
        <f>Source!R117</f>
        <v>0.1</v>
      </c>
      <c r="J236" s="31">
        <f>IF(Source!BS118&lt;&gt; 0, Source!BS118, 1)</f>
        <v>56.35</v>
      </c>
      <c r="K236" s="37">
        <f>Source!R118</f>
        <v>5.64</v>
      </c>
    </row>
    <row r="237" spans="1:29" ht="14.5" x14ac:dyDescent="0.25">
      <c r="A237" s="30"/>
      <c r="B237" s="30"/>
      <c r="C237" s="30" t="s">
        <v>467</v>
      </c>
      <c r="D237" s="32"/>
      <c r="E237" s="31"/>
      <c r="F237" s="34">
        <f>Source!AL117</f>
        <v>2.44</v>
      </c>
      <c r="G237" s="36" t="s">
        <v>3</v>
      </c>
      <c r="H237" s="31">
        <f>Source!AW118</f>
        <v>1</v>
      </c>
      <c r="I237" s="34">
        <f>Source!P117</f>
        <v>0.24</v>
      </c>
      <c r="J237" s="31">
        <f>IF(Source!BC118&lt;&gt; 0, Source!BC118, 1)</f>
        <v>7.61</v>
      </c>
      <c r="K237" s="34">
        <f>Source!P118</f>
        <v>1.83</v>
      </c>
    </row>
    <row r="238" spans="1:29" ht="68" x14ac:dyDescent="0.25">
      <c r="A238" s="46" t="s">
        <v>182</v>
      </c>
      <c r="B238" s="46" t="str">
        <f>Source!F119</f>
        <v>КА, п.6</v>
      </c>
      <c r="C238" s="46" t="s">
        <v>474</v>
      </c>
      <c r="D238" s="47" t="str">
        <f>Source!H119</f>
        <v>ШТ</v>
      </c>
      <c r="E238" s="48">
        <f>Source!I119</f>
        <v>1</v>
      </c>
      <c r="F238" s="49">
        <f>Source!AK119</f>
        <v>914.20999999999992</v>
      </c>
      <c r="G238" s="50" t="s">
        <v>3</v>
      </c>
      <c r="H238" s="48">
        <f>Source!AW120</f>
        <v>1</v>
      </c>
      <c r="I238" s="49">
        <f>Source!O119</f>
        <v>914.21</v>
      </c>
      <c r="J238" s="48">
        <f>IF(Source!BC120&lt;&gt; 0, Source!BC120, 1)</f>
        <v>7.57</v>
      </c>
      <c r="K238" s="49">
        <f>Source!O120</f>
        <v>6920.57</v>
      </c>
      <c r="Q238">
        <f>Source!X119</f>
        <v>0</v>
      </c>
      <c r="R238">
        <f>Source!X120</f>
        <v>0</v>
      </c>
      <c r="S238">
        <f>Source!Y119</f>
        <v>0</v>
      </c>
      <c r="T238">
        <f>Source!Y120</f>
        <v>0</v>
      </c>
      <c r="U238">
        <f>ROUND((175/100)*ROUND(Source!R119, 2), 2)</f>
        <v>0</v>
      </c>
      <c r="V238">
        <f>ROUND((0/100)*ROUND(Source!R120, 2), 2)</f>
        <v>0</v>
      </c>
      <c r="AC238">
        <v>5</v>
      </c>
    </row>
    <row r="239" spans="1:29" ht="14.5" x14ac:dyDescent="0.25">
      <c r="A239" s="30"/>
      <c r="B239" s="30"/>
      <c r="C239" s="30" t="s">
        <v>457</v>
      </c>
      <c r="D239" s="32" t="s">
        <v>458</v>
      </c>
      <c r="E239" s="31">
        <f>Source!BZ118</f>
        <v>90</v>
      </c>
      <c r="F239" s="34"/>
      <c r="G239" s="33"/>
      <c r="H239" s="31"/>
      <c r="I239" s="34">
        <f>SUM(Q232:Q238)</f>
        <v>25.81</v>
      </c>
      <c r="J239" s="31">
        <f>Source!AT118</f>
        <v>90</v>
      </c>
      <c r="K239" s="34">
        <f>SUM(R232:R238)</f>
        <v>1454.51</v>
      </c>
    </row>
    <row r="240" spans="1:29" ht="14.5" x14ac:dyDescent="0.25">
      <c r="A240" s="30"/>
      <c r="B240" s="30"/>
      <c r="C240" s="30" t="s">
        <v>459</v>
      </c>
      <c r="D240" s="32" t="s">
        <v>458</v>
      </c>
      <c r="E240" s="31">
        <f>Source!CA118</f>
        <v>46</v>
      </c>
      <c r="F240" s="34"/>
      <c r="G240" s="33"/>
      <c r="H240" s="31"/>
      <c r="I240" s="34">
        <f>SUM(S232:S239)</f>
        <v>13.19</v>
      </c>
      <c r="J240" s="31">
        <f>Source!AU118</f>
        <v>46</v>
      </c>
      <c r="K240" s="34">
        <f>SUM(T232:T239)</f>
        <v>743.42</v>
      </c>
    </row>
    <row r="241" spans="1:29" ht="14.5" x14ac:dyDescent="0.25">
      <c r="A241" s="38"/>
      <c r="B241" s="38"/>
      <c r="C241" s="38" t="s">
        <v>460</v>
      </c>
      <c r="D241" s="39" t="s">
        <v>461</v>
      </c>
      <c r="E241" s="40">
        <f>Source!AQ117</f>
        <v>14.64</v>
      </c>
      <c r="F241" s="41"/>
      <c r="G241" s="42" t="s">
        <v>148</v>
      </c>
      <c r="H241" s="40">
        <f>Source!AV118</f>
        <v>1.0469999999999999</v>
      </c>
      <c r="I241" s="41">
        <f>Source!U117</f>
        <v>1.8393695999999999</v>
      </c>
      <c r="J241" s="40"/>
      <c r="K241" s="41"/>
    </row>
    <row r="242" spans="1:29" ht="14" x14ac:dyDescent="0.25">
      <c r="C242" s="43" t="s">
        <v>462</v>
      </c>
      <c r="H242" s="69">
        <f>I234+I235+I237+I239+I240+SUM(I238:I238)-SUMIF(AC238:AC238, 5, I238:I238)-SUMIF(AC238:AC238, 6, I238:I238)</f>
        <v>68.580000000000041</v>
      </c>
      <c r="I242" s="69"/>
      <c r="J242" s="69">
        <f>K234+K235+K237+K239+K240+SUM(K238:K238)-SUMIF(AC238:AC238, 5, K238:K238)-SUMIF(AC238:AC238, 6, K238:K238)</f>
        <v>3822.1900000000005</v>
      </c>
      <c r="K242" s="69"/>
    </row>
    <row r="243" spans="1:29" ht="14" x14ac:dyDescent="0.25">
      <c r="C243" s="43" t="s">
        <v>463</v>
      </c>
      <c r="H243" s="66">
        <f>SUMIF(AC238:AC238, 5, I238:I238)+SUMIF(AC238:AC238, 6, I238:I238)</f>
        <v>914.21</v>
      </c>
      <c r="I243" s="66"/>
      <c r="J243" s="66">
        <f>SUMIF(AC238:AC238, 5, K238:K238)+SUMIF(AC238:AC238, 6, K238:K238)</f>
        <v>6920.57</v>
      </c>
      <c r="K243" s="66"/>
    </row>
    <row r="244" spans="1:29" ht="14" x14ac:dyDescent="0.25">
      <c r="C244" s="43" t="s">
        <v>464</v>
      </c>
      <c r="H244" s="66">
        <f>I234+I235+I237+I239+I240+SUM(I238:I238)</f>
        <v>982.79000000000008</v>
      </c>
      <c r="I244" s="66"/>
      <c r="J244" s="66">
        <f>K234+K235+K237+K239+K240+SUM(K238:K238)</f>
        <v>10742.76</v>
      </c>
      <c r="K244" s="66"/>
      <c r="O244" s="44">
        <f>I234+I235+I237+I239+I240+SUM(I238:I238)</f>
        <v>982.79000000000008</v>
      </c>
      <c r="P244" s="44">
        <f>K234+K235+K237+K239+K240+SUM(K238:K238)</f>
        <v>10742.76</v>
      </c>
    </row>
    <row r="246" spans="1:29" ht="14.5" x14ac:dyDescent="0.25">
      <c r="A246" s="30">
        <v>20</v>
      </c>
      <c r="B246" s="30" t="str">
        <f>Source!F121</f>
        <v>4.10-175-1</v>
      </c>
      <c r="C246" s="30" t="s">
        <v>187</v>
      </c>
      <c r="D246" s="32" t="str">
        <f>Source!H121</f>
        <v>1  ШТ.</v>
      </c>
      <c r="E246" s="31">
        <f>Source!I121</f>
        <v>1</v>
      </c>
      <c r="F246" s="34"/>
      <c r="G246" s="33"/>
      <c r="H246" s="31"/>
      <c r="I246" s="34"/>
      <c r="J246" s="31"/>
      <c r="K246" s="34"/>
      <c r="Q246">
        <f>Source!X121</f>
        <v>23.47</v>
      </c>
      <c r="R246">
        <f>Source!X122</f>
        <v>1322.65</v>
      </c>
      <c r="S246">
        <f>Source!Y121</f>
        <v>12</v>
      </c>
      <c r="T246">
        <f>Source!Y122</f>
        <v>676.02</v>
      </c>
      <c r="U246">
        <f>ROUND((175/100)*ROUND(Source!R121, 2), 2)</f>
        <v>0.28000000000000003</v>
      </c>
      <c r="V246">
        <f>ROUND((0/100)*ROUND(Source!R122, 2), 2)</f>
        <v>0</v>
      </c>
      <c r="AC246">
        <v>0</v>
      </c>
    </row>
    <row r="247" spans="1:29" ht="14.5" x14ac:dyDescent="0.25">
      <c r="A247" s="30"/>
      <c r="B247" s="30"/>
      <c r="C247" s="30" t="s">
        <v>453</v>
      </c>
      <c r="D247" s="32"/>
      <c r="E247" s="31"/>
      <c r="F247" s="34">
        <f>Source!AO121</f>
        <v>20.63</v>
      </c>
      <c r="G247" s="36" t="s">
        <v>148</v>
      </c>
      <c r="H247" s="31">
        <f>Source!AV122</f>
        <v>1.0469999999999999</v>
      </c>
      <c r="I247" s="34">
        <f>Source!S121</f>
        <v>25.92</v>
      </c>
      <c r="J247" s="31">
        <f>IF(Source!BA122&lt;&gt; 0, Source!BA122, 1)</f>
        <v>56.35</v>
      </c>
      <c r="K247" s="34">
        <f>Source!S122</f>
        <v>1460.59</v>
      </c>
    </row>
    <row r="248" spans="1:29" ht="14.5" x14ac:dyDescent="0.25">
      <c r="A248" s="30"/>
      <c r="B248" s="30"/>
      <c r="C248" s="30" t="s">
        <v>455</v>
      </c>
      <c r="D248" s="32"/>
      <c r="E248" s="31"/>
      <c r="F248" s="34">
        <f>Source!AM121</f>
        <v>0.91</v>
      </c>
      <c r="G248" s="36" t="s">
        <v>148</v>
      </c>
      <c r="H248" s="31">
        <f>Source!AV122</f>
        <v>1.0469999999999999</v>
      </c>
      <c r="I248" s="34">
        <f>Source!Q121</f>
        <v>1.1399999999999999</v>
      </c>
      <c r="J248" s="31">
        <f>IF(Source!BB122&lt;&gt; 0, Source!BB122, 1)</f>
        <v>16.440000000000001</v>
      </c>
      <c r="K248" s="34">
        <f>Source!Q122</f>
        <v>18.739999999999998</v>
      </c>
    </row>
    <row r="249" spans="1:29" ht="14.5" x14ac:dyDescent="0.25">
      <c r="A249" s="30"/>
      <c r="B249" s="30"/>
      <c r="C249" s="30" t="s">
        <v>456</v>
      </c>
      <c r="D249" s="32"/>
      <c r="E249" s="31"/>
      <c r="F249" s="34">
        <f>Source!AN121</f>
        <v>0.13</v>
      </c>
      <c r="G249" s="36" t="s">
        <v>148</v>
      </c>
      <c r="H249" s="31">
        <f>Source!AV122</f>
        <v>1.0469999999999999</v>
      </c>
      <c r="I249" s="37">
        <f>Source!R121</f>
        <v>0.16</v>
      </c>
      <c r="J249" s="31">
        <f>IF(Source!BS122&lt;&gt; 0, Source!BS122, 1)</f>
        <v>56.35</v>
      </c>
      <c r="K249" s="37">
        <f>Source!R122</f>
        <v>9.02</v>
      </c>
    </row>
    <row r="250" spans="1:29" ht="14.5" x14ac:dyDescent="0.25">
      <c r="A250" s="30"/>
      <c r="B250" s="30"/>
      <c r="C250" s="30" t="s">
        <v>467</v>
      </c>
      <c r="D250" s="32"/>
      <c r="E250" s="31"/>
      <c r="F250" s="34">
        <f>Source!AL121</f>
        <v>1.22</v>
      </c>
      <c r="G250" s="36" t="s">
        <v>3</v>
      </c>
      <c r="H250" s="31">
        <f>Source!AW122</f>
        <v>1</v>
      </c>
      <c r="I250" s="34">
        <f>Source!P121</f>
        <v>1.22</v>
      </c>
      <c r="J250" s="31">
        <f>IF(Source!BC122&lt;&gt; 0, Source!BC122, 1)</f>
        <v>25.66</v>
      </c>
      <c r="K250" s="34">
        <f>Source!P122</f>
        <v>31.31</v>
      </c>
    </row>
    <row r="251" spans="1:29" ht="54" x14ac:dyDescent="0.25">
      <c r="A251" s="46" t="s">
        <v>188</v>
      </c>
      <c r="B251" s="46" t="str">
        <f>Source!F123</f>
        <v>КА, п.7</v>
      </c>
      <c r="C251" s="46" t="s">
        <v>475</v>
      </c>
      <c r="D251" s="47" t="str">
        <f>Source!H123</f>
        <v>ШТ</v>
      </c>
      <c r="E251" s="48">
        <f>Source!I123</f>
        <v>1</v>
      </c>
      <c r="F251" s="49">
        <f>Source!AK123</f>
        <v>1726.8500000000001</v>
      </c>
      <c r="G251" s="50" t="s">
        <v>3</v>
      </c>
      <c r="H251" s="48">
        <f>Source!AW124</f>
        <v>1</v>
      </c>
      <c r="I251" s="49">
        <f>Source!O123</f>
        <v>1726.85</v>
      </c>
      <c r="J251" s="48">
        <f>IF(Source!BC124&lt;&gt; 0, Source!BC124, 1)</f>
        <v>7.57</v>
      </c>
      <c r="K251" s="49">
        <f>Source!O124</f>
        <v>13072.25</v>
      </c>
      <c r="Q251">
        <f>Source!X123</f>
        <v>0</v>
      </c>
      <c r="R251">
        <f>Source!X124</f>
        <v>0</v>
      </c>
      <c r="S251">
        <f>Source!Y123</f>
        <v>0</v>
      </c>
      <c r="T251">
        <f>Source!Y124</f>
        <v>0</v>
      </c>
      <c r="U251">
        <f>ROUND((175/100)*ROUND(Source!R123, 2), 2)</f>
        <v>0</v>
      </c>
      <c r="V251">
        <f>ROUND((0/100)*ROUND(Source!R124, 2), 2)</f>
        <v>0</v>
      </c>
      <c r="AC251">
        <v>5</v>
      </c>
    </row>
    <row r="252" spans="1:29" ht="14.5" x14ac:dyDescent="0.25">
      <c r="A252" s="30"/>
      <c r="B252" s="30"/>
      <c r="C252" s="30" t="s">
        <v>457</v>
      </c>
      <c r="D252" s="32" t="s">
        <v>458</v>
      </c>
      <c r="E252" s="31">
        <f>Source!BZ122</f>
        <v>90</v>
      </c>
      <c r="F252" s="34"/>
      <c r="G252" s="33"/>
      <c r="H252" s="31"/>
      <c r="I252" s="34">
        <f>SUM(Q246:Q251)</f>
        <v>23.47</v>
      </c>
      <c r="J252" s="31">
        <f>Source!AT122</f>
        <v>90</v>
      </c>
      <c r="K252" s="34">
        <f>SUM(R246:R251)</f>
        <v>1322.65</v>
      </c>
    </row>
    <row r="253" spans="1:29" ht="14.5" x14ac:dyDescent="0.25">
      <c r="A253" s="30"/>
      <c r="B253" s="30"/>
      <c r="C253" s="30" t="s">
        <v>459</v>
      </c>
      <c r="D253" s="32" t="s">
        <v>458</v>
      </c>
      <c r="E253" s="31">
        <f>Source!CA122</f>
        <v>46</v>
      </c>
      <c r="F253" s="34"/>
      <c r="G253" s="33"/>
      <c r="H253" s="31"/>
      <c r="I253" s="34">
        <f>SUM(S246:S252)</f>
        <v>12</v>
      </c>
      <c r="J253" s="31">
        <f>Source!AU122</f>
        <v>46</v>
      </c>
      <c r="K253" s="34">
        <f>SUM(T246:T252)</f>
        <v>676.02</v>
      </c>
    </row>
    <row r="254" spans="1:29" ht="14.5" x14ac:dyDescent="0.25">
      <c r="A254" s="38"/>
      <c r="B254" s="38"/>
      <c r="C254" s="38" t="s">
        <v>460</v>
      </c>
      <c r="D254" s="39" t="s">
        <v>461</v>
      </c>
      <c r="E254" s="40">
        <f>Source!AQ121</f>
        <v>1.35</v>
      </c>
      <c r="F254" s="41"/>
      <c r="G254" s="42" t="s">
        <v>148</v>
      </c>
      <c r="H254" s="40">
        <f>Source!AV122</f>
        <v>1.0469999999999999</v>
      </c>
      <c r="I254" s="41">
        <f>Source!U121</f>
        <v>1.69614</v>
      </c>
      <c r="J254" s="40"/>
      <c r="K254" s="41"/>
    </row>
    <row r="255" spans="1:29" ht="14" x14ac:dyDescent="0.25">
      <c r="C255" s="43" t="s">
        <v>462</v>
      </c>
      <c r="H255" s="69">
        <f>I247+I248+I250+I252+I253+SUM(I251:I251)-SUMIF(AC251:AC251, 5, I251:I251)-SUMIF(AC251:AC251, 6, I251:I251)</f>
        <v>63.75</v>
      </c>
      <c r="I255" s="69"/>
      <c r="J255" s="69">
        <f>K247+K248+K250+K252+K253+SUM(K251:K251)-SUMIF(AC251:AC251, 5, K251:K251)-SUMIF(AC251:AC251, 6, K251:K251)</f>
        <v>3509.3100000000013</v>
      </c>
      <c r="K255" s="69"/>
    </row>
    <row r="256" spans="1:29" ht="14" x14ac:dyDescent="0.25">
      <c r="C256" s="43" t="s">
        <v>463</v>
      </c>
      <c r="H256" s="66">
        <f>SUMIF(AC251:AC251, 5, I251:I251)+SUMIF(AC251:AC251, 6, I251:I251)</f>
        <v>1726.85</v>
      </c>
      <c r="I256" s="66"/>
      <c r="J256" s="66">
        <f>SUMIF(AC251:AC251, 5, K251:K251)+SUMIF(AC251:AC251, 6, K251:K251)</f>
        <v>13072.25</v>
      </c>
      <c r="K256" s="66"/>
    </row>
    <row r="257" spans="1:29" ht="14" x14ac:dyDescent="0.25">
      <c r="C257" s="43" t="s">
        <v>464</v>
      </c>
      <c r="H257" s="66">
        <f>I247+I248+I250+I252+I253+SUM(I251:I251)</f>
        <v>1790.6</v>
      </c>
      <c r="I257" s="66"/>
      <c r="J257" s="66">
        <f>K247+K248+K250+K252+K253+SUM(K251:K251)</f>
        <v>16581.560000000001</v>
      </c>
      <c r="K257" s="66"/>
      <c r="O257" s="44">
        <f>I247+I248+I250+I252+I253+SUM(I251:I251)</f>
        <v>1790.6</v>
      </c>
      <c r="P257" s="44">
        <f>K247+K248+K250+K252+K253+SUM(K251:K251)</f>
        <v>16581.560000000001</v>
      </c>
    </row>
    <row r="260" spans="1:29" ht="14" x14ac:dyDescent="0.3">
      <c r="A260" s="68" t="str">
        <f>CONCATENATE("Итого по разделу: ",IF(Source!G126&lt;&gt;"Новый раздел", Source!G126, ""))</f>
        <v>Итого по разделу: Оборудование</v>
      </c>
      <c r="B260" s="68"/>
      <c r="C260" s="68"/>
      <c r="D260" s="68"/>
      <c r="E260" s="68"/>
      <c r="F260" s="68"/>
      <c r="G260" s="68"/>
      <c r="H260" s="66">
        <f>SUM(O162:O259)</f>
        <v>438085.92999999993</v>
      </c>
      <c r="I260" s="67"/>
      <c r="J260" s="66">
        <f>SUM(P162:P259)</f>
        <v>3643790.6799999992</v>
      </c>
      <c r="K260" s="67"/>
    </row>
    <row r="261" spans="1:29" hidden="1" x14ac:dyDescent="0.25">
      <c r="A261" t="s">
        <v>465</v>
      </c>
      <c r="I261">
        <f>SUM(W162:W260)</f>
        <v>0</v>
      </c>
      <c r="J261">
        <f>SUM(X162:X260)</f>
        <v>0</v>
      </c>
    </row>
    <row r="262" spans="1:29" hidden="1" x14ac:dyDescent="0.25">
      <c r="A262" t="s">
        <v>466</v>
      </c>
      <c r="I262">
        <f>SUM(Y162:Y261)</f>
        <v>0</v>
      </c>
      <c r="J262">
        <f>SUM(Z162:Z261)</f>
        <v>0</v>
      </c>
    </row>
    <row r="264" spans="1:29" ht="16.5" x14ac:dyDescent="0.25">
      <c r="A264" s="70" t="str">
        <f>CONCATENATE("Раздел: ",IF(Source!G156&lt;&gt;"Новый раздел", Source!G156, ""))</f>
        <v>Раздел: Кабельные изделия и кабеленесущие конструкции</v>
      </c>
      <c r="B264" s="70"/>
      <c r="C264" s="70"/>
      <c r="D264" s="70"/>
      <c r="E264" s="70"/>
      <c r="F264" s="70"/>
      <c r="G264" s="70"/>
      <c r="H264" s="70"/>
      <c r="I264" s="70"/>
      <c r="J264" s="70"/>
      <c r="K264" s="70"/>
    </row>
    <row r="265" spans="1:29" ht="56" x14ac:dyDescent="0.25">
      <c r="A265" s="30">
        <v>21</v>
      </c>
      <c r="B265" s="30" t="str">
        <f>Source!F160</f>
        <v>4.10-186-5</v>
      </c>
      <c r="C265" s="30" t="s">
        <v>73</v>
      </c>
      <c r="D265" s="32" t="str">
        <f>Source!H160</f>
        <v>100 м</v>
      </c>
      <c r="E265" s="31">
        <f>Source!I160</f>
        <v>3.63</v>
      </c>
      <c r="F265" s="34"/>
      <c r="G265" s="33"/>
      <c r="H265" s="31"/>
      <c r="I265" s="34"/>
      <c r="J265" s="31"/>
      <c r="K265" s="34"/>
      <c r="Q265">
        <f>Source!X160</f>
        <v>809.77</v>
      </c>
      <c r="R265">
        <f>Source!X161</f>
        <v>45630.32</v>
      </c>
      <c r="S265">
        <f>Source!Y160</f>
        <v>413.88</v>
      </c>
      <c r="T265">
        <f>Source!Y161</f>
        <v>23322.16</v>
      </c>
      <c r="U265">
        <f>ROUND((175/100)*ROUND(Source!R160, 2), 2)</f>
        <v>0</v>
      </c>
      <c r="V265">
        <f>ROUND((0/100)*ROUND(Source!R161, 2), 2)</f>
        <v>0</v>
      </c>
      <c r="AC265">
        <v>0</v>
      </c>
    </row>
    <row r="266" spans="1:29" x14ac:dyDescent="0.25">
      <c r="C266" s="35" t="str">
        <f>"Объем: "&amp;Source!I160&amp;"=363/"&amp;"100"</f>
        <v>Объем: 3,63=363/100</v>
      </c>
    </row>
    <row r="267" spans="1:29" ht="14.5" x14ac:dyDescent="0.25">
      <c r="A267" s="30"/>
      <c r="B267" s="30"/>
      <c r="C267" s="30" t="s">
        <v>453</v>
      </c>
      <c r="D267" s="32"/>
      <c r="E267" s="31"/>
      <c r="F267" s="34">
        <f>Source!AO160</f>
        <v>197.28</v>
      </c>
      <c r="G267" s="36" t="s">
        <v>148</v>
      </c>
      <c r="H267" s="31">
        <f>Source!AV161</f>
        <v>1.0469999999999999</v>
      </c>
      <c r="I267" s="34">
        <f>Source!S160</f>
        <v>899.74</v>
      </c>
      <c r="J267" s="31">
        <f>IF(Source!BA161&lt;&gt; 0, Source!BA161, 1)</f>
        <v>56.35</v>
      </c>
      <c r="K267" s="34">
        <f>Source!S161</f>
        <v>50700.35</v>
      </c>
    </row>
    <row r="268" spans="1:29" ht="14.5" x14ac:dyDescent="0.25">
      <c r="A268" s="30"/>
      <c r="B268" s="30"/>
      <c r="C268" s="30" t="s">
        <v>455</v>
      </c>
      <c r="D268" s="32"/>
      <c r="E268" s="31"/>
      <c r="F268" s="34">
        <f>Source!AM160</f>
        <v>1.73</v>
      </c>
      <c r="G268" s="36" t="s">
        <v>148</v>
      </c>
      <c r="H268" s="31">
        <f>Source!AV161</f>
        <v>1.0469999999999999</v>
      </c>
      <c r="I268" s="34">
        <f>Source!Q160</f>
        <v>7.89</v>
      </c>
      <c r="J268" s="31">
        <f>IF(Source!BB161&lt;&gt; 0, Source!BB161, 1)</f>
        <v>9.6199999999999992</v>
      </c>
      <c r="K268" s="34">
        <f>Source!Q161</f>
        <v>75.900000000000006</v>
      </c>
    </row>
    <row r="269" spans="1:29" ht="14.5" x14ac:dyDescent="0.25">
      <c r="A269" s="30"/>
      <c r="B269" s="30"/>
      <c r="C269" s="30" t="s">
        <v>467</v>
      </c>
      <c r="D269" s="32"/>
      <c r="E269" s="31"/>
      <c r="F269" s="34">
        <f>Source!AL160</f>
        <v>91.91</v>
      </c>
      <c r="G269" s="36" t="s">
        <v>3</v>
      </c>
      <c r="H269" s="31">
        <f>Source!AW161</f>
        <v>1</v>
      </c>
      <c r="I269" s="34">
        <f>Source!P160</f>
        <v>333.63</v>
      </c>
      <c r="J269" s="31">
        <f>IF(Source!BC161&lt;&gt; 0, Source!BC161, 1)</f>
        <v>2.4700000000000002</v>
      </c>
      <c r="K269" s="34">
        <f>Source!P161</f>
        <v>824.07</v>
      </c>
    </row>
    <row r="270" spans="1:29" ht="69" x14ac:dyDescent="0.25">
      <c r="A270" s="30" t="s">
        <v>194</v>
      </c>
      <c r="B270" s="30" t="str">
        <f>Source!F162</f>
        <v>КА, п.8</v>
      </c>
      <c r="C270" s="30" t="s">
        <v>476</v>
      </c>
      <c r="D270" s="32" t="str">
        <f>Source!H162</f>
        <v>м</v>
      </c>
      <c r="E270" s="31">
        <f>Source!I162</f>
        <v>370.26</v>
      </c>
      <c r="F270" s="34">
        <f>Source!AK162</f>
        <v>11.3</v>
      </c>
      <c r="G270" s="36" t="s">
        <v>3</v>
      </c>
      <c r="H270" s="31">
        <f>Source!AW163</f>
        <v>1</v>
      </c>
      <c r="I270" s="34">
        <f>Source!O162</f>
        <v>4183.9399999999996</v>
      </c>
      <c r="J270" s="31">
        <f>IF(Source!BC163&lt;&gt; 0, Source!BC163, 1)</f>
        <v>9.84</v>
      </c>
      <c r="K270" s="34">
        <f>Source!O163</f>
        <v>41169.97</v>
      </c>
      <c r="Q270">
        <f>Source!X162</f>
        <v>0</v>
      </c>
      <c r="R270">
        <f>Source!X163</f>
        <v>0</v>
      </c>
      <c r="S270">
        <f>Source!Y162</f>
        <v>0</v>
      </c>
      <c r="T270">
        <f>Source!Y163</f>
        <v>0</v>
      </c>
      <c r="U270">
        <f>ROUND((175/100)*ROUND(Source!R162, 2), 2)</f>
        <v>0</v>
      </c>
      <c r="V270">
        <f>ROUND((0/100)*ROUND(Source!R163, 2), 2)</f>
        <v>0</v>
      </c>
      <c r="AC270">
        <v>3</v>
      </c>
    </row>
    <row r="271" spans="1:29" ht="42" x14ac:dyDescent="0.25">
      <c r="A271" s="30" t="s">
        <v>202</v>
      </c>
      <c r="B271" s="30" t="str">
        <f>Source!F164</f>
        <v>1.21-5-1136</v>
      </c>
      <c r="C271" s="30" t="s">
        <v>204</v>
      </c>
      <c r="D271" s="32" t="str">
        <f>Source!H164</f>
        <v>100 шт.</v>
      </c>
      <c r="E271" s="31">
        <f>Source!I164</f>
        <v>7.8553199999999999</v>
      </c>
      <c r="F271" s="34">
        <f>Source!AK164</f>
        <v>146.88999999999999</v>
      </c>
      <c r="G271" s="36" t="s">
        <v>3</v>
      </c>
      <c r="H271" s="31">
        <f>Source!AW165</f>
        <v>1</v>
      </c>
      <c r="I271" s="34">
        <f>Source!O164</f>
        <v>1153.8699999999999</v>
      </c>
      <c r="J271" s="31">
        <f>IF(Source!BC165&lt;&gt; 0, Source!BC165, 1)</f>
        <v>1.74</v>
      </c>
      <c r="K271" s="34">
        <f>Source!O165</f>
        <v>2007.73</v>
      </c>
      <c r="Q271">
        <f>Source!X164</f>
        <v>0</v>
      </c>
      <c r="R271">
        <f>Source!X165</f>
        <v>0</v>
      </c>
      <c r="S271">
        <f>Source!Y164</f>
        <v>0</v>
      </c>
      <c r="T271">
        <f>Source!Y165</f>
        <v>0</v>
      </c>
      <c r="U271">
        <f>ROUND((175/100)*ROUND(Source!R164, 2), 2)</f>
        <v>0</v>
      </c>
      <c r="V271">
        <f>ROUND((0/100)*ROUND(Source!R165, 2), 2)</f>
        <v>0</v>
      </c>
      <c r="AC271">
        <v>3</v>
      </c>
    </row>
    <row r="272" spans="1:29" ht="14.5" x14ac:dyDescent="0.25">
      <c r="A272" s="30"/>
      <c r="B272" s="30"/>
      <c r="C272" s="30" t="s">
        <v>457</v>
      </c>
      <c r="D272" s="32" t="s">
        <v>458</v>
      </c>
      <c r="E272" s="31">
        <f>Source!BZ161</f>
        <v>90</v>
      </c>
      <c r="F272" s="34"/>
      <c r="G272" s="33"/>
      <c r="H272" s="31"/>
      <c r="I272" s="34">
        <f>SUM(Q265:Q271)</f>
        <v>809.77</v>
      </c>
      <c r="J272" s="31">
        <f>Source!AT161</f>
        <v>90</v>
      </c>
      <c r="K272" s="34">
        <f>SUM(R265:R271)</f>
        <v>45630.32</v>
      </c>
    </row>
    <row r="273" spans="1:29" ht="14.5" x14ac:dyDescent="0.25">
      <c r="A273" s="30"/>
      <c r="B273" s="30"/>
      <c r="C273" s="30" t="s">
        <v>459</v>
      </c>
      <c r="D273" s="32" t="s">
        <v>458</v>
      </c>
      <c r="E273" s="31">
        <f>Source!CA161</f>
        <v>46</v>
      </c>
      <c r="F273" s="34"/>
      <c r="G273" s="33"/>
      <c r="H273" s="31"/>
      <c r="I273" s="34">
        <f>SUM(S265:S272)</f>
        <v>413.88</v>
      </c>
      <c r="J273" s="31">
        <f>Source!AU161</f>
        <v>46</v>
      </c>
      <c r="K273" s="34">
        <f>SUM(T265:T272)</f>
        <v>23322.16</v>
      </c>
    </row>
    <row r="274" spans="1:29" ht="14.5" x14ac:dyDescent="0.25">
      <c r="A274" s="38"/>
      <c r="B274" s="38"/>
      <c r="C274" s="38" t="s">
        <v>460</v>
      </c>
      <c r="D274" s="39" t="s">
        <v>461</v>
      </c>
      <c r="E274" s="40">
        <f>Source!AQ160</f>
        <v>16.600000000000001</v>
      </c>
      <c r="F274" s="41"/>
      <c r="G274" s="42" t="s">
        <v>148</v>
      </c>
      <c r="H274" s="40">
        <f>Source!AV161</f>
        <v>1.0469999999999999</v>
      </c>
      <c r="I274" s="41">
        <f>Source!U160</f>
        <v>75.708151200000003</v>
      </c>
      <c r="J274" s="40"/>
      <c r="K274" s="41"/>
    </row>
    <row r="275" spans="1:29" ht="14" x14ac:dyDescent="0.25">
      <c r="C275" s="43" t="s">
        <v>462</v>
      </c>
      <c r="H275" s="69">
        <f>I267+I268+I269+I272+I273+SUM(I270:I271)-SUMIF(AC270:AC271, 5, I270:I271)-SUMIF(AC270:AC271, 6, I270:I271)</f>
        <v>7802.7199999999993</v>
      </c>
      <c r="I275" s="69"/>
      <c r="J275" s="69">
        <f>K267+K268+K269+K272+K273+SUM(K270:K271)-SUMIF(AC270:AC271, 5, K270:K271)-SUMIF(AC270:AC271, 6, K270:K271)</f>
        <v>163730.5</v>
      </c>
      <c r="K275" s="69"/>
    </row>
    <row r="276" spans="1:29" ht="14" hidden="1" x14ac:dyDescent="0.25">
      <c r="C276" s="43" t="s">
        <v>463</v>
      </c>
      <c r="H276" s="66">
        <f>SUMIF(AC270:AC271, 5, I270:I271)+SUMIF(AC270:AC271, 6, I270:I271)</f>
        <v>0</v>
      </c>
      <c r="I276" s="66"/>
      <c r="J276" s="66">
        <f>SUMIF(AC270:AC271, 5, K270:K271)+SUMIF(AC270:AC271, 6, K270:K271)</f>
        <v>0</v>
      </c>
      <c r="K276" s="66"/>
    </row>
    <row r="277" spans="1:29" ht="14" x14ac:dyDescent="0.25">
      <c r="C277" s="43" t="s">
        <v>464</v>
      </c>
      <c r="H277" s="66">
        <f>I267+I268+I269+I272+I273+SUM(I270:I271)</f>
        <v>7802.7199999999993</v>
      </c>
      <c r="I277" s="66"/>
      <c r="J277" s="66">
        <f>K267+K268+K269+K272+K273+SUM(K270:K271)</f>
        <v>163730.5</v>
      </c>
      <c r="K277" s="66"/>
      <c r="O277" s="44">
        <f>I267+I268+I269+I272+I273+SUM(I270:I271)</f>
        <v>7802.7199999999993</v>
      </c>
      <c r="P277" s="44">
        <f>K267+K268+K269+K272+K273+SUM(K270:K271)</f>
        <v>163730.5</v>
      </c>
    </row>
    <row r="279" spans="1:29" ht="41" x14ac:dyDescent="0.25">
      <c r="A279" s="30">
        <v>22</v>
      </c>
      <c r="B279" s="30" t="str">
        <f>Source!F166</f>
        <v>КА, п.9</v>
      </c>
      <c r="C279" s="30" t="s">
        <v>477</v>
      </c>
      <c r="D279" s="32" t="str">
        <f>Source!H166</f>
        <v>м</v>
      </c>
      <c r="E279" s="31">
        <f>Source!I166</f>
        <v>636.48</v>
      </c>
      <c r="F279" s="34">
        <f>Source!AL166</f>
        <v>4.8899999999999997</v>
      </c>
      <c r="G279" s="36" t="s">
        <v>3</v>
      </c>
      <c r="H279" s="31">
        <f>Source!AW167</f>
        <v>1</v>
      </c>
      <c r="I279" s="34">
        <f>Source!P166</f>
        <v>3112.39</v>
      </c>
      <c r="J279" s="31">
        <f>IF(Source!BC167&lt;&gt; 0, Source!BC167, 1)</f>
        <v>9.84</v>
      </c>
      <c r="K279" s="34">
        <f>Source!P167</f>
        <v>30625.919999999998</v>
      </c>
      <c r="Q279">
        <f>Source!X166</f>
        <v>0</v>
      </c>
      <c r="R279">
        <f>Source!X167</f>
        <v>0</v>
      </c>
      <c r="S279">
        <f>Source!Y166</f>
        <v>0</v>
      </c>
      <c r="T279">
        <f>Source!Y167</f>
        <v>0</v>
      </c>
      <c r="U279">
        <f>ROUND((175/100)*ROUND(Source!R166, 2), 2)</f>
        <v>0</v>
      </c>
      <c r="V279">
        <f>ROUND((0/100)*ROUND(Source!R167, 2), 2)</f>
        <v>0</v>
      </c>
      <c r="AC279">
        <v>3</v>
      </c>
    </row>
    <row r="280" spans="1:29" x14ac:dyDescent="0.25">
      <c r="A280" s="58"/>
      <c r="B280" s="58"/>
      <c r="C280" s="59" t="str">
        <f>"Объем: "&amp;Source!I166&amp;"=624*"&amp;"1,02"</f>
        <v>Объем: 636,48=624*1,02</v>
      </c>
      <c r="D280" s="58"/>
      <c r="E280" s="58"/>
      <c r="F280" s="58"/>
      <c r="G280" s="58"/>
      <c r="H280" s="58"/>
      <c r="I280" s="58"/>
      <c r="J280" s="58"/>
      <c r="K280" s="58"/>
    </row>
    <row r="281" spans="1:29" ht="14" x14ac:dyDescent="0.25">
      <c r="C281" s="43" t="s">
        <v>464</v>
      </c>
      <c r="H281" s="69">
        <f>I279+0</f>
        <v>3112.39</v>
      </c>
      <c r="I281" s="69"/>
      <c r="J281" s="69">
        <f>K279+0</f>
        <v>30625.919999999998</v>
      </c>
      <c r="K281" s="69"/>
      <c r="O281" s="44">
        <f>I279+0</f>
        <v>3112.39</v>
      </c>
      <c r="P281" s="44">
        <f>K279+0</f>
        <v>30625.919999999998</v>
      </c>
    </row>
    <row r="283" spans="1:29" ht="55" x14ac:dyDescent="0.25">
      <c r="A283" s="30">
        <v>23</v>
      </c>
      <c r="B283" s="30" t="str">
        <f>Source!F168</f>
        <v>КА, п.10</v>
      </c>
      <c r="C283" s="30" t="s">
        <v>478</v>
      </c>
      <c r="D283" s="32" t="str">
        <f>Source!H168</f>
        <v>м</v>
      </c>
      <c r="E283" s="31">
        <f>Source!I168</f>
        <v>316.2</v>
      </c>
      <c r="F283" s="34">
        <f>Source!AL168</f>
        <v>8.32</v>
      </c>
      <c r="G283" s="36" t="s">
        <v>3</v>
      </c>
      <c r="H283" s="31">
        <f>Source!AW169</f>
        <v>1</v>
      </c>
      <c r="I283" s="34">
        <f>Source!P168</f>
        <v>2630.78</v>
      </c>
      <c r="J283" s="31">
        <f>IF(Source!BC169&lt;&gt; 0, Source!BC169, 1)</f>
        <v>9.84</v>
      </c>
      <c r="K283" s="34">
        <f>Source!P169</f>
        <v>25886.880000000001</v>
      </c>
      <c r="Q283">
        <f>Source!X168</f>
        <v>0</v>
      </c>
      <c r="R283">
        <f>Source!X169</f>
        <v>0</v>
      </c>
      <c r="S283">
        <f>Source!Y168</f>
        <v>0</v>
      </c>
      <c r="T283">
        <f>Source!Y169</f>
        <v>0</v>
      </c>
      <c r="U283">
        <f>ROUND((175/100)*ROUND(Source!R168, 2), 2)</f>
        <v>0</v>
      </c>
      <c r="V283">
        <f>ROUND((0/100)*ROUND(Source!R169, 2), 2)</f>
        <v>0</v>
      </c>
      <c r="AC283">
        <v>3</v>
      </c>
    </row>
    <row r="284" spans="1:29" x14ac:dyDescent="0.25">
      <c r="A284" s="58"/>
      <c r="B284" s="58"/>
      <c r="C284" s="59" t="str">
        <f>"Объем: "&amp;Source!I168&amp;"=310*"&amp;"1,02"</f>
        <v>Объем: 316,2=310*1,02</v>
      </c>
      <c r="D284" s="58"/>
      <c r="E284" s="58"/>
      <c r="F284" s="58"/>
      <c r="G284" s="58"/>
      <c r="H284" s="58"/>
      <c r="I284" s="58"/>
      <c r="J284" s="58"/>
      <c r="K284" s="58"/>
    </row>
    <row r="285" spans="1:29" ht="14" x14ac:dyDescent="0.25">
      <c r="C285" s="43" t="s">
        <v>464</v>
      </c>
      <c r="H285" s="69">
        <f>I283+0</f>
        <v>2630.78</v>
      </c>
      <c r="I285" s="69"/>
      <c r="J285" s="69">
        <f>K283+0</f>
        <v>25886.880000000001</v>
      </c>
      <c r="K285" s="69"/>
      <c r="O285" s="44">
        <f>I283+0</f>
        <v>2630.78</v>
      </c>
      <c r="P285" s="44">
        <f>K283+0</f>
        <v>25886.880000000001</v>
      </c>
    </row>
    <row r="287" spans="1:29" ht="54" x14ac:dyDescent="0.25">
      <c r="A287" s="38">
        <v>24</v>
      </c>
      <c r="B287" s="38" t="str">
        <f>Source!F174</f>
        <v>КА, п.11</v>
      </c>
      <c r="C287" s="38" t="s">
        <v>479</v>
      </c>
      <c r="D287" s="39" t="str">
        <f>Source!H174</f>
        <v>ШТ</v>
      </c>
      <c r="E287" s="40">
        <f>Source!I174</f>
        <v>2</v>
      </c>
      <c r="F287" s="41">
        <f>Source!AL174</f>
        <v>249.35999999999999</v>
      </c>
      <c r="G287" s="42" t="s">
        <v>3</v>
      </c>
      <c r="H287" s="40">
        <f>Source!AW175</f>
        <v>1</v>
      </c>
      <c r="I287" s="41">
        <f>Source!P174</f>
        <v>498.72</v>
      </c>
      <c r="J287" s="40">
        <f>IF(Source!BC175&lt;&gt; 0, Source!BC175, 1)</f>
        <v>9.84</v>
      </c>
      <c r="K287" s="41">
        <f>Source!P175</f>
        <v>4907.3999999999996</v>
      </c>
      <c r="Q287">
        <f>Source!X174</f>
        <v>0</v>
      </c>
      <c r="R287">
        <f>Source!X175</f>
        <v>0</v>
      </c>
      <c r="S287">
        <f>Source!Y174</f>
        <v>0</v>
      </c>
      <c r="T287">
        <f>Source!Y175</f>
        <v>0</v>
      </c>
      <c r="U287">
        <f>ROUND((175/100)*ROUND(Source!R174, 2), 2)</f>
        <v>0</v>
      </c>
      <c r="V287">
        <f>ROUND((0/100)*ROUND(Source!R175, 2), 2)</f>
        <v>0</v>
      </c>
      <c r="AC287">
        <v>3</v>
      </c>
    </row>
    <row r="288" spans="1:29" ht="14" x14ac:dyDescent="0.25">
      <c r="C288" s="43" t="s">
        <v>464</v>
      </c>
      <c r="H288" s="69">
        <f>I287+0</f>
        <v>498.72</v>
      </c>
      <c r="I288" s="69"/>
      <c r="J288" s="69">
        <f>K287+0</f>
        <v>4907.3999999999996</v>
      </c>
      <c r="K288" s="69"/>
      <c r="O288" s="44">
        <f>I287+0</f>
        <v>498.72</v>
      </c>
      <c r="P288" s="44">
        <f>K287+0</f>
        <v>4907.3999999999996</v>
      </c>
    </row>
    <row r="291" spans="1:43" ht="14" x14ac:dyDescent="0.3">
      <c r="A291" s="68" t="str">
        <f>CONCATENATE("Итого по разделу: ",IF(Source!G177&lt;&gt;"Новый раздел", Source!G177, ""))</f>
        <v>Итого по разделу: Кабельные изделия и кабеленесущие конструкции</v>
      </c>
      <c r="B291" s="68"/>
      <c r="C291" s="68"/>
      <c r="D291" s="68"/>
      <c r="E291" s="68"/>
      <c r="F291" s="68"/>
      <c r="G291" s="68"/>
      <c r="H291" s="66">
        <f>SUM(O264:O290)</f>
        <v>14044.609999999999</v>
      </c>
      <c r="I291" s="67"/>
      <c r="J291" s="66">
        <f>SUM(P264:P290)</f>
        <v>225150.69999999998</v>
      </c>
      <c r="K291" s="67"/>
      <c r="AQ291" s="45" t="str">
        <f>CONCATENATE("Итого по разделу: ",IF(Source!G177&lt;&gt;"Новый раздел", Source!G177, ""))</f>
        <v>Итого по разделу: Кабельные изделия и кабеленесущие конструкции</v>
      </c>
    </row>
    <row r="292" spans="1:43" hidden="1" x14ac:dyDescent="0.25">
      <c r="A292" t="s">
        <v>465</v>
      </c>
      <c r="I292">
        <f>SUM(W264:W291)</f>
        <v>0</v>
      </c>
      <c r="J292">
        <f>SUM(X264:X291)</f>
        <v>0</v>
      </c>
    </row>
    <row r="293" spans="1:43" hidden="1" x14ac:dyDescent="0.25">
      <c r="A293" t="s">
        <v>466</v>
      </c>
      <c r="I293">
        <f>SUM(Y264:Y292)</f>
        <v>0</v>
      </c>
      <c r="J293">
        <f>SUM(Z264:Z292)</f>
        <v>0</v>
      </c>
    </row>
    <row r="295" spans="1:43" ht="16.5" x14ac:dyDescent="0.25">
      <c r="A295" s="70" t="str">
        <f>CONCATENATE("Раздел: ",IF(Source!G207&lt;&gt;"Новый раздел", Source!G207, ""))</f>
        <v>Раздел: Исполнительные устройства</v>
      </c>
      <c r="B295" s="70"/>
      <c r="C295" s="70"/>
      <c r="D295" s="70"/>
      <c r="E295" s="70"/>
      <c r="F295" s="70"/>
      <c r="G295" s="70"/>
      <c r="H295" s="70"/>
      <c r="I295" s="70"/>
      <c r="J295" s="70"/>
      <c r="K295" s="70"/>
    </row>
    <row r="296" spans="1:43" ht="28" x14ac:dyDescent="0.25">
      <c r="A296" s="30">
        <v>25</v>
      </c>
      <c r="B296" s="30" t="str">
        <f>Source!F211</f>
        <v>4.11-16-1</v>
      </c>
      <c r="C296" s="30" t="s">
        <v>234</v>
      </c>
      <c r="D296" s="32" t="str">
        <f>Source!H211</f>
        <v>1  ШТ.</v>
      </c>
      <c r="E296" s="31">
        <f>Source!I211</f>
        <v>27</v>
      </c>
      <c r="F296" s="34"/>
      <c r="G296" s="33"/>
      <c r="H296" s="31"/>
      <c r="I296" s="34"/>
      <c r="J296" s="31"/>
      <c r="K296" s="34"/>
      <c r="Q296">
        <f>Source!X211</f>
        <v>273.86</v>
      </c>
      <c r="R296">
        <f>Source!X212</f>
        <v>15432.07</v>
      </c>
      <c r="S296">
        <f>Source!Y211</f>
        <v>139.97</v>
      </c>
      <c r="T296">
        <f>Source!Y212</f>
        <v>7887.5</v>
      </c>
      <c r="U296">
        <f>ROUND((175/100)*ROUND(Source!R211, 2), 2)</f>
        <v>187.6</v>
      </c>
      <c r="V296">
        <f>ROUND((0/100)*ROUND(Source!R212, 2), 2)</f>
        <v>0</v>
      </c>
      <c r="AC296">
        <v>0</v>
      </c>
    </row>
    <row r="297" spans="1:43" ht="14.5" x14ac:dyDescent="0.25">
      <c r="A297" s="30"/>
      <c r="B297" s="30"/>
      <c r="C297" s="30" t="s">
        <v>453</v>
      </c>
      <c r="D297" s="32"/>
      <c r="E297" s="31"/>
      <c r="F297" s="34">
        <f>Source!AO211</f>
        <v>5.81</v>
      </c>
      <c r="G297" s="36" t="s">
        <v>148</v>
      </c>
      <c r="H297" s="31">
        <f>Source!AV212</f>
        <v>1.0469999999999999</v>
      </c>
      <c r="I297" s="34">
        <f>Source!S211</f>
        <v>197.09</v>
      </c>
      <c r="J297" s="31">
        <f>IF(Source!BA212&lt;&gt; 0, Source!BA212, 1)</f>
        <v>56.35</v>
      </c>
      <c r="K297" s="34">
        <f>Source!S212</f>
        <v>11106.02</v>
      </c>
    </row>
    <row r="298" spans="1:43" ht="14.5" x14ac:dyDescent="0.25">
      <c r="A298" s="30"/>
      <c r="B298" s="30"/>
      <c r="C298" s="30" t="s">
        <v>455</v>
      </c>
      <c r="D298" s="32"/>
      <c r="E298" s="31"/>
      <c r="F298" s="34">
        <f>Source!AM211</f>
        <v>28.19</v>
      </c>
      <c r="G298" s="36" t="s">
        <v>148</v>
      </c>
      <c r="H298" s="31">
        <f>Source!AV212</f>
        <v>1.0469999999999999</v>
      </c>
      <c r="I298" s="34">
        <f>Source!Q211</f>
        <v>956.28</v>
      </c>
      <c r="J298" s="31">
        <f>IF(Source!BB212&lt;&gt; 0, Source!BB212, 1)</f>
        <v>15.53</v>
      </c>
      <c r="K298" s="34">
        <f>Source!Q212</f>
        <v>14851.03</v>
      </c>
    </row>
    <row r="299" spans="1:43" ht="14.5" x14ac:dyDescent="0.25">
      <c r="A299" s="30"/>
      <c r="B299" s="30"/>
      <c r="C299" s="30" t="s">
        <v>456</v>
      </c>
      <c r="D299" s="32"/>
      <c r="E299" s="31"/>
      <c r="F299" s="34">
        <f>Source!AN211</f>
        <v>3.16</v>
      </c>
      <c r="G299" s="36" t="s">
        <v>148</v>
      </c>
      <c r="H299" s="31">
        <f>Source!AV212</f>
        <v>1.0469999999999999</v>
      </c>
      <c r="I299" s="37">
        <f>Source!R211</f>
        <v>107.2</v>
      </c>
      <c r="J299" s="31">
        <f>IF(Source!BS212&lt;&gt; 0, Source!BS212, 1)</f>
        <v>56.35</v>
      </c>
      <c r="K299" s="37">
        <f>Source!R212</f>
        <v>6040.72</v>
      </c>
    </row>
    <row r="300" spans="1:43" ht="56" x14ac:dyDescent="0.25">
      <c r="A300" s="30" t="s">
        <v>235</v>
      </c>
      <c r="B300" s="30" t="str">
        <f>Source!F213</f>
        <v>1.1-1-8146</v>
      </c>
      <c r="C300" s="30" t="s">
        <v>237</v>
      </c>
      <c r="D300" s="32" t="str">
        <f>Source!H213</f>
        <v>кг</v>
      </c>
      <c r="E300" s="31">
        <f>Source!I213</f>
        <v>8.6400000000000001E-3</v>
      </c>
      <c r="F300" s="34">
        <f>Source!AK213</f>
        <v>31.08</v>
      </c>
      <c r="G300" s="36" t="s">
        <v>3</v>
      </c>
      <c r="H300" s="31">
        <f>Source!AW214</f>
        <v>1</v>
      </c>
      <c r="I300" s="34">
        <f>Source!O213</f>
        <v>0.27</v>
      </c>
      <c r="J300" s="31">
        <f>IF(Source!BC214&lt;&gt; 0, Source!BC214, 1)</f>
        <v>3.59</v>
      </c>
      <c r="K300" s="34">
        <f>Source!O214</f>
        <v>0.97</v>
      </c>
      <c r="Q300">
        <f>Source!X213</f>
        <v>0</v>
      </c>
      <c r="R300">
        <f>Source!X214</f>
        <v>0</v>
      </c>
      <c r="S300">
        <f>Source!Y213</f>
        <v>0</v>
      </c>
      <c r="T300">
        <f>Source!Y214</f>
        <v>0</v>
      </c>
      <c r="U300">
        <f>ROUND((175/100)*ROUND(Source!R213, 2), 2)</f>
        <v>0</v>
      </c>
      <c r="V300">
        <f>ROUND((0/100)*ROUND(Source!R214, 2), 2)</f>
        <v>0</v>
      </c>
      <c r="AC300">
        <v>3</v>
      </c>
    </row>
    <row r="301" spans="1:43" ht="68" x14ac:dyDescent="0.25">
      <c r="A301" s="46" t="s">
        <v>240</v>
      </c>
      <c r="B301" s="46" t="str">
        <f>Source!F215</f>
        <v>КА, п.12</v>
      </c>
      <c r="C301" s="46" t="s">
        <v>480</v>
      </c>
      <c r="D301" s="47" t="str">
        <f>Source!H215</f>
        <v>ШТ</v>
      </c>
      <c r="E301" s="48">
        <f>Source!I215</f>
        <v>27</v>
      </c>
      <c r="F301" s="49">
        <f>Source!AK215</f>
        <v>949.77</v>
      </c>
      <c r="G301" s="50" t="s">
        <v>3</v>
      </c>
      <c r="H301" s="48">
        <f>Source!AW216</f>
        <v>1</v>
      </c>
      <c r="I301" s="49">
        <f>Source!O215</f>
        <v>25643.79</v>
      </c>
      <c r="J301" s="48">
        <f>IF(Source!BC216&lt;&gt; 0, Source!BC216, 1)</f>
        <v>7.57</v>
      </c>
      <c r="K301" s="49">
        <f>Source!O216</f>
        <v>194123.49</v>
      </c>
      <c r="Q301">
        <f>Source!X215</f>
        <v>0</v>
      </c>
      <c r="R301">
        <f>Source!X216</f>
        <v>0</v>
      </c>
      <c r="S301">
        <f>Source!Y215</f>
        <v>0</v>
      </c>
      <c r="T301">
        <f>Source!Y216</f>
        <v>0</v>
      </c>
      <c r="U301">
        <f>ROUND((175/100)*ROUND(Source!R215, 2), 2)</f>
        <v>0</v>
      </c>
      <c r="V301">
        <f>ROUND((0/100)*ROUND(Source!R216, 2), 2)</f>
        <v>0</v>
      </c>
      <c r="AC301">
        <v>5</v>
      </c>
    </row>
    <row r="302" spans="1:43" ht="14.5" x14ac:dyDescent="0.25">
      <c r="A302" s="30"/>
      <c r="B302" s="30"/>
      <c r="C302" s="30" t="s">
        <v>457</v>
      </c>
      <c r="D302" s="32" t="s">
        <v>458</v>
      </c>
      <c r="E302" s="31">
        <f>Source!BZ212</f>
        <v>90</v>
      </c>
      <c r="F302" s="34"/>
      <c r="G302" s="33"/>
      <c r="H302" s="31"/>
      <c r="I302" s="34">
        <f>SUM(Q296:Q301)</f>
        <v>273.86</v>
      </c>
      <c r="J302" s="31">
        <f>Source!AT212</f>
        <v>90</v>
      </c>
      <c r="K302" s="34">
        <f>SUM(R296:R301)</f>
        <v>15432.07</v>
      </c>
    </row>
    <row r="303" spans="1:43" ht="14.5" x14ac:dyDescent="0.25">
      <c r="A303" s="30"/>
      <c r="B303" s="30"/>
      <c r="C303" s="30" t="s">
        <v>459</v>
      </c>
      <c r="D303" s="32" t="s">
        <v>458</v>
      </c>
      <c r="E303" s="31">
        <f>Source!CA212</f>
        <v>46</v>
      </c>
      <c r="F303" s="34"/>
      <c r="G303" s="33"/>
      <c r="H303" s="31"/>
      <c r="I303" s="34">
        <f>SUM(S296:S302)</f>
        <v>139.97</v>
      </c>
      <c r="J303" s="31">
        <f>Source!AU212</f>
        <v>46</v>
      </c>
      <c r="K303" s="34">
        <f>SUM(T296:T302)</f>
        <v>7887.5</v>
      </c>
    </row>
    <row r="304" spans="1:43" ht="14.5" x14ac:dyDescent="0.25">
      <c r="A304" s="38"/>
      <c r="B304" s="38"/>
      <c r="C304" s="38" t="s">
        <v>460</v>
      </c>
      <c r="D304" s="39" t="s">
        <v>461</v>
      </c>
      <c r="E304" s="40">
        <f>Source!AQ211</f>
        <v>0.52</v>
      </c>
      <c r="F304" s="41"/>
      <c r="G304" s="42" t="s">
        <v>148</v>
      </c>
      <c r="H304" s="40">
        <f>Source!AV212</f>
        <v>1.0469999999999999</v>
      </c>
      <c r="I304" s="41">
        <f>Source!U211</f>
        <v>17.639855999999998</v>
      </c>
      <c r="J304" s="40"/>
      <c r="K304" s="41"/>
    </row>
    <row r="305" spans="1:43" ht="14" x14ac:dyDescent="0.25">
      <c r="C305" s="43" t="s">
        <v>462</v>
      </c>
      <c r="H305" s="69">
        <f>I297+I298+I302+I303+SUM(I300:I301)-SUMIF(AC300:AC301, 5, I300:I301)-SUMIF(AC300:AC301, 6, I300:I301)</f>
        <v>1567.4700000000012</v>
      </c>
      <c r="I305" s="69"/>
      <c r="J305" s="69">
        <f>K297+K298+K302+K303+SUM(K300:K301)-SUMIF(AC300:AC301, 5, K300:K301)-SUMIF(AC300:AC301, 6, K300:K301)</f>
        <v>49277.59</v>
      </c>
      <c r="K305" s="69"/>
    </row>
    <row r="306" spans="1:43" ht="14" x14ac:dyDescent="0.25">
      <c r="C306" s="43" t="s">
        <v>463</v>
      </c>
      <c r="H306" s="66">
        <f>SUMIF(AC300:AC301, 5, I300:I301)+SUMIF(AC300:AC301, 6, I300:I301)</f>
        <v>25643.79</v>
      </c>
      <c r="I306" s="66"/>
      <c r="J306" s="66">
        <f>SUMIF(AC300:AC301, 5, K300:K301)+SUMIF(AC300:AC301, 6, K300:K301)</f>
        <v>194123.49</v>
      </c>
      <c r="K306" s="66"/>
    </row>
    <row r="307" spans="1:43" ht="14" x14ac:dyDescent="0.25">
      <c r="C307" s="43" t="s">
        <v>464</v>
      </c>
      <c r="H307" s="66">
        <f>I297+I298+I302+I303+SUM(I300:I301)</f>
        <v>27211.260000000002</v>
      </c>
      <c r="I307" s="66"/>
      <c r="J307" s="66">
        <f>K297+K298+K302+K303+SUM(K300:K301)</f>
        <v>243401.08</v>
      </c>
      <c r="K307" s="66"/>
      <c r="O307" s="44">
        <f>I297+I298+I302+I303+SUM(I300:I301)</f>
        <v>27211.260000000002</v>
      </c>
      <c r="P307" s="44">
        <f>K297+K298+K302+K303+SUM(K300:K301)</f>
        <v>243401.08</v>
      </c>
    </row>
    <row r="310" spans="1:43" ht="14" x14ac:dyDescent="0.3">
      <c r="A310" s="68" t="str">
        <f>CONCATENATE("Итого по разделу: ",IF(Source!G218&lt;&gt;"Новый раздел", Source!G218, ""))</f>
        <v>Итого по разделу: Исполнительные устройства</v>
      </c>
      <c r="B310" s="68"/>
      <c r="C310" s="68"/>
      <c r="D310" s="68"/>
      <c r="E310" s="68"/>
      <c r="F310" s="68"/>
      <c r="G310" s="68"/>
      <c r="H310" s="66">
        <f>SUM(O295:O309)</f>
        <v>27211.260000000002</v>
      </c>
      <c r="I310" s="67"/>
      <c r="J310" s="66">
        <f>SUM(P295:P309)</f>
        <v>243401.08</v>
      </c>
      <c r="K310" s="67"/>
    </row>
    <row r="311" spans="1:43" hidden="1" x14ac:dyDescent="0.25">
      <c r="A311" t="s">
        <v>465</v>
      </c>
      <c r="I311">
        <f>SUM(W295:W310)</f>
        <v>0</v>
      </c>
      <c r="J311">
        <f>SUM(X295:X310)</f>
        <v>0</v>
      </c>
    </row>
    <row r="312" spans="1:43" hidden="1" x14ac:dyDescent="0.25">
      <c r="A312" t="s">
        <v>466</v>
      </c>
      <c r="I312">
        <f>SUM(Y295:Y311)</f>
        <v>0</v>
      </c>
      <c r="J312">
        <f>SUM(Z295:Z311)</f>
        <v>0</v>
      </c>
    </row>
    <row r="314" spans="1:43" ht="14" x14ac:dyDescent="0.3">
      <c r="A314" s="68" t="str">
        <f>CONCATENATE("Итого по локальной смете: ",IF(Source!G248&lt;&gt;"Новая локальная смета", Source!G248, ""))</f>
        <v>Итого по локальной смете: Система контроля и управления доступом</v>
      </c>
      <c r="B314" s="68"/>
      <c r="C314" s="68"/>
      <c r="D314" s="68"/>
      <c r="E314" s="68"/>
      <c r="F314" s="68"/>
      <c r="G314" s="68"/>
      <c r="H314" s="66">
        <f>SUM(O36:O313)</f>
        <v>483511.55999999994</v>
      </c>
      <c r="I314" s="67"/>
      <c r="J314" s="66">
        <f>SUM(P36:P313)</f>
        <v>4335075.7999999989</v>
      </c>
      <c r="K314" s="67"/>
      <c r="AQ314" s="45" t="str">
        <f>CONCATENATE("Итого по локальной смете: ",IF(Source!G248&lt;&gt;"Новая локальная смета", Source!G248, ""))</f>
        <v>Итого по локальной смете: Система контроля и управления доступом</v>
      </c>
    </row>
    <row r="315" spans="1:43" hidden="1" x14ac:dyDescent="0.25">
      <c r="A315" t="s">
        <v>465</v>
      </c>
      <c r="I315">
        <f>SUM(W36:W314)</f>
        <v>0</v>
      </c>
      <c r="J315">
        <f>SUM(X36:X314)</f>
        <v>0</v>
      </c>
    </row>
    <row r="316" spans="1:43" hidden="1" x14ac:dyDescent="0.25">
      <c r="A316" t="s">
        <v>466</v>
      </c>
      <c r="I316">
        <f>SUM(Y36:Y315)</f>
        <v>0</v>
      </c>
      <c r="J316">
        <f>SUM(Z36:Z315)</f>
        <v>0</v>
      </c>
    </row>
    <row r="318" spans="1:43" ht="14" hidden="1" x14ac:dyDescent="0.3">
      <c r="A318" s="68" t="str">
        <f>CONCATENATE("Итого по смете: ",IF(Source!G278&lt;&gt;"Новый объект", Source!G278, ""))</f>
        <v>Итого по смете: 02-01-15 СКУД 16.07.26</v>
      </c>
      <c r="B318" s="68"/>
      <c r="C318" s="68"/>
      <c r="D318" s="68"/>
      <c r="E318" s="68"/>
      <c r="F318" s="68"/>
      <c r="G318" s="68"/>
      <c r="H318" s="66">
        <f>SUM(O1:O317)</f>
        <v>483511.55999999994</v>
      </c>
      <c r="I318" s="67"/>
      <c r="J318" s="66">
        <f>SUM(P1:P317)</f>
        <v>4335075.7999999989</v>
      </c>
      <c r="K318" s="67"/>
    </row>
    <row r="319" spans="1:43" hidden="1" x14ac:dyDescent="0.25">
      <c r="A319" t="s">
        <v>465</v>
      </c>
      <c r="I319">
        <f>SUM(W1:W318)</f>
        <v>0</v>
      </c>
      <c r="J319">
        <f>SUM(X1:X318)</f>
        <v>0</v>
      </c>
    </row>
    <row r="320" spans="1:43" hidden="1" x14ac:dyDescent="0.25">
      <c r="A320" t="s">
        <v>466</v>
      </c>
      <c r="I320">
        <f>SUM(Y1:Y319)</f>
        <v>0</v>
      </c>
      <c r="J320">
        <f>SUM(Z1:Z319)</f>
        <v>0</v>
      </c>
    </row>
    <row r="323" spans="1:11" ht="14" x14ac:dyDescent="0.3">
      <c r="A323" s="63" t="s">
        <v>482</v>
      </c>
      <c r="B323" s="63"/>
      <c r="C323" s="60" t="s">
        <v>486</v>
      </c>
      <c r="D323" s="60"/>
      <c r="E323" s="60"/>
      <c r="F323" s="60"/>
      <c r="G323" s="60"/>
      <c r="H323" s="64" t="s">
        <v>487</v>
      </c>
      <c r="I323" s="64"/>
      <c r="J323" s="64"/>
      <c r="K323" s="64"/>
    </row>
    <row r="324" spans="1:11" ht="14" x14ac:dyDescent="0.3">
      <c r="A324" s="17"/>
      <c r="B324" s="17"/>
      <c r="C324" s="65" t="s">
        <v>483</v>
      </c>
      <c r="D324" s="65"/>
      <c r="E324" s="65"/>
      <c r="F324" s="65"/>
      <c r="G324" s="65"/>
      <c r="H324" s="17"/>
      <c r="I324" s="17"/>
      <c r="J324" s="17"/>
      <c r="K324" s="17"/>
    </row>
    <row r="325" spans="1:11" ht="14" x14ac:dyDescent="0.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</row>
    <row r="326" spans="1:11" ht="14" x14ac:dyDescent="0.3">
      <c r="A326" s="63" t="s">
        <v>484</v>
      </c>
      <c r="B326" s="63"/>
      <c r="C326" s="60" t="s">
        <v>488</v>
      </c>
      <c r="D326" s="60"/>
      <c r="E326" s="60"/>
      <c r="F326" s="60"/>
      <c r="G326" s="60"/>
      <c r="H326" s="64" t="s">
        <v>489</v>
      </c>
      <c r="I326" s="64"/>
      <c r="J326" s="64"/>
      <c r="K326" s="64"/>
    </row>
    <row r="327" spans="1:11" ht="14" x14ac:dyDescent="0.3">
      <c r="A327" s="17"/>
      <c r="B327" s="17"/>
      <c r="C327" s="65" t="s">
        <v>483</v>
      </c>
      <c r="D327" s="65"/>
      <c r="E327" s="65"/>
      <c r="F327" s="65"/>
      <c r="G327" s="65"/>
      <c r="H327" s="17"/>
      <c r="I327" s="17"/>
      <c r="J327" s="17"/>
      <c r="K327" s="17"/>
    </row>
  </sheetData>
  <mergeCells count="184">
    <mergeCell ref="A15:K15"/>
    <mergeCell ref="A16:K16"/>
    <mergeCell ref="A18:K18"/>
    <mergeCell ref="E21:H21"/>
    <mergeCell ref="E22:H22"/>
    <mergeCell ref="E23:H23"/>
    <mergeCell ref="B7:E7"/>
    <mergeCell ref="G7:K7"/>
    <mergeCell ref="J2:K2"/>
    <mergeCell ref="A10:K10"/>
    <mergeCell ref="A11:K11"/>
    <mergeCell ref="A13:K13"/>
    <mergeCell ref="B3:E3"/>
    <mergeCell ref="G3:K3"/>
    <mergeCell ref="B4:E4"/>
    <mergeCell ref="G4:K4"/>
    <mergeCell ref="B6:E6"/>
    <mergeCell ref="G6:K6"/>
    <mergeCell ref="A32:K32"/>
    <mergeCell ref="A36:K36"/>
    <mergeCell ref="A38:K38"/>
    <mergeCell ref="H47:I47"/>
    <mergeCell ref="J47:K47"/>
    <mergeCell ref="H48:I48"/>
    <mergeCell ref="J48:K48"/>
    <mergeCell ref="E24:H24"/>
    <mergeCell ref="E25:H25"/>
    <mergeCell ref="E26:H26"/>
    <mergeCell ref="E27:H27"/>
    <mergeCell ref="E28:H28"/>
    <mergeCell ref="E29:H29"/>
    <mergeCell ref="H58:I58"/>
    <mergeCell ref="J58:K58"/>
    <mergeCell ref="H65:I65"/>
    <mergeCell ref="J65:K65"/>
    <mergeCell ref="H66:I66"/>
    <mergeCell ref="J66:K66"/>
    <mergeCell ref="H49:I49"/>
    <mergeCell ref="J49:K49"/>
    <mergeCell ref="H56:I56"/>
    <mergeCell ref="J56:K56"/>
    <mergeCell ref="H57:I57"/>
    <mergeCell ref="J57:K57"/>
    <mergeCell ref="H79:I79"/>
    <mergeCell ref="J79:K79"/>
    <mergeCell ref="H86:I86"/>
    <mergeCell ref="J86:K86"/>
    <mergeCell ref="H87:I87"/>
    <mergeCell ref="J87:K87"/>
    <mergeCell ref="H67:I67"/>
    <mergeCell ref="J67:K67"/>
    <mergeCell ref="H77:I77"/>
    <mergeCell ref="J77:K77"/>
    <mergeCell ref="H78:I78"/>
    <mergeCell ref="J78:K78"/>
    <mergeCell ref="H100:I100"/>
    <mergeCell ref="J100:K100"/>
    <mergeCell ref="H110:I110"/>
    <mergeCell ref="J110:K110"/>
    <mergeCell ref="H111:I111"/>
    <mergeCell ref="J111:K111"/>
    <mergeCell ref="H88:I88"/>
    <mergeCell ref="J88:K88"/>
    <mergeCell ref="H98:I98"/>
    <mergeCell ref="J98:K98"/>
    <mergeCell ref="H99:I99"/>
    <mergeCell ref="J99:K99"/>
    <mergeCell ref="H123:I123"/>
    <mergeCell ref="J123:K123"/>
    <mergeCell ref="H131:I131"/>
    <mergeCell ref="J131:K131"/>
    <mergeCell ref="H132:I132"/>
    <mergeCell ref="J132:K132"/>
    <mergeCell ref="H112:I112"/>
    <mergeCell ref="J112:K112"/>
    <mergeCell ref="H121:I121"/>
    <mergeCell ref="J121:K121"/>
    <mergeCell ref="H122:I122"/>
    <mergeCell ref="J122:K122"/>
    <mergeCell ref="A158:G158"/>
    <mergeCell ref="A162:K162"/>
    <mergeCell ref="H144:I144"/>
    <mergeCell ref="J144:K144"/>
    <mergeCell ref="H153:I153"/>
    <mergeCell ref="J153:K153"/>
    <mergeCell ref="H154:I154"/>
    <mergeCell ref="J154:K154"/>
    <mergeCell ref="H133:I133"/>
    <mergeCell ref="J133:K133"/>
    <mergeCell ref="H142:I142"/>
    <mergeCell ref="J142:K142"/>
    <mergeCell ref="H143:I143"/>
    <mergeCell ref="J143:K143"/>
    <mergeCell ref="H173:I173"/>
    <mergeCell ref="J173:K173"/>
    <mergeCell ref="H174:I174"/>
    <mergeCell ref="J174:K174"/>
    <mergeCell ref="H175:I175"/>
    <mergeCell ref="J175:K175"/>
    <mergeCell ref="H155:I155"/>
    <mergeCell ref="J155:K155"/>
    <mergeCell ref="J158:K158"/>
    <mergeCell ref="H158:I158"/>
    <mergeCell ref="H188:I188"/>
    <mergeCell ref="J188:K188"/>
    <mergeCell ref="H191:I191"/>
    <mergeCell ref="J191:K191"/>
    <mergeCell ref="H203:I203"/>
    <mergeCell ref="J203:K203"/>
    <mergeCell ref="H183:I183"/>
    <mergeCell ref="J183:K183"/>
    <mergeCell ref="H184:I184"/>
    <mergeCell ref="J184:K184"/>
    <mergeCell ref="H185:I185"/>
    <mergeCell ref="J185:K185"/>
    <mergeCell ref="H215:I215"/>
    <mergeCell ref="J215:K215"/>
    <mergeCell ref="H216:I216"/>
    <mergeCell ref="J216:K216"/>
    <mergeCell ref="H228:I228"/>
    <mergeCell ref="J228:K228"/>
    <mergeCell ref="H204:I204"/>
    <mergeCell ref="J204:K204"/>
    <mergeCell ref="H205:I205"/>
    <mergeCell ref="J205:K205"/>
    <mergeCell ref="H214:I214"/>
    <mergeCell ref="J214:K214"/>
    <mergeCell ref="H243:I243"/>
    <mergeCell ref="J243:K243"/>
    <mergeCell ref="H244:I244"/>
    <mergeCell ref="J244:K244"/>
    <mergeCell ref="H255:I255"/>
    <mergeCell ref="J255:K255"/>
    <mergeCell ref="H229:I229"/>
    <mergeCell ref="J229:K229"/>
    <mergeCell ref="H230:I230"/>
    <mergeCell ref="J230:K230"/>
    <mergeCell ref="H242:I242"/>
    <mergeCell ref="J242:K242"/>
    <mergeCell ref="A260:G260"/>
    <mergeCell ref="A264:K264"/>
    <mergeCell ref="H275:I275"/>
    <mergeCell ref="J275:K275"/>
    <mergeCell ref="H276:I276"/>
    <mergeCell ref="J276:K276"/>
    <mergeCell ref="H256:I256"/>
    <mergeCell ref="J256:K256"/>
    <mergeCell ref="H257:I257"/>
    <mergeCell ref="J257:K257"/>
    <mergeCell ref="J260:K260"/>
    <mergeCell ref="H260:I260"/>
    <mergeCell ref="H288:I288"/>
    <mergeCell ref="J288:K288"/>
    <mergeCell ref="J291:K291"/>
    <mergeCell ref="H291:I291"/>
    <mergeCell ref="A291:G291"/>
    <mergeCell ref="A295:K295"/>
    <mergeCell ref="H277:I277"/>
    <mergeCell ref="J277:K277"/>
    <mergeCell ref="H281:I281"/>
    <mergeCell ref="J281:K281"/>
    <mergeCell ref="H285:I285"/>
    <mergeCell ref="J285:K285"/>
    <mergeCell ref="J310:K310"/>
    <mergeCell ref="H310:I310"/>
    <mergeCell ref="A310:G310"/>
    <mergeCell ref="J314:K314"/>
    <mergeCell ref="H314:I314"/>
    <mergeCell ref="A314:G314"/>
    <mergeCell ref="H305:I305"/>
    <mergeCell ref="J305:K305"/>
    <mergeCell ref="H306:I306"/>
    <mergeCell ref="J306:K306"/>
    <mergeCell ref="H307:I307"/>
    <mergeCell ref="J307:K307"/>
    <mergeCell ref="A326:B326"/>
    <mergeCell ref="H326:K326"/>
    <mergeCell ref="C327:G327"/>
    <mergeCell ref="J318:K318"/>
    <mergeCell ref="H318:I318"/>
    <mergeCell ref="A318:G318"/>
    <mergeCell ref="A323:B323"/>
    <mergeCell ref="H323:K323"/>
    <mergeCell ref="C324:G324"/>
  </mergeCells>
  <pageMargins left="0.4" right="0.2" top="0.2" bottom="0.4" header="0.2" footer="0.2"/>
  <pageSetup paperSize="9" scale="72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325"/>
  <sheetViews>
    <sheetView workbookViewId="0">
      <selection activeCell="A321" sqref="A321:AX321"/>
    </sheetView>
  </sheetViews>
  <sheetFormatPr defaultColWidth="9.1796875" defaultRowHeight="12.5" x14ac:dyDescent="0.25"/>
  <cols>
    <col min="1" max="256" width="9.1796875" style="3" customWidth="1"/>
    <col min="257" max="16384" width="9.1796875" style="3"/>
  </cols>
  <sheetData>
    <row r="1" spans="1:133" x14ac:dyDescent="0.25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74599</v>
      </c>
      <c r="M1" s="3">
        <v>10</v>
      </c>
      <c r="N1" s="3">
        <v>12</v>
      </c>
      <c r="O1" s="3">
        <v>1</v>
      </c>
      <c r="P1" s="3">
        <v>0</v>
      </c>
      <c r="Q1" s="3">
        <v>5</v>
      </c>
    </row>
    <row r="4" spans="1:133" ht="13" x14ac:dyDescent="0.3">
      <c r="A4" s="10">
        <v>1</v>
      </c>
      <c r="B4" s="10">
        <v>1</v>
      </c>
      <c r="C4" s="10">
        <v>-1</v>
      </c>
      <c r="D4" s="10"/>
      <c r="E4" s="10"/>
      <c r="F4" s="10"/>
      <c r="G4" s="10" t="s">
        <v>4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5" spans="1:133" ht="13" x14ac:dyDescent="0.3">
      <c r="A5" s="10">
        <v>8</v>
      </c>
      <c r="B5" s="10">
        <v>1</v>
      </c>
      <c r="C5" s="10">
        <v>-1</v>
      </c>
      <c r="D5" s="10"/>
      <c r="E5" s="10"/>
      <c r="F5" s="10"/>
      <c r="G5" s="10" t="s">
        <v>4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>
        <v>0</v>
      </c>
    </row>
    <row r="12" spans="1:133" ht="13" x14ac:dyDescent="0.3">
      <c r="A12" s="10">
        <v>1</v>
      </c>
      <c r="B12" s="10">
        <v>317</v>
      </c>
      <c r="C12" s="10">
        <v>0</v>
      </c>
      <c r="D12" s="10">
        <f>ROW(A278)</f>
        <v>278</v>
      </c>
      <c r="E12" s="10">
        <v>0</v>
      </c>
      <c r="F12" s="10" t="s">
        <v>5</v>
      </c>
      <c r="G12" s="10" t="s">
        <v>6</v>
      </c>
      <c r="H12" s="10" t="s">
        <v>3</v>
      </c>
      <c r="I12" s="10">
        <v>0</v>
      </c>
      <c r="J12" s="10" t="s">
        <v>7</v>
      </c>
      <c r="K12" s="10">
        <v>0</v>
      </c>
      <c r="L12" s="10">
        <v>0</v>
      </c>
      <c r="M12" s="10">
        <v>4098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3</v>
      </c>
      <c r="V12" s="10">
        <v>0</v>
      </c>
      <c r="W12" s="10" t="s">
        <v>3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3</v>
      </c>
      <c r="AC12" s="10" t="s">
        <v>3</v>
      </c>
      <c r="AD12" s="10" t="s">
        <v>3</v>
      </c>
      <c r="AE12" s="10" t="s">
        <v>3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8</v>
      </c>
      <c r="BI12" s="10" t="s">
        <v>9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10</v>
      </c>
      <c r="BZ12" s="10" t="s">
        <v>11</v>
      </c>
      <c r="CA12" s="10" t="s">
        <v>12</v>
      </c>
      <c r="CB12" s="10" t="s">
        <v>12</v>
      </c>
      <c r="CC12" s="10" t="s">
        <v>12</v>
      </c>
      <c r="CD12" s="10" t="s">
        <v>12</v>
      </c>
      <c r="CE12" s="10" t="s">
        <v>13</v>
      </c>
      <c r="CF12" s="10">
        <v>0</v>
      </c>
      <c r="CG12" s="10">
        <v>0</v>
      </c>
      <c r="CH12" s="10">
        <v>8200</v>
      </c>
      <c r="CI12" s="10" t="s">
        <v>3</v>
      </c>
      <c r="CJ12" s="10" t="s">
        <v>3</v>
      </c>
      <c r="CK12" s="10">
        <v>82</v>
      </c>
      <c r="CL12" s="10"/>
      <c r="CM12" s="10"/>
      <c r="CN12" s="10"/>
      <c r="CO12" s="10"/>
      <c r="CP12" s="10"/>
      <c r="CQ12" s="10" t="s">
        <v>14</v>
      </c>
      <c r="CR12" s="10" t="s">
        <v>15</v>
      </c>
      <c r="CS12" s="10">
        <v>41660</v>
      </c>
      <c r="CT12" s="10">
        <v>1</v>
      </c>
      <c r="CU12" s="10">
        <v>81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ht="13" x14ac:dyDescent="0.3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ht="13" x14ac:dyDescent="0.3">
      <c r="A18" s="11">
        <v>52</v>
      </c>
      <c r="B18" s="11">
        <f t="shared" ref="B18:G18" si="0">B278</f>
        <v>317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>02-01-15</v>
      </c>
      <c r="G18" s="11" t="str">
        <f t="shared" si="0"/>
        <v>02-01-15 СКУД 16.07.26</v>
      </c>
      <c r="H18" s="11"/>
      <c r="I18" s="11"/>
      <c r="J18" s="11"/>
      <c r="K18" s="11"/>
      <c r="L18" s="11"/>
      <c r="M18" s="11"/>
      <c r="N18" s="11"/>
      <c r="O18" s="11">
        <f t="shared" ref="O18:AT18" si="1">O278</f>
        <v>475835.53</v>
      </c>
      <c r="P18" s="11">
        <f t="shared" si="1"/>
        <v>469082.56</v>
      </c>
      <c r="Q18" s="11">
        <f t="shared" si="1"/>
        <v>1297.17</v>
      </c>
      <c r="R18" s="11">
        <f t="shared" si="1"/>
        <v>144.85</v>
      </c>
      <c r="S18" s="11">
        <f t="shared" si="1"/>
        <v>5455.8</v>
      </c>
      <c r="T18" s="11">
        <f t="shared" si="1"/>
        <v>0</v>
      </c>
      <c r="U18" s="11">
        <f t="shared" si="1"/>
        <v>399.26218428000004</v>
      </c>
      <c r="V18" s="11">
        <f t="shared" si="1"/>
        <v>0</v>
      </c>
      <c r="W18" s="11">
        <f t="shared" si="1"/>
        <v>0</v>
      </c>
      <c r="X18" s="11">
        <f t="shared" si="1"/>
        <v>5064.8</v>
      </c>
      <c r="Y18" s="11">
        <f t="shared" si="1"/>
        <v>2611.23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457108.89</v>
      </c>
      <c r="AQ18" s="11">
        <f t="shared" si="1"/>
        <v>0</v>
      </c>
      <c r="AR18" s="11">
        <f t="shared" si="1"/>
        <v>483511.56</v>
      </c>
      <c r="AS18" s="11">
        <f t="shared" si="1"/>
        <v>412.71</v>
      </c>
      <c r="AT18" s="11">
        <f t="shared" si="1"/>
        <v>25989.96</v>
      </c>
      <c r="AU18" s="11">
        <f t="shared" ref="AU18:BZ18" si="2">AU278</f>
        <v>0</v>
      </c>
      <c r="AV18" s="11">
        <f t="shared" si="2"/>
        <v>469082.56</v>
      </c>
      <c r="AW18" s="11">
        <f t="shared" si="2"/>
        <v>11973.67</v>
      </c>
      <c r="AX18" s="11">
        <f t="shared" si="2"/>
        <v>0</v>
      </c>
      <c r="AY18" s="11">
        <f t="shared" si="2"/>
        <v>11973.67</v>
      </c>
      <c r="AZ18" s="11">
        <f t="shared" si="2"/>
        <v>457108.89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CA278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DG278</f>
        <v>3902531.87</v>
      </c>
      <c r="DH18" s="12">
        <f t="shared" si="4"/>
        <v>3575004.92</v>
      </c>
      <c r="DI18" s="12">
        <f t="shared" si="4"/>
        <v>20092.62</v>
      </c>
      <c r="DJ18" s="12">
        <f t="shared" si="4"/>
        <v>8162.32</v>
      </c>
      <c r="DK18" s="12">
        <f t="shared" si="4"/>
        <v>307434.33</v>
      </c>
      <c r="DL18" s="12">
        <f t="shared" si="4"/>
        <v>0</v>
      </c>
      <c r="DM18" s="12">
        <f t="shared" si="4"/>
        <v>399.26218428000004</v>
      </c>
      <c r="DN18" s="12">
        <f t="shared" si="4"/>
        <v>0</v>
      </c>
      <c r="DO18" s="12">
        <f t="shared" si="4"/>
        <v>0</v>
      </c>
      <c r="DP18" s="12">
        <f t="shared" si="4"/>
        <v>285401.19</v>
      </c>
      <c r="DQ18" s="12">
        <f t="shared" si="4"/>
        <v>147142.74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3468623.06</v>
      </c>
      <c r="EI18" s="12">
        <f t="shared" si="4"/>
        <v>0</v>
      </c>
      <c r="EJ18" s="12">
        <f t="shared" si="4"/>
        <v>4335075.8</v>
      </c>
      <c r="EK18" s="12">
        <f t="shared" si="4"/>
        <v>23255.94</v>
      </c>
      <c r="EL18" s="12">
        <f t="shared" si="4"/>
        <v>843196.8</v>
      </c>
      <c r="EM18" s="12">
        <f t="shared" ref="EM18:FR18" si="5">EM278</f>
        <v>0</v>
      </c>
      <c r="EN18" s="12">
        <f t="shared" si="5"/>
        <v>3575004.92</v>
      </c>
      <c r="EO18" s="12">
        <f t="shared" si="5"/>
        <v>106381.86</v>
      </c>
      <c r="EP18" s="12">
        <f t="shared" si="5"/>
        <v>0</v>
      </c>
      <c r="EQ18" s="12">
        <f t="shared" si="5"/>
        <v>106381.86</v>
      </c>
      <c r="ER18" s="12">
        <f t="shared" si="5"/>
        <v>3468623.06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FS278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ht="13" x14ac:dyDescent="0.3">
      <c r="A20" s="10">
        <v>3</v>
      </c>
      <c r="B20" s="10">
        <v>1</v>
      </c>
      <c r="C20" s="10"/>
      <c r="D20" s="10">
        <f>ROW(A248)</f>
        <v>248</v>
      </c>
      <c r="E20" s="10"/>
      <c r="F20" s="10" t="s">
        <v>5</v>
      </c>
      <c r="G20" s="10" t="s">
        <v>16</v>
      </c>
      <c r="H20" s="10" t="s">
        <v>3</v>
      </c>
      <c r="I20" s="10">
        <v>0</v>
      </c>
      <c r="J20" s="10" t="s">
        <v>7</v>
      </c>
      <c r="K20" s="10">
        <v>-1</v>
      </c>
      <c r="L20" s="10" t="s">
        <v>5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0</v>
      </c>
      <c r="W20" s="10"/>
      <c r="X20" s="10"/>
      <c r="Y20" s="10"/>
      <c r="Z20" s="10"/>
      <c r="AA20" s="10"/>
      <c r="AB20" s="10" t="s">
        <v>3</v>
      </c>
      <c r="AC20" s="10" t="s">
        <v>3</v>
      </c>
      <c r="AD20" s="10" t="s">
        <v>3</v>
      </c>
      <c r="AE20" s="10" t="s">
        <v>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ht="13" x14ac:dyDescent="0.3">
      <c r="A22" s="11">
        <v>52</v>
      </c>
      <c r="B22" s="11">
        <f t="shared" ref="B22:G22" si="7">B248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02-01-15</v>
      </c>
      <c r="G22" s="11" t="str">
        <f t="shared" si="7"/>
        <v>Система контроля и управления доступом</v>
      </c>
      <c r="H22" s="11"/>
      <c r="I22" s="11"/>
      <c r="J22" s="11"/>
      <c r="K22" s="11"/>
      <c r="L22" s="11"/>
      <c r="M22" s="11"/>
      <c r="N22" s="11"/>
      <c r="O22" s="11">
        <f t="shared" ref="O22:AT22" si="8">O248</f>
        <v>475835.53</v>
      </c>
      <c r="P22" s="11">
        <f t="shared" si="8"/>
        <v>469082.56</v>
      </c>
      <c r="Q22" s="11">
        <f t="shared" si="8"/>
        <v>1297.17</v>
      </c>
      <c r="R22" s="11">
        <f t="shared" si="8"/>
        <v>144.85</v>
      </c>
      <c r="S22" s="11">
        <f t="shared" si="8"/>
        <v>5455.8</v>
      </c>
      <c r="T22" s="11">
        <f t="shared" si="8"/>
        <v>0</v>
      </c>
      <c r="U22" s="11">
        <f t="shared" si="8"/>
        <v>399.26218428000004</v>
      </c>
      <c r="V22" s="11">
        <f t="shared" si="8"/>
        <v>0</v>
      </c>
      <c r="W22" s="11">
        <f t="shared" si="8"/>
        <v>0</v>
      </c>
      <c r="X22" s="11">
        <f t="shared" si="8"/>
        <v>5064.8</v>
      </c>
      <c r="Y22" s="11">
        <f t="shared" si="8"/>
        <v>2611.23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457108.89</v>
      </c>
      <c r="AQ22" s="11">
        <f t="shared" si="8"/>
        <v>0</v>
      </c>
      <c r="AR22" s="11">
        <f t="shared" si="8"/>
        <v>483511.56</v>
      </c>
      <c r="AS22" s="11">
        <f t="shared" si="8"/>
        <v>412.71</v>
      </c>
      <c r="AT22" s="11">
        <f t="shared" si="8"/>
        <v>25989.96</v>
      </c>
      <c r="AU22" s="11">
        <f t="shared" ref="AU22:BZ22" si="9">AU248</f>
        <v>0</v>
      </c>
      <c r="AV22" s="11">
        <f t="shared" si="9"/>
        <v>469082.56</v>
      </c>
      <c r="AW22" s="11">
        <f t="shared" si="9"/>
        <v>11973.67</v>
      </c>
      <c r="AX22" s="11">
        <f t="shared" si="9"/>
        <v>0</v>
      </c>
      <c r="AY22" s="11">
        <f t="shared" si="9"/>
        <v>11973.67</v>
      </c>
      <c r="AZ22" s="11">
        <f t="shared" si="9"/>
        <v>457108.89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CA248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DG248</f>
        <v>3902531.87</v>
      </c>
      <c r="DH22" s="12">
        <f t="shared" si="11"/>
        <v>3575004.92</v>
      </c>
      <c r="DI22" s="12">
        <f t="shared" si="11"/>
        <v>20092.62</v>
      </c>
      <c r="DJ22" s="12">
        <f t="shared" si="11"/>
        <v>8162.32</v>
      </c>
      <c r="DK22" s="12">
        <f t="shared" si="11"/>
        <v>307434.33</v>
      </c>
      <c r="DL22" s="12">
        <f t="shared" si="11"/>
        <v>0</v>
      </c>
      <c r="DM22" s="12">
        <f t="shared" si="11"/>
        <v>399.26218428000004</v>
      </c>
      <c r="DN22" s="12">
        <f t="shared" si="11"/>
        <v>0</v>
      </c>
      <c r="DO22" s="12">
        <f t="shared" si="11"/>
        <v>0</v>
      </c>
      <c r="DP22" s="12">
        <f t="shared" si="11"/>
        <v>285401.19</v>
      </c>
      <c r="DQ22" s="12">
        <f t="shared" si="11"/>
        <v>147142.74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3468623.06</v>
      </c>
      <c r="EI22" s="12">
        <f t="shared" si="11"/>
        <v>0</v>
      </c>
      <c r="EJ22" s="12">
        <f t="shared" si="11"/>
        <v>4335075.8</v>
      </c>
      <c r="EK22" s="12">
        <f t="shared" si="11"/>
        <v>23255.94</v>
      </c>
      <c r="EL22" s="12">
        <f t="shared" si="11"/>
        <v>843196.8</v>
      </c>
      <c r="EM22" s="12">
        <f t="shared" ref="EM22:FR22" si="12">EM248</f>
        <v>0</v>
      </c>
      <c r="EN22" s="12">
        <f t="shared" si="12"/>
        <v>3575004.92</v>
      </c>
      <c r="EO22" s="12">
        <f t="shared" si="12"/>
        <v>106381.86</v>
      </c>
      <c r="EP22" s="12">
        <f t="shared" si="12"/>
        <v>0</v>
      </c>
      <c r="EQ22" s="12">
        <f t="shared" si="12"/>
        <v>106381.86</v>
      </c>
      <c r="ER22" s="12">
        <f t="shared" si="12"/>
        <v>3468623.06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FS248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ht="13" x14ac:dyDescent="0.3">
      <c r="A24" s="10">
        <v>4</v>
      </c>
      <c r="B24" s="10">
        <v>1</v>
      </c>
      <c r="C24" s="10"/>
      <c r="D24" s="10">
        <f>ROW(A55)</f>
        <v>55</v>
      </c>
      <c r="E24" s="10"/>
      <c r="F24" s="10" t="s">
        <v>17</v>
      </c>
      <c r="G24" s="10" t="s">
        <v>18</v>
      </c>
      <c r="H24" s="10" t="s">
        <v>3</v>
      </c>
      <c r="I24" s="10">
        <v>0</v>
      </c>
      <c r="J24" s="10"/>
      <c r="K24" s="10">
        <v>-1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0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ht="13" x14ac:dyDescent="0.3">
      <c r="A26" s="11">
        <v>52</v>
      </c>
      <c r="B26" s="11">
        <f t="shared" ref="B26:G26" si="14">B55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>Новый раздел</v>
      </c>
      <c r="G26" s="11" t="str">
        <f t="shared" si="14"/>
        <v>Демонтажные работы  (Письмо от АНО «РГТ» об утверждении объёмов демонтажных работ)</v>
      </c>
      <c r="H26" s="11"/>
      <c r="I26" s="11"/>
      <c r="J26" s="11"/>
      <c r="K26" s="11"/>
      <c r="L26" s="11"/>
      <c r="M26" s="11"/>
      <c r="N26" s="11"/>
      <c r="O26" s="11">
        <f t="shared" ref="O26:AT26" si="15">O55</f>
        <v>1916.3</v>
      </c>
      <c r="P26" s="11">
        <f t="shared" si="15"/>
        <v>0</v>
      </c>
      <c r="Q26" s="11">
        <f t="shared" si="15"/>
        <v>299.36</v>
      </c>
      <c r="R26" s="11">
        <f t="shared" si="15"/>
        <v>33.43</v>
      </c>
      <c r="S26" s="11">
        <f t="shared" si="15"/>
        <v>1616.94</v>
      </c>
      <c r="T26" s="11">
        <f t="shared" si="15"/>
        <v>0</v>
      </c>
      <c r="U26" s="11">
        <f t="shared" si="15"/>
        <v>122.01993467999999</v>
      </c>
      <c r="V26" s="11">
        <f t="shared" si="15"/>
        <v>0</v>
      </c>
      <c r="W26" s="11">
        <f t="shared" si="15"/>
        <v>0</v>
      </c>
      <c r="X26" s="11">
        <f t="shared" si="15"/>
        <v>1488.64</v>
      </c>
      <c r="Y26" s="11">
        <f t="shared" si="15"/>
        <v>764.82</v>
      </c>
      <c r="Z26" s="11">
        <f t="shared" si="15"/>
        <v>0</v>
      </c>
      <c r="AA26" s="11">
        <f t="shared" si="15"/>
        <v>0</v>
      </c>
      <c r="AB26" s="11">
        <f t="shared" si="15"/>
        <v>1916.3</v>
      </c>
      <c r="AC26" s="11">
        <f t="shared" si="15"/>
        <v>0</v>
      </c>
      <c r="AD26" s="11">
        <f t="shared" si="15"/>
        <v>299.36</v>
      </c>
      <c r="AE26" s="11">
        <f t="shared" si="15"/>
        <v>33.43</v>
      </c>
      <c r="AF26" s="11">
        <f t="shared" si="15"/>
        <v>1616.94</v>
      </c>
      <c r="AG26" s="11">
        <f t="shared" si="15"/>
        <v>0</v>
      </c>
      <c r="AH26" s="11">
        <f t="shared" si="15"/>
        <v>122.01993467999999</v>
      </c>
      <c r="AI26" s="11">
        <f t="shared" si="15"/>
        <v>0</v>
      </c>
      <c r="AJ26" s="11">
        <f t="shared" si="15"/>
        <v>0</v>
      </c>
      <c r="AK26" s="11">
        <f t="shared" si="15"/>
        <v>1488.64</v>
      </c>
      <c r="AL26" s="11">
        <f t="shared" si="15"/>
        <v>764.82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0</v>
      </c>
      <c r="AQ26" s="11">
        <f t="shared" si="15"/>
        <v>0</v>
      </c>
      <c r="AR26" s="11">
        <f t="shared" si="15"/>
        <v>4169.76</v>
      </c>
      <c r="AS26" s="11">
        <f t="shared" si="15"/>
        <v>412.71</v>
      </c>
      <c r="AT26" s="11">
        <f t="shared" si="15"/>
        <v>3757.05</v>
      </c>
      <c r="AU26" s="11">
        <f t="shared" ref="AU26:BZ26" si="16">AU55</f>
        <v>0</v>
      </c>
      <c r="AV26" s="11">
        <f t="shared" si="16"/>
        <v>0</v>
      </c>
      <c r="AW26" s="11">
        <f t="shared" si="16"/>
        <v>0</v>
      </c>
      <c r="AX26" s="11">
        <f t="shared" si="16"/>
        <v>0</v>
      </c>
      <c r="AY26" s="11">
        <f t="shared" si="16"/>
        <v>0</v>
      </c>
      <c r="AZ26" s="11">
        <f t="shared" si="16"/>
        <v>0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0</v>
      </c>
      <c r="BZ26" s="11">
        <f t="shared" si="16"/>
        <v>0</v>
      </c>
      <c r="CA26" s="11">
        <f t="shared" ref="CA26:DF26" si="17">CA55</f>
        <v>4169.76</v>
      </c>
      <c r="CB26" s="11">
        <f t="shared" si="17"/>
        <v>412.71</v>
      </c>
      <c r="CC26" s="11">
        <f t="shared" si="17"/>
        <v>3757.05</v>
      </c>
      <c r="CD26" s="11">
        <f t="shared" si="17"/>
        <v>0</v>
      </c>
      <c r="CE26" s="11">
        <f t="shared" si="17"/>
        <v>0</v>
      </c>
      <c r="CF26" s="11">
        <f t="shared" si="17"/>
        <v>0</v>
      </c>
      <c r="CG26" s="11">
        <f t="shared" si="17"/>
        <v>0</v>
      </c>
      <c r="CH26" s="11">
        <f t="shared" si="17"/>
        <v>0</v>
      </c>
      <c r="CI26" s="11">
        <f t="shared" si="17"/>
        <v>0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DG55</f>
        <v>95751.52</v>
      </c>
      <c r="DH26" s="12">
        <f t="shared" si="18"/>
        <v>0</v>
      </c>
      <c r="DI26" s="12">
        <f t="shared" si="18"/>
        <v>4636.95</v>
      </c>
      <c r="DJ26" s="12">
        <f t="shared" si="18"/>
        <v>1883.79</v>
      </c>
      <c r="DK26" s="12">
        <f t="shared" si="18"/>
        <v>91114.57</v>
      </c>
      <c r="DL26" s="12">
        <f t="shared" si="18"/>
        <v>0</v>
      </c>
      <c r="DM26" s="12">
        <f t="shared" si="18"/>
        <v>122.01993467999999</v>
      </c>
      <c r="DN26" s="12">
        <f t="shared" si="18"/>
        <v>0</v>
      </c>
      <c r="DO26" s="12">
        <f t="shared" si="18"/>
        <v>0</v>
      </c>
      <c r="DP26" s="12">
        <f t="shared" si="18"/>
        <v>83884.22</v>
      </c>
      <c r="DQ26" s="12">
        <f t="shared" si="18"/>
        <v>43097.599999999999</v>
      </c>
      <c r="DR26" s="12">
        <f t="shared" si="18"/>
        <v>0</v>
      </c>
      <c r="DS26" s="12">
        <f t="shared" si="18"/>
        <v>0</v>
      </c>
      <c r="DT26" s="12">
        <f t="shared" si="18"/>
        <v>95751.52</v>
      </c>
      <c r="DU26" s="12">
        <f t="shared" si="18"/>
        <v>0</v>
      </c>
      <c r="DV26" s="12">
        <f t="shared" si="18"/>
        <v>4636.95</v>
      </c>
      <c r="DW26" s="12">
        <f t="shared" si="18"/>
        <v>1883.79</v>
      </c>
      <c r="DX26" s="12">
        <f t="shared" si="18"/>
        <v>91114.57</v>
      </c>
      <c r="DY26" s="12">
        <f t="shared" si="18"/>
        <v>0</v>
      </c>
      <c r="DZ26" s="12">
        <f t="shared" si="18"/>
        <v>122.01993467999999</v>
      </c>
      <c r="EA26" s="12">
        <f t="shared" si="18"/>
        <v>0</v>
      </c>
      <c r="EB26" s="12">
        <f t="shared" si="18"/>
        <v>0</v>
      </c>
      <c r="EC26" s="12">
        <f t="shared" si="18"/>
        <v>83884.22</v>
      </c>
      <c r="ED26" s="12">
        <f t="shared" si="18"/>
        <v>43097.599999999999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0</v>
      </c>
      <c r="EI26" s="12">
        <f t="shared" si="18"/>
        <v>0</v>
      </c>
      <c r="EJ26" s="12">
        <f t="shared" si="18"/>
        <v>222733.34</v>
      </c>
      <c r="EK26" s="12">
        <f t="shared" si="18"/>
        <v>23255.94</v>
      </c>
      <c r="EL26" s="12">
        <f t="shared" si="18"/>
        <v>199477.4</v>
      </c>
      <c r="EM26" s="12">
        <f t="shared" ref="EM26:FR26" si="19">EM55</f>
        <v>0</v>
      </c>
      <c r="EN26" s="12">
        <f t="shared" si="19"/>
        <v>0</v>
      </c>
      <c r="EO26" s="12">
        <f t="shared" si="19"/>
        <v>0</v>
      </c>
      <c r="EP26" s="12">
        <f t="shared" si="19"/>
        <v>0</v>
      </c>
      <c r="EQ26" s="12">
        <f t="shared" si="19"/>
        <v>0</v>
      </c>
      <c r="ER26" s="12">
        <f t="shared" si="19"/>
        <v>0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0</v>
      </c>
      <c r="FR26" s="12">
        <f t="shared" si="19"/>
        <v>0</v>
      </c>
      <c r="FS26" s="12">
        <f t="shared" ref="FS26:GX26" si="20">FS55</f>
        <v>222733.34</v>
      </c>
      <c r="FT26" s="12">
        <f t="shared" si="20"/>
        <v>23255.94</v>
      </c>
      <c r="FU26" s="12">
        <f t="shared" si="20"/>
        <v>199477.4</v>
      </c>
      <c r="FV26" s="12">
        <f t="shared" si="20"/>
        <v>0</v>
      </c>
      <c r="FW26" s="12">
        <f t="shared" si="20"/>
        <v>0</v>
      </c>
      <c r="FX26" s="12">
        <f t="shared" si="20"/>
        <v>0</v>
      </c>
      <c r="FY26" s="12">
        <f t="shared" si="20"/>
        <v>0</v>
      </c>
      <c r="FZ26" s="12">
        <f t="shared" si="20"/>
        <v>0</v>
      </c>
      <c r="GA26" s="12">
        <f t="shared" si="20"/>
        <v>0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5">
      <c r="A28" s="2">
        <v>17</v>
      </c>
      <c r="B28" s="2">
        <v>1</v>
      </c>
      <c r="C28" s="2">
        <f>ROW(SmtRes!A4)</f>
        <v>4</v>
      </c>
      <c r="D28" s="2">
        <f>ROW(EtalonRes!A5)</f>
        <v>5</v>
      </c>
      <c r="E28" s="2" t="s">
        <v>19</v>
      </c>
      <c r="F28" s="2" t="s">
        <v>20</v>
      </c>
      <c r="G28" s="2" t="s">
        <v>21</v>
      </c>
      <c r="H28" s="2" t="s">
        <v>22</v>
      </c>
      <c r="I28" s="2">
        <f>ROUND(20/10,9)</f>
        <v>2</v>
      </c>
      <c r="J28" s="2">
        <v>0</v>
      </c>
      <c r="K28" s="2">
        <f>ROUND(20/10,9)</f>
        <v>2</v>
      </c>
      <c r="L28" s="2"/>
      <c r="M28" s="2"/>
      <c r="N28" s="2"/>
      <c r="O28" s="2">
        <f t="shared" ref="O28:O53" si="21">ROUND(CP28,2)</f>
        <v>355.84</v>
      </c>
      <c r="P28" s="2">
        <f t="shared" ref="P28:P53" si="22">ROUND((ROUND((AC28*AW28*I28),2)*BC28),2)</f>
        <v>0</v>
      </c>
      <c r="Q28" s="2">
        <f t="shared" ref="Q28:Q43" si="23">(ROUND((ROUND(((((ET28*1.2)*0.3))*AV28*I28),2)*BB28),2)+ROUND((ROUND(((AE28-(((EU28*1.2)*0.3)))*AV28*I28),2)*BS28),2))</f>
        <v>0.83</v>
      </c>
      <c r="R28" s="2">
        <f t="shared" ref="R28:R43" si="24">(ROUND((ROUND(((((EU28*1.2)*0.3))*AV28*I28),2)*BS28),2)+ROUND((ROUND(((AE28-(((EU28*1.2)*0.3)))*AV28*I28),2)*BS28),2))</f>
        <v>0.1</v>
      </c>
      <c r="S28" s="2">
        <f t="shared" ref="S28:S53" si="25">ROUND((ROUND((AF28*AV28*I28),2)*BA28),2)</f>
        <v>355.01</v>
      </c>
      <c r="T28" s="2">
        <f t="shared" ref="T28:T53" si="26">ROUND(CU28*I28,2)</f>
        <v>0</v>
      </c>
      <c r="U28" s="2">
        <f t="shared" ref="U28:U53" si="27">CV28*I28</f>
        <v>22.585046399999996</v>
      </c>
      <c r="V28" s="2">
        <f t="shared" ref="V28:V53" si="28">CW28*I28</f>
        <v>0</v>
      </c>
      <c r="W28" s="2">
        <f t="shared" ref="W28:W53" si="29">ROUND(CX28*I28,2)</f>
        <v>0</v>
      </c>
      <c r="X28" s="2">
        <f t="shared" ref="X28:X43" si="30">(ROUND((((S28+ROUND((ROUND(((((EU28*1.2)*0.3))*AV28*I28),2)*BS28),2))*AT28)/100),2)+ROUND(((ROUND((ROUND(((AE28-(((EU28*1.2)*0.3)))*AV28*I28),2)*BS28),2)*AT28)/100),2))</f>
        <v>319.60000000000002</v>
      </c>
      <c r="Y28" s="2">
        <f t="shared" ref="Y28:Y43" si="31">(ROUND((((S28+ROUND((ROUND(((((EU28*1.2)*0.3))*AV28*I28),2)*BS28),2))*AU28)/100),2)+ROUND(((ROUND((ROUND(((AE28-(((EU28*1.2)*0.3)))*AV28*I28),2)*BS28),2)*AU28)/100),2))</f>
        <v>163.35</v>
      </c>
      <c r="Z28" s="2"/>
      <c r="AA28" s="2">
        <v>55936046</v>
      </c>
      <c r="AB28" s="2">
        <f t="shared" ref="AB28:AB53" si="32">ROUND((AC28+AD28+AF28),6)</f>
        <v>169.93440000000001</v>
      </c>
      <c r="AC28" s="2">
        <f t="shared" ref="AC28:AC43" si="33">ROUND((((ES28*1)*0)),6)</f>
        <v>0</v>
      </c>
      <c r="AD28" s="2">
        <f t="shared" ref="AD28:AD43" si="34">ROUND((((((ET28*1.2)*0.3))-(((EU28*1.2)*0.3)))+AE28),6)</f>
        <v>0.39600000000000002</v>
      </c>
      <c r="AE28" s="2">
        <f t="shared" ref="AE28:AE43" si="35">ROUND((((EU28*1.2)*0.3)),6)</f>
        <v>4.6800000000000001E-2</v>
      </c>
      <c r="AF28" s="2">
        <f t="shared" ref="AF28:AF43" si="36">ROUND((((EV28*1.2)*0.3)),6)</f>
        <v>169.5384</v>
      </c>
      <c r="AG28" s="2">
        <f t="shared" ref="AG28:AG53" si="37">ROUND((AP28),6)</f>
        <v>0</v>
      </c>
      <c r="AH28" s="2">
        <f t="shared" ref="AH28:AH43" si="38">(((EW28*1.2)*0.3))</f>
        <v>10.785599999999999</v>
      </c>
      <c r="AI28" s="2">
        <f t="shared" ref="AI28:AI43" si="39">(((EX28*1.2)*0.3))</f>
        <v>0</v>
      </c>
      <c r="AJ28" s="2">
        <f t="shared" ref="AJ28:AJ53" si="40">(AS28)</f>
        <v>0</v>
      </c>
      <c r="AK28" s="2">
        <v>473.33</v>
      </c>
      <c r="AL28" s="2">
        <v>1.29</v>
      </c>
      <c r="AM28" s="2">
        <v>1.1000000000000001</v>
      </c>
      <c r="AN28" s="2">
        <v>0.13</v>
      </c>
      <c r="AO28" s="2">
        <v>470.94</v>
      </c>
      <c r="AP28" s="2">
        <v>0</v>
      </c>
      <c r="AQ28" s="2">
        <v>29.96</v>
      </c>
      <c r="AR28" s="2">
        <v>0</v>
      </c>
      <c r="AS28" s="2">
        <v>0</v>
      </c>
      <c r="AT28" s="2">
        <v>90</v>
      </c>
      <c r="AU28" s="2">
        <v>46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23</v>
      </c>
      <c r="BK28" s="2"/>
      <c r="BL28" s="2"/>
      <c r="BM28" s="2">
        <v>68</v>
      </c>
      <c r="BN28" s="2">
        <v>0</v>
      </c>
      <c r="BO28" s="2" t="s">
        <v>20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90</v>
      </c>
      <c r="CA28" s="2">
        <v>46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421</v>
      </c>
      <c r="CO28" s="2">
        <v>0</v>
      </c>
      <c r="CP28" s="2">
        <f t="shared" ref="CP28:CP53" si="41">(P28+Q28+S28)</f>
        <v>355.84</v>
      </c>
      <c r="CQ28" s="2">
        <f t="shared" ref="CQ28:CQ53" si="42">ROUND((ROUND((AC28*AW28*1),2)*BC28),2)</f>
        <v>0</v>
      </c>
      <c r="CR28" s="2">
        <f t="shared" ref="CR28:CR43" si="43">(ROUND((ROUND(((((ET28*1.2)*0.3))*AV28*1),2)*BB28),2)+ROUND((ROUND(((AE28-(((EU28*1.2)*0.3)))*AV28*1),2)*BS28),2))</f>
        <v>0.41</v>
      </c>
      <c r="CS28" s="2">
        <f t="shared" ref="CS28:CS43" si="44">(ROUND((ROUND(((((EU28*1.2)*0.3))*AV28*1),2)*BS28),2)+ROUND((ROUND(((AE28-(((EU28*1.2)*0.3)))*AV28*1),2)*BS28),2))</f>
        <v>0.05</v>
      </c>
      <c r="CT28" s="2">
        <f t="shared" ref="CT28:CT53" si="45">ROUND((ROUND((AF28*AV28*1),2)*BA28),2)</f>
        <v>177.51</v>
      </c>
      <c r="CU28" s="2">
        <f t="shared" ref="CU28:CU53" si="46">AG28</f>
        <v>0</v>
      </c>
      <c r="CV28" s="2">
        <f t="shared" ref="CV28:CV53" si="47">(AH28*AV28)</f>
        <v>11.292523199999998</v>
      </c>
      <c r="CW28" s="2">
        <f t="shared" ref="CW28:CW53" si="48">AI28</f>
        <v>0</v>
      </c>
      <c r="CX28" s="2">
        <f t="shared" ref="CX28:CX53" si="49">AJ28</f>
        <v>0</v>
      </c>
      <c r="CY28" s="2">
        <f t="shared" ref="CY28:CY43" si="50">(ROUND((((S28+ROUND((ROUND(((((EU28*1.2)*0.3))*AV28*1),2)*BS28),2))*AT28)/100),2)+ROUND(((ROUND((ROUND(((AE28-(((EU28*1.2)*0.3)))*AV28*1),2)*BS28),2)*AT28)/100),2))</f>
        <v>319.55</v>
      </c>
      <c r="CZ28" s="2">
        <f t="shared" ref="CZ28:CZ43" si="51">(ROUND((((S28+ROUND((ROUND(((((EU28*1.2)*0.3))*AV28*1),2)*BS28),2))*AU28)/100),2)+ROUND(((ROUND((ROUND(((AE28-(((EU28*1.2)*0.3)))*AV28*1),2)*BS28),2)*AU28)/100),2))</f>
        <v>163.33000000000001</v>
      </c>
      <c r="DA28" s="2"/>
      <c r="DB28" s="2">
        <v>1</v>
      </c>
      <c r="DC28" s="2" t="s">
        <v>3</v>
      </c>
      <c r="DD28" s="2" t="s">
        <v>24</v>
      </c>
      <c r="DE28" s="2" t="s">
        <v>25</v>
      </c>
      <c r="DF28" s="2" t="s">
        <v>25</v>
      </c>
      <c r="DG28" s="2" t="s">
        <v>25</v>
      </c>
      <c r="DH28" s="2" t="s">
        <v>3</v>
      </c>
      <c r="DI28" s="2" t="s">
        <v>25</v>
      </c>
      <c r="DJ28" s="2" t="s">
        <v>25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1010</v>
      </c>
      <c r="DV28" s="2" t="s">
        <v>22</v>
      </c>
      <c r="DW28" s="2" t="s">
        <v>22</v>
      </c>
      <c r="DX28" s="2">
        <v>10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55393700</v>
      </c>
      <c r="EF28" s="2">
        <v>40</v>
      </c>
      <c r="EG28" s="2" t="s">
        <v>26</v>
      </c>
      <c r="EH28" s="2">
        <v>0</v>
      </c>
      <c r="EI28" s="2" t="s">
        <v>3</v>
      </c>
      <c r="EJ28" s="2">
        <v>2</v>
      </c>
      <c r="EK28" s="2">
        <v>68</v>
      </c>
      <c r="EL28" s="2" t="s">
        <v>27</v>
      </c>
      <c r="EM28" s="2" t="s">
        <v>28</v>
      </c>
      <c r="EN28" s="2"/>
      <c r="EO28" s="2" t="s">
        <v>29</v>
      </c>
      <c r="EP28" s="2"/>
      <c r="EQ28" s="2">
        <v>0</v>
      </c>
      <c r="ER28" s="2">
        <v>473.33</v>
      </c>
      <c r="ES28" s="2">
        <v>1.29</v>
      </c>
      <c r="ET28" s="2">
        <v>1.1000000000000001</v>
      </c>
      <c r="EU28" s="2">
        <v>0.13</v>
      </c>
      <c r="EV28" s="2">
        <v>470.94</v>
      </c>
      <c r="EW28" s="2">
        <v>29.96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90</v>
      </c>
      <c r="FY28" s="2">
        <v>46</v>
      </c>
      <c r="FZ28" s="2"/>
      <c r="GA28" s="2" t="s">
        <v>3</v>
      </c>
      <c r="GB28" s="2"/>
      <c r="GC28" s="2"/>
      <c r="GD28" s="2">
        <v>1</v>
      </c>
      <c r="GE28" s="2"/>
      <c r="GF28" s="2">
        <v>101216167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53" si="52">ROUND(IF(AND(BH28=3,BI28=3,FS28&lt;&gt;0),P28,0),2)</f>
        <v>0</v>
      </c>
      <c r="GM28" s="2">
        <f t="shared" ref="GM28:GM53" si="53">ROUND(O28+X28+Y28,2)+GX28</f>
        <v>838.79</v>
      </c>
      <c r="GN28" s="2">
        <f t="shared" ref="GN28:GN53" si="54">IF(OR(BI28=0,BI28=1),GM28-GX28,0)</f>
        <v>0</v>
      </c>
      <c r="GO28" s="2">
        <f t="shared" ref="GO28:GO53" si="55">IF(BI28=2,GM28-GX28,0)</f>
        <v>838.79</v>
      </c>
      <c r="GP28" s="2">
        <f t="shared" ref="GP28:GP53" si="56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53" si="57">ROUND((GT28),6)</f>
        <v>0</v>
      </c>
      <c r="GW28" s="2">
        <v>1</v>
      </c>
      <c r="GX28" s="2">
        <f t="shared" ref="GX28:GX53" si="58">ROUND(HC28*I28,2)</f>
        <v>0</v>
      </c>
      <c r="GY28" s="2"/>
      <c r="GZ28" s="2"/>
      <c r="HA28" s="2">
        <v>0</v>
      </c>
      <c r="HB28" s="2">
        <v>0</v>
      </c>
      <c r="HC28" s="2">
        <f t="shared" ref="HC28:HC53" si="59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5">
      <c r="A29" s="3">
        <v>17</v>
      </c>
      <c r="B29" s="3">
        <v>1</v>
      </c>
      <c r="C29" s="3">
        <f>ROW(SmtRes!A8)</f>
        <v>8</v>
      </c>
      <c r="D29" s="3">
        <f>ROW(EtalonRes!A10)</f>
        <v>10</v>
      </c>
      <c r="E29" s="3" t="s">
        <v>19</v>
      </c>
      <c r="F29" s="3" t="s">
        <v>20</v>
      </c>
      <c r="G29" s="3" t="s">
        <v>21</v>
      </c>
      <c r="H29" s="3" t="s">
        <v>22</v>
      </c>
      <c r="I29" s="3">
        <f>ROUND(20/10,9)</f>
        <v>2</v>
      </c>
      <c r="J29" s="3">
        <v>0</v>
      </c>
      <c r="K29" s="3">
        <f>ROUND(20/10,9)</f>
        <v>2</v>
      </c>
      <c r="O29" s="3">
        <f t="shared" si="21"/>
        <v>20017.5</v>
      </c>
      <c r="P29" s="3">
        <f t="shared" si="22"/>
        <v>0</v>
      </c>
      <c r="Q29" s="3">
        <f t="shared" si="23"/>
        <v>12.69</v>
      </c>
      <c r="R29" s="3">
        <f t="shared" si="24"/>
        <v>5.64</v>
      </c>
      <c r="S29" s="3">
        <f t="shared" si="25"/>
        <v>20004.810000000001</v>
      </c>
      <c r="T29" s="3">
        <f t="shared" si="26"/>
        <v>0</v>
      </c>
      <c r="U29" s="3">
        <f t="shared" si="27"/>
        <v>22.585046399999996</v>
      </c>
      <c r="V29" s="3">
        <f t="shared" si="28"/>
        <v>0</v>
      </c>
      <c r="W29" s="3">
        <f t="shared" si="29"/>
        <v>0</v>
      </c>
      <c r="X29" s="3">
        <f t="shared" si="30"/>
        <v>18009.41</v>
      </c>
      <c r="Y29" s="3">
        <f t="shared" si="31"/>
        <v>9204.81</v>
      </c>
      <c r="AA29" s="3">
        <v>55936048</v>
      </c>
      <c r="AB29" s="3">
        <f t="shared" si="32"/>
        <v>169.93440000000001</v>
      </c>
      <c r="AC29" s="3">
        <f t="shared" si="33"/>
        <v>0</v>
      </c>
      <c r="AD29" s="3">
        <f t="shared" si="34"/>
        <v>0.39600000000000002</v>
      </c>
      <c r="AE29" s="3">
        <f t="shared" si="35"/>
        <v>4.6800000000000001E-2</v>
      </c>
      <c r="AF29" s="3">
        <f t="shared" si="36"/>
        <v>169.5384</v>
      </c>
      <c r="AG29" s="3">
        <f t="shared" si="37"/>
        <v>0</v>
      </c>
      <c r="AH29" s="3">
        <f t="shared" si="38"/>
        <v>10.785599999999999</v>
      </c>
      <c r="AI29" s="3">
        <f t="shared" si="39"/>
        <v>0</v>
      </c>
      <c r="AJ29" s="3">
        <f t="shared" si="40"/>
        <v>0</v>
      </c>
      <c r="AK29" s="3">
        <v>473.33</v>
      </c>
      <c r="AL29" s="3">
        <v>1.29</v>
      </c>
      <c r="AM29" s="3">
        <v>1.1000000000000001</v>
      </c>
      <c r="AN29" s="3">
        <v>0.13</v>
      </c>
      <c r="AO29" s="3">
        <v>470.94</v>
      </c>
      <c r="AP29" s="3">
        <v>0</v>
      </c>
      <c r="AQ29" s="3">
        <v>29.96</v>
      </c>
      <c r="AR29" s="3">
        <v>0</v>
      </c>
      <c r="AS29" s="3">
        <v>0</v>
      </c>
      <c r="AT29" s="3">
        <v>90</v>
      </c>
      <c r="AU29" s="3">
        <v>46</v>
      </c>
      <c r="AV29" s="3">
        <v>1.0469999999999999</v>
      </c>
      <c r="AW29" s="3">
        <v>1</v>
      </c>
      <c r="AZ29" s="3">
        <v>1</v>
      </c>
      <c r="BA29" s="3">
        <v>56.35</v>
      </c>
      <c r="BB29" s="3">
        <v>15.29</v>
      </c>
      <c r="BC29" s="3">
        <v>7.61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2</v>
      </c>
      <c r="BJ29" s="3" t="s">
        <v>23</v>
      </c>
      <c r="BM29" s="3">
        <v>68</v>
      </c>
      <c r="BN29" s="3">
        <v>0</v>
      </c>
      <c r="BO29" s="3" t="s">
        <v>20</v>
      </c>
      <c r="BP29" s="3">
        <v>1</v>
      </c>
      <c r="BQ29" s="3">
        <v>40</v>
      </c>
      <c r="BR29" s="3">
        <v>0</v>
      </c>
      <c r="BS29" s="3">
        <v>56.35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90</v>
      </c>
      <c r="CA29" s="3">
        <v>46</v>
      </c>
      <c r="CB29" s="3" t="s">
        <v>3</v>
      </c>
      <c r="CE29" s="3">
        <v>1566</v>
      </c>
      <c r="CF29" s="3">
        <v>0</v>
      </c>
      <c r="CG29" s="3">
        <v>0</v>
      </c>
      <c r="CM29" s="3">
        <v>0</v>
      </c>
      <c r="CN29" s="3" t="s">
        <v>421</v>
      </c>
      <c r="CO29" s="3">
        <v>0</v>
      </c>
      <c r="CP29" s="3">
        <f t="shared" si="41"/>
        <v>20017.5</v>
      </c>
      <c r="CQ29" s="3">
        <f t="shared" si="42"/>
        <v>0</v>
      </c>
      <c r="CR29" s="3">
        <f t="shared" si="43"/>
        <v>6.27</v>
      </c>
      <c r="CS29" s="3">
        <f t="shared" si="44"/>
        <v>2.82</v>
      </c>
      <c r="CT29" s="3">
        <f t="shared" si="45"/>
        <v>10002.69</v>
      </c>
      <c r="CU29" s="3">
        <f t="shared" si="46"/>
        <v>0</v>
      </c>
      <c r="CV29" s="3">
        <f t="shared" si="47"/>
        <v>11.292523199999998</v>
      </c>
      <c r="CW29" s="3">
        <f t="shared" si="48"/>
        <v>0</v>
      </c>
      <c r="CX29" s="3">
        <f t="shared" si="49"/>
        <v>0</v>
      </c>
      <c r="CY29" s="3">
        <f t="shared" si="50"/>
        <v>18006.87</v>
      </c>
      <c r="CZ29" s="3">
        <f t="shared" si="51"/>
        <v>9203.51</v>
      </c>
      <c r="DB29" s="3">
        <v>3</v>
      </c>
      <c r="DC29" s="3" t="s">
        <v>3</v>
      </c>
      <c r="DD29" s="3" t="s">
        <v>24</v>
      </c>
      <c r="DE29" s="3" t="s">
        <v>25</v>
      </c>
      <c r="DF29" s="3" t="s">
        <v>25</v>
      </c>
      <c r="DG29" s="3" t="s">
        <v>25</v>
      </c>
      <c r="DH29" s="3" t="s">
        <v>3</v>
      </c>
      <c r="DI29" s="3" t="s">
        <v>25</v>
      </c>
      <c r="DJ29" s="3" t="s">
        <v>25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U29" s="3">
        <v>1010</v>
      </c>
      <c r="DV29" s="3" t="s">
        <v>22</v>
      </c>
      <c r="DW29" s="3" t="s">
        <v>22</v>
      </c>
      <c r="DX29" s="3">
        <v>10</v>
      </c>
      <c r="DZ29" s="3" t="s">
        <v>3</v>
      </c>
      <c r="EA29" s="3" t="s">
        <v>3</v>
      </c>
      <c r="EB29" s="3" t="s">
        <v>3</v>
      </c>
      <c r="EC29" s="3" t="s">
        <v>3</v>
      </c>
      <c r="EE29" s="3">
        <v>55393700</v>
      </c>
      <c r="EF29" s="3">
        <v>40</v>
      </c>
      <c r="EG29" s="3" t="s">
        <v>26</v>
      </c>
      <c r="EH29" s="3">
        <v>0</v>
      </c>
      <c r="EI29" s="3" t="s">
        <v>3</v>
      </c>
      <c r="EJ29" s="3">
        <v>2</v>
      </c>
      <c r="EK29" s="3">
        <v>68</v>
      </c>
      <c r="EL29" s="3" t="s">
        <v>27</v>
      </c>
      <c r="EM29" s="3" t="s">
        <v>28</v>
      </c>
      <c r="EO29" s="3" t="s">
        <v>29</v>
      </c>
      <c r="EQ29" s="3">
        <v>0</v>
      </c>
      <c r="ER29" s="3">
        <v>473.33</v>
      </c>
      <c r="ES29" s="3">
        <v>1.29</v>
      </c>
      <c r="ET29" s="3">
        <v>1.1000000000000001</v>
      </c>
      <c r="EU29" s="3">
        <v>0.13</v>
      </c>
      <c r="EV29" s="3">
        <v>470.94</v>
      </c>
      <c r="EW29" s="3">
        <v>29.96</v>
      </c>
      <c r="EX29" s="3">
        <v>0</v>
      </c>
      <c r="EY29" s="3">
        <v>0</v>
      </c>
      <c r="FQ29" s="3">
        <v>0</v>
      </c>
      <c r="FR29" s="3">
        <v>0</v>
      </c>
      <c r="FS29" s="3">
        <v>0</v>
      </c>
      <c r="FX29" s="3">
        <v>90</v>
      </c>
      <c r="FY29" s="3">
        <v>46</v>
      </c>
      <c r="GA29" s="3" t="s">
        <v>3</v>
      </c>
      <c r="GD29" s="3">
        <v>1</v>
      </c>
      <c r="GF29" s="3">
        <v>101216167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52"/>
        <v>0</v>
      </c>
      <c r="GM29" s="3">
        <f t="shared" si="53"/>
        <v>47231.72</v>
      </c>
      <c r="GN29" s="3">
        <f t="shared" si="54"/>
        <v>0</v>
      </c>
      <c r="GO29" s="3">
        <f t="shared" si="55"/>
        <v>47231.72</v>
      </c>
      <c r="GP29" s="3">
        <f t="shared" si="56"/>
        <v>0</v>
      </c>
      <c r="GR29" s="3">
        <v>0</v>
      </c>
      <c r="GS29" s="3">
        <v>3</v>
      </c>
      <c r="GT29" s="3">
        <v>0</v>
      </c>
      <c r="GU29" s="3" t="s">
        <v>3</v>
      </c>
      <c r="GV29" s="3">
        <f t="shared" si="57"/>
        <v>0</v>
      </c>
      <c r="GW29" s="3">
        <v>1</v>
      </c>
      <c r="GX29" s="3">
        <f t="shared" si="58"/>
        <v>0</v>
      </c>
      <c r="HA29" s="3">
        <v>0</v>
      </c>
      <c r="HB29" s="3">
        <v>0</v>
      </c>
      <c r="HC29" s="3">
        <f t="shared" si="59"/>
        <v>0</v>
      </c>
      <c r="HE29" s="3" t="s">
        <v>3</v>
      </c>
      <c r="HF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S29" s="3">
        <v>0</v>
      </c>
      <c r="IK29" s="3">
        <v>0</v>
      </c>
    </row>
    <row r="30" spans="1:255" x14ac:dyDescent="0.25">
      <c r="A30" s="2">
        <v>17</v>
      </c>
      <c r="B30" s="2">
        <v>1</v>
      </c>
      <c r="C30" s="2">
        <f>ROW(SmtRes!A9)</f>
        <v>9</v>
      </c>
      <c r="D30" s="2">
        <f>ROW(EtalonRes!A11)</f>
        <v>11</v>
      </c>
      <c r="E30" s="2" t="s">
        <v>30</v>
      </c>
      <c r="F30" s="2" t="s">
        <v>31</v>
      </c>
      <c r="G30" s="2" t="s">
        <v>32</v>
      </c>
      <c r="H30" s="2" t="s">
        <v>33</v>
      </c>
      <c r="I30" s="2">
        <v>21</v>
      </c>
      <c r="J30" s="2">
        <v>0</v>
      </c>
      <c r="K30" s="2">
        <v>21</v>
      </c>
      <c r="L30" s="2"/>
      <c r="M30" s="2"/>
      <c r="N30" s="2"/>
      <c r="O30" s="2">
        <f t="shared" si="21"/>
        <v>83.9</v>
      </c>
      <c r="P30" s="2">
        <f t="shared" si="22"/>
        <v>0</v>
      </c>
      <c r="Q30" s="2">
        <f t="shared" si="23"/>
        <v>0</v>
      </c>
      <c r="R30" s="2">
        <f t="shared" si="24"/>
        <v>0</v>
      </c>
      <c r="S30" s="2">
        <f t="shared" si="25"/>
        <v>83.9</v>
      </c>
      <c r="T30" s="2">
        <f t="shared" si="26"/>
        <v>0</v>
      </c>
      <c r="U30" s="2">
        <f t="shared" si="27"/>
        <v>6.6488687999999998</v>
      </c>
      <c r="V30" s="2">
        <f t="shared" si="28"/>
        <v>0</v>
      </c>
      <c r="W30" s="2">
        <f t="shared" si="29"/>
        <v>0</v>
      </c>
      <c r="X30" s="2">
        <f t="shared" si="30"/>
        <v>75.510000000000005</v>
      </c>
      <c r="Y30" s="2">
        <f t="shared" si="31"/>
        <v>38.590000000000003</v>
      </c>
      <c r="Z30" s="2"/>
      <c r="AA30" s="2">
        <v>55936046</v>
      </c>
      <c r="AB30" s="2">
        <f t="shared" si="32"/>
        <v>3.8159999999999998</v>
      </c>
      <c r="AC30" s="2">
        <f t="shared" si="33"/>
        <v>0</v>
      </c>
      <c r="AD30" s="2">
        <f t="shared" si="34"/>
        <v>0</v>
      </c>
      <c r="AE30" s="2">
        <f t="shared" si="35"/>
        <v>0</v>
      </c>
      <c r="AF30" s="2">
        <f t="shared" si="36"/>
        <v>3.8159999999999998</v>
      </c>
      <c r="AG30" s="2">
        <f t="shared" si="37"/>
        <v>0</v>
      </c>
      <c r="AH30" s="2">
        <f t="shared" si="38"/>
        <v>0.3024</v>
      </c>
      <c r="AI30" s="2">
        <f t="shared" si="39"/>
        <v>0</v>
      </c>
      <c r="AJ30" s="2">
        <f t="shared" si="40"/>
        <v>0</v>
      </c>
      <c r="AK30" s="2">
        <v>11.65</v>
      </c>
      <c r="AL30" s="2">
        <v>1.05</v>
      </c>
      <c r="AM30" s="2">
        <v>0</v>
      </c>
      <c r="AN30" s="2">
        <v>0</v>
      </c>
      <c r="AO30" s="2">
        <v>10.6</v>
      </c>
      <c r="AP30" s="2">
        <v>0</v>
      </c>
      <c r="AQ30" s="2">
        <v>0.84</v>
      </c>
      <c r="AR30" s="2">
        <v>0</v>
      </c>
      <c r="AS30" s="2">
        <v>0</v>
      </c>
      <c r="AT30" s="2">
        <v>90</v>
      </c>
      <c r="AU30" s="2">
        <v>46</v>
      </c>
      <c r="AV30" s="2">
        <v>1.0469999999999999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2</v>
      </c>
      <c r="BJ30" s="2" t="s">
        <v>34</v>
      </c>
      <c r="BK30" s="2"/>
      <c r="BL30" s="2"/>
      <c r="BM30" s="2">
        <v>68</v>
      </c>
      <c r="BN30" s="2">
        <v>0</v>
      </c>
      <c r="BO30" s="2" t="s">
        <v>31</v>
      </c>
      <c r="BP30" s="2">
        <v>1</v>
      </c>
      <c r="BQ30" s="2">
        <v>40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90</v>
      </c>
      <c r="CA30" s="2">
        <v>46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421</v>
      </c>
      <c r="CO30" s="2">
        <v>0</v>
      </c>
      <c r="CP30" s="2">
        <f t="shared" si="41"/>
        <v>83.9</v>
      </c>
      <c r="CQ30" s="2">
        <f t="shared" si="42"/>
        <v>0</v>
      </c>
      <c r="CR30" s="2">
        <f t="shared" si="43"/>
        <v>0</v>
      </c>
      <c r="CS30" s="2">
        <f t="shared" si="44"/>
        <v>0</v>
      </c>
      <c r="CT30" s="2">
        <f t="shared" si="45"/>
        <v>4</v>
      </c>
      <c r="CU30" s="2">
        <f t="shared" si="46"/>
        <v>0</v>
      </c>
      <c r="CV30" s="2">
        <f t="shared" si="47"/>
        <v>0.31661279999999997</v>
      </c>
      <c r="CW30" s="2">
        <f t="shared" si="48"/>
        <v>0</v>
      </c>
      <c r="CX30" s="2">
        <f t="shared" si="49"/>
        <v>0</v>
      </c>
      <c r="CY30" s="2">
        <f t="shared" si="50"/>
        <v>75.510000000000005</v>
      </c>
      <c r="CZ30" s="2">
        <f t="shared" si="51"/>
        <v>38.590000000000003</v>
      </c>
      <c r="DA30" s="2"/>
      <c r="DB30" s="2">
        <v>5</v>
      </c>
      <c r="DC30" s="2" t="s">
        <v>3</v>
      </c>
      <c r="DD30" s="2" t="s">
        <v>24</v>
      </c>
      <c r="DE30" s="2" t="s">
        <v>25</v>
      </c>
      <c r="DF30" s="2" t="s">
        <v>25</v>
      </c>
      <c r="DG30" s="2" t="s">
        <v>25</v>
      </c>
      <c r="DH30" s="2" t="s">
        <v>3</v>
      </c>
      <c r="DI30" s="2" t="s">
        <v>25</v>
      </c>
      <c r="DJ30" s="2" t="s">
        <v>25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33</v>
      </c>
      <c r="DW30" s="2" t="s">
        <v>33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55393700</v>
      </c>
      <c r="EF30" s="2">
        <v>40</v>
      </c>
      <c r="EG30" s="2" t="s">
        <v>26</v>
      </c>
      <c r="EH30" s="2">
        <v>0</v>
      </c>
      <c r="EI30" s="2" t="s">
        <v>3</v>
      </c>
      <c r="EJ30" s="2">
        <v>2</v>
      </c>
      <c r="EK30" s="2">
        <v>68</v>
      </c>
      <c r="EL30" s="2" t="s">
        <v>27</v>
      </c>
      <c r="EM30" s="2" t="s">
        <v>28</v>
      </c>
      <c r="EN30" s="2"/>
      <c r="EO30" s="2" t="s">
        <v>29</v>
      </c>
      <c r="EP30" s="2"/>
      <c r="EQ30" s="2">
        <v>0</v>
      </c>
      <c r="ER30" s="2">
        <v>11.65</v>
      </c>
      <c r="ES30" s="2">
        <v>1.05</v>
      </c>
      <c r="ET30" s="2">
        <v>0</v>
      </c>
      <c r="EU30" s="2">
        <v>0</v>
      </c>
      <c r="EV30" s="2">
        <v>10.6</v>
      </c>
      <c r="EW30" s="2">
        <v>0.84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90</v>
      </c>
      <c r="FY30" s="2">
        <v>46</v>
      </c>
      <c r="FZ30" s="2"/>
      <c r="GA30" s="2" t="s">
        <v>3</v>
      </c>
      <c r="GB30" s="2"/>
      <c r="GC30" s="2"/>
      <c r="GD30" s="2">
        <v>1</v>
      </c>
      <c r="GE30" s="2"/>
      <c r="GF30" s="2">
        <v>-910533251</v>
      </c>
      <c r="GG30" s="2">
        <v>2</v>
      </c>
      <c r="GH30" s="2">
        <v>1</v>
      </c>
      <c r="GI30" s="2">
        <v>2</v>
      </c>
      <c r="GJ30" s="2">
        <v>0</v>
      </c>
      <c r="GK30" s="2">
        <v>0</v>
      </c>
      <c r="GL30" s="2">
        <f t="shared" si="52"/>
        <v>0</v>
      </c>
      <c r="GM30" s="2">
        <f t="shared" si="53"/>
        <v>198</v>
      </c>
      <c r="GN30" s="2">
        <f t="shared" si="54"/>
        <v>0</v>
      </c>
      <c r="GO30" s="2">
        <f t="shared" si="55"/>
        <v>198</v>
      </c>
      <c r="GP30" s="2">
        <f t="shared" si="56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57"/>
        <v>0</v>
      </c>
      <c r="GW30" s="2">
        <v>1</v>
      </c>
      <c r="GX30" s="2">
        <f t="shared" si="58"/>
        <v>0</v>
      </c>
      <c r="GY30" s="2"/>
      <c r="GZ30" s="2"/>
      <c r="HA30" s="2">
        <v>0</v>
      </c>
      <c r="HB30" s="2">
        <v>0</v>
      </c>
      <c r="HC30" s="2">
        <f t="shared" si="59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5">
      <c r="A31" s="3">
        <v>17</v>
      </c>
      <c r="B31" s="3">
        <v>1</v>
      </c>
      <c r="C31" s="3">
        <f>ROW(SmtRes!A10)</f>
        <v>10</v>
      </c>
      <c r="D31" s="3">
        <f>ROW(EtalonRes!A12)</f>
        <v>12</v>
      </c>
      <c r="E31" s="3" t="s">
        <v>30</v>
      </c>
      <c r="F31" s="3" t="s">
        <v>31</v>
      </c>
      <c r="G31" s="3" t="s">
        <v>32</v>
      </c>
      <c r="H31" s="3" t="s">
        <v>33</v>
      </c>
      <c r="I31" s="3">
        <v>21</v>
      </c>
      <c r="J31" s="3">
        <v>0</v>
      </c>
      <c r="K31" s="3">
        <v>21</v>
      </c>
      <c r="O31" s="3">
        <f t="shared" si="21"/>
        <v>4727.7700000000004</v>
      </c>
      <c r="P31" s="3">
        <f t="shared" si="22"/>
        <v>0</v>
      </c>
      <c r="Q31" s="3">
        <f t="shared" si="23"/>
        <v>0</v>
      </c>
      <c r="R31" s="3">
        <f t="shared" si="24"/>
        <v>0</v>
      </c>
      <c r="S31" s="3">
        <f t="shared" si="25"/>
        <v>4727.7700000000004</v>
      </c>
      <c r="T31" s="3">
        <f t="shared" si="26"/>
        <v>0</v>
      </c>
      <c r="U31" s="3">
        <f t="shared" si="27"/>
        <v>6.6488687999999998</v>
      </c>
      <c r="V31" s="3">
        <f t="shared" si="28"/>
        <v>0</v>
      </c>
      <c r="W31" s="3">
        <f t="shared" si="29"/>
        <v>0</v>
      </c>
      <c r="X31" s="3">
        <f t="shared" si="30"/>
        <v>4254.99</v>
      </c>
      <c r="Y31" s="3">
        <f t="shared" si="31"/>
        <v>2174.77</v>
      </c>
      <c r="AA31" s="3">
        <v>55936048</v>
      </c>
      <c r="AB31" s="3">
        <f t="shared" si="32"/>
        <v>3.8159999999999998</v>
      </c>
      <c r="AC31" s="3">
        <f t="shared" si="33"/>
        <v>0</v>
      </c>
      <c r="AD31" s="3">
        <f t="shared" si="34"/>
        <v>0</v>
      </c>
      <c r="AE31" s="3">
        <f t="shared" si="35"/>
        <v>0</v>
      </c>
      <c r="AF31" s="3">
        <f t="shared" si="36"/>
        <v>3.8159999999999998</v>
      </c>
      <c r="AG31" s="3">
        <f t="shared" si="37"/>
        <v>0</v>
      </c>
      <c r="AH31" s="3">
        <f t="shared" si="38"/>
        <v>0.3024</v>
      </c>
      <c r="AI31" s="3">
        <f t="shared" si="39"/>
        <v>0</v>
      </c>
      <c r="AJ31" s="3">
        <f t="shared" si="40"/>
        <v>0</v>
      </c>
      <c r="AK31" s="3">
        <v>11.65</v>
      </c>
      <c r="AL31" s="3">
        <v>1.05</v>
      </c>
      <c r="AM31" s="3">
        <v>0</v>
      </c>
      <c r="AN31" s="3">
        <v>0</v>
      </c>
      <c r="AO31" s="3">
        <v>10.6</v>
      </c>
      <c r="AP31" s="3">
        <v>0</v>
      </c>
      <c r="AQ31" s="3">
        <v>0.84</v>
      </c>
      <c r="AR31" s="3">
        <v>0</v>
      </c>
      <c r="AS31" s="3">
        <v>0</v>
      </c>
      <c r="AT31" s="3">
        <v>90</v>
      </c>
      <c r="AU31" s="3">
        <v>46</v>
      </c>
      <c r="AV31" s="3">
        <v>1.0469999999999999</v>
      </c>
      <c r="AW31" s="3">
        <v>1</v>
      </c>
      <c r="AZ31" s="3">
        <v>1</v>
      </c>
      <c r="BA31" s="3">
        <v>56.35</v>
      </c>
      <c r="BB31" s="3">
        <v>1</v>
      </c>
      <c r="BC31" s="3">
        <v>9.84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0</v>
      </c>
      <c r="BI31" s="3">
        <v>2</v>
      </c>
      <c r="BJ31" s="3" t="s">
        <v>34</v>
      </c>
      <c r="BM31" s="3">
        <v>68</v>
      </c>
      <c r="BN31" s="3">
        <v>0</v>
      </c>
      <c r="BO31" s="3" t="s">
        <v>31</v>
      </c>
      <c r="BP31" s="3">
        <v>1</v>
      </c>
      <c r="BQ31" s="3">
        <v>40</v>
      </c>
      <c r="BR31" s="3">
        <v>0</v>
      </c>
      <c r="BS31" s="3">
        <v>56.35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90</v>
      </c>
      <c r="CA31" s="3">
        <v>46</v>
      </c>
      <c r="CB31" s="3" t="s">
        <v>3</v>
      </c>
      <c r="CE31" s="3">
        <v>1566</v>
      </c>
      <c r="CF31" s="3">
        <v>0</v>
      </c>
      <c r="CG31" s="3">
        <v>0</v>
      </c>
      <c r="CM31" s="3">
        <v>0</v>
      </c>
      <c r="CN31" s="3" t="s">
        <v>421</v>
      </c>
      <c r="CO31" s="3">
        <v>0</v>
      </c>
      <c r="CP31" s="3">
        <f t="shared" si="41"/>
        <v>4727.7700000000004</v>
      </c>
      <c r="CQ31" s="3">
        <f t="shared" si="42"/>
        <v>0</v>
      </c>
      <c r="CR31" s="3">
        <f t="shared" si="43"/>
        <v>0</v>
      </c>
      <c r="CS31" s="3">
        <f t="shared" si="44"/>
        <v>0</v>
      </c>
      <c r="CT31" s="3">
        <f t="shared" si="45"/>
        <v>225.4</v>
      </c>
      <c r="CU31" s="3">
        <f t="shared" si="46"/>
        <v>0</v>
      </c>
      <c r="CV31" s="3">
        <f t="shared" si="47"/>
        <v>0.31661279999999997</v>
      </c>
      <c r="CW31" s="3">
        <f t="shared" si="48"/>
        <v>0</v>
      </c>
      <c r="CX31" s="3">
        <f t="shared" si="49"/>
        <v>0</v>
      </c>
      <c r="CY31" s="3">
        <f t="shared" si="50"/>
        <v>4254.99</v>
      </c>
      <c r="CZ31" s="3">
        <f t="shared" si="51"/>
        <v>2174.77</v>
      </c>
      <c r="DB31" s="3">
        <v>7</v>
      </c>
      <c r="DC31" s="3" t="s">
        <v>3</v>
      </c>
      <c r="DD31" s="3" t="s">
        <v>24</v>
      </c>
      <c r="DE31" s="3" t="s">
        <v>25</v>
      </c>
      <c r="DF31" s="3" t="s">
        <v>25</v>
      </c>
      <c r="DG31" s="3" t="s">
        <v>25</v>
      </c>
      <c r="DH31" s="3" t="s">
        <v>3</v>
      </c>
      <c r="DI31" s="3" t="s">
        <v>25</v>
      </c>
      <c r="DJ31" s="3" t="s">
        <v>25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U31" s="3">
        <v>1013</v>
      </c>
      <c r="DV31" s="3" t="s">
        <v>33</v>
      </c>
      <c r="DW31" s="3" t="s">
        <v>33</v>
      </c>
      <c r="DX31" s="3">
        <v>1</v>
      </c>
      <c r="DZ31" s="3" t="s">
        <v>3</v>
      </c>
      <c r="EA31" s="3" t="s">
        <v>3</v>
      </c>
      <c r="EB31" s="3" t="s">
        <v>3</v>
      </c>
      <c r="EC31" s="3" t="s">
        <v>3</v>
      </c>
      <c r="EE31" s="3">
        <v>55393700</v>
      </c>
      <c r="EF31" s="3">
        <v>40</v>
      </c>
      <c r="EG31" s="3" t="s">
        <v>26</v>
      </c>
      <c r="EH31" s="3">
        <v>0</v>
      </c>
      <c r="EI31" s="3" t="s">
        <v>3</v>
      </c>
      <c r="EJ31" s="3">
        <v>2</v>
      </c>
      <c r="EK31" s="3">
        <v>68</v>
      </c>
      <c r="EL31" s="3" t="s">
        <v>27</v>
      </c>
      <c r="EM31" s="3" t="s">
        <v>28</v>
      </c>
      <c r="EO31" s="3" t="s">
        <v>29</v>
      </c>
      <c r="EQ31" s="3">
        <v>0</v>
      </c>
      <c r="ER31" s="3">
        <v>11.65</v>
      </c>
      <c r="ES31" s="3">
        <v>1.05</v>
      </c>
      <c r="ET31" s="3">
        <v>0</v>
      </c>
      <c r="EU31" s="3">
        <v>0</v>
      </c>
      <c r="EV31" s="3">
        <v>10.6</v>
      </c>
      <c r="EW31" s="3">
        <v>0.84</v>
      </c>
      <c r="EX31" s="3">
        <v>0</v>
      </c>
      <c r="EY31" s="3">
        <v>0</v>
      </c>
      <c r="FQ31" s="3">
        <v>0</v>
      </c>
      <c r="FR31" s="3">
        <v>0</v>
      </c>
      <c r="FS31" s="3">
        <v>0</v>
      </c>
      <c r="FX31" s="3">
        <v>90</v>
      </c>
      <c r="FY31" s="3">
        <v>46</v>
      </c>
      <c r="GA31" s="3" t="s">
        <v>3</v>
      </c>
      <c r="GD31" s="3">
        <v>1</v>
      </c>
      <c r="GF31" s="3">
        <v>-910533251</v>
      </c>
      <c r="GG31" s="3">
        <v>2</v>
      </c>
      <c r="GH31" s="3">
        <v>1</v>
      </c>
      <c r="GI31" s="3">
        <v>2</v>
      </c>
      <c r="GJ31" s="3">
        <v>0</v>
      </c>
      <c r="GK31" s="3">
        <v>0</v>
      </c>
      <c r="GL31" s="3">
        <f t="shared" si="52"/>
        <v>0</v>
      </c>
      <c r="GM31" s="3">
        <f t="shared" si="53"/>
        <v>11157.53</v>
      </c>
      <c r="GN31" s="3">
        <f t="shared" si="54"/>
        <v>0</v>
      </c>
      <c r="GO31" s="3">
        <f t="shared" si="55"/>
        <v>11157.53</v>
      </c>
      <c r="GP31" s="3">
        <f t="shared" si="56"/>
        <v>0</v>
      </c>
      <c r="GR31" s="3">
        <v>0</v>
      </c>
      <c r="GS31" s="3">
        <v>3</v>
      </c>
      <c r="GT31" s="3">
        <v>0</v>
      </c>
      <c r="GU31" s="3" t="s">
        <v>3</v>
      </c>
      <c r="GV31" s="3">
        <f t="shared" si="57"/>
        <v>0</v>
      </c>
      <c r="GW31" s="3">
        <v>1</v>
      </c>
      <c r="GX31" s="3">
        <f t="shared" si="58"/>
        <v>0</v>
      </c>
      <c r="HA31" s="3">
        <v>0</v>
      </c>
      <c r="HB31" s="3">
        <v>0</v>
      </c>
      <c r="HC31" s="3">
        <f t="shared" si="59"/>
        <v>0</v>
      </c>
      <c r="HE31" s="3" t="s">
        <v>3</v>
      </c>
      <c r="HF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S31" s="3">
        <v>0</v>
      </c>
      <c r="IK31" s="3">
        <v>0</v>
      </c>
    </row>
    <row r="32" spans="1:255" x14ac:dyDescent="0.25">
      <c r="A32" s="2">
        <v>17</v>
      </c>
      <c r="B32" s="2">
        <v>1</v>
      </c>
      <c r="C32" s="2">
        <f>ROW(SmtRes!A14)</f>
        <v>14</v>
      </c>
      <c r="D32" s="2">
        <f>ROW(EtalonRes!A17)</f>
        <v>17</v>
      </c>
      <c r="E32" s="2" t="s">
        <v>35</v>
      </c>
      <c r="F32" s="2" t="s">
        <v>36</v>
      </c>
      <c r="G32" s="2" t="s">
        <v>37</v>
      </c>
      <c r="H32" s="2" t="s">
        <v>33</v>
      </c>
      <c r="I32" s="2">
        <v>20</v>
      </c>
      <c r="J32" s="2">
        <v>0</v>
      </c>
      <c r="K32" s="2">
        <v>20</v>
      </c>
      <c r="L32" s="2"/>
      <c r="M32" s="2"/>
      <c r="N32" s="2"/>
      <c r="O32" s="2">
        <f t="shared" si="21"/>
        <v>302.82</v>
      </c>
      <c r="P32" s="2">
        <f t="shared" si="22"/>
        <v>0</v>
      </c>
      <c r="Q32" s="2">
        <f t="shared" si="23"/>
        <v>0</v>
      </c>
      <c r="R32" s="2">
        <f t="shared" si="24"/>
        <v>0</v>
      </c>
      <c r="S32" s="2">
        <f t="shared" si="25"/>
        <v>302.82</v>
      </c>
      <c r="T32" s="2">
        <f t="shared" si="26"/>
        <v>0</v>
      </c>
      <c r="U32" s="2">
        <f t="shared" si="27"/>
        <v>23.972111999999996</v>
      </c>
      <c r="V32" s="2">
        <f t="shared" si="28"/>
        <v>0</v>
      </c>
      <c r="W32" s="2">
        <f t="shared" si="29"/>
        <v>0</v>
      </c>
      <c r="X32" s="2">
        <f t="shared" si="30"/>
        <v>272.54000000000002</v>
      </c>
      <c r="Y32" s="2">
        <f t="shared" si="31"/>
        <v>139.30000000000001</v>
      </c>
      <c r="Z32" s="2"/>
      <c r="AA32" s="2">
        <v>55936046</v>
      </c>
      <c r="AB32" s="2">
        <f t="shared" si="32"/>
        <v>14.4612</v>
      </c>
      <c r="AC32" s="2">
        <f t="shared" si="33"/>
        <v>0</v>
      </c>
      <c r="AD32" s="2">
        <f t="shared" si="34"/>
        <v>0</v>
      </c>
      <c r="AE32" s="2">
        <f t="shared" si="35"/>
        <v>0</v>
      </c>
      <c r="AF32" s="2">
        <f t="shared" si="36"/>
        <v>14.4612</v>
      </c>
      <c r="AG32" s="2">
        <f t="shared" si="37"/>
        <v>0</v>
      </c>
      <c r="AH32" s="2">
        <f t="shared" si="38"/>
        <v>1.1447999999999998</v>
      </c>
      <c r="AI32" s="2">
        <f t="shared" si="39"/>
        <v>0</v>
      </c>
      <c r="AJ32" s="2">
        <f t="shared" si="40"/>
        <v>0</v>
      </c>
      <c r="AK32" s="2">
        <v>42.51</v>
      </c>
      <c r="AL32" s="2">
        <v>2.34</v>
      </c>
      <c r="AM32" s="2">
        <v>0</v>
      </c>
      <c r="AN32" s="2">
        <v>0</v>
      </c>
      <c r="AO32" s="2">
        <v>40.17</v>
      </c>
      <c r="AP32" s="2">
        <v>0</v>
      </c>
      <c r="AQ32" s="2">
        <v>3.18</v>
      </c>
      <c r="AR32" s="2">
        <v>0</v>
      </c>
      <c r="AS32" s="2">
        <v>0</v>
      </c>
      <c r="AT32" s="2">
        <v>90</v>
      </c>
      <c r="AU32" s="2">
        <v>46</v>
      </c>
      <c r="AV32" s="2">
        <v>1.0469999999999999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2</v>
      </c>
      <c r="BJ32" s="2" t="s">
        <v>38</v>
      </c>
      <c r="BK32" s="2"/>
      <c r="BL32" s="2"/>
      <c r="BM32" s="2">
        <v>68</v>
      </c>
      <c r="BN32" s="2">
        <v>0</v>
      </c>
      <c r="BO32" s="2" t="s">
        <v>36</v>
      </c>
      <c r="BP32" s="2">
        <v>1</v>
      </c>
      <c r="BQ32" s="2">
        <v>40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90</v>
      </c>
      <c r="CA32" s="2">
        <v>46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421</v>
      </c>
      <c r="CO32" s="2">
        <v>0</v>
      </c>
      <c r="CP32" s="2">
        <f t="shared" si="41"/>
        <v>302.82</v>
      </c>
      <c r="CQ32" s="2">
        <f t="shared" si="42"/>
        <v>0</v>
      </c>
      <c r="CR32" s="2">
        <f t="shared" si="43"/>
        <v>0</v>
      </c>
      <c r="CS32" s="2">
        <f t="shared" si="44"/>
        <v>0</v>
      </c>
      <c r="CT32" s="2">
        <f t="shared" si="45"/>
        <v>15.14</v>
      </c>
      <c r="CU32" s="2">
        <f t="shared" si="46"/>
        <v>0</v>
      </c>
      <c r="CV32" s="2">
        <f t="shared" si="47"/>
        <v>1.1986055999999998</v>
      </c>
      <c r="CW32" s="2">
        <f t="shared" si="48"/>
        <v>0</v>
      </c>
      <c r="CX32" s="2">
        <f t="shared" si="49"/>
        <v>0</v>
      </c>
      <c r="CY32" s="2">
        <f t="shared" si="50"/>
        <v>272.54000000000002</v>
      </c>
      <c r="CZ32" s="2">
        <f t="shared" si="51"/>
        <v>139.30000000000001</v>
      </c>
      <c r="DA32" s="2"/>
      <c r="DB32" s="2">
        <v>9</v>
      </c>
      <c r="DC32" s="2" t="s">
        <v>3</v>
      </c>
      <c r="DD32" s="2" t="s">
        <v>24</v>
      </c>
      <c r="DE32" s="2" t="s">
        <v>25</v>
      </c>
      <c r="DF32" s="2" t="s">
        <v>25</v>
      </c>
      <c r="DG32" s="2" t="s">
        <v>25</v>
      </c>
      <c r="DH32" s="2" t="s">
        <v>3</v>
      </c>
      <c r="DI32" s="2" t="s">
        <v>25</v>
      </c>
      <c r="DJ32" s="2" t="s">
        <v>25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33</v>
      </c>
      <c r="DW32" s="2" t="s">
        <v>33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55393700</v>
      </c>
      <c r="EF32" s="2">
        <v>40</v>
      </c>
      <c r="EG32" s="2" t="s">
        <v>26</v>
      </c>
      <c r="EH32" s="2">
        <v>0</v>
      </c>
      <c r="EI32" s="2" t="s">
        <v>3</v>
      </c>
      <c r="EJ32" s="2">
        <v>2</v>
      </c>
      <c r="EK32" s="2">
        <v>68</v>
      </c>
      <c r="EL32" s="2" t="s">
        <v>27</v>
      </c>
      <c r="EM32" s="2" t="s">
        <v>28</v>
      </c>
      <c r="EN32" s="2"/>
      <c r="EO32" s="2" t="s">
        <v>29</v>
      </c>
      <c r="EP32" s="2"/>
      <c r="EQ32" s="2">
        <v>0</v>
      </c>
      <c r="ER32" s="2">
        <v>42.51</v>
      </c>
      <c r="ES32" s="2">
        <v>2.34</v>
      </c>
      <c r="ET32" s="2">
        <v>0</v>
      </c>
      <c r="EU32" s="2">
        <v>0</v>
      </c>
      <c r="EV32" s="2">
        <v>40.17</v>
      </c>
      <c r="EW32" s="2">
        <v>3.18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90</v>
      </c>
      <c r="FY32" s="2">
        <v>46</v>
      </c>
      <c r="FZ32" s="2"/>
      <c r="GA32" s="2" t="s">
        <v>3</v>
      </c>
      <c r="GB32" s="2"/>
      <c r="GC32" s="2"/>
      <c r="GD32" s="2">
        <v>1</v>
      </c>
      <c r="GE32" s="2"/>
      <c r="GF32" s="2">
        <v>1956097963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52"/>
        <v>0</v>
      </c>
      <c r="GM32" s="2">
        <f t="shared" si="53"/>
        <v>714.66</v>
      </c>
      <c r="GN32" s="2">
        <f t="shared" si="54"/>
        <v>0</v>
      </c>
      <c r="GO32" s="2">
        <f t="shared" si="55"/>
        <v>714.66</v>
      </c>
      <c r="GP32" s="2">
        <f t="shared" si="56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57"/>
        <v>0</v>
      </c>
      <c r="GW32" s="2">
        <v>1</v>
      </c>
      <c r="GX32" s="2">
        <f t="shared" si="58"/>
        <v>0</v>
      </c>
      <c r="GY32" s="2"/>
      <c r="GZ32" s="2"/>
      <c r="HA32" s="2">
        <v>0</v>
      </c>
      <c r="HB32" s="2">
        <v>0</v>
      </c>
      <c r="HC32" s="2">
        <f t="shared" si="59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5">
      <c r="A33" s="3">
        <v>17</v>
      </c>
      <c r="B33" s="3">
        <v>1</v>
      </c>
      <c r="C33" s="3">
        <f>ROW(SmtRes!A18)</f>
        <v>18</v>
      </c>
      <c r="D33" s="3">
        <f>ROW(EtalonRes!A22)</f>
        <v>22</v>
      </c>
      <c r="E33" s="3" t="s">
        <v>35</v>
      </c>
      <c r="F33" s="3" t="s">
        <v>36</v>
      </c>
      <c r="G33" s="3" t="s">
        <v>37</v>
      </c>
      <c r="H33" s="3" t="s">
        <v>33</v>
      </c>
      <c r="I33" s="3">
        <v>20</v>
      </c>
      <c r="J33" s="3">
        <v>0</v>
      </c>
      <c r="K33" s="3">
        <v>20</v>
      </c>
      <c r="O33" s="3">
        <f t="shared" si="21"/>
        <v>17063.91</v>
      </c>
      <c r="P33" s="3">
        <f t="shared" si="22"/>
        <v>0</v>
      </c>
      <c r="Q33" s="3">
        <f t="shared" si="23"/>
        <v>0</v>
      </c>
      <c r="R33" s="3">
        <f t="shared" si="24"/>
        <v>0</v>
      </c>
      <c r="S33" s="3">
        <f t="shared" si="25"/>
        <v>17063.91</v>
      </c>
      <c r="T33" s="3">
        <f t="shared" si="26"/>
        <v>0</v>
      </c>
      <c r="U33" s="3">
        <f t="shared" si="27"/>
        <v>23.972111999999996</v>
      </c>
      <c r="V33" s="3">
        <f t="shared" si="28"/>
        <v>0</v>
      </c>
      <c r="W33" s="3">
        <f t="shared" si="29"/>
        <v>0</v>
      </c>
      <c r="X33" s="3">
        <f t="shared" si="30"/>
        <v>15357.52</v>
      </c>
      <c r="Y33" s="3">
        <f t="shared" si="31"/>
        <v>7849.4</v>
      </c>
      <c r="AA33" s="3">
        <v>55936048</v>
      </c>
      <c r="AB33" s="3">
        <f t="shared" si="32"/>
        <v>14.4612</v>
      </c>
      <c r="AC33" s="3">
        <f t="shared" si="33"/>
        <v>0</v>
      </c>
      <c r="AD33" s="3">
        <f t="shared" si="34"/>
        <v>0</v>
      </c>
      <c r="AE33" s="3">
        <f t="shared" si="35"/>
        <v>0</v>
      </c>
      <c r="AF33" s="3">
        <f t="shared" si="36"/>
        <v>14.4612</v>
      </c>
      <c r="AG33" s="3">
        <f t="shared" si="37"/>
        <v>0</v>
      </c>
      <c r="AH33" s="3">
        <f t="shared" si="38"/>
        <v>1.1447999999999998</v>
      </c>
      <c r="AI33" s="3">
        <f t="shared" si="39"/>
        <v>0</v>
      </c>
      <c r="AJ33" s="3">
        <f t="shared" si="40"/>
        <v>0</v>
      </c>
      <c r="AK33" s="3">
        <v>42.51</v>
      </c>
      <c r="AL33" s="3">
        <v>2.34</v>
      </c>
      <c r="AM33" s="3">
        <v>0</v>
      </c>
      <c r="AN33" s="3">
        <v>0</v>
      </c>
      <c r="AO33" s="3">
        <v>40.17</v>
      </c>
      <c r="AP33" s="3">
        <v>0</v>
      </c>
      <c r="AQ33" s="3">
        <v>3.18</v>
      </c>
      <c r="AR33" s="3">
        <v>0</v>
      </c>
      <c r="AS33" s="3">
        <v>0</v>
      </c>
      <c r="AT33" s="3">
        <v>90</v>
      </c>
      <c r="AU33" s="3">
        <v>46</v>
      </c>
      <c r="AV33" s="3">
        <v>1.0469999999999999</v>
      </c>
      <c r="AW33" s="3">
        <v>1</v>
      </c>
      <c r="AZ33" s="3">
        <v>1</v>
      </c>
      <c r="BA33" s="3">
        <v>56.35</v>
      </c>
      <c r="BB33" s="3">
        <v>1</v>
      </c>
      <c r="BC33" s="3">
        <v>10.24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0</v>
      </c>
      <c r="BI33" s="3">
        <v>2</v>
      </c>
      <c r="BJ33" s="3" t="s">
        <v>38</v>
      </c>
      <c r="BM33" s="3">
        <v>68</v>
      </c>
      <c r="BN33" s="3">
        <v>0</v>
      </c>
      <c r="BO33" s="3" t="s">
        <v>36</v>
      </c>
      <c r="BP33" s="3">
        <v>1</v>
      </c>
      <c r="BQ33" s="3">
        <v>40</v>
      </c>
      <c r="BR33" s="3">
        <v>0</v>
      </c>
      <c r="BS33" s="3">
        <v>56.35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90</v>
      </c>
      <c r="CA33" s="3">
        <v>46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421</v>
      </c>
      <c r="CO33" s="3">
        <v>0</v>
      </c>
      <c r="CP33" s="3">
        <f t="shared" si="41"/>
        <v>17063.91</v>
      </c>
      <c r="CQ33" s="3">
        <f t="shared" si="42"/>
        <v>0</v>
      </c>
      <c r="CR33" s="3">
        <f t="shared" si="43"/>
        <v>0</v>
      </c>
      <c r="CS33" s="3">
        <f t="shared" si="44"/>
        <v>0</v>
      </c>
      <c r="CT33" s="3">
        <f t="shared" si="45"/>
        <v>853.14</v>
      </c>
      <c r="CU33" s="3">
        <f t="shared" si="46"/>
        <v>0</v>
      </c>
      <c r="CV33" s="3">
        <f t="shared" si="47"/>
        <v>1.1986055999999998</v>
      </c>
      <c r="CW33" s="3">
        <f t="shared" si="48"/>
        <v>0</v>
      </c>
      <c r="CX33" s="3">
        <f t="shared" si="49"/>
        <v>0</v>
      </c>
      <c r="CY33" s="3">
        <f t="shared" si="50"/>
        <v>15357.52</v>
      </c>
      <c r="CZ33" s="3">
        <f t="shared" si="51"/>
        <v>7849.4</v>
      </c>
      <c r="DB33" s="3">
        <v>11</v>
      </c>
      <c r="DC33" s="3" t="s">
        <v>3</v>
      </c>
      <c r="DD33" s="3" t="s">
        <v>24</v>
      </c>
      <c r="DE33" s="3" t="s">
        <v>25</v>
      </c>
      <c r="DF33" s="3" t="s">
        <v>25</v>
      </c>
      <c r="DG33" s="3" t="s">
        <v>25</v>
      </c>
      <c r="DH33" s="3" t="s">
        <v>3</v>
      </c>
      <c r="DI33" s="3" t="s">
        <v>25</v>
      </c>
      <c r="DJ33" s="3" t="s">
        <v>25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U33" s="3">
        <v>1013</v>
      </c>
      <c r="DV33" s="3" t="s">
        <v>33</v>
      </c>
      <c r="DW33" s="3" t="s">
        <v>33</v>
      </c>
      <c r="DX33" s="3">
        <v>1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55393700</v>
      </c>
      <c r="EF33" s="3">
        <v>40</v>
      </c>
      <c r="EG33" s="3" t="s">
        <v>26</v>
      </c>
      <c r="EH33" s="3">
        <v>0</v>
      </c>
      <c r="EI33" s="3" t="s">
        <v>3</v>
      </c>
      <c r="EJ33" s="3">
        <v>2</v>
      </c>
      <c r="EK33" s="3">
        <v>68</v>
      </c>
      <c r="EL33" s="3" t="s">
        <v>27</v>
      </c>
      <c r="EM33" s="3" t="s">
        <v>28</v>
      </c>
      <c r="EO33" s="3" t="s">
        <v>29</v>
      </c>
      <c r="EQ33" s="3">
        <v>0</v>
      </c>
      <c r="ER33" s="3">
        <v>42.51</v>
      </c>
      <c r="ES33" s="3">
        <v>2.34</v>
      </c>
      <c r="ET33" s="3">
        <v>0</v>
      </c>
      <c r="EU33" s="3">
        <v>0</v>
      </c>
      <c r="EV33" s="3">
        <v>40.17</v>
      </c>
      <c r="EW33" s="3">
        <v>3.18</v>
      </c>
      <c r="EX33" s="3">
        <v>0</v>
      </c>
      <c r="EY33" s="3">
        <v>0</v>
      </c>
      <c r="FQ33" s="3">
        <v>0</v>
      </c>
      <c r="FR33" s="3">
        <v>0</v>
      </c>
      <c r="FS33" s="3">
        <v>0</v>
      </c>
      <c r="FX33" s="3">
        <v>90</v>
      </c>
      <c r="FY33" s="3">
        <v>46</v>
      </c>
      <c r="GA33" s="3" t="s">
        <v>3</v>
      </c>
      <c r="GD33" s="3">
        <v>1</v>
      </c>
      <c r="GF33" s="3">
        <v>1956097963</v>
      </c>
      <c r="GG33" s="3">
        <v>2</v>
      </c>
      <c r="GH33" s="3">
        <v>1</v>
      </c>
      <c r="GI33" s="3">
        <v>2</v>
      </c>
      <c r="GJ33" s="3">
        <v>0</v>
      </c>
      <c r="GK33" s="3">
        <v>0</v>
      </c>
      <c r="GL33" s="3">
        <f t="shared" si="52"/>
        <v>0</v>
      </c>
      <c r="GM33" s="3">
        <f t="shared" si="53"/>
        <v>40270.83</v>
      </c>
      <c r="GN33" s="3">
        <f t="shared" si="54"/>
        <v>0</v>
      </c>
      <c r="GO33" s="3">
        <f t="shared" si="55"/>
        <v>40270.83</v>
      </c>
      <c r="GP33" s="3">
        <f t="shared" si="56"/>
        <v>0</v>
      </c>
      <c r="GR33" s="3">
        <v>0</v>
      </c>
      <c r="GS33" s="3">
        <v>3</v>
      </c>
      <c r="GT33" s="3">
        <v>0</v>
      </c>
      <c r="GU33" s="3" t="s">
        <v>3</v>
      </c>
      <c r="GV33" s="3">
        <f t="shared" si="57"/>
        <v>0</v>
      </c>
      <c r="GW33" s="3">
        <v>1</v>
      </c>
      <c r="GX33" s="3">
        <f t="shared" si="58"/>
        <v>0</v>
      </c>
      <c r="HA33" s="3">
        <v>0</v>
      </c>
      <c r="HB33" s="3">
        <v>0</v>
      </c>
      <c r="HC33" s="3">
        <f t="shared" si="59"/>
        <v>0</v>
      </c>
      <c r="HE33" s="3" t="s">
        <v>3</v>
      </c>
      <c r="HF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5">
      <c r="A34" s="2">
        <v>17</v>
      </c>
      <c r="B34" s="2">
        <v>1</v>
      </c>
      <c r="C34" s="2">
        <f>ROW(SmtRes!A23)</f>
        <v>23</v>
      </c>
      <c r="D34" s="2">
        <f>ROW(EtalonRes!A28)</f>
        <v>28</v>
      </c>
      <c r="E34" s="2" t="s">
        <v>39</v>
      </c>
      <c r="F34" s="2" t="s">
        <v>40</v>
      </c>
      <c r="G34" s="2" t="s">
        <v>41</v>
      </c>
      <c r="H34" s="2" t="s">
        <v>22</v>
      </c>
      <c r="I34" s="2">
        <f>ROUND(35/10,9)</f>
        <v>3.5</v>
      </c>
      <c r="J34" s="2">
        <v>0</v>
      </c>
      <c r="K34" s="2">
        <f>ROUND(35/10,9)</f>
        <v>3.5</v>
      </c>
      <c r="L34" s="2"/>
      <c r="M34" s="2"/>
      <c r="N34" s="2"/>
      <c r="O34" s="2">
        <f t="shared" si="21"/>
        <v>308.05</v>
      </c>
      <c r="P34" s="2">
        <f t="shared" si="22"/>
        <v>0</v>
      </c>
      <c r="Q34" s="2">
        <f t="shared" si="23"/>
        <v>8.01</v>
      </c>
      <c r="R34" s="2">
        <f t="shared" si="24"/>
        <v>1</v>
      </c>
      <c r="S34" s="2">
        <f t="shared" si="25"/>
        <v>300.04000000000002</v>
      </c>
      <c r="T34" s="2">
        <f t="shared" si="26"/>
        <v>0</v>
      </c>
      <c r="U34" s="2">
        <f t="shared" si="27"/>
        <v>19.313380800000001</v>
      </c>
      <c r="V34" s="2">
        <f t="shared" si="28"/>
        <v>0</v>
      </c>
      <c r="W34" s="2">
        <f t="shared" si="29"/>
        <v>0</v>
      </c>
      <c r="X34" s="2">
        <f t="shared" si="30"/>
        <v>270.94</v>
      </c>
      <c r="Y34" s="2">
        <f t="shared" si="31"/>
        <v>138.47999999999999</v>
      </c>
      <c r="Z34" s="2"/>
      <c r="AA34" s="2">
        <v>55936046</v>
      </c>
      <c r="AB34" s="2">
        <f t="shared" si="32"/>
        <v>84.063599999999994</v>
      </c>
      <c r="AC34" s="2">
        <f t="shared" si="33"/>
        <v>0</v>
      </c>
      <c r="AD34" s="2">
        <f t="shared" si="34"/>
        <v>2.1852</v>
      </c>
      <c r="AE34" s="2">
        <f t="shared" si="35"/>
        <v>0.27360000000000001</v>
      </c>
      <c r="AF34" s="2">
        <f t="shared" si="36"/>
        <v>81.878399999999999</v>
      </c>
      <c r="AG34" s="2">
        <f t="shared" si="37"/>
        <v>0</v>
      </c>
      <c r="AH34" s="2">
        <f t="shared" si="38"/>
        <v>5.2704000000000004</v>
      </c>
      <c r="AI34" s="2">
        <f t="shared" si="39"/>
        <v>0</v>
      </c>
      <c r="AJ34" s="2">
        <f t="shared" si="40"/>
        <v>0</v>
      </c>
      <c r="AK34" s="2">
        <v>235.95</v>
      </c>
      <c r="AL34" s="2">
        <v>2.44</v>
      </c>
      <c r="AM34" s="2">
        <v>6.07</v>
      </c>
      <c r="AN34" s="2">
        <v>0.76</v>
      </c>
      <c r="AO34" s="2">
        <v>227.44</v>
      </c>
      <c r="AP34" s="2">
        <v>0</v>
      </c>
      <c r="AQ34" s="2">
        <v>14.64</v>
      </c>
      <c r="AR34" s="2">
        <v>0</v>
      </c>
      <c r="AS34" s="2">
        <v>0</v>
      </c>
      <c r="AT34" s="2">
        <v>90</v>
      </c>
      <c r="AU34" s="2">
        <v>46</v>
      </c>
      <c r="AV34" s="2">
        <v>1.0469999999999999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2</v>
      </c>
      <c r="BJ34" s="2" t="s">
        <v>42</v>
      </c>
      <c r="BK34" s="2"/>
      <c r="BL34" s="2"/>
      <c r="BM34" s="2">
        <v>68</v>
      </c>
      <c r="BN34" s="2">
        <v>0</v>
      </c>
      <c r="BO34" s="2" t="s">
        <v>40</v>
      </c>
      <c r="BP34" s="2">
        <v>1</v>
      </c>
      <c r="BQ34" s="2">
        <v>40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90</v>
      </c>
      <c r="CA34" s="2">
        <v>46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421</v>
      </c>
      <c r="CO34" s="2">
        <v>0</v>
      </c>
      <c r="CP34" s="2">
        <f t="shared" si="41"/>
        <v>308.05</v>
      </c>
      <c r="CQ34" s="2">
        <f t="shared" si="42"/>
        <v>0</v>
      </c>
      <c r="CR34" s="2">
        <f t="shared" si="43"/>
        <v>2.29</v>
      </c>
      <c r="CS34" s="2">
        <f t="shared" si="44"/>
        <v>0.28999999999999998</v>
      </c>
      <c r="CT34" s="2">
        <f t="shared" si="45"/>
        <v>85.73</v>
      </c>
      <c r="CU34" s="2">
        <f t="shared" si="46"/>
        <v>0</v>
      </c>
      <c r="CV34" s="2">
        <f t="shared" si="47"/>
        <v>5.5181088000000003</v>
      </c>
      <c r="CW34" s="2">
        <f t="shared" si="48"/>
        <v>0</v>
      </c>
      <c r="CX34" s="2">
        <f t="shared" si="49"/>
        <v>0</v>
      </c>
      <c r="CY34" s="2">
        <f t="shared" si="50"/>
        <v>270.3</v>
      </c>
      <c r="CZ34" s="2">
        <f t="shared" si="51"/>
        <v>138.15</v>
      </c>
      <c r="DA34" s="2"/>
      <c r="DB34" s="2">
        <v>13</v>
      </c>
      <c r="DC34" s="2" t="s">
        <v>3</v>
      </c>
      <c r="DD34" s="2" t="s">
        <v>24</v>
      </c>
      <c r="DE34" s="2" t="s">
        <v>25</v>
      </c>
      <c r="DF34" s="2" t="s">
        <v>25</v>
      </c>
      <c r="DG34" s="2" t="s">
        <v>25</v>
      </c>
      <c r="DH34" s="2" t="s">
        <v>3</v>
      </c>
      <c r="DI34" s="2" t="s">
        <v>25</v>
      </c>
      <c r="DJ34" s="2" t="s">
        <v>25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1010</v>
      </c>
      <c r="DV34" s="2" t="s">
        <v>22</v>
      </c>
      <c r="DW34" s="2" t="s">
        <v>22</v>
      </c>
      <c r="DX34" s="2">
        <v>10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55393700</v>
      </c>
      <c r="EF34" s="2">
        <v>40</v>
      </c>
      <c r="EG34" s="2" t="s">
        <v>26</v>
      </c>
      <c r="EH34" s="2">
        <v>0</v>
      </c>
      <c r="EI34" s="2" t="s">
        <v>3</v>
      </c>
      <c r="EJ34" s="2">
        <v>2</v>
      </c>
      <c r="EK34" s="2">
        <v>68</v>
      </c>
      <c r="EL34" s="2" t="s">
        <v>27</v>
      </c>
      <c r="EM34" s="2" t="s">
        <v>28</v>
      </c>
      <c r="EN34" s="2"/>
      <c r="EO34" s="2" t="s">
        <v>29</v>
      </c>
      <c r="EP34" s="2"/>
      <c r="EQ34" s="2">
        <v>0</v>
      </c>
      <c r="ER34" s="2">
        <v>235.95</v>
      </c>
      <c r="ES34" s="2">
        <v>2.44</v>
      </c>
      <c r="ET34" s="2">
        <v>6.07</v>
      </c>
      <c r="EU34" s="2">
        <v>0.76</v>
      </c>
      <c r="EV34" s="2">
        <v>227.44</v>
      </c>
      <c r="EW34" s="2">
        <v>14.64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90</v>
      </c>
      <c r="FY34" s="2">
        <v>46</v>
      </c>
      <c r="FZ34" s="2"/>
      <c r="GA34" s="2" t="s">
        <v>3</v>
      </c>
      <c r="GB34" s="2"/>
      <c r="GC34" s="2"/>
      <c r="GD34" s="2">
        <v>1</v>
      </c>
      <c r="GE34" s="2"/>
      <c r="GF34" s="2">
        <v>-1787957336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52"/>
        <v>0</v>
      </c>
      <c r="GM34" s="2">
        <f t="shared" si="53"/>
        <v>717.47</v>
      </c>
      <c r="GN34" s="2">
        <f t="shared" si="54"/>
        <v>0</v>
      </c>
      <c r="GO34" s="2">
        <f t="shared" si="55"/>
        <v>717.47</v>
      </c>
      <c r="GP34" s="2">
        <f t="shared" si="56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57"/>
        <v>0</v>
      </c>
      <c r="GW34" s="2">
        <v>1</v>
      </c>
      <c r="GX34" s="2">
        <f t="shared" si="58"/>
        <v>0</v>
      </c>
      <c r="GY34" s="2"/>
      <c r="GZ34" s="2"/>
      <c r="HA34" s="2">
        <v>0</v>
      </c>
      <c r="HB34" s="2">
        <v>0</v>
      </c>
      <c r="HC34" s="2">
        <f t="shared" si="59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5">
      <c r="A35" s="3">
        <v>17</v>
      </c>
      <c r="B35" s="3">
        <v>1</v>
      </c>
      <c r="C35" s="3">
        <f>ROW(SmtRes!A28)</f>
        <v>28</v>
      </c>
      <c r="D35" s="3">
        <f>ROW(EtalonRes!A34)</f>
        <v>34</v>
      </c>
      <c r="E35" s="3" t="s">
        <v>39</v>
      </c>
      <c r="F35" s="3" t="s">
        <v>40</v>
      </c>
      <c r="G35" s="3" t="s">
        <v>41</v>
      </c>
      <c r="H35" s="3" t="s">
        <v>22</v>
      </c>
      <c r="I35" s="3">
        <f>ROUND(35/10,9)</f>
        <v>3.5</v>
      </c>
      <c r="J35" s="3">
        <v>0</v>
      </c>
      <c r="K35" s="3">
        <f>ROUND(35/10,9)</f>
        <v>3.5</v>
      </c>
      <c r="O35" s="3">
        <f t="shared" si="21"/>
        <v>17033.25</v>
      </c>
      <c r="P35" s="3">
        <f t="shared" si="22"/>
        <v>0</v>
      </c>
      <c r="Q35" s="3">
        <f t="shared" si="23"/>
        <v>126</v>
      </c>
      <c r="R35" s="3">
        <f t="shared" si="24"/>
        <v>56.35</v>
      </c>
      <c r="S35" s="3">
        <f t="shared" si="25"/>
        <v>16907.25</v>
      </c>
      <c r="T35" s="3">
        <f t="shared" si="26"/>
        <v>0</v>
      </c>
      <c r="U35" s="3">
        <f t="shared" si="27"/>
        <v>19.313380800000001</v>
      </c>
      <c r="V35" s="3">
        <f t="shared" si="28"/>
        <v>0</v>
      </c>
      <c r="W35" s="3">
        <f t="shared" si="29"/>
        <v>0</v>
      </c>
      <c r="X35" s="3">
        <f t="shared" si="30"/>
        <v>15267.24</v>
      </c>
      <c r="Y35" s="3">
        <f t="shared" si="31"/>
        <v>7803.26</v>
      </c>
      <c r="AA35" s="3">
        <v>55936048</v>
      </c>
      <c r="AB35" s="3">
        <f t="shared" si="32"/>
        <v>84.063599999999994</v>
      </c>
      <c r="AC35" s="3">
        <f t="shared" si="33"/>
        <v>0</v>
      </c>
      <c r="AD35" s="3">
        <f t="shared" si="34"/>
        <v>2.1852</v>
      </c>
      <c r="AE35" s="3">
        <f t="shared" si="35"/>
        <v>0.27360000000000001</v>
      </c>
      <c r="AF35" s="3">
        <f t="shared" si="36"/>
        <v>81.878399999999999</v>
      </c>
      <c r="AG35" s="3">
        <f t="shared" si="37"/>
        <v>0</v>
      </c>
      <c r="AH35" s="3">
        <f t="shared" si="38"/>
        <v>5.2704000000000004</v>
      </c>
      <c r="AI35" s="3">
        <f t="shared" si="39"/>
        <v>0</v>
      </c>
      <c r="AJ35" s="3">
        <f t="shared" si="40"/>
        <v>0</v>
      </c>
      <c r="AK35" s="3">
        <v>235.95</v>
      </c>
      <c r="AL35" s="3">
        <v>2.44</v>
      </c>
      <c r="AM35" s="3">
        <v>6.07</v>
      </c>
      <c r="AN35" s="3">
        <v>0.76</v>
      </c>
      <c r="AO35" s="3">
        <v>227.44</v>
      </c>
      <c r="AP35" s="3">
        <v>0</v>
      </c>
      <c r="AQ35" s="3">
        <v>14.64</v>
      </c>
      <c r="AR35" s="3">
        <v>0</v>
      </c>
      <c r="AS35" s="3">
        <v>0</v>
      </c>
      <c r="AT35" s="3">
        <v>90</v>
      </c>
      <c r="AU35" s="3">
        <v>46</v>
      </c>
      <c r="AV35" s="3">
        <v>1.0469999999999999</v>
      </c>
      <c r="AW35" s="3">
        <v>1</v>
      </c>
      <c r="AZ35" s="3">
        <v>1</v>
      </c>
      <c r="BA35" s="3">
        <v>56.35</v>
      </c>
      <c r="BB35" s="3">
        <v>15.73</v>
      </c>
      <c r="BC35" s="3">
        <v>7.61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0</v>
      </c>
      <c r="BI35" s="3">
        <v>2</v>
      </c>
      <c r="BJ35" s="3" t="s">
        <v>42</v>
      </c>
      <c r="BM35" s="3">
        <v>68</v>
      </c>
      <c r="BN35" s="3">
        <v>0</v>
      </c>
      <c r="BO35" s="3" t="s">
        <v>40</v>
      </c>
      <c r="BP35" s="3">
        <v>1</v>
      </c>
      <c r="BQ35" s="3">
        <v>40</v>
      </c>
      <c r="BR35" s="3">
        <v>0</v>
      </c>
      <c r="BS35" s="3">
        <v>56.35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90</v>
      </c>
      <c r="CA35" s="3">
        <v>46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421</v>
      </c>
      <c r="CO35" s="3">
        <v>0</v>
      </c>
      <c r="CP35" s="3">
        <f t="shared" si="41"/>
        <v>17033.25</v>
      </c>
      <c r="CQ35" s="3">
        <f t="shared" si="42"/>
        <v>0</v>
      </c>
      <c r="CR35" s="3">
        <f t="shared" si="43"/>
        <v>36.020000000000003</v>
      </c>
      <c r="CS35" s="3">
        <f t="shared" si="44"/>
        <v>16.34</v>
      </c>
      <c r="CT35" s="3">
        <f t="shared" si="45"/>
        <v>4830.8900000000003</v>
      </c>
      <c r="CU35" s="3">
        <f t="shared" si="46"/>
        <v>0</v>
      </c>
      <c r="CV35" s="3">
        <f t="shared" si="47"/>
        <v>5.5181088000000003</v>
      </c>
      <c r="CW35" s="3">
        <f t="shared" si="48"/>
        <v>0</v>
      </c>
      <c r="CX35" s="3">
        <f t="shared" si="49"/>
        <v>0</v>
      </c>
      <c r="CY35" s="3">
        <f t="shared" si="50"/>
        <v>15231.23</v>
      </c>
      <c r="CZ35" s="3">
        <f t="shared" si="51"/>
        <v>7784.85</v>
      </c>
      <c r="DB35" s="3">
        <v>15</v>
      </c>
      <c r="DC35" s="3" t="s">
        <v>3</v>
      </c>
      <c r="DD35" s="3" t="s">
        <v>24</v>
      </c>
      <c r="DE35" s="3" t="s">
        <v>25</v>
      </c>
      <c r="DF35" s="3" t="s">
        <v>25</v>
      </c>
      <c r="DG35" s="3" t="s">
        <v>25</v>
      </c>
      <c r="DH35" s="3" t="s">
        <v>3</v>
      </c>
      <c r="DI35" s="3" t="s">
        <v>25</v>
      </c>
      <c r="DJ35" s="3" t="s">
        <v>25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U35" s="3">
        <v>1010</v>
      </c>
      <c r="DV35" s="3" t="s">
        <v>22</v>
      </c>
      <c r="DW35" s="3" t="s">
        <v>22</v>
      </c>
      <c r="DX35" s="3">
        <v>10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55393700</v>
      </c>
      <c r="EF35" s="3">
        <v>40</v>
      </c>
      <c r="EG35" s="3" t="s">
        <v>26</v>
      </c>
      <c r="EH35" s="3">
        <v>0</v>
      </c>
      <c r="EI35" s="3" t="s">
        <v>3</v>
      </c>
      <c r="EJ35" s="3">
        <v>2</v>
      </c>
      <c r="EK35" s="3">
        <v>68</v>
      </c>
      <c r="EL35" s="3" t="s">
        <v>27</v>
      </c>
      <c r="EM35" s="3" t="s">
        <v>28</v>
      </c>
      <c r="EO35" s="3" t="s">
        <v>29</v>
      </c>
      <c r="EQ35" s="3">
        <v>0</v>
      </c>
      <c r="ER35" s="3">
        <v>235.95</v>
      </c>
      <c r="ES35" s="3">
        <v>2.44</v>
      </c>
      <c r="ET35" s="3">
        <v>6.07</v>
      </c>
      <c r="EU35" s="3">
        <v>0.76</v>
      </c>
      <c r="EV35" s="3">
        <v>227.44</v>
      </c>
      <c r="EW35" s="3">
        <v>14.64</v>
      </c>
      <c r="EX35" s="3">
        <v>0</v>
      </c>
      <c r="EY35" s="3">
        <v>0</v>
      </c>
      <c r="FQ35" s="3">
        <v>0</v>
      </c>
      <c r="FR35" s="3">
        <v>0</v>
      </c>
      <c r="FS35" s="3">
        <v>0</v>
      </c>
      <c r="FX35" s="3">
        <v>90</v>
      </c>
      <c r="FY35" s="3">
        <v>46</v>
      </c>
      <c r="GA35" s="3" t="s">
        <v>3</v>
      </c>
      <c r="GD35" s="3">
        <v>1</v>
      </c>
      <c r="GF35" s="3">
        <v>-1787957336</v>
      </c>
      <c r="GG35" s="3">
        <v>2</v>
      </c>
      <c r="GH35" s="3">
        <v>1</v>
      </c>
      <c r="GI35" s="3">
        <v>2</v>
      </c>
      <c r="GJ35" s="3">
        <v>0</v>
      </c>
      <c r="GK35" s="3">
        <v>0</v>
      </c>
      <c r="GL35" s="3">
        <f t="shared" si="52"/>
        <v>0</v>
      </c>
      <c r="GM35" s="3">
        <f t="shared" si="53"/>
        <v>40103.75</v>
      </c>
      <c r="GN35" s="3">
        <f t="shared" si="54"/>
        <v>0</v>
      </c>
      <c r="GO35" s="3">
        <f t="shared" si="55"/>
        <v>40103.75</v>
      </c>
      <c r="GP35" s="3">
        <f t="shared" si="56"/>
        <v>0</v>
      </c>
      <c r="GR35" s="3">
        <v>0</v>
      </c>
      <c r="GS35" s="3">
        <v>3</v>
      </c>
      <c r="GT35" s="3">
        <v>0</v>
      </c>
      <c r="GU35" s="3" t="s">
        <v>3</v>
      </c>
      <c r="GV35" s="3">
        <f t="shared" si="57"/>
        <v>0</v>
      </c>
      <c r="GW35" s="3">
        <v>1</v>
      </c>
      <c r="GX35" s="3">
        <f t="shared" si="58"/>
        <v>0</v>
      </c>
      <c r="HA35" s="3">
        <v>0</v>
      </c>
      <c r="HB35" s="3">
        <v>0</v>
      </c>
      <c r="HC35" s="3">
        <f t="shared" si="59"/>
        <v>0</v>
      </c>
      <c r="HE35" s="3" t="s">
        <v>3</v>
      </c>
      <c r="HF35" s="3" t="s">
        <v>3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6" spans="1:255" x14ac:dyDescent="0.25">
      <c r="A36" s="2">
        <v>17</v>
      </c>
      <c r="B36" s="2">
        <v>1</v>
      </c>
      <c r="C36" s="2">
        <f>ROW(SmtRes!A31)</f>
        <v>31</v>
      </c>
      <c r="D36" s="2">
        <f>ROW(EtalonRes!A38)</f>
        <v>38</v>
      </c>
      <c r="E36" s="2" t="s">
        <v>43</v>
      </c>
      <c r="F36" s="2" t="s">
        <v>44</v>
      </c>
      <c r="G36" s="2" t="s">
        <v>45</v>
      </c>
      <c r="H36" s="2" t="s">
        <v>33</v>
      </c>
      <c r="I36" s="2">
        <v>7</v>
      </c>
      <c r="J36" s="2">
        <v>0</v>
      </c>
      <c r="K36" s="2">
        <v>7</v>
      </c>
      <c r="L36" s="2"/>
      <c r="M36" s="2"/>
      <c r="N36" s="2"/>
      <c r="O36" s="2">
        <f t="shared" si="21"/>
        <v>31.37</v>
      </c>
      <c r="P36" s="2">
        <f t="shared" si="22"/>
        <v>0</v>
      </c>
      <c r="Q36" s="2">
        <f t="shared" si="23"/>
        <v>0</v>
      </c>
      <c r="R36" s="2">
        <f t="shared" si="24"/>
        <v>0</v>
      </c>
      <c r="S36" s="2">
        <f t="shared" si="25"/>
        <v>31.37</v>
      </c>
      <c r="T36" s="2">
        <f t="shared" si="26"/>
        <v>0</v>
      </c>
      <c r="U36" s="2">
        <f t="shared" si="27"/>
        <v>2.6384399999999997</v>
      </c>
      <c r="V36" s="2">
        <f t="shared" si="28"/>
        <v>0</v>
      </c>
      <c r="W36" s="2">
        <f t="shared" si="29"/>
        <v>0</v>
      </c>
      <c r="X36" s="2">
        <f t="shared" si="30"/>
        <v>29.8</v>
      </c>
      <c r="Y36" s="2">
        <f t="shared" si="31"/>
        <v>16.63</v>
      </c>
      <c r="Z36" s="2"/>
      <c r="AA36" s="2">
        <v>55936046</v>
      </c>
      <c r="AB36" s="2">
        <f t="shared" si="32"/>
        <v>4.2804000000000002</v>
      </c>
      <c r="AC36" s="2">
        <f t="shared" si="33"/>
        <v>0</v>
      </c>
      <c r="AD36" s="2">
        <f t="shared" si="34"/>
        <v>0</v>
      </c>
      <c r="AE36" s="2">
        <f t="shared" si="35"/>
        <v>0</v>
      </c>
      <c r="AF36" s="2">
        <f t="shared" si="36"/>
        <v>4.2804000000000002</v>
      </c>
      <c r="AG36" s="2">
        <f t="shared" si="37"/>
        <v>0</v>
      </c>
      <c r="AH36" s="2">
        <f t="shared" si="38"/>
        <v>0.36</v>
      </c>
      <c r="AI36" s="2">
        <f t="shared" si="39"/>
        <v>0</v>
      </c>
      <c r="AJ36" s="2">
        <f t="shared" si="40"/>
        <v>0</v>
      </c>
      <c r="AK36" s="2">
        <v>13.56</v>
      </c>
      <c r="AL36" s="2">
        <v>1.67</v>
      </c>
      <c r="AM36" s="2">
        <v>0</v>
      </c>
      <c r="AN36" s="2">
        <v>0</v>
      </c>
      <c r="AO36" s="2">
        <v>11.89</v>
      </c>
      <c r="AP36" s="2">
        <v>0</v>
      </c>
      <c r="AQ36" s="2">
        <v>1</v>
      </c>
      <c r="AR36" s="2">
        <v>0</v>
      </c>
      <c r="AS36" s="2">
        <v>0</v>
      </c>
      <c r="AT36" s="2">
        <v>95</v>
      </c>
      <c r="AU36" s="2">
        <v>53</v>
      </c>
      <c r="AV36" s="2">
        <v>1.0469999999999999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2</v>
      </c>
      <c r="BJ36" s="2" t="s">
        <v>46</v>
      </c>
      <c r="BK36" s="2"/>
      <c r="BL36" s="2"/>
      <c r="BM36" s="2">
        <v>69</v>
      </c>
      <c r="BN36" s="2">
        <v>0</v>
      </c>
      <c r="BO36" s="2" t="s">
        <v>44</v>
      </c>
      <c r="BP36" s="2">
        <v>1</v>
      </c>
      <c r="BQ36" s="2">
        <v>40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95</v>
      </c>
      <c r="CA36" s="2">
        <v>53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421</v>
      </c>
      <c r="CO36" s="2">
        <v>0</v>
      </c>
      <c r="CP36" s="2">
        <f t="shared" si="41"/>
        <v>31.37</v>
      </c>
      <c r="CQ36" s="2">
        <f t="shared" si="42"/>
        <v>0</v>
      </c>
      <c r="CR36" s="2">
        <f t="shared" si="43"/>
        <v>0</v>
      </c>
      <c r="CS36" s="2">
        <f t="shared" si="44"/>
        <v>0</v>
      </c>
      <c r="CT36" s="2">
        <f t="shared" si="45"/>
        <v>4.4800000000000004</v>
      </c>
      <c r="CU36" s="2">
        <f t="shared" si="46"/>
        <v>0</v>
      </c>
      <c r="CV36" s="2">
        <f t="shared" si="47"/>
        <v>0.37691999999999998</v>
      </c>
      <c r="CW36" s="2">
        <f t="shared" si="48"/>
        <v>0</v>
      </c>
      <c r="CX36" s="2">
        <f t="shared" si="49"/>
        <v>0</v>
      </c>
      <c r="CY36" s="2">
        <f t="shared" si="50"/>
        <v>29.8</v>
      </c>
      <c r="CZ36" s="2">
        <f t="shared" si="51"/>
        <v>16.63</v>
      </c>
      <c r="DA36" s="2"/>
      <c r="DB36" s="2">
        <v>17</v>
      </c>
      <c r="DC36" s="2" t="s">
        <v>3</v>
      </c>
      <c r="DD36" s="2" t="s">
        <v>24</v>
      </c>
      <c r="DE36" s="2" t="s">
        <v>25</v>
      </c>
      <c r="DF36" s="2" t="s">
        <v>25</v>
      </c>
      <c r="DG36" s="2" t="s">
        <v>25</v>
      </c>
      <c r="DH36" s="2" t="s">
        <v>3</v>
      </c>
      <c r="DI36" s="2" t="s">
        <v>25</v>
      </c>
      <c r="DJ36" s="2" t="s">
        <v>25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33</v>
      </c>
      <c r="DW36" s="2" t="s">
        <v>33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55393701</v>
      </c>
      <c r="EF36" s="2">
        <v>40</v>
      </c>
      <c r="EG36" s="2" t="s">
        <v>26</v>
      </c>
      <c r="EH36" s="2">
        <v>0</v>
      </c>
      <c r="EI36" s="2" t="s">
        <v>3</v>
      </c>
      <c r="EJ36" s="2">
        <v>2</v>
      </c>
      <c r="EK36" s="2">
        <v>69</v>
      </c>
      <c r="EL36" s="2" t="s">
        <v>47</v>
      </c>
      <c r="EM36" s="2" t="s">
        <v>48</v>
      </c>
      <c r="EN36" s="2"/>
      <c r="EO36" s="2" t="s">
        <v>29</v>
      </c>
      <c r="EP36" s="2"/>
      <c r="EQ36" s="2">
        <v>0</v>
      </c>
      <c r="ER36" s="2">
        <v>13.56</v>
      </c>
      <c r="ES36" s="2">
        <v>1.67</v>
      </c>
      <c r="ET36" s="2">
        <v>0</v>
      </c>
      <c r="EU36" s="2">
        <v>0</v>
      </c>
      <c r="EV36" s="2">
        <v>11.89</v>
      </c>
      <c r="EW36" s="2">
        <v>1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95</v>
      </c>
      <c r="FY36" s="2">
        <v>53</v>
      </c>
      <c r="FZ36" s="2"/>
      <c r="GA36" s="2" t="s">
        <v>3</v>
      </c>
      <c r="GB36" s="2"/>
      <c r="GC36" s="2"/>
      <c r="GD36" s="2">
        <v>1</v>
      </c>
      <c r="GE36" s="2"/>
      <c r="GF36" s="2">
        <v>1819492722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52"/>
        <v>0</v>
      </c>
      <c r="GM36" s="2">
        <f t="shared" si="53"/>
        <v>77.8</v>
      </c>
      <c r="GN36" s="2">
        <f t="shared" si="54"/>
        <v>0</v>
      </c>
      <c r="GO36" s="2">
        <f t="shared" si="55"/>
        <v>77.8</v>
      </c>
      <c r="GP36" s="2">
        <f t="shared" si="56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57"/>
        <v>0</v>
      </c>
      <c r="GW36" s="2">
        <v>1</v>
      </c>
      <c r="GX36" s="2">
        <f t="shared" si="58"/>
        <v>0</v>
      </c>
      <c r="GY36" s="2"/>
      <c r="GZ36" s="2"/>
      <c r="HA36" s="2">
        <v>0</v>
      </c>
      <c r="HB36" s="2">
        <v>0</v>
      </c>
      <c r="HC36" s="2">
        <f t="shared" si="59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5">
      <c r="A37" s="3">
        <v>17</v>
      </c>
      <c r="B37" s="3">
        <v>1</v>
      </c>
      <c r="C37" s="3">
        <f>ROW(SmtRes!A34)</f>
        <v>34</v>
      </c>
      <c r="D37" s="3">
        <f>ROW(EtalonRes!A42)</f>
        <v>42</v>
      </c>
      <c r="E37" s="3" t="s">
        <v>43</v>
      </c>
      <c r="F37" s="3" t="s">
        <v>44</v>
      </c>
      <c r="G37" s="3" t="s">
        <v>45</v>
      </c>
      <c r="H37" s="3" t="s">
        <v>33</v>
      </c>
      <c r="I37" s="3">
        <v>7</v>
      </c>
      <c r="J37" s="3">
        <v>0</v>
      </c>
      <c r="K37" s="3">
        <v>7</v>
      </c>
      <c r="O37" s="3">
        <f t="shared" si="21"/>
        <v>1767.7</v>
      </c>
      <c r="P37" s="3">
        <f t="shared" si="22"/>
        <v>0</v>
      </c>
      <c r="Q37" s="3">
        <f t="shared" si="23"/>
        <v>0</v>
      </c>
      <c r="R37" s="3">
        <f t="shared" si="24"/>
        <v>0</v>
      </c>
      <c r="S37" s="3">
        <f t="shared" si="25"/>
        <v>1767.7</v>
      </c>
      <c r="T37" s="3">
        <f t="shared" si="26"/>
        <v>0</v>
      </c>
      <c r="U37" s="3">
        <f t="shared" si="27"/>
        <v>2.6384399999999997</v>
      </c>
      <c r="V37" s="3">
        <f t="shared" si="28"/>
        <v>0</v>
      </c>
      <c r="W37" s="3">
        <f t="shared" si="29"/>
        <v>0</v>
      </c>
      <c r="X37" s="3">
        <f t="shared" si="30"/>
        <v>1679.32</v>
      </c>
      <c r="Y37" s="3">
        <f t="shared" si="31"/>
        <v>936.88</v>
      </c>
      <c r="AA37" s="3">
        <v>55936048</v>
      </c>
      <c r="AB37" s="3">
        <f t="shared" si="32"/>
        <v>4.2804000000000002</v>
      </c>
      <c r="AC37" s="3">
        <f t="shared" si="33"/>
        <v>0</v>
      </c>
      <c r="AD37" s="3">
        <f t="shared" si="34"/>
        <v>0</v>
      </c>
      <c r="AE37" s="3">
        <f t="shared" si="35"/>
        <v>0</v>
      </c>
      <c r="AF37" s="3">
        <f t="shared" si="36"/>
        <v>4.2804000000000002</v>
      </c>
      <c r="AG37" s="3">
        <f t="shared" si="37"/>
        <v>0</v>
      </c>
      <c r="AH37" s="3">
        <f t="shared" si="38"/>
        <v>0.36</v>
      </c>
      <c r="AI37" s="3">
        <f t="shared" si="39"/>
        <v>0</v>
      </c>
      <c r="AJ37" s="3">
        <f t="shared" si="40"/>
        <v>0</v>
      </c>
      <c r="AK37" s="3">
        <v>13.56</v>
      </c>
      <c r="AL37" s="3">
        <v>1.67</v>
      </c>
      <c r="AM37" s="3">
        <v>0</v>
      </c>
      <c r="AN37" s="3">
        <v>0</v>
      </c>
      <c r="AO37" s="3">
        <v>11.89</v>
      </c>
      <c r="AP37" s="3">
        <v>0</v>
      </c>
      <c r="AQ37" s="3">
        <v>1</v>
      </c>
      <c r="AR37" s="3">
        <v>0</v>
      </c>
      <c r="AS37" s="3">
        <v>0</v>
      </c>
      <c r="AT37" s="3">
        <v>95</v>
      </c>
      <c r="AU37" s="3">
        <v>53</v>
      </c>
      <c r="AV37" s="3">
        <v>1.0469999999999999</v>
      </c>
      <c r="AW37" s="3">
        <v>1</v>
      </c>
      <c r="AZ37" s="3">
        <v>1</v>
      </c>
      <c r="BA37" s="3">
        <v>56.35</v>
      </c>
      <c r="BB37" s="3">
        <v>1</v>
      </c>
      <c r="BC37" s="3">
        <v>17.87</v>
      </c>
      <c r="BD37" s="3" t="s">
        <v>3</v>
      </c>
      <c r="BE37" s="3" t="s">
        <v>3</v>
      </c>
      <c r="BF37" s="3" t="s">
        <v>3</v>
      </c>
      <c r="BG37" s="3" t="s">
        <v>3</v>
      </c>
      <c r="BH37" s="3">
        <v>0</v>
      </c>
      <c r="BI37" s="3">
        <v>2</v>
      </c>
      <c r="BJ37" s="3" t="s">
        <v>46</v>
      </c>
      <c r="BM37" s="3">
        <v>69</v>
      </c>
      <c r="BN37" s="3">
        <v>0</v>
      </c>
      <c r="BO37" s="3" t="s">
        <v>44</v>
      </c>
      <c r="BP37" s="3">
        <v>1</v>
      </c>
      <c r="BQ37" s="3">
        <v>40</v>
      </c>
      <c r="BR37" s="3">
        <v>0</v>
      </c>
      <c r="BS37" s="3">
        <v>56.35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 t="s">
        <v>3</v>
      </c>
      <c r="BZ37" s="3">
        <v>95</v>
      </c>
      <c r="CA37" s="3">
        <v>53</v>
      </c>
      <c r="CB37" s="3" t="s">
        <v>3</v>
      </c>
      <c r="CE37" s="3">
        <v>1566</v>
      </c>
      <c r="CF37" s="3">
        <v>0</v>
      </c>
      <c r="CG37" s="3">
        <v>0</v>
      </c>
      <c r="CM37" s="3">
        <v>0</v>
      </c>
      <c r="CN37" s="3" t="s">
        <v>421</v>
      </c>
      <c r="CO37" s="3">
        <v>0</v>
      </c>
      <c r="CP37" s="3">
        <f t="shared" si="41"/>
        <v>1767.7</v>
      </c>
      <c r="CQ37" s="3">
        <f t="shared" si="42"/>
        <v>0</v>
      </c>
      <c r="CR37" s="3">
        <f t="shared" si="43"/>
        <v>0</v>
      </c>
      <c r="CS37" s="3">
        <f t="shared" si="44"/>
        <v>0</v>
      </c>
      <c r="CT37" s="3">
        <f t="shared" si="45"/>
        <v>252.45</v>
      </c>
      <c r="CU37" s="3">
        <f t="shared" si="46"/>
        <v>0</v>
      </c>
      <c r="CV37" s="3">
        <f t="shared" si="47"/>
        <v>0.37691999999999998</v>
      </c>
      <c r="CW37" s="3">
        <f t="shared" si="48"/>
        <v>0</v>
      </c>
      <c r="CX37" s="3">
        <f t="shared" si="49"/>
        <v>0</v>
      </c>
      <c r="CY37" s="3">
        <f t="shared" si="50"/>
        <v>1679.32</v>
      </c>
      <c r="CZ37" s="3">
        <f t="shared" si="51"/>
        <v>936.88</v>
      </c>
      <c r="DB37" s="3">
        <v>19</v>
      </c>
      <c r="DC37" s="3" t="s">
        <v>3</v>
      </c>
      <c r="DD37" s="3" t="s">
        <v>24</v>
      </c>
      <c r="DE37" s="3" t="s">
        <v>25</v>
      </c>
      <c r="DF37" s="3" t="s">
        <v>25</v>
      </c>
      <c r="DG37" s="3" t="s">
        <v>25</v>
      </c>
      <c r="DH37" s="3" t="s">
        <v>3</v>
      </c>
      <c r="DI37" s="3" t="s">
        <v>25</v>
      </c>
      <c r="DJ37" s="3" t="s">
        <v>25</v>
      </c>
      <c r="DK37" s="3" t="s">
        <v>3</v>
      </c>
      <c r="DL37" s="3" t="s">
        <v>3</v>
      </c>
      <c r="DM37" s="3" t="s">
        <v>3</v>
      </c>
      <c r="DN37" s="3">
        <v>0</v>
      </c>
      <c r="DO37" s="3">
        <v>0</v>
      </c>
      <c r="DP37" s="3">
        <v>1</v>
      </c>
      <c r="DQ37" s="3">
        <v>1</v>
      </c>
      <c r="DU37" s="3">
        <v>1013</v>
      </c>
      <c r="DV37" s="3" t="s">
        <v>33</v>
      </c>
      <c r="DW37" s="3" t="s">
        <v>33</v>
      </c>
      <c r="DX37" s="3">
        <v>1</v>
      </c>
      <c r="DZ37" s="3" t="s">
        <v>3</v>
      </c>
      <c r="EA37" s="3" t="s">
        <v>3</v>
      </c>
      <c r="EB37" s="3" t="s">
        <v>3</v>
      </c>
      <c r="EC37" s="3" t="s">
        <v>3</v>
      </c>
      <c r="EE37" s="3">
        <v>55393701</v>
      </c>
      <c r="EF37" s="3">
        <v>40</v>
      </c>
      <c r="EG37" s="3" t="s">
        <v>26</v>
      </c>
      <c r="EH37" s="3">
        <v>0</v>
      </c>
      <c r="EI37" s="3" t="s">
        <v>3</v>
      </c>
      <c r="EJ37" s="3">
        <v>2</v>
      </c>
      <c r="EK37" s="3">
        <v>69</v>
      </c>
      <c r="EL37" s="3" t="s">
        <v>47</v>
      </c>
      <c r="EM37" s="3" t="s">
        <v>48</v>
      </c>
      <c r="EO37" s="3" t="s">
        <v>29</v>
      </c>
      <c r="EQ37" s="3">
        <v>0</v>
      </c>
      <c r="ER37" s="3">
        <v>13.56</v>
      </c>
      <c r="ES37" s="3">
        <v>1.67</v>
      </c>
      <c r="ET37" s="3">
        <v>0</v>
      </c>
      <c r="EU37" s="3">
        <v>0</v>
      </c>
      <c r="EV37" s="3">
        <v>11.89</v>
      </c>
      <c r="EW37" s="3">
        <v>1</v>
      </c>
      <c r="EX37" s="3">
        <v>0</v>
      </c>
      <c r="EY37" s="3">
        <v>0</v>
      </c>
      <c r="FQ37" s="3">
        <v>0</v>
      </c>
      <c r="FR37" s="3">
        <v>0</v>
      </c>
      <c r="FS37" s="3">
        <v>0</v>
      </c>
      <c r="FX37" s="3">
        <v>95</v>
      </c>
      <c r="FY37" s="3">
        <v>53</v>
      </c>
      <c r="GA37" s="3" t="s">
        <v>3</v>
      </c>
      <c r="GD37" s="3">
        <v>1</v>
      </c>
      <c r="GF37" s="3">
        <v>1819492722</v>
      </c>
      <c r="GG37" s="3">
        <v>2</v>
      </c>
      <c r="GH37" s="3">
        <v>1</v>
      </c>
      <c r="GI37" s="3">
        <v>2</v>
      </c>
      <c r="GJ37" s="3">
        <v>0</v>
      </c>
      <c r="GK37" s="3">
        <v>0</v>
      </c>
      <c r="GL37" s="3">
        <f t="shared" si="52"/>
        <v>0</v>
      </c>
      <c r="GM37" s="3">
        <f t="shared" si="53"/>
        <v>4383.8999999999996</v>
      </c>
      <c r="GN37" s="3">
        <f t="shared" si="54"/>
        <v>0</v>
      </c>
      <c r="GO37" s="3">
        <f t="shared" si="55"/>
        <v>4383.8999999999996</v>
      </c>
      <c r="GP37" s="3">
        <f t="shared" si="56"/>
        <v>0</v>
      </c>
      <c r="GR37" s="3">
        <v>0</v>
      </c>
      <c r="GS37" s="3">
        <v>3</v>
      </c>
      <c r="GT37" s="3">
        <v>0</v>
      </c>
      <c r="GU37" s="3" t="s">
        <v>3</v>
      </c>
      <c r="GV37" s="3">
        <f t="shared" si="57"/>
        <v>0</v>
      </c>
      <c r="GW37" s="3">
        <v>1</v>
      </c>
      <c r="GX37" s="3">
        <f t="shared" si="58"/>
        <v>0</v>
      </c>
      <c r="HA37" s="3">
        <v>0</v>
      </c>
      <c r="HB37" s="3">
        <v>0</v>
      </c>
      <c r="HC37" s="3">
        <f t="shared" si="59"/>
        <v>0</v>
      </c>
      <c r="HE37" s="3" t="s">
        <v>3</v>
      </c>
      <c r="HF37" s="3" t="s">
        <v>3</v>
      </c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S37" s="3">
        <v>0</v>
      </c>
      <c r="IK37" s="3">
        <v>0</v>
      </c>
    </row>
    <row r="38" spans="1:255" x14ac:dyDescent="0.25">
      <c r="A38" s="2">
        <v>17</v>
      </c>
      <c r="B38" s="2">
        <v>1</v>
      </c>
      <c r="C38" s="2">
        <f>ROW(SmtRes!A39)</f>
        <v>39</v>
      </c>
      <c r="D38" s="2">
        <f>ROW(EtalonRes!A48)</f>
        <v>48</v>
      </c>
      <c r="E38" s="2" t="s">
        <v>49</v>
      </c>
      <c r="F38" s="2" t="s">
        <v>40</v>
      </c>
      <c r="G38" s="2" t="s">
        <v>50</v>
      </c>
      <c r="H38" s="2" t="s">
        <v>22</v>
      </c>
      <c r="I38" s="2">
        <f>ROUND(3/10,9)</f>
        <v>0.3</v>
      </c>
      <c r="J38" s="2">
        <v>0</v>
      </c>
      <c r="K38" s="2">
        <f>ROUND(3/10,9)</f>
        <v>0.3</v>
      </c>
      <c r="L38" s="2"/>
      <c r="M38" s="2"/>
      <c r="N38" s="2"/>
      <c r="O38" s="2">
        <f t="shared" si="21"/>
        <v>26.41</v>
      </c>
      <c r="P38" s="2">
        <f t="shared" si="22"/>
        <v>0</v>
      </c>
      <c r="Q38" s="2">
        <f t="shared" si="23"/>
        <v>0.69</v>
      </c>
      <c r="R38" s="2">
        <f t="shared" si="24"/>
        <v>0.09</v>
      </c>
      <c r="S38" s="2">
        <f t="shared" si="25"/>
        <v>25.72</v>
      </c>
      <c r="T38" s="2">
        <f t="shared" si="26"/>
        <v>0</v>
      </c>
      <c r="U38" s="2">
        <f t="shared" si="27"/>
        <v>1.6554326400000001</v>
      </c>
      <c r="V38" s="2">
        <f t="shared" si="28"/>
        <v>0</v>
      </c>
      <c r="W38" s="2">
        <f t="shared" si="29"/>
        <v>0</v>
      </c>
      <c r="X38" s="2">
        <f t="shared" si="30"/>
        <v>23.23</v>
      </c>
      <c r="Y38" s="2">
        <f t="shared" si="31"/>
        <v>11.87</v>
      </c>
      <c r="Z38" s="2"/>
      <c r="AA38" s="2">
        <v>55936046</v>
      </c>
      <c r="AB38" s="2">
        <f t="shared" si="32"/>
        <v>84.063599999999994</v>
      </c>
      <c r="AC38" s="2">
        <f t="shared" si="33"/>
        <v>0</v>
      </c>
      <c r="AD38" s="2">
        <f t="shared" si="34"/>
        <v>2.1852</v>
      </c>
      <c r="AE38" s="2">
        <f t="shared" si="35"/>
        <v>0.27360000000000001</v>
      </c>
      <c r="AF38" s="2">
        <f t="shared" si="36"/>
        <v>81.878399999999999</v>
      </c>
      <c r="AG38" s="2">
        <f t="shared" si="37"/>
        <v>0</v>
      </c>
      <c r="AH38" s="2">
        <f t="shared" si="38"/>
        <v>5.2704000000000004</v>
      </c>
      <c r="AI38" s="2">
        <f t="shared" si="39"/>
        <v>0</v>
      </c>
      <c r="AJ38" s="2">
        <f t="shared" si="40"/>
        <v>0</v>
      </c>
      <c r="AK38" s="2">
        <v>235.95</v>
      </c>
      <c r="AL38" s="2">
        <v>2.44</v>
      </c>
      <c r="AM38" s="2">
        <v>6.07</v>
      </c>
      <c r="AN38" s="2">
        <v>0.76</v>
      </c>
      <c r="AO38" s="2">
        <v>227.44</v>
      </c>
      <c r="AP38" s="2">
        <v>0</v>
      </c>
      <c r="AQ38" s="2">
        <v>14.64</v>
      </c>
      <c r="AR38" s="2">
        <v>0</v>
      </c>
      <c r="AS38" s="2">
        <v>0</v>
      </c>
      <c r="AT38" s="2">
        <v>90</v>
      </c>
      <c r="AU38" s="2">
        <v>46</v>
      </c>
      <c r="AV38" s="2">
        <v>1.0469999999999999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2</v>
      </c>
      <c r="BJ38" s="2" t="s">
        <v>42</v>
      </c>
      <c r="BK38" s="2"/>
      <c r="BL38" s="2"/>
      <c r="BM38" s="2">
        <v>68</v>
      </c>
      <c r="BN38" s="2">
        <v>0</v>
      </c>
      <c r="BO38" s="2" t="s">
        <v>40</v>
      </c>
      <c r="BP38" s="2">
        <v>1</v>
      </c>
      <c r="BQ38" s="2">
        <v>40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90</v>
      </c>
      <c r="CA38" s="2">
        <v>46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421</v>
      </c>
      <c r="CO38" s="2">
        <v>0</v>
      </c>
      <c r="CP38" s="2">
        <f t="shared" si="41"/>
        <v>26.41</v>
      </c>
      <c r="CQ38" s="2">
        <f t="shared" si="42"/>
        <v>0</v>
      </c>
      <c r="CR38" s="2">
        <f t="shared" si="43"/>
        <v>2.29</v>
      </c>
      <c r="CS38" s="2">
        <f t="shared" si="44"/>
        <v>0.28999999999999998</v>
      </c>
      <c r="CT38" s="2">
        <f t="shared" si="45"/>
        <v>85.73</v>
      </c>
      <c r="CU38" s="2">
        <f t="shared" si="46"/>
        <v>0</v>
      </c>
      <c r="CV38" s="2">
        <f t="shared" si="47"/>
        <v>5.5181088000000003</v>
      </c>
      <c r="CW38" s="2">
        <f t="shared" si="48"/>
        <v>0</v>
      </c>
      <c r="CX38" s="2">
        <f t="shared" si="49"/>
        <v>0</v>
      </c>
      <c r="CY38" s="2">
        <f t="shared" si="50"/>
        <v>23.41</v>
      </c>
      <c r="CZ38" s="2">
        <f t="shared" si="51"/>
        <v>11.96</v>
      </c>
      <c r="DA38" s="2"/>
      <c r="DB38" s="2">
        <v>21</v>
      </c>
      <c r="DC38" s="2" t="s">
        <v>3</v>
      </c>
      <c r="DD38" s="2" t="s">
        <v>24</v>
      </c>
      <c r="DE38" s="2" t="s">
        <v>25</v>
      </c>
      <c r="DF38" s="2" t="s">
        <v>25</v>
      </c>
      <c r="DG38" s="2" t="s">
        <v>25</v>
      </c>
      <c r="DH38" s="2" t="s">
        <v>3</v>
      </c>
      <c r="DI38" s="2" t="s">
        <v>25</v>
      </c>
      <c r="DJ38" s="2" t="s">
        <v>25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1010</v>
      </c>
      <c r="DV38" s="2" t="s">
        <v>22</v>
      </c>
      <c r="DW38" s="2" t="s">
        <v>22</v>
      </c>
      <c r="DX38" s="2">
        <v>10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55393700</v>
      </c>
      <c r="EF38" s="2">
        <v>40</v>
      </c>
      <c r="EG38" s="2" t="s">
        <v>26</v>
      </c>
      <c r="EH38" s="2">
        <v>0</v>
      </c>
      <c r="EI38" s="2" t="s">
        <v>3</v>
      </c>
      <c r="EJ38" s="2">
        <v>2</v>
      </c>
      <c r="EK38" s="2">
        <v>68</v>
      </c>
      <c r="EL38" s="2" t="s">
        <v>27</v>
      </c>
      <c r="EM38" s="2" t="s">
        <v>28</v>
      </c>
      <c r="EN38" s="2"/>
      <c r="EO38" s="2" t="s">
        <v>29</v>
      </c>
      <c r="EP38" s="2"/>
      <c r="EQ38" s="2">
        <v>0</v>
      </c>
      <c r="ER38" s="2">
        <v>235.95</v>
      </c>
      <c r="ES38" s="2">
        <v>2.44</v>
      </c>
      <c r="ET38" s="2">
        <v>6.07</v>
      </c>
      <c r="EU38" s="2">
        <v>0.76</v>
      </c>
      <c r="EV38" s="2">
        <v>227.44</v>
      </c>
      <c r="EW38" s="2">
        <v>14.64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90</v>
      </c>
      <c r="FY38" s="2">
        <v>46</v>
      </c>
      <c r="FZ38" s="2"/>
      <c r="GA38" s="2" t="s">
        <v>3</v>
      </c>
      <c r="GB38" s="2"/>
      <c r="GC38" s="2"/>
      <c r="GD38" s="2">
        <v>1</v>
      </c>
      <c r="GE38" s="2"/>
      <c r="GF38" s="2">
        <v>618330461</v>
      </c>
      <c r="GG38" s="2">
        <v>2</v>
      </c>
      <c r="GH38" s="2">
        <v>1</v>
      </c>
      <c r="GI38" s="2">
        <v>2</v>
      </c>
      <c r="GJ38" s="2">
        <v>0</v>
      </c>
      <c r="GK38" s="2">
        <v>0</v>
      </c>
      <c r="GL38" s="2">
        <f t="shared" si="52"/>
        <v>0</v>
      </c>
      <c r="GM38" s="2">
        <f t="shared" si="53"/>
        <v>61.51</v>
      </c>
      <c r="GN38" s="2">
        <f t="shared" si="54"/>
        <v>0</v>
      </c>
      <c r="GO38" s="2">
        <f t="shared" si="55"/>
        <v>61.51</v>
      </c>
      <c r="GP38" s="2">
        <f t="shared" si="56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57"/>
        <v>0</v>
      </c>
      <c r="GW38" s="2">
        <v>1</v>
      </c>
      <c r="GX38" s="2">
        <f t="shared" si="58"/>
        <v>0</v>
      </c>
      <c r="GY38" s="2"/>
      <c r="GZ38" s="2"/>
      <c r="HA38" s="2">
        <v>0</v>
      </c>
      <c r="HB38" s="2">
        <v>0</v>
      </c>
      <c r="HC38" s="2">
        <f t="shared" si="59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5">
      <c r="A39" s="3">
        <v>17</v>
      </c>
      <c r="B39" s="3">
        <v>1</v>
      </c>
      <c r="C39" s="3">
        <f>ROW(SmtRes!A44)</f>
        <v>44</v>
      </c>
      <c r="D39" s="3">
        <f>ROW(EtalonRes!A54)</f>
        <v>54</v>
      </c>
      <c r="E39" s="3" t="s">
        <v>49</v>
      </c>
      <c r="F39" s="3" t="s">
        <v>40</v>
      </c>
      <c r="G39" s="3" t="s">
        <v>50</v>
      </c>
      <c r="H39" s="3" t="s">
        <v>22</v>
      </c>
      <c r="I39" s="3">
        <f>ROUND(3/10,9)</f>
        <v>0.3</v>
      </c>
      <c r="J39" s="3">
        <v>0</v>
      </c>
      <c r="K39" s="3">
        <f>ROUND(3/10,9)</f>
        <v>0.3</v>
      </c>
      <c r="O39" s="3">
        <f t="shared" si="21"/>
        <v>1460.17</v>
      </c>
      <c r="P39" s="3">
        <f t="shared" si="22"/>
        <v>0</v>
      </c>
      <c r="Q39" s="3">
        <f t="shared" si="23"/>
        <v>10.85</v>
      </c>
      <c r="R39" s="3">
        <f t="shared" si="24"/>
        <v>5.07</v>
      </c>
      <c r="S39" s="3">
        <f t="shared" si="25"/>
        <v>1449.32</v>
      </c>
      <c r="T39" s="3">
        <f t="shared" si="26"/>
        <v>0</v>
      </c>
      <c r="U39" s="3">
        <f t="shared" si="27"/>
        <v>1.6554326400000001</v>
      </c>
      <c r="V39" s="3">
        <f t="shared" si="28"/>
        <v>0</v>
      </c>
      <c r="W39" s="3">
        <f t="shared" si="29"/>
        <v>0</v>
      </c>
      <c r="X39" s="3">
        <f t="shared" si="30"/>
        <v>1308.95</v>
      </c>
      <c r="Y39" s="3">
        <f t="shared" si="31"/>
        <v>669.02</v>
      </c>
      <c r="AA39" s="3">
        <v>55936048</v>
      </c>
      <c r="AB39" s="3">
        <f t="shared" si="32"/>
        <v>84.063599999999994</v>
      </c>
      <c r="AC39" s="3">
        <f t="shared" si="33"/>
        <v>0</v>
      </c>
      <c r="AD39" s="3">
        <f t="shared" si="34"/>
        <v>2.1852</v>
      </c>
      <c r="AE39" s="3">
        <f t="shared" si="35"/>
        <v>0.27360000000000001</v>
      </c>
      <c r="AF39" s="3">
        <f t="shared" si="36"/>
        <v>81.878399999999999</v>
      </c>
      <c r="AG39" s="3">
        <f t="shared" si="37"/>
        <v>0</v>
      </c>
      <c r="AH39" s="3">
        <f t="shared" si="38"/>
        <v>5.2704000000000004</v>
      </c>
      <c r="AI39" s="3">
        <f t="shared" si="39"/>
        <v>0</v>
      </c>
      <c r="AJ39" s="3">
        <f t="shared" si="40"/>
        <v>0</v>
      </c>
      <c r="AK39" s="3">
        <v>235.95</v>
      </c>
      <c r="AL39" s="3">
        <v>2.44</v>
      </c>
      <c r="AM39" s="3">
        <v>6.07</v>
      </c>
      <c r="AN39" s="3">
        <v>0.76</v>
      </c>
      <c r="AO39" s="3">
        <v>227.44</v>
      </c>
      <c r="AP39" s="3">
        <v>0</v>
      </c>
      <c r="AQ39" s="3">
        <v>14.64</v>
      </c>
      <c r="AR39" s="3">
        <v>0</v>
      </c>
      <c r="AS39" s="3">
        <v>0</v>
      </c>
      <c r="AT39" s="3">
        <v>90</v>
      </c>
      <c r="AU39" s="3">
        <v>46</v>
      </c>
      <c r="AV39" s="3">
        <v>1.0469999999999999</v>
      </c>
      <c r="AW39" s="3">
        <v>1</v>
      </c>
      <c r="AZ39" s="3">
        <v>1</v>
      </c>
      <c r="BA39" s="3">
        <v>56.35</v>
      </c>
      <c r="BB39" s="3">
        <v>15.73</v>
      </c>
      <c r="BC39" s="3">
        <v>7.61</v>
      </c>
      <c r="BD39" s="3" t="s">
        <v>3</v>
      </c>
      <c r="BE39" s="3" t="s">
        <v>3</v>
      </c>
      <c r="BF39" s="3" t="s">
        <v>3</v>
      </c>
      <c r="BG39" s="3" t="s">
        <v>3</v>
      </c>
      <c r="BH39" s="3">
        <v>0</v>
      </c>
      <c r="BI39" s="3">
        <v>2</v>
      </c>
      <c r="BJ39" s="3" t="s">
        <v>42</v>
      </c>
      <c r="BM39" s="3">
        <v>68</v>
      </c>
      <c r="BN39" s="3">
        <v>0</v>
      </c>
      <c r="BO39" s="3" t="s">
        <v>40</v>
      </c>
      <c r="BP39" s="3">
        <v>1</v>
      </c>
      <c r="BQ39" s="3">
        <v>40</v>
      </c>
      <c r="BR39" s="3">
        <v>0</v>
      </c>
      <c r="BS39" s="3">
        <v>56.35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 t="s">
        <v>3</v>
      </c>
      <c r="BZ39" s="3">
        <v>90</v>
      </c>
      <c r="CA39" s="3">
        <v>46</v>
      </c>
      <c r="CB39" s="3" t="s">
        <v>3</v>
      </c>
      <c r="CE39" s="3">
        <v>1566</v>
      </c>
      <c r="CF39" s="3">
        <v>0</v>
      </c>
      <c r="CG39" s="3">
        <v>0</v>
      </c>
      <c r="CM39" s="3">
        <v>0</v>
      </c>
      <c r="CN39" s="3" t="s">
        <v>421</v>
      </c>
      <c r="CO39" s="3">
        <v>0</v>
      </c>
      <c r="CP39" s="3">
        <f t="shared" si="41"/>
        <v>1460.1699999999998</v>
      </c>
      <c r="CQ39" s="3">
        <f t="shared" si="42"/>
        <v>0</v>
      </c>
      <c r="CR39" s="3">
        <f t="shared" si="43"/>
        <v>36.020000000000003</v>
      </c>
      <c r="CS39" s="3">
        <f t="shared" si="44"/>
        <v>16.34</v>
      </c>
      <c r="CT39" s="3">
        <f t="shared" si="45"/>
        <v>4830.8900000000003</v>
      </c>
      <c r="CU39" s="3">
        <f t="shared" si="46"/>
        <v>0</v>
      </c>
      <c r="CV39" s="3">
        <f t="shared" si="47"/>
        <v>5.5181088000000003</v>
      </c>
      <c r="CW39" s="3">
        <f t="shared" si="48"/>
        <v>0</v>
      </c>
      <c r="CX39" s="3">
        <f t="shared" si="49"/>
        <v>0</v>
      </c>
      <c r="CY39" s="3">
        <f t="shared" si="50"/>
        <v>1319.09</v>
      </c>
      <c r="CZ39" s="3">
        <f t="shared" si="51"/>
        <v>674.2</v>
      </c>
      <c r="DB39" s="3">
        <v>23</v>
      </c>
      <c r="DC39" s="3" t="s">
        <v>3</v>
      </c>
      <c r="DD39" s="3" t="s">
        <v>24</v>
      </c>
      <c r="DE39" s="3" t="s">
        <v>25</v>
      </c>
      <c r="DF39" s="3" t="s">
        <v>25</v>
      </c>
      <c r="DG39" s="3" t="s">
        <v>25</v>
      </c>
      <c r="DH39" s="3" t="s">
        <v>3</v>
      </c>
      <c r="DI39" s="3" t="s">
        <v>25</v>
      </c>
      <c r="DJ39" s="3" t="s">
        <v>25</v>
      </c>
      <c r="DK39" s="3" t="s">
        <v>3</v>
      </c>
      <c r="DL39" s="3" t="s">
        <v>3</v>
      </c>
      <c r="DM39" s="3" t="s">
        <v>3</v>
      </c>
      <c r="DN39" s="3">
        <v>0</v>
      </c>
      <c r="DO39" s="3">
        <v>0</v>
      </c>
      <c r="DP39" s="3">
        <v>1</v>
      </c>
      <c r="DQ39" s="3">
        <v>1</v>
      </c>
      <c r="DU39" s="3">
        <v>1010</v>
      </c>
      <c r="DV39" s="3" t="s">
        <v>22</v>
      </c>
      <c r="DW39" s="3" t="s">
        <v>22</v>
      </c>
      <c r="DX39" s="3">
        <v>10</v>
      </c>
      <c r="DZ39" s="3" t="s">
        <v>3</v>
      </c>
      <c r="EA39" s="3" t="s">
        <v>3</v>
      </c>
      <c r="EB39" s="3" t="s">
        <v>3</v>
      </c>
      <c r="EC39" s="3" t="s">
        <v>3</v>
      </c>
      <c r="EE39" s="3">
        <v>55393700</v>
      </c>
      <c r="EF39" s="3">
        <v>40</v>
      </c>
      <c r="EG39" s="3" t="s">
        <v>26</v>
      </c>
      <c r="EH39" s="3">
        <v>0</v>
      </c>
      <c r="EI39" s="3" t="s">
        <v>3</v>
      </c>
      <c r="EJ39" s="3">
        <v>2</v>
      </c>
      <c r="EK39" s="3">
        <v>68</v>
      </c>
      <c r="EL39" s="3" t="s">
        <v>27</v>
      </c>
      <c r="EM39" s="3" t="s">
        <v>28</v>
      </c>
      <c r="EO39" s="3" t="s">
        <v>29</v>
      </c>
      <c r="EQ39" s="3">
        <v>0</v>
      </c>
      <c r="ER39" s="3">
        <v>235.95</v>
      </c>
      <c r="ES39" s="3">
        <v>2.44</v>
      </c>
      <c r="ET39" s="3">
        <v>6.07</v>
      </c>
      <c r="EU39" s="3">
        <v>0.76</v>
      </c>
      <c r="EV39" s="3">
        <v>227.44</v>
      </c>
      <c r="EW39" s="3">
        <v>14.64</v>
      </c>
      <c r="EX39" s="3">
        <v>0</v>
      </c>
      <c r="EY39" s="3">
        <v>0</v>
      </c>
      <c r="FQ39" s="3">
        <v>0</v>
      </c>
      <c r="FR39" s="3">
        <v>0</v>
      </c>
      <c r="FS39" s="3">
        <v>0</v>
      </c>
      <c r="FX39" s="3">
        <v>90</v>
      </c>
      <c r="FY39" s="3">
        <v>46</v>
      </c>
      <c r="GA39" s="3" t="s">
        <v>3</v>
      </c>
      <c r="GD39" s="3">
        <v>1</v>
      </c>
      <c r="GF39" s="3">
        <v>618330461</v>
      </c>
      <c r="GG39" s="3">
        <v>2</v>
      </c>
      <c r="GH39" s="3">
        <v>1</v>
      </c>
      <c r="GI39" s="3">
        <v>2</v>
      </c>
      <c r="GJ39" s="3">
        <v>0</v>
      </c>
      <c r="GK39" s="3">
        <v>0</v>
      </c>
      <c r="GL39" s="3">
        <f t="shared" si="52"/>
        <v>0</v>
      </c>
      <c r="GM39" s="3">
        <f t="shared" si="53"/>
        <v>3438.14</v>
      </c>
      <c r="GN39" s="3">
        <f t="shared" si="54"/>
        <v>0</v>
      </c>
      <c r="GO39" s="3">
        <f t="shared" si="55"/>
        <v>3438.14</v>
      </c>
      <c r="GP39" s="3">
        <f t="shared" si="56"/>
        <v>0</v>
      </c>
      <c r="GR39" s="3">
        <v>0</v>
      </c>
      <c r="GS39" s="3">
        <v>3</v>
      </c>
      <c r="GT39" s="3">
        <v>0</v>
      </c>
      <c r="GU39" s="3" t="s">
        <v>3</v>
      </c>
      <c r="GV39" s="3">
        <f t="shared" si="57"/>
        <v>0</v>
      </c>
      <c r="GW39" s="3">
        <v>1</v>
      </c>
      <c r="GX39" s="3">
        <f t="shared" si="58"/>
        <v>0</v>
      </c>
      <c r="HA39" s="3">
        <v>0</v>
      </c>
      <c r="HB39" s="3">
        <v>0</v>
      </c>
      <c r="HC39" s="3">
        <f t="shared" si="59"/>
        <v>0</v>
      </c>
      <c r="HE39" s="3" t="s">
        <v>3</v>
      </c>
      <c r="HF39" s="3" t="s">
        <v>3</v>
      </c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S39" s="3">
        <v>0</v>
      </c>
      <c r="IK39" s="3">
        <v>0</v>
      </c>
    </row>
    <row r="40" spans="1:255" x14ac:dyDescent="0.25">
      <c r="A40" s="2">
        <v>17</v>
      </c>
      <c r="B40" s="2">
        <v>1</v>
      </c>
      <c r="C40" s="2">
        <f>ROW(SmtRes!A49)</f>
        <v>49</v>
      </c>
      <c r="D40" s="2">
        <f>ROW(EtalonRes!A60)</f>
        <v>60</v>
      </c>
      <c r="E40" s="2" t="s">
        <v>51</v>
      </c>
      <c r="F40" s="2" t="s">
        <v>40</v>
      </c>
      <c r="G40" s="2" t="s">
        <v>52</v>
      </c>
      <c r="H40" s="2" t="s">
        <v>22</v>
      </c>
      <c r="I40" s="2">
        <f>ROUND(1/10,9)</f>
        <v>0.1</v>
      </c>
      <c r="J40" s="2">
        <v>0</v>
      </c>
      <c r="K40" s="2">
        <f>ROUND(1/10,9)</f>
        <v>0.1</v>
      </c>
      <c r="L40" s="2"/>
      <c r="M40" s="2"/>
      <c r="N40" s="2"/>
      <c r="O40" s="2">
        <f t="shared" si="21"/>
        <v>8.8000000000000007</v>
      </c>
      <c r="P40" s="2">
        <f t="shared" si="22"/>
        <v>0</v>
      </c>
      <c r="Q40" s="2">
        <f t="shared" si="23"/>
        <v>0.23</v>
      </c>
      <c r="R40" s="2">
        <f t="shared" si="24"/>
        <v>0.03</v>
      </c>
      <c r="S40" s="2">
        <f t="shared" si="25"/>
        <v>8.57</v>
      </c>
      <c r="T40" s="2">
        <f t="shared" si="26"/>
        <v>0</v>
      </c>
      <c r="U40" s="2">
        <f t="shared" si="27"/>
        <v>0.55181088</v>
      </c>
      <c r="V40" s="2">
        <f t="shared" si="28"/>
        <v>0</v>
      </c>
      <c r="W40" s="2">
        <f t="shared" si="29"/>
        <v>0</v>
      </c>
      <c r="X40" s="2">
        <f t="shared" si="30"/>
        <v>7.74</v>
      </c>
      <c r="Y40" s="2">
        <f t="shared" si="31"/>
        <v>3.96</v>
      </c>
      <c r="Z40" s="2"/>
      <c r="AA40" s="2">
        <v>55936046</v>
      </c>
      <c r="AB40" s="2">
        <f t="shared" si="32"/>
        <v>84.063599999999994</v>
      </c>
      <c r="AC40" s="2">
        <f t="shared" si="33"/>
        <v>0</v>
      </c>
      <c r="AD40" s="2">
        <f t="shared" si="34"/>
        <v>2.1852</v>
      </c>
      <c r="AE40" s="2">
        <f t="shared" si="35"/>
        <v>0.27360000000000001</v>
      </c>
      <c r="AF40" s="2">
        <f t="shared" si="36"/>
        <v>81.878399999999999</v>
      </c>
      <c r="AG40" s="2">
        <f t="shared" si="37"/>
        <v>0</v>
      </c>
      <c r="AH40" s="2">
        <f t="shared" si="38"/>
        <v>5.2704000000000004</v>
      </c>
      <c r="AI40" s="2">
        <f t="shared" si="39"/>
        <v>0</v>
      </c>
      <c r="AJ40" s="2">
        <f t="shared" si="40"/>
        <v>0</v>
      </c>
      <c r="AK40" s="2">
        <v>235.95</v>
      </c>
      <c r="AL40" s="2">
        <v>2.44</v>
      </c>
      <c r="AM40" s="2">
        <v>6.07</v>
      </c>
      <c r="AN40" s="2">
        <v>0.76</v>
      </c>
      <c r="AO40" s="2">
        <v>227.44</v>
      </c>
      <c r="AP40" s="2">
        <v>0</v>
      </c>
      <c r="AQ40" s="2">
        <v>14.64</v>
      </c>
      <c r="AR40" s="2">
        <v>0</v>
      </c>
      <c r="AS40" s="2">
        <v>0</v>
      </c>
      <c r="AT40" s="2">
        <v>90</v>
      </c>
      <c r="AU40" s="2">
        <v>46</v>
      </c>
      <c r="AV40" s="2">
        <v>1.0469999999999999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2</v>
      </c>
      <c r="BJ40" s="2" t="s">
        <v>42</v>
      </c>
      <c r="BK40" s="2"/>
      <c r="BL40" s="2"/>
      <c r="BM40" s="2">
        <v>68</v>
      </c>
      <c r="BN40" s="2">
        <v>0</v>
      </c>
      <c r="BO40" s="2" t="s">
        <v>40</v>
      </c>
      <c r="BP40" s="2">
        <v>1</v>
      </c>
      <c r="BQ40" s="2">
        <v>40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90</v>
      </c>
      <c r="CA40" s="2">
        <v>46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421</v>
      </c>
      <c r="CO40" s="2">
        <v>0</v>
      </c>
      <c r="CP40" s="2">
        <f t="shared" si="41"/>
        <v>8.8000000000000007</v>
      </c>
      <c r="CQ40" s="2">
        <f t="shared" si="42"/>
        <v>0</v>
      </c>
      <c r="CR40" s="2">
        <f t="shared" si="43"/>
        <v>2.29</v>
      </c>
      <c r="CS40" s="2">
        <f t="shared" si="44"/>
        <v>0.28999999999999998</v>
      </c>
      <c r="CT40" s="2">
        <f t="shared" si="45"/>
        <v>85.73</v>
      </c>
      <c r="CU40" s="2">
        <f t="shared" si="46"/>
        <v>0</v>
      </c>
      <c r="CV40" s="2">
        <f t="shared" si="47"/>
        <v>5.5181088000000003</v>
      </c>
      <c r="CW40" s="2">
        <f t="shared" si="48"/>
        <v>0</v>
      </c>
      <c r="CX40" s="2">
        <f t="shared" si="49"/>
        <v>0</v>
      </c>
      <c r="CY40" s="2">
        <f t="shared" si="50"/>
        <v>7.97</v>
      </c>
      <c r="CZ40" s="2">
        <f t="shared" si="51"/>
        <v>4.08</v>
      </c>
      <c r="DA40" s="2"/>
      <c r="DB40" s="2">
        <v>25</v>
      </c>
      <c r="DC40" s="2" t="s">
        <v>3</v>
      </c>
      <c r="DD40" s="2" t="s">
        <v>24</v>
      </c>
      <c r="DE40" s="2" t="s">
        <v>25</v>
      </c>
      <c r="DF40" s="2" t="s">
        <v>25</v>
      </c>
      <c r="DG40" s="2" t="s">
        <v>25</v>
      </c>
      <c r="DH40" s="2" t="s">
        <v>3</v>
      </c>
      <c r="DI40" s="2" t="s">
        <v>25</v>
      </c>
      <c r="DJ40" s="2" t="s">
        <v>25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1010</v>
      </c>
      <c r="DV40" s="2" t="s">
        <v>22</v>
      </c>
      <c r="DW40" s="2" t="s">
        <v>22</v>
      </c>
      <c r="DX40" s="2">
        <v>10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55393700</v>
      </c>
      <c r="EF40" s="2">
        <v>40</v>
      </c>
      <c r="EG40" s="2" t="s">
        <v>26</v>
      </c>
      <c r="EH40" s="2">
        <v>0</v>
      </c>
      <c r="EI40" s="2" t="s">
        <v>3</v>
      </c>
      <c r="EJ40" s="2">
        <v>2</v>
      </c>
      <c r="EK40" s="2">
        <v>68</v>
      </c>
      <c r="EL40" s="2" t="s">
        <v>27</v>
      </c>
      <c r="EM40" s="2" t="s">
        <v>28</v>
      </c>
      <c r="EN40" s="2"/>
      <c r="EO40" s="2" t="s">
        <v>29</v>
      </c>
      <c r="EP40" s="2"/>
      <c r="EQ40" s="2">
        <v>0</v>
      </c>
      <c r="ER40" s="2">
        <v>235.95</v>
      </c>
      <c r="ES40" s="2">
        <v>2.44</v>
      </c>
      <c r="ET40" s="2">
        <v>6.07</v>
      </c>
      <c r="EU40" s="2">
        <v>0.76</v>
      </c>
      <c r="EV40" s="2">
        <v>227.44</v>
      </c>
      <c r="EW40" s="2">
        <v>14.64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90</v>
      </c>
      <c r="FY40" s="2">
        <v>46</v>
      </c>
      <c r="FZ40" s="2"/>
      <c r="GA40" s="2" t="s">
        <v>3</v>
      </c>
      <c r="GB40" s="2"/>
      <c r="GC40" s="2"/>
      <c r="GD40" s="2">
        <v>1</v>
      </c>
      <c r="GE40" s="2"/>
      <c r="GF40" s="2">
        <v>382311479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52"/>
        <v>0</v>
      </c>
      <c r="GM40" s="2">
        <f t="shared" si="53"/>
        <v>20.5</v>
      </c>
      <c r="GN40" s="2">
        <f t="shared" si="54"/>
        <v>0</v>
      </c>
      <c r="GO40" s="2">
        <f t="shared" si="55"/>
        <v>20.5</v>
      </c>
      <c r="GP40" s="2">
        <f t="shared" si="56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57"/>
        <v>0</v>
      </c>
      <c r="GW40" s="2">
        <v>1</v>
      </c>
      <c r="GX40" s="2">
        <f t="shared" si="58"/>
        <v>0</v>
      </c>
      <c r="GY40" s="2"/>
      <c r="GZ40" s="2"/>
      <c r="HA40" s="2">
        <v>0</v>
      </c>
      <c r="HB40" s="2">
        <v>0</v>
      </c>
      <c r="HC40" s="2">
        <f t="shared" si="59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5">
      <c r="A41" s="3">
        <v>17</v>
      </c>
      <c r="B41" s="3">
        <v>1</v>
      </c>
      <c r="C41" s="3">
        <f>ROW(SmtRes!A54)</f>
        <v>54</v>
      </c>
      <c r="D41" s="3">
        <f>ROW(EtalonRes!A66)</f>
        <v>66</v>
      </c>
      <c r="E41" s="3" t="s">
        <v>51</v>
      </c>
      <c r="F41" s="3" t="s">
        <v>40</v>
      </c>
      <c r="G41" s="3" t="s">
        <v>52</v>
      </c>
      <c r="H41" s="3" t="s">
        <v>22</v>
      </c>
      <c r="I41" s="3">
        <f>ROUND(1/10,9)</f>
        <v>0.1</v>
      </c>
      <c r="J41" s="3">
        <v>0</v>
      </c>
      <c r="K41" s="3">
        <f>ROUND(1/10,9)</f>
        <v>0.1</v>
      </c>
      <c r="O41" s="3">
        <f t="shared" si="21"/>
        <v>486.54</v>
      </c>
      <c r="P41" s="3">
        <f t="shared" si="22"/>
        <v>0</v>
      </c>
      <c r="Q41" s="3">
        <f t="shared" si="23"/>
        <v>3.62</v>
      </c>
      <c r="R41" s="3">
        <f t="shared" si="24"/>
        <v>1.69</v>
      </c>
      <c r="S41" s="3">
        <f t="shared" si="25"/>
        <v>482.92</v>
      </c>
      <c r="T41" s="3">
        <f t="shared" si="26"/>
        <v>0</v>
      </c>
      <c r="U41" s="3">
        <f t="shared" si="27"/>
        <v>0.55181088</v>
      </c>
      <c r="V41" s="3">
        <f t="shared" si="28"/>
        <v>0</v>
      </c>
      <c r="W41" s="3">
        <f t="shared" si="29"/>
        <v>0</v>
      </c>
      <c r="X41" s="3">
        <f t="shared" si="30"/>
        <v>436.15</v>
      </c>
      <c r="Y41" s="3">
        <f t="shared" si="31"/>
        <v>222.92</v>
      </c>
      <c r="AA41" s="3">
        <v>55936048</v>
      </c>
      <c r="AB41" s="3">
        <f t="shared" si="32"/>
        <v>84.063599999999994</v>
      </c>
      <c r="AC41" s="3">
        <f t="shared" si="33"/>
        <v>0</v>
      </c>
      <c r="AD41" s="3">
        <f t="shared" si="34"/>
        <v>2.1852</v>
      </c>
      <c r="AE41" s="3">
        <f t="shared" si="35"/>
        <v>0.27360000000000001</v>
      </c>
      <c r="AF41" s="3">
        <f t="shared" si="36"/>
        <v>81.878399999999999</v>
      </c>
      <c r="AG41" s="3">
        <f t="shared" si="37"/>
        <v>0</v>
      </c>
      <c r="AH41" s="3">
        <f t="shared" si="38"/>
        <v>5.2704000000000004</v>
      </c>
      <c r="AI41" s="3">
        <f t="shared" si="39"/>
        <v>0</v>
      </c>
      <c r="AJ41" s="3">
        <f t="shared" si="40"/>
        <v>0</v>
      </c>
      <c r="AK41" s="3">
        <v>235.95</v>
      </c>
      <c r="AL41" s="3">
        <v>2.44</v>
      </c>
      <c r="AM41" s="3">
        <v>6.07</v>
      </c>
      <c r="AN41" s="3">
        <v>0.76</v>
      </c>
      <c r="AO41" s="3">
        <v>227.44</v>
      </c>
      <c r="AP41" s="3">
        <v>0</v>
      </c>
      <c r="AQ41" s="3">
        <v>14.64</v>
      </c>
      <c r="AR41" s="3">
        <v>0</v>
      </c>
      <c r="AS41" s="3">
        <v>0</v>
      </c>
      <c r="AT41" s="3">
        <v>90</v>
      </c>
      <c r="AU41" s="3">
        <v>46</v>
      </c>
      <c r="AV41" s="3">
        <v>1.0469999999999999</v>
      </c>
      <c r="AW41" s="3">
        <v>1</v>
      </c>
      <c r="AZ41" s="3">
        <v>1</v>
      </c>
      <c r="BA41" s="3">
        <v>56.35</v>
      </c>
      <c r="BB41" s="3">
        <v>15.73</v>
      </c>
      <c r="BC41" s="3">
        <v>7.61</v>
      </c>
      <c r="BD41" s="3" t="s">
        <v>3</v>
      </c>
      <c r="BE41" s="3" t="s">
        <v>3</v>
      </c>
      <c r="BF41" s="3" t="s">
        <v>3</v>
      </c>
      <c r="BG41" s="3" t="s">
        <v>3</v>
      </c>
      <c r="BH41" s="3">
        <v>0</v>
      </c>
      <c r="BI41" s="3">
        <v>2</v>
      </c>
      <c r="BJ41" s="3" t="s">
        <v>42</v>
      </c>
      <c r="BM41" s="3">
        <v>68</v>
      </c>
      <c r="BN41" s="3">
        <v>0</v>
      </c>
      <c r="BO41" s="3" t="s">
        <v>40</v>
      </c>
      <c r="BP41" s="3">
        <v>1</v>
      </c>
      <c r="BQ41" s="3">
        <v>40</v>
      </c>
      <c r="BR41" s="3">
        <v>0</v>
      </c>
      <c r="BS41" s="3">
        <v>56.35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 t="s">
        <v>3</v>
      </c>
      <c r="BZ41" s="3">
        <v>90</v>
      </c>
      <c r="CA41" s="3">
        <v>46</v>
      </c>
      <c r="CB41" s="3" t="s">
        <v>3</v>
      </c>
      <c r="CE41" s="3">
        <v>1566</v>
      </c>
      <c r="CF41" s="3">
        <v>0</v>
      </c>
      <c r="CG41" s="3">
        <v>0</v>
      </c>
      <c r="CM41" s="3">
        <v>0</v>
      </c>
      <c r="CN41" s="3" t="s">
        <v>421</v>
      </c>
      <c r="CO41" s="3">
        <v>0</v>
      </c>
      <c r="CP41" s="3">
        <f t="shared" si="41"/>
        <v>486.54</v>
      </c>
      <c r="CQ41" s="3">
        <f t="shared" si="42"/>
        <v>0</v>
      </c>
      <c r="CR41" s="3">
        <f t="shared" si="43"/>
        <v>36.020000000000003</v>
      </c>
      <c r="CS41" s="3">
        <f t="shared" si="44"/>
        <v>16.34</v>
      </c>
      <c r="CT41" s="3">
        <f t="shared" si="45"/>
        <v>4830.8900000000003</v>
      </c>
      <c r="CU41" s="3">
        <f t="shared" si="46"/>
        <v>0</v>
      </c>
      <c r="CV41" s="3">
        <f t="shared" si="47"/>
        <v>5.5181088000000003</v>
      </c>
      <c r="CW41" s="3">
        <f t="shared" si="48"/>
        <v>0</v>
      </c>
      <c r="CX41" s="3">
        <f t="shared" si="49"/>
        <v>0</v>
      </c>
      <c r="CY41" s="3">
        <f t="shared" si="50"/>
        <v>449.33</v>
      </c>
      <c r="CZ41" s="3">
        <f t="shared" si="51"/>
        <v>229.66</v>
      </c>
      <c r="DB41" s="3">
        <v>27</v>
      </c>
      <c r="DC41" s="3" t="s">
        <v>3</v>
      </c>
      <c r="DD41" s="3" t="s">
        <v>24</v>
      </c>
      <c r="DE41" s="3" t="s">
        <v>25</v>
      </c>
      <c r="DF41" s="3" t="s">
        <v>25</v>
      </c>
      <c r="DG41" s="3" t="s">
        <v>25</v>
      </c>
      <c r="DH41" s="3" t="s">
        <v>3</v>
      </c>
      <c r="DI41" s="3" t="s">
        <v>25</v>
      </c>
      <c r="DJ41" s="3" t="s">
        <v>25</v>
      </c>
      <c r="DK41" s="3" t="s">
        <v>3</v>
      </c>
      <c r="DL41" s="3" t="s">
        <v>3</v>
      </c>
      <c r="DM41" s="3" t="s">
        <v>3</v>
      </c>
      <c r="DN41" s="3">
        <v>0</v>
      </c>
      <c r="DO41" s="3">
        <v>0</v>
      </c>
      <c r="DP41" s="3">
        <v>1</v>
      </c>
      <c r="DQ41" s="3">
        <v>1</v>
      </c>
      <c r="DU41" s="3">
        <v>1010</v>
      </c>
      <c r="DV41" s="3" t="s">
        <v>22</v>
      </c>
      <c r="DW41" s="3" t="s">
        <v>22</v>
      </c>
      <c r="DX41" s="3">
        <v>10</v>
      </c>
      <c r="DZ41" s="3" t="s">
        <v>3</v>
      </c>
      <c r="EA41" s="3" t="s">
        <v>3</v>
      </c>
      <c r="EB41" s="3" t="s">
        <v>3</v>
      </c>
      <c r="EC41" s="3" t="s">
        <v>3</v>
      </c>
      <c r="EE41" s="3">
        <v>55393700</v>
      </c>
      <c r="EF41" s="3">
        <v>40</v>
      </c>
      <c r="EG41" s="3" t="s">
        <v>26</v>
      </c>
      <c r="EH41" s="3">
        <v>0</v>
      </c>
      <c r="EI41" s="3" t="s">
        <v>3</v>
      </c>
      <c r="EJ41" s="3">
        <v>2</v>
      </c>
      <c r="EK41" s="3">
        <v>68</v>
      </c>
      <c r="EL41" s="3" t="s">
        <v>27</v>
      </c>
      <c r="EM41" s="3" t="s">
        <v>28</v>
      </c>
      <c r="EO41" s="3" t="s">
        <v>29</v>
      </c>
      <c r="EQ41" s="3">
        <v>0</v>
      </c>
      <c r="ER41" s="3">
        <v>235.95</v>
      </c>
      <c r="ES41" s="3">
        <v>2.44</v>
      </c>
      <c r="ET41" s="3">
        <v>6.07</v>
      </c>
      <c r="EU41" s="3">
        <v>0.76</v>
      </c>
      <c r="EV41" s="3">
        <v>227.44</v>
      </c>
      <c r="EW41" s="3">
        <v>14.64</v>
      </c>
      <c r="EX41" s="3">
        <v>0</v>
      </c>
      <c r="EY41" s="3">
        <v>0</v>
      </c>
      <c r="FQ41" s="3">
        <v>0</v>
      </c>
      <c r="FR41" s="3">
        <v>0</v>
      </c>
      <c r="FS41" s="3">
        <v>0</v>
      </c>
      <c r="FX41" s="3">
        <v>90</v>
      </c>
      <c r="FY41" s="3">
        <v>46</v>
      </c>
      <c r="GA41" s="3" t="s">
        <v>3</v>
      </c>
      <c r="GD41" s="3">
        <v>1</v>
      </c>
      <c r="GF41" s="3">
        <v>382311479</v>
      </c>
      <c r="GG41" s="3">
        <v>2</v>
      </c>
      <c r="GH41" s="3">
        <v>1</v>
      </c>
      <c r="GI41" s="3">
        <v>2</v>
      </c>
      <c r="GJ41" s="3">
        <v>0</v>
      </c>
      <c r="GK41" s="3">
        <v>0</v>
      </c>
      <c r="GL41" s="3">
        <f t="shared" si="52"/>
        <v>0</v>
      </c>
      <c r="GM41" s="3">
        <f t="shared" si="53"/>
        <v>1145.6099999999999</v>
      </c>
      <c r="GN41" s="3">
        <f t="shared" si="54"/>
        <v>0</v>
      </c>
      <c r="GO41" s="3">
        <f t="shared" si="55"/>
        <v>1145.6099999999999</v>
      </c>
      <c r="GP41" s="3">
        <f t="shared" si="56"/>
        <v>0</v>
      </c>
      <c r="GR41" s="3">
        <v>0</v>
      </c>
      <c r="GS41" s="3">
        <v>3</v>
      </c>
      <c r="GT41" s="3">
        <v>0</v>
      </c>
      <c r="GU41" s="3" t="s">
        <v>3</v>
      </c>
      <c r="GV41" s="3">
        <f t="shared" si="57"/>
        <v>0</v>
      </c>
      <c r="GW41" s="3">
        <v>1</v>
      </c>
      <c r="GX41" s="3">
        <f t="shared" si="58"/>
        <v>0</v>
      </c>
      <c r="HA41" s="3">
        <v>0</v>
      </c>
      <c r="HB41" s="3">
        <v>0</v>
      </c>
      <c r="HC41" s="3">
        <f t="shared" si="59"/>
        <v>0</v>
      </c>
      <c r="HE41" s="3" t="s">
        <v>3</v>
      </c>
      <c r="HF41" s="3" t="s">
        <v>3</v>
      </c>
      <c r="HM41" s="3" t="s">
        <v>3</v>
      </c>
      <c r="HN41" s="3" t="s">
        <v>3</v>
      </c>
      <c r="HO41" s="3" t="s">
        <v>3</v>
      </c>
      <c r="HP41" s="3" t="s">
        <v>3</v>
      </c>
      <c r="HQ41" s="3" t="s">
        <v>3</v>
      </c>
      <c r="HS41" s="3">
        <v>0</v>
      </c>
      <c r="IK41" s="3">
        <v>0</v>
      </c>
    </row>
    <row r="42" spans="1:255" x14ac:dyDescent="0.25">
      <c r="A42" s="2">
        <v>17</v>
      </c>
      <c r="B42" s="2">
        <v>1</v>
      </c>
      <c r="C42" s="2">
        <f>ROW(SmtRes!A59)</f>
        <v>59</v>
      </c>
      <c r="D42" s="2">
        <f>ROW(EtalonRes!A72)</f>
        <v>72</v>
      </c>
      <c r="E42" s="2" t="s">
        <v>53</v>
      </c>
      <c r="F42" s="2" t="s">
        <v>54</v>
      </c>
      <c r="G42" s="2" t="s">
        <v>55</v>
      </c>
      <c r="H42" s="2" t="s">
        <v>33</v>
      </c>
      <c r="I42" s="2">
        <v>1</v>
      </c>
      <c r="J42" s="2">
        <v>0</v>
      </c>
      <c r="K42" s="2">
        <v>1</v>
      </c>
      <c r="L42" s="2"/>
      <c r="M42" s="2"/>
      <c r="N42" s="2"/>
      <c r="O42" s="2">
        <f t="shared" si="21"/>
        <v>8.1199999999999992</v>
      </c>
      <c r="P42" s="2">
        <f t="shared" si="22"/>
        <v>0</v>
      </c>
      <c r="Q42" s="2">
        <f t="shared" si="23"/>
        <v>0.34</v>
      </c>
      <c r="R42" s="2">
        <f t="shared" si="24"/>
        <v>0.05</v>
      </c>
      <c r="S42" s="2">
        <f t="shared" si="25"/>
        <v>7.78</v>
      </c>
      <c r="T42" s="2">
        <f t="shared" si="26"/>
        <v>0</v>
      </c>
      <c r="U42" s="2">
        <f t="shared" si="27"/>
        <v>0.50884199999999991</v>
      </c>
      <c r="V42" s="2">
        <f t="shared" si="28"/>
        <v>0</v>
      </c>
      <c r="W42" s="2">
        <f t="shared" si="29"/>
        <v>0</v>
      </c>
      <c r="X42" s="2">
        <f t="shared" si="30"/>
        <v>7.05</v>
      </c>
      <c r="Y42" s="2">
        <f t="shared" si="31"/>
        <v>3.6</v>
      </c>
      <c r="Z42" s="2"/>
      <c r="AA42" s="2">
        <v>55936046</v>
      </c>
      <c r="AB42" s="2">
        <f t="shared" si="32"/>
        <v>7.7544000000000004</v>
      </c>
      <c r="AC42" s="2">
        <f t="shared" si="33"/>
        <v>0</v>
      </c>
      <c r="AD42" s="2">
        <f t="shared" si="34"/>
        <v>0.3276</v>
      </c>
      <c r="AE42" s="2">
        <f t="shared" si="35"/>
        <v>4.6800000000000001E-2</v>
      </c>
      <c r="AF42" s="2">
        <f t="shared" si="36"/>
        <v>7.4268000000000001</v>
      </c>
      <c r="AG42" s="2">
        <f t="shared" si="37"/>
        <v>0</v>
      </c>
      <c r="AH42" s="2">
        <f t="shared" si="38"/>
        <v>0.48599999999999999</v>
      </c>
      <c r="AI42" s="2">
        <f t="shared" si="39"/>
        <v>0</v>
      </c>
      <c r="AJ42" s="2">
        <f t="shared" si="40"/>
        <v>0</v>
      </c>
      <c r="AK42" s="2">
        <v>22.76</v>
      </c>
      <c r="AL42" s="2">
        <v>1.22</v>
      </c>
      <c r="AM42" s="2">
        <v>0.91</v>
      </c>
      <c r="AN42" s="2">
        <v>0.13</v>
      </c>
      <c r="AO42" s="2">
        <v>20.63</v>
      </c>
      <c r="AP42" s="2">
        <v>0</v>
      </c>
      <c r="AQ42" s="2">
        <v>1.35</v>
      </c>
      <c r="AR42" s="2">
        <v>0</v>
      </c>
      <c r="AS42" s="2">
        <v>0</v>
      </c>
      <c r="AT42" s="2">
        <v>90</v>
      </c>
      <c r="AU42" s="2">
        <v>46</v>
      </c>
      <c r="AV42" s="2">
        <v>1.0469999999999999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0</v>
      </c>
      <c r="BI42" s="2">
        <v>2</v>
      </c>
      <c r="BJ42" s="2" t="s">
        <v>56</v>
      </c>
      <c r="BK42" s="2"/>
      <c r="BL42" s="2"/>
      <c r="BM42" s="2">
        <v>68</v>
      </c>
      <c r="BN42" s="2">
        <v>0</v>
      </c>
      <c r="BO42" s="2" t="s">
        <v>54</v>
      </c>
      <c r="BP42" s="2">
        <v>1</v>
      </c>
      <c r="BQ42" s="2">
        <v>40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90</v>
      </c>
      <c r="CA42" s="2">
        <v>46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421</v>
      </c>
      <c r="CO42" s="2">
        <v>0</v>
      </c>
      <c r="CP42" s="2">
        <f t="shared" si="41"/>
        <v>8.120000000000001</v>
      </c>
      <c r="CQ42" s="2">
        <f t="shared" si="42"/>
        <v>0</v>
      </c>
      <c r="CR42" s="2">
        <f t="shared" si="43"/>
        <v>0.34</v>
      </c>
      <c r="CS42" s="2">
        <f t="shared" si="44"/>
        <v>0.05</v>
      </c>
      <c r="CT42" s="2">
        <f t="shared" si="45"/>
        <v>7.78</v>
      </c>
      <c r="CU42" s="2">
        <f t="shared" si="46"/>
        <v>0</v>
      </c>
      <c r="CV42" s="2">
        <f t="shared" si="47"/>
        <v>0.50884199999999991</v>
      </c>
      <c r="CW42" s="2">
        <f t="shared" si="48"/>
        <v>0</v>
      </c>
      <c r="CX42" s="2">
        <f t="shared" si="49"/>
        <v>0</v>
      </c>
      <c r="CY42" s="2">
        <f t="shared" si="50"/>
        <v>7.05</v>
      </c>
      <c r="CZ42" s="2">
        <f t="shared" si="51"/>
        <v>3.6</v>
      </c>
      <c r="DA42" s="2"/>
      <c r="DB42" s="2">
        <v>29</v>
      </c>
      <c r="DC42" s="2" t="s">
        <v>3</v>
      </c>
      <c r="DD42" s="2" t="s">
        <v>24</v>
      </c>
      <c r="DE42" s="2" t="s">
        <v>25</v>
      </c>
      <c r="DF42" s="2" t="s">
        <v>25</v>
      </c>
      <c r="DG42" s="2" t="s">
        <v>25</v>
      </c>
      <c r="DH42" s="2" t="s">
        <v>3</v>
      </c>
      <c r="DI42" s="2" t="s">
        <v>25</v>
      </c>
      <c r="DJ42" s="2" t="s">
        <v>25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1013</v>
      </c>
      <c r="DV42" s="2" t="s">
        <v>33</v>
      </c>
      <c r="DW42" s="2" t="s">
        <v>33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55393700</v>
      </c>
      <c r="EF42" s="2">
        <v>40</v>
      </c>
      <c r="EG42" s="2" t="s">
        <v>26</v>
      </c>
      <c r="EH42" s="2">
        <v>0</v>
      </c>
      <c r="EI42" s="2" t="s">
        <v>3</v>
      </c>
      <c r="EJ42" s="2">
        <v>2</v>
      </c>
      <c r="EK42" s="2">
        <v>68</v>
      </c>
      <c r="EL42" s="2" t="s">
        <v>27</v>
      </c>
      <c r="EM42" s="2" t="s">
        <v>28</v>
      </c>
      <c r="EN42" s="2"/>
      <c r="EO42" s="2" t="s">
        <v>29</v>
      </c>
      <c r="EP42" s="2"/>
      <c r="EQ42" s="2">
        <v>0</v>
      </c>
      <c r="ER42" s="2">
        <v>22.76</v>
      </c>
      <c r="ES42" s="2">
        <v>1.22</v>
      </c>
      <c r="ET42" s="2">
        <v>0.91</v>
      </c>
      <c r="EU42" s="2">
        <v>0.13</v>
      </c>
      <c r="EV42" s="2">
        <v>20.63</v>
      </c>
      <c r="EW42" s="2">
        <v>1.35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90</v>
      </c>
      <c r="FY42" s="2">
        <v>46</v>
      </c>
      <c r="FZ42" s="2"/>
      <c r="GA42" s="2" t="s">
        <v>3</v>
      </c>
      <c r="GB42" s="2"/>
      <c r="GC42" s="2"/>
      <c r="GD42" s="2">
        <v>1</v>
      </c>
      <c r="GE42" s="2"/>
      <c r="GF42" s="2">
        <v>-470496512</v>
      </c>
      <c r="GG42" s="2">
        <v>2</v>
      </c>
      <c r="GH42" s="2">
        <v>1</v>
      </c>
      <c r="GI42" s="2">
        <v>2</v>
      </c>
      <c r="GJ42" s="2">
        <v>0</v>
      </c>
      <c r="GK42" s="2">
        <v>0</v>
      </c>
      <c r="GL42" s="2">
        <f t="shared" si="52"/>
        <v>0</v>
      </c>
      <c r="GM42" s="2">
        <f t="shared" si="53"/>
        <v>18.77</v>
      </c>
      <c r="GN42" s="2">
        <f t="shared" si="54"/>
        <v>0</v>
      </c>
      <c r="GO42" s="2">
        <f t="shared" si="55"/>
        <v>18.77</v>
      </c>
      <c r="GP42" s="2">
        <f t="shared" si="56"/>
        <v>0</v>
      </c>
      <c r="GQ42" s="2"/>
      <c r="GR42" s="2">
        <v>0</v>
      </c>
      <c r="GS42" s="2">
        <v>3</v>
      </c>
      <c r="GT42" s="2">
        <v>0</v>
      </c>
      <c r="GU42" s="2" t="s">
        <v>3</v>
      </c>
      <c r="GV42" s="2">
        <f t="shared" si="57"/>
        <v>0</v>
      </c>
      <c r="GW42" s="2">
        <v>1</v>
      </c>
      <c r="GX42" s="2">
        <f t="shared" si="58"/>
        <v>0</v>
      </c>
      <c r="GY42" s="2"/>
      <c r="GZ42" s="2"/>
      <c r="HA42" s="2">
        <v>0</v>
      </c>
      <c r="HB42" s="2">
        <v>0</v>
      </c>
      <c r="HC42" s="2">
        <f t="shared" si="59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5">
      <c r="A43" s="3">
        <v>17</v>
      </c>
      <c r="B43" s="3">
        <v>1</v>
      </c>
      <c r="C43" s="3">
        <f>ROW(SmtRes!A64)</f>
        <v>64</v>
      </c>
      <c r="D43" s="3">
        <f>ROW(EtalonRes!A78)</f>
        <v>78</v>
      </c>
      <c r="E43" s="3" t="s">
        <v>53</v>
      </c>
      <c r="F43" s="3" t="s">
        <v>54</v>
      </c>
      <c r="G43" s="3" t="s">
        <v>55</v>
      </c>
      <c r="H43" s="3" t="s">
        <v>33</v>
      </c>
      <c r="I43" s="3">
        <v>1</v>
      </c>
      <c r="J43" s="3">
        <v>0</v>
      </c>
      <c r="K43" s="3">
        <v>1</v>
      </c>
      <c r="O43" s="3">
        <f t="shared" si="21"/>
        <v>443.99</v>
      </c>
      <c r="P43" s="3">
        <f t="shared" si="22"/>
        <v>0</v>
      </c>
      <c r="Q43" s="3">
        <f t="shared" si="23"/>
        <v>5.59</v>
      </c>
      <c r="R43" s="3">
        <f t="shared" si="24"/>
        <v>2.82</v>
      </c>
      <c r="S43" s="3">
        <f t="shared" si="25"/>
        <v>438.4</v>
      </c>
      <c r="T43" s="3">
        <f t="shared" si="26"/>
        <v>0</v>
      </c>
      <c r="U43" s="3">
        <f t="shared" si="27"/>
        <v>0.50884199999999991</v>
      </c>
      <c r="V43" s="3">
        <f t="shared" si="28"/>
        <v>0</v>
      </c>
      <c r="W43" s="3">
        <f t="shared" si="29"/>
        <v>0</v>
      </c>
      <c r="X43" s="3">
        <f t="shared" si="30"/>
        <v>397.1</v>
      </c>
      <c r="Y43" s="3">
        <f t="shared" si="31"/>
        <v>202.96</v>
      </c>
      <c r="AA43" s="3">
        <v>55936048</v>
      </c>
      <c r="AB43" s="3">
        <f t="shared" si="32"/>
        <v>7.7544000000000004</v>
      </c>
      <c r="AC43" s="3">
        <f t="shared" si="33"/>
        <v>0</v>
      </c>
      <c r="AD43" s="3">
        <f t="shared" si="34"/>
        <v>0.3276</v>
      </c>
      <c r="AE43" s="3">
        <f t="shared" si="35"/>
        <v>4.6800000000000001E-2</v>
      </c>
      <c r="AF43" s="3">
        <f t="shared" si="36"/>
        <v>7.4268000000000001</v>
      </c>
      <c r="AG43" s="3">
        <f t="shared" si="37"/>
        <v>0</v>
      </c>
      <c r="AH43" s="3">
        <f t="shared" si="38"/>
        <v>0.48599999999999999</v>
      </c>
      <c r="AI43" s="3">
        <f t="shared" si="39"/>
        <v>0</v>
      </c>
      <c r="AJ43" s="3">
        <f t="shared" si="40"/>
        <v>0</v>
      </c>
      <c r="AK43" s="3">
        <v>22.76</v>
      </c>
      <c r="AL43" s="3">
        <v>1.22</v>
      </c>
      <c r="AM43" s="3">
        <v>0.91</v>
      </c>
      <c r="AN43" s="3">
        <v>0.13</v>
      </c>
      <c r="AO43" s="3">
        <v>20.63</v>
      </c>
      <c r="AP43" s="3">
        <v>0</v>
      </c>
      <c r="AQ43" s="3">
        <v>1.35</v>
      </c>
      <c r="AR43" s="3">
        <v>0</v>
      </c>
      <c r="AS43" s="3">
        <v>0</v>
      </c>
      <c r="AT43" s="3">
        <v>90</v>
      </c>
      <c r="AU43" s="3">
        <v>46</v>
      </c>
      <c r="AV43" s="3">
        <v>1.0469999999999999</v>
      </c>
      <c r="AW43" s="3">
        <v>1</v>
      </c>
      <c r="AZ43" s="3">
        <v>1</v>
      </c>
      <c r="BA43" s="3">
        <v>56.35</v>
      </c>
      <c r="BB43" s="3">
        <v>16.440000000000001</v>
      </c>
      <c r="BC43" s="3">
        <v>25.66</v>
      </c>
      <c r="BD43" s="3" t="s">
        <v>3</v>
      </c>
      <c r="BE43" s="3" t="s">
        <v>3</v>
      </c>
      <c r="BF43" s="3" t="s">
        <v>3</v>
      </c>
      <c r="BG43" s="3" t="s">
        <v>3</v>
      </c>
      <c r="BH43" s="3">
        <v>0</v>
      </c>
      <c r="BI43" s="3">
        <v>2</v>
      </c>
      <c r="BJ43" s="3" t="s">
        <v>56</v>
      </c>
      <c r="BM43" s="3">
        <v>68</v>
      </c>
      <c r="BN43" s="3">
        <v>0</v>
      </c>
      <c r="BO43" s="3" t="s">
        <v>54</v>
      </c>
      <c r="BP43" s="3">
        <v>1</v>
      </c>
      <c r="BQ43" s="3">
        <v>40</v>
      </c>
      <c r="BR43" s="3">
        <v>0</v>
      </c>
      <c r="BS43" s="3">
        <v>56.35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 t="s">
        <v>3</v>
      </c>
      <c r="BZ43" s="3">
        <v>90</v>
      </c>
      <c r="CA43" s="3">
        <v>46</v>
      </c>
      <c r="CB43" s="3" t="s">
        <v>3</v>
      </c>
      <c r="CE43" s="3">
        <v>1566</v>
      </c>
      <c r="CF43" s="3">
        <v>0</v>
      </c>
      <c r="CG43" s="3">
        <v>0</v>
      </c>
      <c r="CM43" s="3">
        <v>0</v>
      </c>
      <c r="CN43" s="3" t="s">
        <v>421</v>
      </c>
      <c r="CO43" s="3">
        <v>0</v>
      </c>
      <c r="CP43" s="3">
        <f t="shared" si="41"/>
        <v>443.98999999999995</v>
      </c>
      <c r="CQ43" s="3">
        <f t="shared" si="42"/>
        <v>0</v>
      </c>
      <c r="CR43" s="3">
        <f t="shared" si="43"/>
        <v>5.59</v>
      </c>
      <c r="CS43" s="3">
        <f t="shared" si="44"/>
        <v>2.82</v>
      </c>
      <c r="CT43" s="3">
        <f t="shared" si="45"/>
        <v>438.4</v>
      </c>
      <c r="CU43" s="3">
        <f t="shared" si="46"/>
        <v>0</v>
      </c>
      <c r="CV43" s="3">
        <f t="shared" si="47"/>
        <v>0.50884199999999991</v>
      </c>
      <c r="CW43" s="3">
        <f t="shared" si="48"/>
        <v>0</v>
      </c>
      <c r="CX43" s="3">
        <f t="shared" si="49"/>
        <v>0</v>
      </c>
      <c r="CY43" s="3">
        <f t="shared" si="50"/>
        <v>397.1</v>
      </c>
      <c r="CZ43" s="3">
        <f t="shared" si="51"/>
        <v>202.96</v>
      </c>
      <c r="DB43" s="3">
        <v>31</v>
      </c>
      <c r="DC43" s="3" t="s">
        <v>3</v>
      </c>
      <c r="DD43" s="3" t="s">
        <v>24</v>
      </c>
      <c r="DE43" s="3" t="s">
        <v>25</v>
      </c>
      <c r="DF43" s="3" t="s">
        <v>25</v>
      </c>
      <c r="DG43" s="3" t="s">
        <v>25</v>
      </c>
      <c r="DH43" s="3" t="s">
        <v>3</v>
      </c>
      <c r="DI43" s="3" t="s">
        <v>25</v>
      </c>
      <c r="DJ43" s="3" t="s">
        <v>25</v>
      </c>
      <c r="DK43" s="3" t="s">
        <v>3</v>
      </c>
      <c r="DL43" s="3" t="s">
        <v>3</v>
      </c>
      <c r="DM43" s="3" t="s">
        <v>3</v>
      </c>
      <c r="DN43" s="3">
        <v>0</v>
      </c>
      <c r="DO43" s="3">
        <v>0</v>
      </c>
      <c r="DP43" s="3">
        <v>1</v>
      </c>
      <c r="DQ43" s="3">
        <v>1</v>
      </c>
      <c r="DU43" s="3">
        <v>1013</v>
      </c>
      <c r="DV43" s="3" t="s">
        <v>33</v>
      </c>
      <c r="DW43" s="3" t="s">
        <v>33</v>
      </c>
      <c r="DX43" s="3">
        <v>1</v>
      </c>
      <c r="DZ43" s="3" t="s">
        <v>3</v>
      </c>
      <c r="EA43" s="3" t="s">
        <v>3</v>
      </c>
      <c r="EB43" s="3" t="s">
        <v>3</v>
      </c>
      <c r="EC43" s="3" t="s">
        <v>3</v>
      </c>
      <c r="EE43" s="3">
        <v>55393700</v>
      </c>
      <c r="EF43" s="3">
        <v>40</v>
      </c>
      <c r="EG43" s="3" t="s">
        <v>26</v>
      </c>
      <c r="EH43" s="3">
        <v>0</v>
      </c>
      <c r="EI43" s="3" t="s">
        <v>3</v>
      </c>
      <c r="EJ43" s="3">
        <v>2</v>
      </c>
      <c r="EK43" s="3">
        <v>68</v>
      </c>
      <c r="EL43" s="3" t="s">
        <v>27</v>
      </c>
      <c r="EM43" s="3" t="s">
        <v>28</v>
      </c>
      <c r="EO43" s="3" t="s">
        <v>29</v>
      </c>
      <c r="EQ43" s="3">
        <v>0</v>
      </c>
      <c r="ER43" s="3">
        <v>22.76</v>
      </c>
      <c r="ES43" s="3">
        <v>1.22</v>
      </c>
      <c r="ET43" s="3">
        <v>0.91</v>
      </c>
      <c r="EU43" s="3">
        <v>0.13</v>
      </c>
      <c r="EV43" s="3">
        <v>20.63</v>
      </c>
      <c r="EW43" s="3">
        <v>1.35</v>
      </c>
      <c r="EX43" s="3">
        <v>0</v>
      </c>
      <c r="EY43" s="3">
        <v>0</v>
      </c>
      <c r="FQ43" s="3">
        <v>0</v>
      </c>
      <c r="FR43" s="3">
        <v>0</v>
      </c>
      <c r="FS43" s="3">
        <v>0</v>
      </c>
      <c r="FX43" s="3">
        <v>90</v>
      </c>
      <c r="FY43" s="3">
        <v>46</v>
      </c>
      <c r="GA43" s="3" t="s">
        <v>3</v>
      </c>
      <c r="GD43" s="3">
        <v>1</v>
      </c>
      <c r="GF43" s="3">
        <v>-470496512</v>
      </c>
      <c r="GG43" s="3">
        <v>2</v>
      </c>
      <c r="GH43" s="3">
        <v>1</v>
      </c>
      <c r="GI43" s="3">
        <v>2</v>
      </c>
      <c r="GJ43" s="3">
        <v>0</v>
      </c>
      <c r="GK43" s="3">
        <v>0</v>
      </c>
      <c r="GL43" s="3">
        <f t="shared" si="52"/>
        <v>0</v>
      </c>
      <c r="GM43" s="3">
        <f t="shared" si="53"/>
        <v>1044.05</v>
      </c>
      <c r="GN43" s="3">
        <f t="shared" si="54"/>
        <v>0</v>
      </c>
      <c r="GO43" s="3">
        <f t="shared" si="55"/>
        <v>1044.05</v>
      </c>
      <c r="GP43" s="3">
        <f t="shared" si="56"/>
        <v>0</v>
      </c>
      <c r="GR43" s="3">
        <v>0</v>
      </c>
      <c r="GS43" s="3">
        <v>3</v>
      </c>
      <c r="GT43" s="3">
        <v>0</v>
      </c>
      <c r="GU43" s="3" t="s">
        <v>3</v>
      </c>
      <c r="GV43" s="3">
        <f t="shared" si="57"/>
        <v>0</v>
      </c>
      <c r="GW43" s="3">
        <v>1</v>
      </c>
      <c r="GX43" s="3">
        <f t="shared" si="58"/>
        <v>0</v>
      </c>
      <c r="HA43" s="3">
        <v>0</v>
      </c>
      <c r="HB43" s="3">
        <v>0</v>
      </c>
      <c r="HC43" s="3">
        <f t="shared" si="59"/>
        <v>0</v>
      </c>
      <c r="HE43" s="3" t="s">
        <v>3</v>
      </c>
      <c r="HF43" s="3" t="s">
        <v>3</v>
      </c>
      <c r="HM43" s="3" t="s">
        <v>3</v>
      </c>
      <c r="HN43" s="3" t="s">
        <v>3</v>
      </c>
      <c r="HO43" s="3" t="s">
        <v>3</v>
      </c>
      <c r="HP43" s="3" t="s">
        <v>3</v>
      </c>
      <c r="HQ43" s="3" t="s">
        <v>3</v>
      </c>
      <c r="HS43" s="3">
        <v>0</v>
      </c>
      <c r="IK43" s="3">
        <v>0</v>
      </c>
    </row>
    <row r="44" spans="1:255" x14ac:dyDescent="0.25">
      <c r="A44" s="2">
        <v>17</v>
      </c>
      <c r="B44" s="2">
        <v>1</v>
      </c>
      <c r="C44" s="2">
        <f>ROW(SmtRes!A66)</f>
        <v>66</v>
      </c>
      <c r="D44" s="2">
        <f>ROW(EtalonRes!A80)</f>
        <v>80</v>
      </c>
      <c r="E44" s="2" t="s">
        <v>57</v>
      </c>
      <c r="F44" s="2" t="s">
        <v>58</v>
      </c>
      <c r="G44" s="2" t="s">
        <v>59</v>
      </c>
      <c r="H44" s="2" t="s">
        <v>60</v>
      </c>
      <c r="I44" s="2">
        <f>ROUND((310+624-363)/100,9)</f>
        <v>5.71</v>
      </c>
      <c r="J44" s="2">
        <v>0</v>
      </c>
      <c r="K44" s="2">
        <f>ROUND((310+624-363)/100,9)</f>
        <v>5.71</v>
      </c>
      <c r="L44" s="2"/>
      <c r="M44" s="2"/>
      <c r="N44" s="2"/>
      <c r="O44" s="2">
        <f t="shared" si="21"/>
        <v>172.68</v>
      </c>
      <c r="P44" s="2">
        <f t="shared" si="22"/>
        <v>0</v>
      </c>
      <c r="Q44" s="2">
        <f>(ROUND((ROUND((((ET44*1.2))*AV44*I44),2)*BB44),2)+ROUND((ROUND(((AE44-((EU44*1.2)))*AV44*I44),2)*BS44),2))</f>
        <v>0</v>
      </c>
      <c r="R44" s="2">
        <f>(ROUND((ROUND((((EU44*1.2))*AV44*I44),2)*BS44),2)+ROUND((ROUND(((AE44-((EU44*1.2)))*AV44*I44),2)*BS44),2))</f>
        <v>0</v>
      </c>
      <c r="S44" s="2">
        <f t="shared" si="25"/>
        <v>172.68</v>
      </c>
      <c r="T44" s="2">
        <f t="shared" si="26"/>
        <v>0</v>
      </c>
      <c r="U44" s="2">
        <f t="shared" si="27"/>
        <v>16.141598999999999</v>
      </c>
      <c r="V44" s="2">
        <f t="shared" si="28"/>
        <v>0</v>
      </c>
      <c r="W44" s="2">
        <f t="shared" si="29"/>
        <v>0</v>
      </c>
      <c r="X44" s="2">
        <f>(ROUND((((S44+ROUND((ROUND((((EU44*1.2))*AV44*I44),2)*BS44),2))*AT44)/100),2)+ROUND(((ROUND((ROUND(((AE44-((EU44*1.2)))*AV44*I44),2)*BS44),2)*AT44)/100),2))</f>
        <v>157.13999999999999</v>
      </c>
      <c r="Y44" s="2">
        <f>(ROUND((((S44+ROUND((ROUND((((EU44*1.2))*AV44*I44),2)*BS44),2))*AU44)/100),2)+ROUND(((ROUND((ROUND(((AE44-((EU44*1.2)))*AV44*I44),2)*BS44),2)*AU44)/100),2))</f>
        <v>82.89</v>
      </c>
      <c r="Z44" s="2"/>
      <c r="AA44" s="2">
        <v>55936046</v>
      </c>
      <c r="AB44" s="2">
        <f t="shared" si="32"/>
        <v>28.884</v>
      </c>
      <c r="AC44" s="2">
        <f>ROUND(((ES44*1)),6)</f>
        <v>0</v>
      </c>
      <c r="AD44" s="2">
        <f>ROUND(((((ET44*1.2))-((EU44*1.2)))+AE44),6)</f>
        <v>0</v>
      </c>
      <c r="AE44" s="2">
        <f t="shared" ref="AE44:AF47" si="60">ROUND(((EU44*1.2)),6)</f>
        <v>0</v>
      </c>
      <c r="AF44" s="2">
        <f t="shared" si="60"/>
        <v>28.884</v>
      </c>
      <c r="AG44" s="2">
        <f t="shared" si="37"/>
        <v>0</v>
      </c>
      <c r="AH44" s="2">
        <f t="shared" ref="AH44:AI47" si="61">((EW44*1.2))</f>
        <v>2.6999999999999997</v>
      </c>
      <c r="AI44" s="2">
        <f t="shared" si="61"/>
        <v>0</v>
      </c>
      <c r="AJ44" s="2">
        <f t="shared" si="40"/>
        <v>0</v>
      </c>
      <c r="AK44" s="2">
        <v>24.07</v>
      </c>
      <c r="AL44" s="2">
        <v>0</v>
      </c>
      <c r="AM44" s="2">
        <v>0</v>
      </c>
      <c r="AN44" s="2">
        <v>0</v>
      </c>
      <c r="AO44" s="2">
        <v>24.07</v>
      </c>
      <c r="AP44" s="2">
        <v>0</v>
      </c>
      <c r="AQ44" s="2">
        <v>2.25</v>
      </c>
      <c r="AR44" s="2">
        <v>0</v>
      </c>
      <c r="AS44" s="2">
        <v>0</v>
      </c>
      <c r="AT44" s="2">
        <v>91</v>
      </c>
      <c r="AU44" s="2">
        <v>48</v>
      </c>
      <c r="AV44" s="2">
        <v>1.0469999999999999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1</v>
      </c>
      <c r="BJ44" s="2" t="s">
        <v>61</v>
      </c>
      <c r="BK44" s="2"/>
      <c r="BL44" s="2"/>
      <c r="BM44" s="2">
        <v>106</v>
      </c>
      <c r="BN44" s="2">
        <v>0</v>
      </c>
      <c r="BO44" s="2" t="s">
        <v>58</v>
      </c>
      <c r="BP44" s="2">
        <v>1</v>
      </c>
      <c r="BQ44" s="2">
        <v>60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91</v>
      </c>
      <c r="CA44" s="2">
        <v>48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422</v>
      </c>
      <c r="CO44" s="2">
        <v>0</v>
      </c>
      <c r="CP44" s="2">
        <f t="shared" si="41"/>
        <v>172.68</v>
      </c>
      <c r="CQ44" s="2">
        <f t="shared" si="42"/>
        <v>0</v>
      </c>
      <c r="CR44" s="2">
        <f>(ROUND((ROUND((((ET44*1.2))*AV44*1),2)*BB44),2)+ROUND((ROUND(((AE44-((EU44*1.2)))*AV44*1),2)*BS44),2))</f>
        <v>0</v>
      </c>
      <c r="CS44" s="2">
        <f>(ROUND((ROUND((((EU44*1.2))*AV44*1),2)*BS44),2)+ROUND((ROUND(((AE44-((EU44*1.2)))*AV44*1),2)*BS44),2))</f>
        <v>0</v>
      </c>
      <c r="CT44" s="2">
        <f t="shared" si="45"/>
        <v>30.24</v>
      </c>
      <c r="CU44" s="2">
        <f t="shared" si="46"/>
        <v>0</v>
      </c>
      <c r="CV44" s="2">
        <f t="shared" si="47"/>
        <v>2.8268999999999997</v>
      </c>
      <c r="CW44" s="2">
        <f t="shared" si="48"/>
        <v>0</v>
      </c>
      <c r="CX44" s="2">
        <f t="shared" si="49"/>
        <v>0</v>
      </c>
      <c r="CY44" s="2">
        <f>(ROUND((((S44+ROUND((ROUND((((EU44*1.2))*AV44*1),2)*BS44),2))*AT44)/100),2)+ROUND(((ROUND((ROUND(((AE44-((EU44*1.2)))*AV44*1),2)*BS44),2)*AT44)/100),2))</f>
        <v>157.13999999999999</v>
      </c>
      <c r="CZ44" s="2">
        <f>(ROUND((((S44+ROUND((ROUND((((EU44*1.2))*AV44*1),2)*BS44),2))*AU44)/100),2)+ROUND(((ROUND((ROUND(((AE44-((EU44*1.2)))*AV44*1),2)*BS44),2)*AU44)/100),2))</f>
        <v>82.89</v>
      </c>
      <c r="DA44" s="2"/>
      <c r="DB44" s="2">
        <v>33</v>
      </c>
      <c r="DC44" s="2" t="s">
        <v>3</v>
      </c>
      <c r="DD44" s="2" t="s">
        <v>62</v>
      </c>
      <c r="DE44" s="2" t="s">
        <v>63</v>
      </c>
      <c r="DF44" s="2" t="s">
        <v>63</v>
      </c>
      <c r="DG44" s="2" t="s">
        <v>63</v>
      </c>
      <c r="DH44" s="2" t="s">
        <v>3</v>
      </c>
      <c r="DI44" s="2" t="s">
        <v>63</v>
      </c>
      <c r="DJ44" s="2" t="s">
        <v>63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1003</v>
      </c>
      <c r="DV44" s="2" t="s">
        <v>60</v>
      </c>
      <c r="DW44" s="2" t="s">
        <v>60</v>
      </c>
      <c r="DX44" s="2">
        <v>100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55393738</v>
      </c>
      <c r="EF44" s="2">
        <v>60</v>
      </c>
      <c r="EG44" s="2" t="s">
        <v>64</v>
      </c>
      <c r="EH44" s="2">
        <v>0</v>
      </c>
      <c r="EI44" s="2" t="s">
        <v>3</v>
      </c>
      <c r="EJ44" s="2">
        <v>1</v>
      </c>
      <c r="EK44" s="2">
        <v>106</v>
      </c>
      <c r="EL44" s="2" t="s">
        <v>65</v>
      </c>
      <c r="EM44" s="2" t="s">
        <v>66</v>
      </c>
      <c r="EN44" s="2"/>
      <c r="EO44" s="2" t="s">
        <v>67</v>
      </c>
      <c r="EP44" s="2"/>
      <c r="EQ44" s="2">
        <v>0</v>
      </c>
      <c r="ER44" s="2">
        <v>24.07</v>
      </c>
      <c r="ES44" s="2">
        <v>0</v>
      </c>
      <c r="ET44" s="2">
        <v>0</v>
      </c>
      <c r="EU44" s="2">
        <v>0</v>
      </c>
      <c r="EV44" s="2">
        <v>24.07</v>
      </c>
      <c r="EW44" s="2">
        <v>2.25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91</v>
      </c>
      <c r="FY44" s="2">
        <v>48</v>
      </c>
      <c r="FZ44" s="2"/>
      <c r="GA44" s="2" t="s">
        <v>3</v>
      </c>
      <c r="GB44" s="2"/>
      <c r="GC44" s="2"/>
      <c r="GD44" s="2">
        <v>1</v>
      </c>
      <c r="GE44" s="2"/>
      <c r="GF44" s="2">
        <v>-1911321142</v>
      </c>
      <c r="GG44" s="2">
        <v>2</v>
      </c>
      <c r="GH44" s="2">
        <v>1</v>
      </c>
      <c r="GI44" s="2">
        <v>2</v>
      </c>
      <c r="GJ44" s="2">
        <v>0</v>
      </c>
      <c r="GK44" s="2">
        <v>0</v>
      </c>
      <c r="GL44" s="2">
        <f t="shared" si="52"/>
        <v>0</v>
      </c>
      <c r="GM44" s="2">
        <f t="shared" si="53"/>
        <v>412.71</v>
      </c>
      <c r="GN44" s="2">
        <f t="shared" si="54"/>
        <v>412.71</v>
      </c>
      <c r="GO44" s="2">
        <f t="shared" si="55"/>
        <v>0</v>
      </c>
      <c r="GP44" s="2">
        <f t="shared" si="56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57"/>
        <v>0</v>
      </c>
      <c r="GW44" s="2">
        <v>1</v>
      </c>
      <c r="GX44" s="2">
        <f t="shared" si="58"/>
        <v>0</v>
      </c>
      <c r="GY44" s="2"/>
      <c r="GZ44" s="2"/>
      <c r="HA44" s="2">
        <v>0</v>
      </c>
      <c r="HB44" s="2">
        <v>0</v>
      </c>
      <c r="HC44" s="2">
        <f t="shared" si="59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5">
      <c r="A45" s="3">
        <v>17</v>
      </c>
      <c r="B45" s="3">
        <v>1</v>
      </c>
      <c r="C45" s="3">
        <f>ROW(SmtRes!A68)</f>
        <v>68</v>
      </c>
      <c r="D45" s="3">
        <f>ROW(EtalonRes!A82)</f>
        <v>82</v>
      </c>
      <c r="E45" s="3" t="s">
        <v>57</v>
      </c>
      <c r="F45" s="3" t="s">
        <v>58</v>
      </c>
      <c r="G45" s="3" t="s">
        <v>59</v>
      </c>
      <c r="H45" s="3" t="s">
        <v>60</v>
      </c>
      <c r="I45" s="3">
        <f>ROUND((310+624-363)/100,9)</f>
        <v>5.71</v>
      </c>
      <c r="J45" s="3">
        <v>0</v>
      </c>
      <c r="K45" s="3">
        <f>ROUND((310+624-363)/100,9)</f>
        <v>5.71</v>
      </c>
      <c r="O45" s="3">
        <f t="shared" si="21"/>
        <v>9730.52</v>
      </c>
      <c r="P45" s="3">
        <f t="shared" si="22"/>
        <v>0</v>
      </c>
      <c r="Q45" s="3">
        <f>(ROUND((ROUND((((ET45*1.2))*AV45*I45),2)*BB45),2)+ROUND((ROUND(((AE45-((EU45*1.2)))*AV45*I45),2)*BS45),2))</f>
        <v>0</v>
      </c>
      <c r="R45" s="3">
        <f>(ROUND((ROUND((((EU45*1.2))*AV45*I45),2)*BS45),2)+ROUND((ROUND(((AE45-((EU45*1.2)))*AV45*I45),2)*BS45),2))</f>
        <v>0</v>
      </c>
      <c r="S45" s="3">
        <f t="shared" si="25"/>
        <v>9730.52</v>
      </c>
      <c r="T45" s="3">
        <f t="shared" si="26"/>
        <v>0</v>
      </c>
      <c r="U45" s="3">
        <f t="shared" si="27"/>
        <v>16.141598999999999</v>
      </c>
      <c r="V45" s="3">
        <f t="shared" si="28"/>
        <v>0</v>
      </c>
      <c r="W45" s="3">
        <f t="shared" si="29"/>
        <v>0</v>
      </c>
      <c r="X45" s="3">
        <f>(ROUND((((S45+ROUND((ROUND((((EU45*1.2))*AV45*I45),2)*BS45),2))*AT45)/100),2)+ROUND(((ROUND((ROUND(((AE45-((EU45*1.2)))*AV45*I45),2)*BS45),2)*AT45)/100),2))</f>
        <v>8854.77</v>
      </c>
      <c r="Y45" s="3">
        <f>(ROUND((((S45+ROUND((ROUND((((EU45*1.2))*AV45*I45),2)*BS45),2))*AU45)/100),2)+ROUND(((ROUND((ROUND(((AE45-((EU45*1.2)))*AV45*I45),2)*BS45),2)*AU45)/100),2))</f>
        <v>4670.6499999999996</v>
      </c>
      <c r="AA45" s="3">
        <v>55936048</v>
      </c>
      <c r="AB45" s="3">
        <f t="shared" si="32"/>
        <v>28.884</v>
      </c>
      <c r="AC45" s="3">
        <f>ROUND(((ES45*1)),6)</f>
        <v>0</v>
      </c>
      <c r="AD45" s="3">
        <f>ROUND(((((ET45*1.2))-((EU45*1.2)))+AE45),6)</f>
        <v>0</v>
      </c>
      <c r="AE45" s="3">
        <f t="shared" si="60"/>
        <v>0</v>
      </c>
      <c r="AF45" s="3">
        <f t="shared" si="60"/>
        <v>28.884</v>
      </c>
      <c r="AG45" s="3">
        <f t="shared" si="37"/>
        <v>0</v>
      </c>
      <c r="AH45" s="3">
        <f t="shared" si="61"/>
        <v>2.6999999999999997</v>
      </c>
      <c r="AI45" s="3">
        <f t="shared" si="61"/>
        <v>0</v>
      </c>
      <c r="AJ45" s="3">
        <f t="shared" si="40"/>
        <v>0</v>
      </c>
      <c r="AK45" s="3">
        <v>24.07</v>
      </c>
      <c r="AL45" s="3">
        <v>0</v>
      </c>
      <c r="AM45" s="3">
        <v>0</v>
      </c>
      <c r="AN45" s="3">
        <v>0</v>
      </c>
      <c r="AO45" s="3">
        <v>24.07</v>
      </c>
      <c r="AP45" s="3">
        <v>0</v>
      </c>
      <c r="AQ45" s="3">
        <v>2.25</v>
      </c>
      <c r="AR45" s="3">
        <v>0</v>
      </c>
      <c r="AS45" s="3">
        <v>0</v>
      </c>
      <c r="AT45" s="3">
        <v>91</v>
      </c>
      <c r="AU45" s="3">
        <v>48</v>
      </c>
      <c r="AV45" s="3">
        <v>1.0469999999999999</v>
      </c>
      <c r="AW45" s="3">
        <v>1</v>
      </c>
      <c r="AZ45" s="3">
        <v>1</v>
      </c>
      <c r="BA45" s="3">
        <v>56.35</v>
      </c>
      <c r="BB45" s="3">
        <v>1</v>
      </c>
      <c r="BC45" s="3">
        <v>1</v>
      </c>
      <c r="BD45" s="3" t="s">
        <v>3</v>
      </c>
      <c r="BE45" s="3" t="s">
        <v>3</v>
      </c>
      <c r="BF45" s="3" t="s">
        <v>3</v>
      </c>
      <c r="BG45" s="3" t="s">
        <v>3</v>
      </c>
      <c r="BH45" s="3">
        <v>0</v>
      </c>
      <c r="BI45" s="3">
        <v>1</v>
      </c>
      <c r="BJ45" s="3" t="s">
        <v>61</v>
      </c>
      <c r="BM45" s="3">
        <v>106</v>
      </c>
      <c r="BN45" s="3">
        <v>0</v>
      </c>
      <c r="BO45" s="3" t="s">
        <v>58</v>
      </c>
      <c r="BP45" s="3">
        <v>1</v>
      </c>
      <c r="BQ45" s="3">
        <v>60</v>
      </c>
      <c r="BR45" s="3">
        <v>0</v>
      </c>
      <c r="BS45" s="3">
        <v>56.35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 t="s">
        <v>3</v>
      </c>
      <c r="BZ45" s="3">
        <v>91</v>
      </c>
      <c r="CA45" s="3">
        <v>48</v>
      </c>
      <c r="CB45" s="3" t="s">
        <v>3</v>
      </c>
      <c r="CE45" s="3">
        <v>1566</v>
      </c>
      <c r="CF45" s="3">
        <v>0</v>
      </c>
      <c r="CG45" s="3">
        <v>0</v>
      </c>
      <c r="CM45" s="3">
        <v>0</v>
      </c>
      <c r="CN45" s="3" t="s">
        <v>422</v>
      </c>
      <c r="CO45" s="3">
        <v>0</v>
      </c>
      <c r="CP45" s="3">
        <f t="shared" si="41"/>
        <v>9730.52</v>
      </c>
      <c r="CQ45" s="3">
        <f t="shared" si="42"/>
        <v>0</v>
      </c>
      <c r="CR45" s="3">
        <f>(ROUND((ROUND((((ET45*1.2))*AV45*1),2)*BB45),2)+ROUND((ROUND(((AE45-((EU45*1.2)))*AV45*1),2)*BS45),2))</f>
        <v>0</v>
      </c>
      <c r="CS45" s="3">
        <f>(ROUND((ROUND((((EU45*1.2))*AV45*1),2)*BS45),2)+ROUND((ROUND(((AE45-((EU45*1.2)))*AV45*1),2)*BS45),2))</f>
        <v>0</v>
      </c>
      <c r="CT45" s="3">
        <f t="shared" si="45"/>
        <v>1704.02</v>
      </c>
      <c r="CU45" s="3">
        <f t="shared" si="46"/>
        <v>0</v>
      </c>
      <c r="CV45" s="3">
        <f t="shared" si="47"/>
        <v>2.8268999999999997</v>
      </c>
      <c r="CW45" s="3">
        <f t="shared" si="48"/>
        <v>0</v>
      </c>
      <c r="CX45" s="3">
        <f t="shared" si="49"/>
        <v>0</v>
      </c>
      <c r="CY45" s="3">
        <f>(ROUND((((S45+ROUND((ROUND((((EU45*1.2))*AV45*1),2)*BS45),2))*AT45)/100),2)+ROUND(((ROUND((ROUND(((AE45-((EU45*1.2)))*AV45*1),2)*BS45),2)*AT45)/100),2))</f>
        <v>8854.77</v>
      </c>
      <c r="CZ45" s="3">
        <f>(ROUND((((S45+ROUND((ROUND((((EU45*1.2))*AV45*1),2)*BS45),2))*AU45)/100),2)+ROUND(((ROUND((ROUND(((AE45-((EU45*1.2)))*AV45*1),2)*BS45),2)*AU45)/100),2))</f>
        <v>4670.6499999999996</v>
      </c>
      <c r="DB45" s="3">
        <v>34</v>
      </c>
      <c r="DC45" s="3" t="s">
        <v>3</v>
      </c>
      <c r="DD45" s="3" t="s">
        <v>62</v>
      </c>
      <c r="DE45" s="3" t="s">
        <v>63</v>
      </c>
      <c r="DF45" s="3" t="s">
        <v>63</v>
      </c>
      <c r="DG45" s="3" t="s">
        <v>63</v>
      </c>
      <c r="DH45" s="3" t="s">
        <v>3</v>
      </c>
      <c r="DI45" s="3" t="s">
        <v>63</v>
      </c>
      <c r="DJ45" s="3" t="s">
        <v>63</v>
      </c>
      <c r="DK45" s="3" t="s">
        <v>3</v>
      </c>
      <c r="DL45" s="3" t="s">
        <v>3</v>
      </c>
      <c r="DM45" s="3" t="s">
        <v>3</v>
      </c>
      <c r="DN45" s="3">
        <v>0</v>
      </c>
      <c r="DO45" s="3">
        <v>0</v>
      </c>
      <c r="DP45" s="3">
        <v>1</v>
      </c>
      <c r="DQ45" s="3">
        <v>1</v>
      </c>
      <c r="DU45" s="3">
        <v>1003</v>
      </c>
      <c r="DV45" s="3" t="s">
        <v>60</v>
      </c>
      <c r="DW45" s="3" t="s">
        <v>60</v>
      </c>
      <c r="DX45" s="3">
        <v>100</v>
      </c>
      <c r="DZ45" s="3" t="s">
        <v>3</v>
      </c>
      <c r="EA45" s="3" t="s">
        <v>3</v>
      </c>
      <c r="EB45" s="3" t="s">
        <v>3</v>
      </c>
      <c r="EC45" s="3" t="s">
        <v>3</v>
      </c>
      <c r="EE45" s="3">
        <v>55393738</v>
      </c>
      <c r="EF45" s="3">
        <v>60</v>
      </c>
      <c r="EG45" s="3" t="s">
        <v>64</v>
      </c>
      <c r="EH45" s="3">
        <v>0</v>
      </c>
      <c r="EI45" s="3" t="s">
        <v>3</v>
      </c>
      <c r="EJ45" s="3">
        <v>1</v>
      </c>
      <c r="EK45" s="3">
        <v>106</v>
      </c>
      <c r="EL45" s="3" t="s">
        <v>65</v>
      </c>
      <c r="EM45" s="3" t="s">
        <v>66</v>
      </c>
      <c r="EO45" s="3" t="s">
        <v>67</v>
      </c>
      <c r="EQ45" s="3">
        <v>0</v>
      </c>
      <c r="ER45" s="3">
        <v>24.07</v>
      </c>
      <c r="ES45" s="3">
        <v>0</v>
      </c>
      <c r="ET45" s="3">
        <v>0</v>
      </c>
      <c r="EU45" s="3">
        <v>0</v>
      </c>
      <c r="EV45" s="3">
        <v>24.07</v>
      </c>
      <c r="EW45" s="3">
        <v>2.25</v>
      </c>
      <c r="EX45" s="3">
        <v>0</v>
      </c>
      <c r="EY45" s="3">
        <v>0</v>
      </c>
      <c r="FQ45" s="3">
        <v>0</v>
      </c>
      <c r="FR45" s="3">
        <v>0</v>
      </c>
      <c r="FS45" s="3">
        <v>0</v>
      </c>
      <c r="FX45" s="3">
        <v>91</v>
      </c>
      <c r="FY45" s="3">
        <v>48</v>
      </c>
      <c r="GA45" s="3" t="s">
        <v>3</v>
      </c>
      <c r="GD45" s="3">
        <v>1</v>
      </c>
      <c r="GF45" s="3">
        <v>-1911321142</v>
      </c>
      <c r="GG45" s="3">
        <v>2</v>
      </c>
      <c r="GH45" s="3">
        <v>1</v>
      </c>
      <c r="GI45" s="3">
        <v>2</v>
      </c>
      <c r="GJ45" s="3">
        <v>0</v>
      </c>
      <c r="GK45" s="3">
        <v>0</v>
      </c>
      <c r="GL45" s="3">
        <f t="shared" si="52"/>
        <v>0</v>
      </c>
      <c r="GM45" s="3">
        <f t="shared" si="53"/>
        <v>23255.94</v>
      </c>
      <c r="GN45" s="3">
        <f t="shared" si="54"/>
        <v>23255.94</v>
      </c>
      <c r="GO45" s="3">
        <f t="shared" si="55"/>
        <v>0</v>
      </c>
      <c r="GP45" s="3">
        <f t="shared" si="56"/>
        <v>0</v>
      </c>
      <c r="GR45" s="3">
        <v>0</v>
      </c>
      <c r="GS45" s="3">
        <v>3</v>
      </c>
      <c r="GT45" s="3">
        <v>0</v>
      </c>
      <c r="GU45" s="3" t="s">
        <v>3</v>
      </c>
      <c r="GV45" s="3">
        <f t="shared" si="57"/>
        <v>0</v>
      </c>
      <c r="GW45" s="3">
        <v>1</v>
      </c>
      <c r="GX45" s="3">
        <f t="shared" si="58"/>
        <v>0</v>
      </c>
      <c r="HA45" s="3">
        <v>0</v>
      </c>
      <c r="HB45" s="3">
        <v>0</v>
      </c>
      <c r="HC45" s="3">
        <f t="shared" si="59"/>
        <v>0</v>
      </c>
      <c r="HE45" s="3" t="s">
        <v>3</v>
      </c>
      <c r="HF45" s="3" t="s">
        <v>3</v>
      </c>
      <c r="HM45" s="3" t="s">
        <v>3</v>
      </c>
      <c r="HN45" s="3" t="s">
        <v>3</v>
      </c>
      <c r="HO45" s="3" t="s">
        <v>3</v>
      </c>
      <c r="HP45" s="3" t="s">
        <v>3</v>
      </c>
      <c r="HQ45" s="3" t="s">
        <v>3</v>
      </c>
      <c r="HS45" s="3">
        <v>0</v>
      </c>
      <c r="IK45" s="3">
        <v>0</v>
      </c>
    </row>
    <row r="46" spans="1:255" x14ac:dyDescent="0.25">
      <c r="A46" s="2">
        <v>17</v>
      </c>
      <c r="B46" s="2">
        <v>1</v>
      </c>
      <c r="C46" s="2">
        <f>ROW(SmtRes!A69)</f>
        <v>69</v>
      </c>
      <c r="D46" s="2">
        <f>ROW(EtalonRes!A83)</f>
        <v>83</v>
      </c>
      <c r="E46" s="2" t="s">
        <v>3</v>
      </c>
      <c r="F46" s="2" t="s">
        <v>68</v>
      </c>
      <c r="G46" s="2" t="s">
        <v>69</v>
      </c>
      <c r="H46" s="2" t="s">
        <v>60</v>
      </c>
      <c r="I46" s="2">
        <f>ROUND((310+624)/100,9)</f>
        <v>9.34</v>
      </c>
      <c r="J46" s="2">
        <v>0</v>
      </c>
      <c r="K46" s="2">
        <f>ROUND((310+624)/100,9)</f>
        <v>9.34</v>
      </c>
      <c r="L46" s="2"/>
      <c r="M46" s="2"/>
      <c r="N46" s="2"/>
      <c r="O46" s="2">
        <f t="shared" si="21"/>
        <v>1156.1099999999999</v>
      </c>
      <c r="P46" s="2">
        <f t="shared" si="22"/>
        <v>0</v>
      </c>
      <c r="Q46" s="2">
        <f>(ROUND((ROUND((((ET46*1.2))*AV46*I46),2)*BB46),2)+ROUND((ROUND(((AE46-((EU46*1.2)))*AV46*I46),2)*BS46),2))</f>
        <v>0</v>
      </c>
      <c r="R46" s="2">
        <f>(ROUND((ROUND((((EU46*1.2))*AV46*I46),2)*BS46),2)+ROUND((ROUND(((AE46-((EU46*1.2)))*AV46*I46),2)*BS46),2))</f>
        <v>0</v>
      </c>
      <c r="S46" s="2">
        <f t="shared" si="25"/>
        <v>1156.1099999999999</v>
      </c>
      <c r="T46" s="2">
        <f t="shared" si="26"/>
        <v>0</v>
      </c>
      <c r="U46" s="2">
        <f t="shared" si="27"/>
        <v>113.12324063999998</v>
      </c>
      <c r="V46" s="2">
        <f t="shared" si="28"/>
        <v>0</v>
      </c>
      <c r="W46" s="2">
        <f t="shared" si="29"/>
        <v>0</v>
      </c>
      <c r="X46" s="2">
        <f>(ROUND((((S46+ROUND((ROUND((((EU46*1.2))*AV46*I46),2)*BS46),2))*AT46)/100),2)+ROUND(((ROUND((ROUND(((AE46-((EU46*1.2)))*AV46*I46),2)*BS46),2)*AT46)/100),2))</f>
        <v>1052.06</v>
      </c>
      <c r="Y46" s="2">
        <f>(ROUND((((S46+ROUND((ROUND((((EU46*1.2))*AV46*I46),2)*BS46),2))*AU46)/100),2)+ROUND(((ROUND((ROUND(((AE46-((EU46*1.2)))*AV46*I46),2)*BS46),2)*AU46)/100),2))</f>
        <v>554.92999999999995</v>
      </c>
      <c r="Z46" s="2"/>
      <c r="AA46" s="2">
        <v>-1</v>
      </c>
      <c r="AB46" s="2">
        <f t="shared" si="32"/>
        <v>118.224</v>
      </c>
      <c r="AC46" s="2">
        <f>ROUND(((ES46*1)),6)</f>
        <v>0</v>
      </c>
      <c r="AD46" s="2">
        <f>ROUND(((((ET46*1.2))-((EU46*1.2)))+AE46),6)</f>
        <v>0</v>
      </c>
      <c r="AE46" s="2">
        <f t="shared" si="60"/>
        <v>0</v>
      </c>
      <c r="AF46" s="2">
        <f t="shared" si="60"/>
        <v>118.224</v>
      </c>
      <c r="AG46" s="2">
        <f t="shared" si="37"/>
        <v>0</v>
      </c>
      <c r="AH46" s="2">
        <f t="shared" si="61"/>
        <v>11.568</v>
      </c>
      <c r="AI46" s="2">
        <f t="shared" si="61"/>
        <v>0</v>
      </c>
      <c r="AJ46" s="2">
        <f t="shared" si="40"/>
        <v>0</v>
      </c>
      <c r="AK46" s="2">
        <v>98.52</v>
      </c>
      <c r="AL46" s="2">
        <v>0</v>
      </c>
      <c r="AM46" s="2">
        <v>0</v>
      </c>
      <c r="AN46" s="2">
        <v>0</v>
      </c>
      <c r="AO46" s="2">
        <v>98.52</v>
      </c>
      <c r="AP46" s="2">
        <v>0</v>
      </c>
      <c r="AQ46" s="2">
        <v>9.64</v>
      </c>
      <c r="AR46" s="2">
        <v>0</v>
      </c>
      <c r="AS46" s="2">
        <v>0</v>
      </c>
      <c r="AT46" s="2">
        <v>91</v>
      </c>
      <c r="AU46" s="2">
        <v>48</v>
      </c>
      <c r="AV46" s="2">
        <v>1.0469999999999999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1</v>
      </c>
      <c r="BJ46" s="2" t="s">
        <v>70</v>
      </c>
      <c r="BK46" s="2"/>
      <c r="BL46" s="2"/>
      <c r="BM46" s="2">
        <v>106</v>
      </c>
      <c r="BN46" s="2">
        <v>0</v>
      </c>
      <c r="BO46" s="2" t="s">
        <v>68</v>
      </c>
      <c r="BP46" s="2">
        <v>1</v>
      </c>
      <c r="BQ46" s="2">
        <v>60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91</v>
      </c>
      <c r="CA46" s="2">
        <v>48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422</v>
      </c>
      <c r="CO46" s="2">
        <v>0</v>
      </c>
      <c r="CP46" s="2">
        <f t="shared" si="41"/>
        <v>1156.1099999999999</v>
      </c>
      <c r="CQ46" s="2">
        <f t="shared" si="42"/>
        <v>0</v>
      </c>
      <c r="CR46" s="2">
        <f>(ROUND((ROUND((((ET46*1.2))*AV46*1),2)*BB46),2)+ROUND((ROUND(((AE46-((EU46*1.2)))*AV46*1),2)*BS46),2))</f>
        <v>0</v>
      </c>
      <c r="CS46" s="2">
        <f>(ROUND((ROUND((((EU46*1.2))*AV46*1),2)*BS46),2)+ROUND((ROUND(((AE46-((EU46*1.2)))*AV46*1),2)*BS46),2))</f>
        <v>0</v>
      </c>
      <c r="CT46" s="2">
        <f t="shared" si="45"/>
        <v>123.78</v>
      </c>
      <c r="CU46" s="2">
        <f t="shared" si="46"/>
        <v>0</v>
      </c>
      <c r="CV46" s="2">
        <f t="shared" si="47"/>
        <v>12.111695999999998</v>
      </c>
      <c r="CW46" s="2">
        <f t="shared" si="48"/>
        <v>0</v>
      </c>
      <c r="CX46" s="2">
        <f t="shared" si="49"/>
        <v>0</v>
      </c>
      <c r="CY46" s="2">
        <f>(ROUND((((S46+ROUND((ROUND((((EU46*1.2))*AV46*1),2)*BS46),2))*AT46)/100),2)+ROUND(((ROUND((ROUND(((AE46-((EU46*1.2)))*AV46*1),2)*BS46),2)*AT46)/100),2))</f>
        <v>1052.06</v>
      </c>
      <c r="CZ46" s="2">
        <f>(ROUND((((S46+ROUND((ROUND((((EU46*1.2))*AV46*1),2)*BS46),2))*AU46)/100),2)+ROUND(((ROUND((ROUND(((AE46-((EU46*1.2)))*AV46*1),2)*BS46),2)*AU46)/100),2))</f>
        <v>554.92999999999995</v>
      </c>
      <c r="DA46" s="2"/>
      <c r="DB46" s="2">
        <v>35</v>
      </c>
      <c r="DC46" s="2" t="s">
        <v>3</v>
      </c>
      <c r="DD46" s="2" t="s">
        <v>62</v>
      </c>
      <c r="DE46" s="2" t="s">
        <v>63</v>
      </c>
      <c r="DF46" s="2" t="s">
        <v>63</v>
      </c>
      <c r="DG46" s="2" t="s">
        <v>63</v>
      </c>
      <c r="DH46" s="2" t="s">
        <v>3</v>
      </c>
      <c r="DI46" s="2" t="s">
        <v>63</v>
      </c>
      <c r="DJ46" s="2" t="s">
        <v>63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1003</v>
      </c>
      <c r="DV46" s="2" t="s">
        <v>60</v>
      </c>
      <c r="DW46" s="2" t="s">
        <v>60</v>
      </c>
      <c r="DX46" s="2">
        <v>100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55393738</v>
      </c>
      <c r="EF46" s="2">
        <v>60</v>
      </c>
      <c r="EG46" s="2" t="s">
        <v>64</v>
      </c>
      <c r="EH46" s="2">
        <v>0</v>
      </c>
      <c r="EI46" s="2" t="s">
        <v>3</v>
      </c>
      <c r="EJ46" s="2">
        <v>1</v>
      </c>
      <c r="EK46" s="2">
        <v>106</v>
      </c>
      <c r="EL46" s="2" t="s">
        <v>65</v>
      </c>
      <c r="EM46" s="2" t="s">
        <v>66</v>
      </c>
      <c r="EN46" s="2"/>
      <c r="EO46" s="2" t="s">
        <v>67</v>
      </c>
      <c r="EP46" s="2"/>
      <c r="EQ46" s="2">
        <v>1024</v>
      </c>
      <c r="ER46" s="2">
        <v>98.52</v>
      </c>
      <c r="ES46" s="2">
        <v>0</v>
      </c>
      <c r="ET46" s="2">
        <v>0</v>
      </c>
      <c r="EU46" s="2">
        <v>0</v>
      </c>
      <c r="EV46" s="2">
        <v>98.52</v>
      </c>
      <c r="EW46" s="2">
        <v>9.64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91</v>
      </c>
      <c r="FY46" s="2">
        <v>48</v>
      </c>
      <c r="FZ46" s="2"/>
      <c r="GA46" s="2" t="s">
        <v>3</v>
      </c>
      <c r="GB46" s="2"/>
      <c r="GC46" s="2"/>
      <c r="GD46" s="2">
        <v>1</v>
      </c>
      <c r="GE46" s="2"/>
      <c r="GF46" s="2">
        <v>1114236003</v>
      </c>
      <c r="GG46" s="2">
        <v>2</v>
      </c>
      <c r="GH46" s="2">
        <v>1</v>
      </c>
      <c r="GI46" s="2">
        <v>2</v>
      </c>
      <c r="GJ46" s="2">
        <v>0</v>
      </c>
      <c r="GK46" s="2">
        <v>0</v>
      </c>
      <c r="GL46" s="2">
        <f t="shared" si="52"/>
        <v>0</v>
      </c>
      <c r="GM46" s="2">
        <f t="shared" si="53"/>
        <v>2763.1</v>
      </c>
      <c r="GN46" s="2">
        <f t="shared" si="54"/>
        <v>2763.1</v>
      </c>
      <c r="GO46" s="2">
        <f t="shared" si="55"/>
        <v>0</v>
      </c>
      <c r="GP46" s="2">
        <f t="shared" si="56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57"/>
        <v>0</v>
      </c>
      <c r="GW46" s="2">
        <v>1</v>
      </c>
      <c r="GX46" s="2">
        <f t="shared" si="58"/>
        <v>0</v>
      </c>
      <c r="GY46" s="2"/>
      <c r="GZ46" s="2"/>
      <c r="HA46" s="2">
        <v>0</v>
      </c>
      <c r="HB46" s="2">
        <v>0</v>
      </c>
      <c r="HC46" s="2">
        <f t="shared" si="59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5">
      <c r="A47" s="3">
        <v>17</v>
      </c>
      <c r="B47" s="3">
        <v>1</v>
      </c>
      <c r="C47" s="3">
        <f>ROW(SmtRes!A70)</f>
        <v>70</v>
      </c>
      <c r="D47" s="3">
        <f>ROW(EtalonRes!A84)</f>
        <v>84</v>
      </c>
      <c r="E47" s="3" t="s">
        <v>3</v>
      </c>
      <c r="F47" s="3" t="s">
        <v>68</v>
      </c>
      <c r="G47" s="3" t="s">
        <v>69</v>
      </c>
      <c r="H47" s="3" t="s">
        <v>60</v>
      </c>
      <c r="I47" s="3">
        <f>ROUND((310+624)/100,9)</f>
        <v>9.34</v>
      </c>
      <c r="J47" s="3">
        <v>0</v>
      </c>
      <c r="K47" s="3">
        <f>ROUND((310+624)/100,9)</f>
        <v>9.34</v>
      </c>
      <c r="O47" s="3">
        <f t="shared" si="21"/>
        <v>65146.8</v>
      </c>
      <c r="P47" s="3">
        <f t="shared" si="22"/>
        <v>0</v>
      </c>
      <c r="Q47" s="3">
        <f>(ROUND((ROUND((((ET47*1.2))*AV47*I47),2)*BB47),2)+ROUND((ROUND(((AE47-((EU47*1.2)))*AV47*I47),2)*BS47),2))</f>
        <v>0</v>
      </c>
      <c r="R47" s="3">
        <f>(ROUND((ROUND((((EU47*1.2))*AV47*I47),2)*BS47),2)+ROUND((ROUND(((AE47-((EU47*1.2)))*AV47*I47),2)*BS47),2))</f>
        <v>0</v>
      </c>
      <c r="S47" s="3">
        <f t="shared" si="25"/>
        <v>65146.8</v>
      </c>
      <c r="T47" s="3">
        <f t="shared" si="26"/>
        <v>0</v>
      </c>
      <c r="U47" s="3">
        <f t="shared" si="27"/>
        <v>113.12324063999998</v>
      </c>
      <c r="V47" s="3">
        <f t="shared" si="28"/>
        <v>0</v>
      </c>
      <c r="W47" s="3">
        <f t="shared" si="29"/>
        <v>0</v>
      </c>
      <c r="X47" s="3">
        <f>(ROUND((((S47+ROUND((ROUND((((EU47*1.2))*AV47*I47),2)*BS47),2))*AT47)/100),2)+ROUND(((ROUND((ROUND(((AE47-((EU47*1.2)))*AV47*I47),2)*BS47),2)*AT47)/100),2))</f>
        <v>59283.59</v>
      </c>
      <c r="Y47" s="3">
        <f>(ROUND((((S47+ROUND((ROUND((((EU47*1.2))*AV47*I47),2)*BS47),2))*AU47)/100),2)+ROUND(((ROUND((ROUND(((AE47-((EU47*1.2)))*AV47*I47),2)*BS47),2)*AU47)/100),2))</f>
        <v>31270.46</v>
      </c>
      <c r="AA47" s="3">
        <v>-1</v>
      </c>
      <c r="AB47" s="3">
        <f t="shared" si="32"/>
        <v>118.224</v>
      </c>
      <c r="AC47" s="3">
        <f>ROUND(((ES47*1)),6)</f>
        <v>0</v>
      </c>
      <c r="AD47" s="3">
        <f>ROUND(((((ET47*1.2))-((EU47*1.2)))+AE47),6)</f>
        <v>0</v>
      </c>
      <c r="AE47" s="3">
        <f t="shared" si="60"/>
        <v>0</v>
      </c>
      <c r="AF47" s="3">
        <f t="shared" si="60"/>
        <v>118.224</v>
      </c>
      <c r="AG47" s="3">
        <f t="shared" si="37"/>
        <v>0</v>
      </c>
      <c r="AH47" s="3">
        <f t="shared" si="61"/>
        <v>11.568</v>
      </c>
      <c r="AI47" s="3">
        <f t="shared" si="61"/>
        <v>0</v>
      </c>
      <c r="AJ47" s="3">
        <f t="shared" si="40"/>
        <v>0</v>
      </c>
      <c r="AK47" s="3">
        <v>98.52</v>
      </c>
      <c r="AL47" s="3">
        <v>0</v>
      </c>
      <c r="AM47" s="3">
        <v>0</v>
      </c>
      <c r="AN47" s="3">
        <v>0</v>
      </c>
      <c r="AO47" s="3">
        <v>98.52</v>
      </c>
      <c r="AP47" s="3">
        <v>0</v>
      </c>
      <c r="AQ47" s="3">
        <v>9.64</v>
      </c>
      <c r="AR47" s="3">
        <v>0</v>
      </c>
      <c r="AS47" s="3">
        <v>0</v>
      </c>
      <c r="AT47" s="3">
        <v>91</v>
      </c>
      <c r="AU47" s="3">
        <v>48</v>
      </c>
      <c r="AV47" s="3">
        <v>1.0469999999999999</v>
      </c>
      <c r="AW47" s="3">
        <v>1</v>
      </c>
      <c r="AZ47" s="3">
        <v>1</v>
      </c>
      <c r="BA47" s="3">
        <v>56.35</v>
      </c>
      <c r="BB47" s="3">
        <v>1</v>
      </c>
      <c r="BC47" s="3">
        <v>1</v>
      </c>
      <c r="BD47" s="3" t="s">
        <v>3</v>
      </c>
      <c r="BE47" s="3" t="s">
        <v>3</v>
      </c>
      <c r="BF47" s="3" t="s">
        <v>3</v>
      </c>
      <c r="BG47" s="3" t="s">
        <v>3</v>
      </c>
      <c r="BH47" s="3">
        <v>0</v>
      </c>
      <c r="BI47" s="3">
        <v>1</v>
      </c>
      <c r="BJ47" s="3" t="s">
        <v>70</v>
      </c>
      <c r="BM47" s="3">
        <v>106</v>
      </c>
      <c r="BN47" s="3">
        <v>0</v>
      </c>
      <c r="BO47" s="3" t="s">
        <v>68</v>
      </c>
      <c r="BP47" s="3">
        <v>1</v>
      </c>
      <c r="BQ47" s="3">
        <v>60</v>
      </c>
      <c r="BR47" s="3">
        <v>0</v>
      </c>
      <c r="BS47" s="3">
        <v>56.35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 t="s">
        <v>3</v>
      </c>
      <c r="BZ47" s="3">
        <v>91</v>
      </c>
      <c r="CA47" s="3">
        <v>48</v>
      </c>
      <c r="CB47" s="3" t="s">
        <v>3</v>
      </c>
      <c r="CE47" s="3">
        <v>1566</v>
      </c>
      <c r="CF47" s="3">
        <v>0</v>
      </c>
      <c r="CG47" s="3">
        <v>0</v>
      </c>
      <c r="CM47" s="3">
        <v>0</v>
      </c>
      <c r="CN47" s="3" t="s">
        <v>422</v>
      </c>
      <c r="CO47" s="3">
        <v>0</v>
      </c>
      <c r="CP47" s="3">
        <f t="shared" si="41"/>
        <v>65146.8</v>
      </c>
      <c r="CQ47" s="3">
        <f t="shared" si="42"/>
        <v>0</v>
      </c>
      <c r="CR47" s="3">
        <f>(ROUND((ROUND((((ET47*1.2))*AV47*1),2)*BB47),2)+ROUND((ROUND(((AE47-((EU47*1.2)))*AV47*1),2)*BS47),2))</f>
        <v>0</v>
      </c>
      <c r="CS47" s="3">
        <f>(ROUND((ROUND((((EU47*1.2))*AV47*1),2)*BS47),2)+ROUND((ROUND(((AE47-((EU47*1.2)))*AV47*1),2)*BS47),2))</f>
        <v>0</v>
      </c>
      <c r="CT47" s="3">
        <f t="shared" si="45"/>
        <v>6975</v>
      </c>
      <c r="CU47" s="3">
        <f t="shared" si="46"/>
        <v>0</v>
      </c>
      <c r="CV47" s="3">
        <f t="shared" si="47"/>
        <v>12.111695999999998</v>
      </c>
      <c r="CW47" s="3">
        <f t="shared" si="48"/>
        <v>0</v>
      </c>
      <c r="CX47" s="3">
        <f t="shared" si="49"/>
        <v>0</v>
      </c>
      <c r="CY47" s="3">
        <f>(ROUND((((S47+ROUND((ROUND((((EU47*1.2))*AV47*1),2)*BS47),2))*AT47)/100),2)+ROUND(((ROUND((ROUND(((AE47-((EU47*1.2)))*AV47*1),2)*BS47),2)*AT47)/100),2))</f>
        <v>59283.59</v>
      </c>
      <c r="CZ47" s="3">
        <f>(ROUND((((S47+ROUND((ROUND((((EU47*1.2))*AV47*1),2)*BS47),2))*AU47)/100),2)+ROUND(((ROUND((ROUND(((AE47-((EU47*1.2)))*AV47*1),2)*BS47),2)*AU47)/100),2))</f>
        <v>31270.46</v>
      </c>
      <c r="DB47" s="3">
        <v>36</v>
      </c>
      <c r="DC47" s="3" t="s">
        <v>3</v>
      </c>
      <c r="DD47" s="3" t="s">
        <v>62</v>
      </c>
      <c r="DE47" s="3" t="s">
        <v>63</v>
      </c>
      <c r="DF47" s="3" t="s">
        <v>63</v>
      </c>
      <c r="DG47" s="3" t="s">
        <v>63</v>
      </c>
      <c r="DH47" s="3" t="s">
        <v>3</v>
      </c>
      <c r="DI47" s="3" t="s">
        <v>63</v>
      </c>
      <c r="DJ47" s="3" t="s">
        <v>63</v>
      </c>
      <c r="DK47" s="3" t="s">
        <v>3</v>
      </c>
      <c r="DL47" s="3" t="s">
        <v>3</v>
      </c>
      <c r="DM47" s="3" t="s">
        <v>3</v>
      </c>
      <c r="DN47" s="3">
        <v>0</v>
      </c>
      <c r="DO47" s="3">
        <v>0</v>
      </c>
      <c r="DP47" s="3">
        <v>1</v>
      </c>
      <c r="DQ47" s="3">
        <v>1</v>
      </c>
      <c r="DU47" s="3">
        <v>1003</v>
      </c>
      <c r="DV47" s="3" t="s">
        <v>60</v>
      </c>
      <c r="DW47" s="3" t="s">
        <v>60</v>
      </c>
      <c r="DX47" s="3">
        <v>100</v>
      </c>
      <c r="DZ47" s="3" t="s">
        <v>3</v>
      </c>
      <c r="EA47" s="3" t="s">
        <v>3</v>
      </c>
      <c r="EB47" s="3" t="s">
        <v>3</v>
      </c>
      <c r="EC47" s="3" t="s">
        <v>3</v>
      </c>
      <c r="EE47" s="3">
        <v>55393738</v>
      </c>
      <c r="EF47" s="3">
        <v>60</v>
      </c>
      <c r="EG47" s="3" t="s">
        <v>64</v>
      </c>
      <c r="EH47" s="3">
        <v>0</v>
      </c>
      <c r="EI47" s="3" t="s">
        <v>3</v>
      </c>
      <c r="EJ47" s="3">
        <v>1</v>
      </c>
      <c r="EK47" s="3">
        <v>106</v>
      </c>
      <c r="EL47" s="3" t="s">
        <v>65</v>
      </c>
      <c r="EM47" s="3" t="s">
        <v>66</v>
      </c>
      <c r="EO47" s="3" t="s">
        <v>67</v>
      </c>
      <c r="EQ47" s="3">
        <v>1024</v>
      </c>
      <c r="ER47" s="3">
        <v>98.52</v>
      </c>
      <c r="ES47" s="3">
        <v>0</v>
      </c>
      <c r="ET47" s="3">
        <v>0</v>
      </c>
      <c r="EU47" s="3">
        <v>0</v>
      </c>
      <c r="EV47" s="3">
        <v>98.52</v>
      </c>
      <c r="EW47" s="3">
        <v>9.64</v>
      </c>
      <c r="EX47" s="3">
        <v>0</v>
      </c>
      <c r="EY47" s="3">
        <v>0</v>
      </c>
      <c r="FQ47" s="3">
        <v>0</v>
      </c>
      <c r="FR47" s="3">
        <v>0</v>
      </c>
      <c r="FS47" s="3">
        <v>0</v>
      </c>
      <c r="FX47" s="3">
        <v>91</v>
      </c>
      <c r="FY47" s="3">
        <v>48</v>
      </c>
      <c r="GA47" s="3" t="s">
        <v>3</v>
      </c>
      <c r="GD47" s="3">
        <v>1</v>
      </c>
      <c r="GF47" s="3">
        <v>1114236003</v>
      </c>
      <c r="GG47" s="3">
        <v>2</v>
      </c>
      <c r="GH47" s="3">
        <v>1</v>
      </c>
      <c r="GI47" s="3">
        <v>2</v>
      </c>
      <c r="GJ47" s="3">
        <v>0</v>
      </c>
      <c r="GK47" s="3">
        <v>0</v>
      </c>
      <c r="GL47" s="3">
        <f t="shared" si="52"/>
        <v>0</v>
      </c>
      <c r="GM47" s="3">
        <f t="shared" si="53"/>
        <v>155700.85</v>
      </c>
      <c r="GN47" s="3">
        <f t="shared" si="54"/>
        <v>155700.85</v>
      </c>
      <c r="GO47" s="3">
        <f t="shared" si="55"/>
        <v>0</v>
      </c>
      <c r="GP47" s="3">
        <f t="shared" si="56"/>
        <v>0</v>
      </c>
      <c r="GR47" s="3">
        <v>0</v>
      </c>
      <c r="GS47" s="3">
        <v>3</v>
      </c>
      <c r="GT47" s="3">
        <v>0</v>
      </c>
      <c r="GU47" s="3" t="s">
        <v>3</v>
      </c>
      <c r="GV47" s="3">
        <f t="shared" si="57"/>
        <v>0</v>
      </c>
      <c r="GW47" s="3">
        <v>1</v>
      </c>
      <c r="GX47" s="3">
        <f t="shared" si="58"/>
        <v>0</v>
      </c>
      <c r="HA47" s="3">
        <v>0</v>
      </c>
      <c r="HB47" s="3">
        <v>0</v>
      </c>
      <c r="HC47" s="3">
        <f t="shared" si="59"/>
        <v>0</v>
      </c>
      <c r="HE47" s="3" t="s">
        <v>3</v>
      </c>
      <c r="HF47" s="3" t="s">
        <v>3</v>
      </c>
      <c r="HM47" s="3" t="s">
        <v>3</v>
      </c>
      <c r="HN47" s="3" t="s">
        <v>3</v>
      </c>
      <c r="HO47" s="3" t="s">
        <v>3</v>
      </c>
      <c r="HP47" s="3" t="s">
        <v>3</v>
      </c>
      <c r="HQ47" s="3" t="s">
        <v>3</v>
      </c>
      <c r="HS47" s="3">
        <v>0</v>
      </c>
      <c r="IK47" s="3">
        <v>0</v>
      </c>
    </row>
    <row r="48" spans="1:255" x14ac:dyDescent="0.25">
      <c r="A48" s="2">
        <v>17</v>
      </c>
      <c r="B48" s="2">
        <v>1</v>
      </c>
      <c r="C48" s="2">
        <f>ROW(SmtRes!A78)</f>
        <v>78</v>
      </c>
      <c r="D48" s="2">
        <f>ROW(EtalonRes!A95)</f>
        <v>95</v>
      </c>
      <c r="E48" s="2" t="s">
        <v>71</v>
      </c>
      <c r="F48" s="2" t="s">
        <v>72</v>
      </c>
      <c r="G48" s="2" t="s">
        <v>73</v>
      </c>
      <c r="H48" s="2" t="s">
        <v>60</v>
      </c>
      <c r="I48" s="2">
        <f>ROUND(363/100,9)</f>
        <v>3.63</v>
      </c>
      <c r="J48" s="2">
        <v>0</v>
      </c>
      <c r="K48" s="2">
        <f>ROUND(363/100,9)</f>
        <v>3.63</v>
      </c>
      <c r="L48" s="2"/>
      <c r="M48" s="2"/>
      <c r="N48" s="2"/>
      <c r="O48" s="2">
        <f t="shared" si="21"/>
        <v>272.29000000000002</v>
      </c>
      <c r="P48" s="2">
        <f t="shared" si="22"/>
        <v>0</v>
      </c>
      <c r="Q48" s="2">
        <f>(ROUND((ROUND(((((ET48*1.2)*0.3))*AV48*I48),2)*BB48),2)+ROUND((ROUND(((AE48-(((EU48*1.2)*0.3)))*AV48*I48),2)*BS48),2))</f>
        <v>2.37</v>
      </c>
      <c r="R48" s="2">
        <f>(ROUND((ROUND(((((EU48*1.2)*0.3))*AV48*I48),2)*BS48),2)+ROUND((ROUND(((AE48-(((EU48*1.2)*0.3)))*AV48*I48),2)*BS48),2))</f>
        <v>0</v>
      </c>
      <c r="S48" s="2">
        <f t="shared" si="25"/>
        <v>269.92</v>
      </c>
      <c r="T48" s="2">
        <f t="shared" si="26"/>
        <v>0</v>
      </c>
      <c r="U48" s="2">
        <f t="shared" si="27"/>
        <v>22.712445359999997</v>
      </c>
      <c r="V48" s="2">
        <f t="shared" si="28"/>
        <v>0</v>
      </c>
      <c r="W48" s="2">
        <f t="shared" si="29"/>
        <v>0</v>
      </c>
      <c r="X48" s="2">
        <f>(ROUND((((S48+ROUND((ROUND(((((EU48*1.2)*0.3))*AV48*I48),2)*BS48),2))*AT48)/100),2)+ROUND(((ROUND((ROUND(((AE48-(((EU48*1.2)*0.3)))*AV48*I48),2)*BS48),2)*AT48)/100),2))</f>
        <v>242.93</v>
      </c>
      <c r="Y48" s="2">
        <f>(ROUND((((S48+ROUND((ROUND(((((EU48*1.2)*0.3))*AV48*I48),2)*BS48),2))*AU48)/100),2)+ROUND(((ROUND((ROUND(((AE48-(((EU48*1.2)*0.3)))*AV48*I48),2)*BS48),2)*AU48)/100),2))</f>
        <v>124.16</v>
      </c>
      <c r="Z48" s="2"/>
      <c r="AA48" s="2">
        <v>55936046</v>
      </c>
      <c r="AB48" s="2">
        <f t="shared" si="32"/>
        <v>71.643600000000006</v>
      </c>
      <c r="AC48" s="2">
        <f>ROUND((((ES48*1)*0)),6)</f>
        <v>0</v>
      </c>
      <c r="AD48" s="2">
        <f>ROUND((((((ET48*1.2)*0.3))-(((EU48*1.2)*0.3)))+AE48),6)</f>
        <v>0.62280000000000002</v>
      </c>
      <c r="AE48" s="2">
        <f>ROUND((((EU48*1.2)*0.3)),6)</f>
        <v>0</v>
      </c>
      <c r="AF48" s="2">
        <f>ROUND((((EV48*1.2)*0.3)),6)</f>
        <v>71.020799999999994</v>
      </c>
      <c r="AG48" s="2">
        <f t="shared" si="37"/>
        <v>0</v>
      </c>
      <c r="AH48" s="2">
        <f>(((EW48*1.2)*0.3))</f>
        <v>5.976</v>
      </c>
      <c r="AI48" s="2">
        <f>(((EX48*1.2)*0.3))</f>
        <v>0</v>
      </c>
      <c r="AJ48" s="2">
        <f t="shared" si="40"/>
        <v>0</v>
      </c>
      <c r="AK48" s="2">
        <v>290.92</v>
      </c>
      <c r="AL48" s="2">
        <v>91.91</v>
      </c>
      <c r="AM48" s="2">
        <v>1.73</v>
      </c>
      <c r="AN48" s="2">
        <v>0</v>
      </c>
      <c r="AO48" s="2">
        <v>197.28</v>
      </c>
      <c r="AP48" s="2">
        <v>0</v>
      </c>
      <c r="AQ48" s="2">
        <v>16.600000000000001</v>
      </c>
      <c r="AR48" s="2">
        <v>0</v>
      </c>
      <c r="AS48" s="2">
        <v>0</v>
      </c>
      <c r="AT48" s="2">
        <v>90</v>
      </c>
      <c r="AU48" s="2">
        <v>46</v>
      </c>
      <c r="AV48" s="2">
        <v>1.0469999999999999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0</v>
      </c>
      <c r="BI48" s="2">
        <v>2</v>
      </c>
      <c r="BJ48" s="2" t="s">
        <v>74</v>
      </c>
      <c r="BK48" s="2"/>
      <c r="BL48" s="2"/>
      <c r="BM48" s="2">
        <v>68</v>
      </c>
      <c r="BN48" s="2">
        <v>0</v>
      </c>
      <c r="BO48" s="2" t="s">
        <v>72</v>
      </c>
      <c r="BP48" s="2">
        <v>1</v>
      </c>
      <c r="BQ48" s="2">
        <v>40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90</v>
      </c>
      <c r="CA48" s="2">
        <v>46</v>
      </c>
      <c r="CB48" s="2" t="s">
        <v>3</v>
      </c>
      <c r="CC48" s="2"/>
      <c r="CD48" s="2"/>
      <c r="CE48" s="2">
        <v>1566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421</v>
      </c>
      <c r="CO48" s="2">
        <v>0</v>
      </c>
      <c r="CP48" s="2">
        <f t="shared" si="41"/>
        <v>272.29000000000002</v>
      </c>
      <c r="CQ48" s="2">
        <f t="shared" si="42"/>
        <v>0</v>
      </c>
      <c r="CR48" s="2">
        <f>(ROUND((ROUND(((((ET48*1.2)*0.3))*AV48*1),2)*BB48),2)+ROUND((ROUND(((AE48-(((EU48*1.2)*0.3)))*AV48*1),2)*BS48),2))</f>
        <v>0.65</v>
      </c>
      <c r="CS48" s="2">
        <f>(ROUND((ROUND(((((EU48*1.2)*0.3))*AV48*1),2)*BS48),2)+ROUND((ROUND(((AE48-(((EU48*1.2)*0.3)))*AV48*1),2)*BS48),2))</f>
        <v>0</v>
      </c>
      <c r="CT48" s="2">
        <f t="shared" si="45"/>
        <v>74.36</v>
      </c>
      <c r="CU48" s="2">
        <f t="shared" si="46"/>
        <v>0</v>
      </c>
      <c r="CV48" s="2">
        <f t="shared" si="47"/>
        <v>6.2568719999999995</v>
      </c>
      <c r="CW48" s="2">
        <f t="shared" si="48"/>
        <v>0</v>
      </c>
      <c r="CX48" s="2">
        <f t="shared" si="49"/>
        <v>0</v>
      </c>
      <c r="CY48" s="2">
        <f>(ROUND((((S48+ROUND((ROUND(((((EU48*1.2)*0.3))*AV48*1),2)*BS48),2))*AT48)/100),2)+ROUND(((ROUND((ROUND(((AE48-(((EU48*1.2)*0.3)))*AV48*1),2)*BS48),2)*AT48)/100),2))</f>
        <v>242.93</v>
      </c>
      <c r="CZ48" s="2">
        <f>(ROUND((((S48+ROUND((ROUND(((((EU48*1.2)*0.3))*AV48*1),2)*BS48),2))*AU48)/100),2)+ROUND(((ROUND((ROUND(((AE48-(((EU48*1.2)*0.3)))*AV48*1),2)*BS48),2)*AU48)/100),2))</f>
        <v>124.16</v>
      </c>
      <c r="DA48" s="2"/>
      <c r="DB48" s="2">
        <v>37</v>
      </c>
      <c r="DC48" s="2" t="s">
        <v>3</v>
      </c>
      <c r="DD48" s="2" t="s">
        <v>24</v>
      </c>
      <c r="DE48" s="2" t="s">
        <v>25</v>
      </c>
      <c r="DF48" s="2" t="s">
        <v>25</v>
      </c>
      <c r="DG48" s="2" t="s">
        <v>25</v>
      </c>
      <c r="DH48" s="2" t="s">
        <v>3</v>
      </c>
      <c r="DI48" s="2" t="s">
        <v>25</v>
      </c>
      <c r="DJ48" s="2" t="s">
        <v>25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1003</v>
      </c>
      <c r="DV48" s="2" t="s">
        <v>60</v>
      </c>
      <c r="DW48" s="2" t="s">
        <v>60</v>
      </c>
      <c r="DX48" s="2">
        <v>100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55393700</v>
      </c>
      <c r="EF48" s="2">
        <v>40</v>
      </c>
      <c r="EG48" s="2" t="s">
        <v>26</v>
      </c>
      <c r="EH48" s="2">
        <v>0</v>
      </c>
      <c r="EI48" s="2" t="s">
        <v>3</v>
      </c>
      <c r="EJ48" s="2">
        <v>2</v>
      </c>
      <c r="EK48" s="2">
        <v>68</v>
      </c>
      <c r="EL48" s="2" t="s">
        <v>27</v>
      </c>
      <c r="EM48" s="2" t="s">
        <v>28</v>
      </c>
      <c r="EN48" s="2"/>
      <c r="EO48" s="2" t="s">
        <v>29</v>
      </c>
      <c r="EP48" s="2"/>
      <c r="EQ48" s="2">
        <v>0</v>
      </c>
      <c r="ER48" s="2">
        <v>290.92</v>
      </c>
      <c r="ES48" s="2">
        <v>91.91</v>
      </c>
      <c r="ET48" s="2">
        <v>1.73</v>
      </c>
      <c r="EU48" s="2">
        <v>0</v>
      </c>
      <c r="EV48" s="2">
        <v>197.28</v>
      </c>
      <c r="EW48" s="2">
        <v>16.600000000000001</v>
      </c>
      <c r="EX48" s="2">
        <v>0</v>
      </c>
      <c r="EY48" s="2">
        <v>0</v>
      </c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v>0</v>
      </c>
      <c r="FS48" s="2">
        <v>0</v>
      </c>
      <c r="FT48" s="2"/>
      <c r="FU48" s="2"/>
      <c r="FV48" s="2"/>
      <c r="FW48" s="2"/>
      <c r="FX48" s="2">
        <v>90</v>
      </c>
      <c r="FY48" s="2">
        <v>46</v>
      </c>
      <c r="FZ48" s="2"/>
      <c r="GA48" s="2" t="s">
        <v>3</v>
      </c>
      <c r="GB48" s="2"/>
      <c r="GC48" s="2"/>
      <c r="GD48" s="2">
        <v>1</v>
      </c>
      <c r="GE48" s="2"/>
      <c r="GF48" s="2">
        <v>-17066464</v>
      </c>
      <c r="GG48" s="2">
        <v>2</v>
      </c>
      <c r="GH48" s="2">
        <v>1</v>
      </c>
      <c r="GI48" s="2">
        <v>2</v>
      </c>
      <c r="GJ48" s="2">
        <v>0</v>
      </c>
      <c r="GK48" s="2">
        <v>0</v>
      </c>
      <c r="GL48" s="2">
        <f t="shared" si="52"/>
        <v>0</v>
      </c>
      <c r="GM48" s="2">
        <f t="shared" si="53"/>
        <v>639.38</v>
      </c>
      <c r="GN48" s="2">
        <f t="shared" si="54"/>
        <v>0</v>
      </c>
      <c r="GO48" s="2">
        <f t="shared" si="55"/>
        <v>639.38</v>
      </c>
      <c r="GP48" s="2">
        <f t="shared" si="56"/>
        <v>0</v>
      </c>
      <c r="GQ48" s="2"/>
      <c r="GR48" s="2">
        <v>0</v>
      </c>
      <c r="GS48" s="2">
        <v>3</v>
      </c>
      <c r="GT48" s="2">
        <v>0</v>
      </c>
      <c r="GU48" s="2" t="s">
        <v>3</v>
      </c>
      <c r="GV48" s="2">
        <f t="shared" si="57"/>
        <v>0</v>
      </c>
      <c r="GW48" s="2">
        <v>1</v>
      </c>
      <c r="GX48" s="2">
        <f t="shared" si="58"/>
        <v>0</v>
      </c>
      <c r="GY48" s="2"/>
      <c r="GZ48" s="2"/>
      <c r="HA48" s="2">
        <v>0</v>
      </c>
      <c r="HB48" s="2">
        <v>0</v>
      </c>
      <c r="HC48" s="2">
        <f t="shared" si="59"/>
        <v>0</v>
      </c>
      <c r="HD48" s="2"/>
      <c r="HE48" s="2" t="s">
        <v>3</v>
      </c>
      <c r="HF48" s="2" t="s">
        <v>3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5">
      <c r="A49" s="3">
        <v>17</v>
      </c>
      <c r="B49" s="3">
        <v>1</v>
      </c>
      <c r="C49" s="3">
        <f>ROW(SmtRes!A86)</f>
        <v>86</v>
      </c>
      <c r="D49" s="3">
        <f>ROW(EtalonRes!A106)</f>
        <v>106</v>
      </c>
      <c r="E49" s="3" t="s">
        <v>71</v>
      </c>
      <c r="F49" s="3" t="s">
        <v>72</v>
      </c>
      <c r="G49" s="3" t="s">
        <v>73</v>
      </c>
      <c r="H49" s="3" t="s">
        <v>60</v>
      </c>
      <c r="I49" s="3">
        <f>ROUND(363/100,9)</f>
        <v>3.63</v>
      </c>
      <c r="J49" s="3">
        <v>0</v>
      </c>
      <c r="K49" s="3">
        <f>ROUND(363/100,9)</f>
        <v>3.63</v>
      </c>
      <c r="O49" s="3">
        <f t="shared" si="21"/>
        <v>15232.79</v>
      </c>
      <c r="P49" s="3">
        <f t="shared" si="22"/>
        <v>0</v>
      </c>
      <c r="Q49" s="3">
        <f>(ROUND((ROUND(((((ET49*1.2)*0.3))*AV49*I49),2)*BB49),2)+ROUND((ROUND(((AE49-(((EU49*1.2)*0.3)))*AV49*I49),2)*BS49),2))</f>
        <v>22.8</v>
      </c>
      <c r="R49" s="3">
        <f>(ROUND((ROUND(((((EU49*1.2)*0.3))*AV49*I49),2)*BS49),2)+ROUND((ROUND(((AE49-(((EU49*1.2)*0.3)))*AV49*I49),2)*BS49),2))</f>
        <v>0</v>
      </c>
      <c r="S49" s="3">
        <f t="shared" si="25"/>
        <v>15209.99</v>
      </c>
      <c r="T49" s="3">
        <f t="shared" si="26"/>
        <v>0</v>
      </c>
      <c r="U49" s="3">
        <f t="shared" si="27"/>
        <v>22.712445359999997</v>
      </c>
      <c r="V49" s="3">
        <f t="shared" si="28"/>
        <v>0</v>
      </c>
      <c r="W49" s="3">
        <f t="shared" si="29"/>
        <v>0</v>
      </c>
      <c r="X49" s="3">
        <f>(ROUND((((S49+ROUND((ROUND(((((EU49*1.2)*0.3))*AV49*I49),2)*BS49),2))*AT49)/100),2)+ROUND(((ROUND((ROUND(((AE49-(((EU49*1.2)*0.3)))*AV49*I49),2)*BS49),2)*AT49)/100),2))</f>
        <v>13688.99</v>
      </c>
      <c r="Y49" s="3">
        <f>(ROUND((((S49+ROUND((ROUND(((((EU49*1.2)*0.3))*AV49*I49),2)*BS49),2))*AU49)/100),2)+ROUND(((ROUND((ROUND(((AE49-(((EU49*1.2)*0.3)))*AV49*I49),2)*BS49),2)*AU49)/100),2))</f>
        <v>6996.6</v>
      </c>
      <c r="AA49" s="3">
        <v>55936048</v>
      </c>
      <c r="AB49" s="3">
        <f t="shared" si="32"/>
        <v>71.643600000000006</v>
      </c>
      <c r="AC49" s="3">
        <f>ROUND((((ES49*1)*0)),6)</f>
        <v>0</v>
      </c>
      <c r="AD49" s="3">
        <f>ROUND((((((ET49*1.2)*0.3))-(((EU49*1.2)*0.3)))+AE49),6)</f>
        <v>0.62280000000000002</v>
      </c>
      <c r="AE49" s="3">
        <f>ROUND((((EU49*1.2)*0.3)),6)</f>
        <v>0</v>
      </c>
      <c r="AF49" s="3">
        <f>ROUND((((EV49*1.2)*0.3)),6)</f>
        <v>71.020799999999994</v>
      </c>
      <c r="AG49" s="3">
        <f t="shared" si="37"/>
        <v>0</v>
      </c>
      <c r="AH49" s="3">
        <f>(((EW49*1.2)*0.3))</f>
        <v>5.976</v>
      </c>
      <c r="AI49" s="3">
        <f>(((EX49*1.2)*0.3))</f>
        <v>0</v>
      </c>
      <c r="AJ49" s="3">
        <f t="shared" si="40"/>
        <v>0</v>
      </c>
      <c r="AK49" s="3">
        <v>290.92</v>
      </c>
      <c r="AL49" s="3">
        <v>91.91</v>
      </c>
      <c r="AM49" s="3">
        <v>1.73</v>
      </c>
      <c r="AN49" s="3">
        <v>0</v>
      </c>
      <c r="AO49" s="3">
        <v>197.28</v>
      </c>
      <c r="AP49" s="3">
        <v>0</v>
      </c>
      <c r="AQ49" s="3">
        <v>16.600000000000001</v>
      </c>
      <c r="AR49" s="3">
        <v>0</v>
      </c>
      <c r="AS49" s="3">
        <v>0</v>
      </c>
      <c r="AT49" s="3">
        <v>90</v>
      </c>
      <c r="AU49" s="3">
        <v>46</v>
      </c>
      <c r="AV49" s="3">
        <v>1.0469999999999999</v>
      </c>
      <c r="AW49" s="3">
        <v>1</v>
      </c>
      <c r="AZ49" s="3">
        <v>1</v>
      </c>
      <c r="BA49" s="3">
        <v>56.35</v>
      </c>
      <c r="BB49" s="3">
        <v>9.6199999999999992</v>
      </c>
      <c r="BC49" s="3">
        <v>2.4700000000000002</v>
      </c>
      <c r="BD49" s="3" t="s">
        <v>3</v>
      </c>
      <c r="BE49" s="3" t="s">
        <v>3</v>
      </c>
      <c r="BF49" s="3" t="s">
        <v>3</v>
      </c>
      <c r="BG49" s="3" t="s">
        <v>3</v>
      </c>
      <c r="BH49" s="3">
        <v>0</v>
      </c>
      <c r="BI49" s="3">
        <v>2</v>
      </c>
      <c r="BJ49" s="3" t="s">
        <v>74</v>
      </c>
      <c r="BM49" s="3">
        <v>68</v>
      </c>
      <c r="BN49" s="3">
        <v>0</v>
      </c>
      <c r="BO49" s="3" t="s">
        <v>72</v>
      </c>
      <c r="BP49" s="3">
        <v>1</v>
      </c>
      <c r="BQ49" s="3">
        <v>40</v>
      </c>
      <c r="BR49" s="3">
        <v>0</v>
      </c>
      <c r="BS49" s="3">
        <v>56.35</v>
      </c>
      <c r="BT49" s="3">
        <v>1</v>
      </c>
      <c r="BU49" s="3">
        <v>1</v>
      </c>
      <c r="BV49" s="3">
        <v>1</v>
      </c>
      <c r="BW49" s="3">
        <v>1</v>
      </c>
      <c r="BX49" s="3">
        <v>1</v>
      </c>
      <c r="BY49" s="3" t="s">
        <v>3</v>
      </c>
      <c r="BZ49" s="3">
        <v>90</v>
      </c>
      <c r="CA49" s="3">
        <v>46</v>
      </c>
      <c r="CB49" s="3" t="s">
        <v>3</v>
      </c>
      <c r="CE49" s="3">
        <v>1566</v>
      </c>
      <c r="CF49" s="3">
        <v>0</v>
      </c>
      <c r="CG49" s="3">
        <v>0</v>
      </c>
      <c r="CM49" s="3">
        <v>0</v>
      </c>
      <c r="CN49" s="3" t="s">
        <v>421</v>
      </c>
      <c r="CO49" s="3">
        <v>0</v>
      </c>
      <c r="CP49" s="3">
        <f t="shared" si="41"/>
        <v>15232.789999999999</v>
      </c>
      <c r="CQ49" s="3">
        <f t="shared" si="42"/>
        <v>0</v>
      </c>
      <c r="CR49" s="3">
        <f>(ROUND((ROUND(((((ET49*1.2)*0.3))*AV49*1),2)*BB49),2)+ROUND((ROUND(((AE49-(((EU49*1.2)*0.3)))*AV49*1),2)*BS49),2))</f>
        <v>6.25</v>
      </c>
      <c r="CS49" s="3">
        <f>(ROUND((ROUND(((((EU49*1.2)*0.3))*AV49*1),2)*BS49),2)+ROUND((ROUND(((AE49-(((EU49*1.2)*0.3)))*AV49*1),2)*BS49),2))</f>
        <v>0</v>
      </c>
      <c r="CT49" s="3">
        <f t="shared" si="45"/>
        <v>4190.1899999999996</v>
      </c>
      <c r="CU49" s="3">
        <f t="shared" si="46"/>
        <v>0</v>
      </c>
      <c r="CV49" s="3">
        <f t="shared" si="47"/>
        <v>6.2568719999999995</v>
      </c>
      <c r="CW49" s="3">
        <f t="shared" si="48"/>
        <v>0</v>
      </c>
      <c r="CX49" s="3">
        <f t="shared" si="49"/>
        <v>0</v>
      </c>
      <c r="CY49" s="3">
        <f>(ROUND((((S49+ROUND((ROUND(((((EU49*1.2)*0.3))*AV49*1),2)*BS49),2))*AT49)/100),2)+ROUND(((ROUND((ROUND(((AE49-(((EU49*1.2)*0.3)))*AV49*1),2)*BS49),2)*AT49)/100),2))</f>
        <v>13688.99</v>
      </c>
      <c r="CZ49" s="3">
        <f>(ROUND((((S49+ROUND((ROUND(((((EU49*1.2)*0.3))*AV49*1),2)*BS49),2))*AU49)/100),2)+ROUND(((ROUND((ROUND(((AE49-(((EU49*1.2)*0.3)))*AV49*1),2)*BS49),2)*AU49)/100),2))</f>
        <v>6996.6</v>
      </c>
      <c r="DB49" s="3">
        <v>39</v>
      </c>
      <c r="DC49" s="3" t="s">
        <v>3</v>
      </c>
      <c r="DD49" s="3" t="s">
        <v>24</v>
      </c>
      <c r="DE49" s="3" t="s">
        <v>25</v>
      </c>
      <c r="DF49" s="3" t="s">
        <v>25</v>
      </c>
      <c r="DG49" s="3" t="s">
        <v>25</v>
      </c>
      <c r="DH49" s="3" t="s">
        <v>3</v>
      </c>
      <c r="DI49" s="3" t="s">
        <v>25</v>
      </c>
      <c r="DJ49" s="3" t="s">
        <v>25</v>
      </c>
      <c r="DK49" s="3" t="s">
        <v>3</v>
      </c>
      <c r="DL49" s="3" t="s">
        <v>3</v>
      </c>
      <c r="DM49" s="3" t="s">
        <v>3</v>
      </c>
      <c r="DN49" s="3">
        <v>0</v>
      </c>
      <c r="DO49" s="3">
        <v>0</v>
      </c>
      <c r="DP49" s="3">
        <v>1</v>
      </c>
      <c r="DQ49" s="3">
        <v>1</v>
      </c>
      <c r="DU49" s="3">
        <v>1003</v>
      </c>
      <c r="DV49" s="3" t="s">
        <v>60</v>
      </c>
      <c r="DW49" s="3" t="s">
        <v>60</v>
      </c>
      <c r="DX49" s="3">
        <v>100</v>
      </c>
      <c r="DZ49" s="3" t="s">
        <v>3</v>
      </c>
      <c r="EA49" s="3" t="s">
        <v>3</v>
      </c>
      <c r="EB49" s="3" t="s">
        <v>3</v>
      </c>
      <c r="EC49" s="3" t="s">
        <v>3</v>
      </c>
      <c r="EE49" s="3">
        <v>55393700</v>
      </c>
      <c r="EF49" s="3">
        <v>40</v>
      </c>
      <c r="EG49" s="3" t="s">
        <v>26</v>
      </c>
      <c r="EH49" s="3">
        <v>0</v>
      </c>
      <c r="EI49" s="3" t="s">
        <v>3</v>
      </c>
      <c r="EJ49" s="3">
        <v>2</v>
      </c>
      <c r="EK49" s="3">
        <v>68</v>
      </c>
      <c r="EL49" s="3" t="s">
        <v>27</v>
      </c>
      <c r="EM49" s="3" t="s">
        <v>28</v>
      </c>
      <c r="EO49" s="3" t="s">
        <v>29</v>
      </c>
      <c r="EQ49" s="3">
        <v>0</v>
      </c>
      <c r="ER49" s="3">
        <v>290.92</v>
      </c>
      <c r="ES49" s="3">
        <v>91.91</v>
      </c>
      <c r="ET49" s="3">
        <v>1.73</v>
      </c>
      <c r="EU49" s="3">
        <v>0</v>
      </c>
      <c r="EV49" s="3">
        <v>197.28</v>
      </c>
      <c r="EW49" s="3">
        <v>16.600000000000001</v>
      </c>
      <c r="EX49" s="3">
        <v>0</v>
      </c>
      <c r="EY49" s="3">
        <v>0</v>
      </c>
      <c r="FQ49" s="3">
        <v>0</v>
      </c>
      <c r="FR49" s="3">
        <v>0</v>
      </c>
      <c r="FS49" s="3">
        <v>0</v>
      </c>
      <c r="FX49" s="3">
        <v>90</v>
      </c>
      <c r="FY49" s="3">
        <v>46</v>
      </c>
      <c r="GA49" s="3" t="s">
        <v>3</v>
      </c>
      <c r="GD49" s="3">
        <v>1</v>
      </c>
      <c r="GF49" s="3">
        <v>-17066464</v>
      </c>
      <c r="GG49" s="3">
        <v>2</v>
      </c>
      <c r="GH49" s="3">
        <v>1</v>
      </c>
      <c r="GI49" s="3">
        <v>2</v>
      </c>
      <c r="GJ49" s="3">
        <v>0</v>
      </c>
      <c r="GK49" s="3">
        <v>0</v>
      </c>
      <c r="GL49" s="3">
        <f t="shared" si="52"/>
        <v>0</v>
      </c>
      <c r="GM49" s="3">
        <f t="shared" si="53"/>
        <v>35918.379999999997</v>
      </c>
      <c r="GN49" s="3">
        <f t="shared" si="54"/>
        <v>0</v>
      </c>
      <c r="GO49" s="3">
        <f t="shared" si="55"/>
        <v>35918.379999999997</v>
      </c>
      <c r="GP49" s="3">
        <f t="shared" si="56"/>
        <v>0</v>
      </c>
      <c r="GR49" s="3">
        <v>0</v>
      </c>
      <c r="GS49" s="3">
        <v>3</v>
      </c>
      <c r="GT49" s="3">
        <v>0</v>
      </c>
      <c r="GU49" s="3" t="s">
        <v>3</v>
      </c>
      <c r="GV49" s="3">
        <f t="shared" si="57"/>
        <v>0</v>
      </c>
      <c r="GW49" s="3">
        <v>1</v>
      </c>
      <c r="GX49" s="3">
        <f t="shared" si="58"/>
        <v>0</v>
      </c>
      <c r="HA49" s="3">
        <v>0</v>
      </c>
      <c r="HB49" s="3">
        <v>0</v>
      </c>
      <c r="HC49" s="3">
        <f t="shared" si="59"/>
        <v>0</v>
      </c>
      <c r="HE49" s="3" t="s">
        <v>3</v>
      </c>
      <c r="HF49" s="3" t="s">
        <v>3</v>
      </c>
      <c r="HM49" s="3" t="s">
        <v>3</v>
      </c>
      <c r="HN49" s="3" t="s">
        <v>3</v>
      </c>
      <c r="HO49" s="3" t="s">
        <v>3</v>
      </c>
      <c r="HP49" s="3" t="s">
        <v>3</v>
      </c>
      <c r="HQ49" s="3" t="s">
        <v>3</v>
      </c>
      <c r="HS49" s="3">
        <v>0</v>
      </c>
      <c r="IK49" s="3">
        <v>0</v>
      </c>
    </row>
    <row r="50" spans="1:255" x14ac:dyDescent="0.25">
      <c r="A50" s="2">
        <v>17</v>
      </c>
      <c r="B50" s="2">
        <v>1</v>
      </c>
      <c r="C50" s="2">
        <f>ROW(SmtRes!A88)</f>
        <v>88</v>
      </c>
      <c r="D50" s="2">
        <f>ROW(EtalonRes!A108)</f>
        <v>108</v>
      </c>
      <c r="E50" s="2" t="s">
        <v>3</v>
      </c>
      <c r="F50" s="2" t="s">
        <v>75</v>
      </c>
      <c r="G50" s="2" t="s">
        <v>76</v>
      </c>
      <c r="H50" s="2" t="s">
        <v>60</v>
      </c>
      <c r="I50" s="2">
        <f>ROUND(363/100,9)</f>
        <v>3.63</v>
      </c>
      <c r="J50" s="2">
        <v>0</v>
      </c>
      <c r="K50" s="2">
        <f>ROUND(363/100,9)</f>
        <v>3.63</v>
      </c>
      <c r="L50" s="2"/>
      <c r="M50" s="2"/>
      <c r="N50" s="2"/>
      <c r="O50" s="2">
        <f t="shared" si="21"/>
        <v>1460.48</v>
      </c>
      <c r="P50" s="2">
        <f t="shared" si="22"/>
        <v>0</v>
      </c>
      <c r="Q50" s="2">
        <f>(ROUND((ROUND((((ET50*1.2))*AV50*I50),2)*BB50),2)+ROUND((ROUND(((AE50-((EU50*1.2)))*AV50*I50),2)*BS50),2))</f>
        <v>0</v>
      </c>
      <c r="R50" s="2">
        <f>(ROUND((ROUND((((EU50*1.2))*AV50*I50),2)*BS50),2)+ROUND((ROUND(((AE50-((EU50*1.2)))*AV50*I50),2)*BS50),2))</f>
        <v>0</v>
      </c>
      <c r="S50" s="2">
        <f t="shared" si="25"/>
        <v>1460.48</v>
      </c>
      <c r="T50" s="2">
        <f t="shared" si="26"/>
        <v>0</v>
      </c>
      <c r="U50" s="2">
        <f t="shared" si="27"/>
        <v>138.82868207999996</v>
      </c>
      <c r="V50" s="2">
        <f t="shared" si="28"/>
        <v>0</v>
      </c>
      <c r="W50" s="2">
        <f t="shared" si="29"/>
        <v>0</v>
      </c>
      <c r="X50" s="2">
        <f>(ROUND((((S50+ROUND((ROUND((((EU50*1.2))*AV50*I50),2)*BS50),2))*AT50)/100),2)+ROUND(((ROUND((ROUND(((AE50-((EU50*1.2)))*AV50*I50),2)*BS50),2)*AT50)/100),2))</f>
        <v>1329.04</v>
      </c>
      <c r="Y50" s="2">
        <f>(ROUND((((S50+ROUND((ROUND((((EU50*1.2))*AV50*I50),2)*BS50),2))*AU50)/100),2)+ROUND(((ROUND((ROUND(((AE50-((EU50*1.2)))*AV50*I50),2)*BS50),2)*AU50)/100),2))</f>
        <v>701.03</v>
      </c>
      <c r="Z50" s="2"/>
      <c r="AA50" s="2">
        <v>-1</v>
      </c>
      <c r="AB50" s="2">
        <f t="shared" si="32"/>
        <v>384.27600000000001</v>
      </c>
      <c r="AC50" s="2">
        <f>ROUND(((ES50*1)),6)</f>
        <v>0</v>
      </c>
      <c r="AD50" s="2">
        <f>ROUND(((((ET50*1.2))-((EU50*1.2)))+AE50),6)</f>
        <v>0</v>
      </c>
      <c r="AE50" s="2">
        <f>ROUND(((EU50*1.2)),6)</f>
        <v>0</v>
      </c>
      <c r="AF50" s="2">
        <f>ROUND(((EV50*1.2)),6)</f>
        <v>384.27600000000001</v>
      </c>
      <c r="AG50" s="2">
        <f t="shared" si="37"/>
        <v>0</v>
      </c>
      <c r="AH50" s="2">
        <f>((EW50*1.2))</f>
        <v>36.527999999999999</v>
      </c>
      <c r="AI50" s="2">
        <f>((EX50*1.2))</f>
        <v>0</v>
      </c>
      <c r="AJ50" s="2">
        <f t="shared" si="40"/>
        <v>0</v>
      </c>
      <c r="AK50" s="2">
        <v>320.23</v>
      </c>
      <c r="AL50" s="2">
        <v>0</v>
      </c>
      <c r="AM50" s="2">
        <v>0</v>
      </c>
      <c r="AN50" s="2">
        <v>0</v>
      </c>
      <c r="AO50" s="2">
        <v>320.23</v>
      </c>
      <c r="AP50" s="2">
        <v>0</v>
      </c>
      <c r="AQ50" s="2">
        <v>30.44</v>
      </c>
      <c r="AR50" s="2">
        <v>0</v>
      </c>
      <c r="AS50" s="2">
        <v>0</v>
      </c>
      <c r="AT50" s="2">
        <v>91</v>
      </c>
      <c r="AU50" s="2">
        <v>48</v>
      </c>
      <c r="AV50" s="2">
        <v>1.0469999999999999</v>
      </c>
      <c r="AW50" s="2">
        <v>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0</v>
      </c>
      <c r="BI50" s="2">
        <v>1</v>
      </c>
      <c r="BJ50" s="2" t="s">
        <v>77</v>
      </c>
      <c r="BK50" s="2"/>
      <c r="BL50" s="2"/>
      <c r="BM50" s="2">
        <v>106</v>
      </c>
      <c r="BN50" s="2">
        <v>0</v>
      </c>
      <c r="BO50" s="2" t="s">
        <v>75</v>
      </c>
      <c r="BP50" s="2">
        <v>1</v>
      </c>
      <c r="BQ50" s="2">
        <v>60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91</v>
      </c>
      <c r="CA50" s="2">
        <v>48</v>
      </c>
      <c r="CB50" s="2" t="s">
        <v>3</v>
      </c>
      <c r="CC50" s="2"/>
      <c r="CD50" s="2"/>
      <c r="CE50" s="2">
        <v>1566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422</v>
      </c>
      <c r="CO50" s="2">
        <v>0</v>
      </c>
      <c r="CP50" s="2">
        <f t="shared" si="41"/>
        <v>1460.48</v>
      </c>
      <c r="CQ50" s="2">
        <f t="shared" si="42"/>
        <v>0</v>
      </c>
      <c r="CR50" s="2">
        <f>(ROUND((ROUND((((ET50*1.2))*AV50*1),2)*BB50),2)+ROUND((ROUND(((AE50-((EU50*1.2)))*AV50*1),2)*BS50),2))</f>
        <v>0</v>
      </c>
      <c r="CS50" s="2">
        <f>(ROUND((ROUND((((EU50*1.2))*AV50*1),2)*BS50),2)+ROUND((ROUND(((AE50-((EU50*1.2)))*AV50*1),2)*BS50),2))</f>
        <v>0</v>
      </c>
      <c r="CT50" s="2">
        <f t="shared" si="45"/>
        <v>402.34</v>
      </c>
      <c r="CU50" s="2">
        <f t="shared" si="46"/>
        <v>0</v>
      </c>
      <c r="CV50" s="2">
        <f t="shared" si="47"/>
        <v>38.244815999999993</v>
      </c>
      <c r="CW50" s="2">
        <f t="shared" si="48"/>
        <v>0</v>
      </c>
      <c r="CX50" s="2">
        <f t="shared" si="49"/>
        <v>0</v>
      </c>
      <c r="CY50" s="2">
        <f>(ROUND((((S50+ROUND((ROUND((((EU50*1.2))*AV50*1),2)*BS50),2))*AT50)/100),2)+ROUND(((ROUND((ROUND(((AE50-((EU50*1.2)))*AV50*1),2)*BS50),2)*AT50)/100),2))</f>
        <v>1329.04</v>
      </c>
      <c r="CZ50" s="2">
        <f>(ROUND((((S50+ROUND((ROUND((((EU50*1.2))*AV50*1),2)*BS50),2))*AU50)/100),2)+ROUND(((ROUND((ROUND(((AE50-((EU50*1.2)))*AV50*1),2)*BS50),2)*AU50)/100),2))</f>
        <v>701.03</v>
      </c>
      <c r="DA50" s="2"/>
      <c r="DB50" s="2">
        <v>41</v>
      </c>
      <c r="DC50" s="2" t="s">
        <v>3</v>
      </c>
      <c r="DD50" s="2" t="s">
        <v>62</v>
      </c>
      <c r="DE50" s="2" t="s">
        <v>63</v>
      </c>
      <c r="DF50" s="2" t="s">
        <v>63</v>
      </c>
      <c r="DG50" s="2" t="s">
        <v>63</v>
      </c>
      <c r="DH50" s="2" t="s">
        <v>3</v>
      </c>
      <c r="DI50" s="2" t="s">
        <v>63</v>
      </c>
      <c r="DJ50" s="2" t="s">
        <v>63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1003</v>
      </c>
      <c r="DV50" s="2" t="s">
        <v>60</v>
      </c>
      <c r="DW50" s="2" t="s">
        <v>60</v>
      </c>
      <c r="DX50" s="2">
        <v>100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55393738</v>
      </c>
      <c r="EF50" s="2">
        <v>60</v>
      </c>
      <c r="EG50" s="2" t="s">
        <v>64</v>
      </c>
      <c r="EH50" s="2">
        <v>0</v>
      </c>
      <c r="EI50" s="2" t="s">
        <v>3</v>
      </c>
      <c r="EJ50" s="2">
        <v>1</v>
      </c>
      <c r="EK50" s="2">
        <v>106</v>
      </c>
      <c r="EL50" s="2" t="s">
        <v>65</v>
      </c>
      <c r="EM50" s="2" t="s">
        <v>66</v>
      </c>
      <c r="EN50" s="2"/>
      <c r="EO50" s="2" t="s">
        <v>67</v>
      </c>
      <c r="EP50" s="2"/>
      <c r="EQ50" s="2">
        <v>1024</v>
      </c>
      <c r="ER50" s="2">
        <v>320.23</v>
      </c>
      <c r="ES50" s="2">
        <v>0</v>
      </c>
      <c r="ET50" s="2">
        <v>0</v>
      </c>
      <c r="EU50" s="2">
        <v>0</v>
      </c>
      <c r="EV50" s="2">
        <v>320.23</v>
      </c>
      <c r="EW50" s="2">
        <v>30.44</v>
      </c>
      <c r="EX50" s="2">
        <v>0</v>
      </c>
      <c r="EY50" s="2">
        <v>0</v>
      </c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v>0</v>
      </c>
      <c r="FS50" s="2">
        <v>0</v>
      </c>
      <c r="FT50" s="2"/>
      <c r="FU50" s="2"/>
      <c r="FV50" s="2"/>
      <c r="FW50" s="2"/>
      <c r="FX50" s="2">
        <v>91</v>
      </c>
      <c r="FY50" s="2">
        <v>48</v>
      </c>
      <c r="FZ50" s="2"/>
      <c r="GA50" s="2" t="s">
        <v>3</v>
      </c>
      <c r="GB50" s="2"/>
      <c r="GC50" s="2"/>
      <c r="GD50" s="2">
        <v>1</v>
      </c>
      <c r="GE50" s="2"/>
      <c r="GF50" s="2">
        <v>-1527708470</v>
      </c>
      <c r="GG50" s="2">
        <v>2</v>
      </c>
      <c r="GH50" s="2">
        <v>1</v>
      </c>
      <c r="GI50" s="2">
        <v>2</v>
      </c>
      <c r="GJ50" s="2">
        <v>0</v>
      </c>
      <c r="GK50" s="2">
        <v>0</v>
      </c>
      <c r="GL50" s="2">
        <f t="shared" si="52"/>
        <v>0</v>
      </c>
      <c r="GM50" s="2">
        <f t="shared" si="53"/>
        <v>3490.55</v>
      </c>
      <c r="GN50" s="2">
        <f t="shared" si="54"/>
        <v>3490.55</v>
      </c>
      <c r="GO50" s="2">
        <f t="shared" si="55"/>
        <v>0</v>
      </c>
      <c r="GP50" s="2">
        <f t="shared" si="56"/>
        <v>0</v>
      </c>
      <c r="GQ50" s="2"/>
      <c r="GR50" s="2">
        <v>0</v>
      </c>
      <c r="GS50" s="2">
        <v>3</v>
      </c>
      <c r="GT50" s="2">
        <v>0</v>
      </c>
      <c r="GU50" s="2" t="s">
        <v>3</v>
      </c>
      <c r="GV50" s="2">
        <f t="shared" si="57"/>
        <v>0</v>
      </c>
      <c r="GW50" s="2">
        <v>1</v>
      </c>
      <c r="GX50" s="2">
        <f t="shared" si="58"/>
        <v>0</v>
      </c>
      <c r="GY50" s="2"/>
      <c r="GZ50" s="2"/>
      <c r="HA50" s="2">
        <v>0</v>
      </c>
      <c r="HB50" s="2">
        <v>0</v>
      </c>
      <c r="HC50" s="2">
        <f t="shared" si="59"/>
        <v>0</v>
      </c>
      <c r="HD50" s="2"/>
      <c r="HE50" s="2" t="s">
        <v>3</v>
      </c>
      <c r="HF50" s="2" t="s">
        <v>3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5">
      <c r="A51" s="3">
        <v>17</v>
      </c>
      <c r="B51" s="3">
        <v>1</v>
      </c>
      <c r="C51" s="3">
        <f>ROW(SmtRes!A90)</f>
        <v>90</v>
      </c>
      <c r="D51" s="3">
        <f>ROW(EtalonRes!A110)</f>
        <v>110</v>
      </c>
      <c r="E51" s="3" t="s">
        <v>3</v>
      </c>
      <c r="F51" s="3" t="s">
        <v>75</v>
      </c>
      <c r="G51" s="3" t="s">
        <v>76</v>
      </c>
      <c r="H51" s="3" t="s">
        <v>60</v>
      </c>
      <c r="I51" s="3">
        <f>ROUND(363/100,9)</f>
        <v>3.63</v>
      </c>
      <c r="J51" s="3">
        <v>0</v>
      </c>
      <c r="K51" s="3">
        <f>ROUND(363/100,9)</f>
        <v>3.63</v>
      </c>
      <c r="O51" s="3">
        <f t="shared" si="21"/>
        <v>82298.05</v>
      </c>
      <c r="P51" s="3">
        <f t="shared" si="22"/>
        <v>0</v>
      </c>
      <c r="Q51" s="3">
        <f>(ROUND((ROUND((((ET51*1.2))*AV51*I51),2)*BB51),2)+ROUND((ROUND(((AE51-((EU51*1.2)))*AV51*I51),2)*BS51),2))</f>
        <v>0</v>
      </c>
      <c r="R51" s="3">
        <f>(ROUND((ROUND((((EU51*1.2))*AV51*I51),2)*BS51),2)+ROUND((ROUND(((AE51-((EU51*1.2)))*AV51*I51),2)*BS51),2))</f>
        <v>0</v>
      </c>
      <c r="S51" s="3">
        <f t="shared" si="25"/>
        <v>82298.05</v>
      </c>
      <c r="T51" s="3">
        <f t="shared" si="26"/>
        <v>0</v>
      </c>
      <c r="U51" s="3">
        <f t="shared" si="27"/>
        <v>138.82868207999996</v>
      </c>
      <c r="V51" s="3">
        <f t="shared" si="28"/>
        <v>0</v>
      </c>
      <c r="W51" s="3">
        <f t="shared" si="29"/>
        <v>0</v>
      </c>
      <c r="X51" s="3">
        <f>(ROUND((((S51+ROUND((ROUND((((EU51*1.2))*AV51*I51),2)*BS51),2))*AT51)/100),2)+ROUND(((ROUND((ROUND(((AE51-((EU51*1.2)))*AV51*I51),2)*BS51),2)*AT51)/100),2))</f>
        <v>74891.23</v>
      </c>
      <c r="Y51" s="3">
        <f>(ROUND((((S51+ROUND((ROUND((((EU51*1.2))*AV51*I51),2)*BS51),2))*AU51)/100),2)+ROUND(((ROUND((ROUND(((AE51-((EU51*1.2)))*AV51*I51),2)*BS51),2)*AU51)/100),2))</f>
        <v>39503.06</v>
      </c>
      <c r="AA51" s="3">
        <v>-1</v>
      </c>
      <c r="AB51" s="3">
        <f t="shared" si="32"/>
        <v>384.27600000000001</v>
      </c>
      <c r="AC51" s="3">
        <f>ROUND(((ES51*1)),6)</f>
        <v>0</v>
      </c>
      <c r="AD51" s="3">
        <f>ROUND(((((ET51*1.2))-((EU51*1.2)))+AE51),6)</f>
        <v>0</v>
      </c>
      <c r="AE51" s="3">
        <f>ROUND(((EU51*1.2)),6)</f>
        <v>0</v>
      </c>
      <c r="AF51" s="3">
        <f>ROUND(((EV51*1.2)),6)</f>
        <v>384.27600000000001</v>
      </c>
      <c r="AG51" s="3">
        <f t="shared" si="37"/>
        <v>0</v>
      </c>
      <c r="AH51" s="3">
        <f>((EW51*1.2))</f>
        <v>36.527999999999999</v>
      </c>
      <c r="AI51" s="3">
        <f>((EX51*1.2))</f>
        <v>0</v>
      </c>
      <c r="AJ51" s="3">
        <f t="shared" si="40"/>
        <v>0</v>
      </c>
      <c r="AK51" s="3">
        <v>320.23</v>
      </c>
      <c r="AL51" s="3">
        <v>0</v>
      </c>
      <c r="AM51" s="3">
        <v>0</v>
      </c>
      <c r="AN51" s="3">
        <v>0</v>
      </c>
      <c r="AO51" s="3">
        <v>320.23</v>
      </c>
      <c r="AP51" s="3">
        <v>0</v>
      </c>
      <c r="AQ51" s="3">
        <v>30.44</v>
      </c>
      <c r="AR51" s="3">
        <v>0</v>
      </c>
      <c r="AS51" s="3">
        <v>0</v>
      </c>
      <c r="AT51" s="3">
        <v>91</v>
      </c>
      <c r="AU51" s="3">
        <v>48</v>
      </c>
      <c r="AV51" s="3">
        <v>1.0469999999999999</v>
      </c>
      <c r="AW51" s="3">
        <v>1</v>
      </c>
      <c r="AZ51" s="3">
        <v>1</v>
      </c>
      <c r="BA51" s="3">
        <v>56.35</v>
      </c>
      <c r="BB51" s="3">
        <v>1</v>
      </c>
      <c r="BC51" s="3">
        <v>1</v>
      </c>
      <c r="BD51" s="3" t="s">
        <v>3</v>
      </c>
      <c r="BE51" s="3" t="s">
        <v>3</v>
      </c>
      <c r="BF51" s="3" t="s">
        <v>3</v>
      </c>
      <c r="BG51" s="3" t="s">
        <v>3</v>
      </c>
      <c r="BH51" s="3">
        <v>0</v>
      </c>
      <c r="BI51" s="3">
        <v>1</v>
      </c>
      <c r="BJ51" s="3" t="s">
        <v>77</v>
      </c>
      <c r="BM51" s="3">
        <v>106</v>
      </c>
      <c r="BN51" s="3">
        <v>0</v>
      </c>
      <c r="BO51" s="3" t="s">
        <v>75</v>
      </c>
      <c r="BP51" s="3">
        <v>1</v>
      </c>
      <c r="BQ51" s="3">
        <v>60</v>
      </c>
      <c r="BR51" s="3">
        <v>0</v>
      </c>
      <c r="BS51" s="3">
        <v>56.35</v>
      </c>
      <c r="BT51" s="3">
        <v>1</v>
      </c>
      <c r="BU51" s="3">
        <v>1</v>
      </c>
      <c r="BV51" s="3">
        <v>1</v>
      </c>
      <c r="BW51" s="3">
        <v>1</v>
      </c>
      <c r="BX51" s="3">
        <v>1</v>
      </c>
      <c r="BY51" s="3" t="s">
        <v>3</v>
      </c>
      <c r="BZ51" s="3">
        <v>91</v>
      </c>
      <c r="CA51" s="3">
        <v>48</v>
      </c>
      <c r="CB51" s="3" t="s">
        <v>3</v>
      </c>
      <c r="CE51" s="3">
        <v>1566</v>
      </c>
      <c r="CF51" s="3">
        <v>0</v>
      </c>
      <c r="CG51" s="3">
        <v>0</v>
      </c>
      <c r="CM51" s="3">
        <v>0</v>
      </c>
      <c r="CN51" s="3" t="s">
        <v>422</v>
      </c>
      <c r="CO51" s="3">
        <v>0</v>
      </c>
      <c r="CP51" s="3">
        <f t="shared" si="41"/>
        <v>82298.05</v>
      </c>
      <c r="CQ51" s="3">
        <f t="shared" si="42"/>
        <v>0</v>
      </c>
      <c r="CR51" s="3">
        <f>(ROUND((ROUND((((ET51*1.2))*AV51*1),2)*BB51),2)+ROUND((ROUND(((AE51-((EU51*1.2)))*AV51*1),2)*BS51),2))</f>
        <v>0</v>
      </c>
      <c r="CS51" s="3">
        <f>(ROUND((ROUND((((EU51*1.2))*AV51*1),2)*BS51),2)+ROUND((ROUND(((AE51-((EU51*1.2)))*AV51*1),2)*BS51),2))</f>
        <v>0</v>
      </c>
      <c r="CT51" s="3">
        <f t="shared" si="45"/>
        <v>22671.86</v>
      </c>
      <c r="CU51" s="3">
        <f t="shared" si="46"/>
        <v>0</v>
      </c>
      <c r="CV51" s="3">
        <f t="shared" si="47"/>
        <v>38.244815999999993</v>
      </c>
      <c r="CW51" s="3">
        <f t="shared" si="48"/>
        <v>0</v>
      </c>
      <c r="CX51" s="3">
        <f t="shared" si="49"/>
        <v>0</v>
      </c>
      <c r="CY51" s="3">
        <f>(ROUND((((S51+ROUND((ROUND((((EU51*1.2))*AV51*1),2)*BS51),2))*AT51)/100),2)+ROUND(((ROUND((ROUND(((AE51-((EU51*1.2)))*AV51*1),2)*BS51),2)*AT51)/100),2))</f>
        <v>74891.23</v>
      </c>
      <c r="CZ51" s="3">
        <f>(ROUND((((S51+ROUND((ROUND((((EU51*1.2))*AV51*1),2)*BS51),2))*AU51)/100),2)+ROUND(((ROUND((ROUND(((AE51-((EU51*1.2)))*AV51*1),2)*BS51),2)*AU51)/100),2))</f>
        <v>39503.06</v>
      </c>
      <c r="DB51" s="3">
        <v>42</v>
      </c>
      <c r="DC51" s="3" t="s">
        <v>3</v>
      </c>
      <c r="DD51" s="3" t="s">
        <v>62</v>
      </c>
      <c r="DE51" s="3" t="s">
        <v>63</v>
      </c>
      <c r="DF51" s="3" t="s">
        <v>63</v>
      </c>
      <c r="DG51" s="3" t="s">
        <v>63</v>
      </c>
      <c r="DH51" s="3" t="s">
        <v>3</v>
      </c>
      <c r="DI51" s="3" t="s">
        <v>63</v>
      </c>
      <c r="DJ51" s="3" t="s">
        <v>63</v>
      </c>
      <c r="DK51" s="3" t="s">
        <v>3</v>
      </c>
      <c r="DL51" s="3" t="s">
        <v>3</v>
      </c>
      <c r="DM51" s="3" t="s">
        <v>3</v>
      </c>
      <c r="DN51" s="3">
        <v>0</v>
      </c>
      <c r="DO51" s="3">
        <v>0</v>
      </c>
      <c r="DP51" s="3">
        <v>1</v>
      </c>
      <c r="DQ51" s="3">
        <v>1</v>
      </c>
      <c r="DU51" s="3">
        <v>1003</v>
      </c>
      <c r="DV51" s="3" t="s">
        <v>60</v>
      </c>
      <c r="DW51" s="3" t="s">
        <v>60</v>
      </c>
      <c r="DX51" s="3">
        <v>100</v>
      </c>
      <c r="DZ51" s="3" t="s">
        <v>3</v>
      </c>
      <c r="EA51" s="3" t="s">
        <v>3</v>
      </c>
      <c r="EB51" s="3" t="s">
        <v>3</v>
      </c>
      <c r="EC51" s="3" t="s">
        <v>3</v>
      </c>
      <c r="EE51" s="3">
        <v>55393738</v>
      </c>
      <c r="EF51" s="3">
        <v>60</v>
      </c>
      <c r="EG51" s="3" t="s">
        <v>64</v>
      </c>
      <c r="EH51" s="3">
        <v>0</v>
      </c>
      <c r="EI51" s="3" t="s">
        <v>3</v>
      </c>
      <c r="EJ51" s="3">
        <v>1</v>
      </c>
      <c r="EK51" s="3">
        <v>106</v>
      </c>
      <c r="EL51" s="3" t="s">
        <v>65</v>
      </c>
      <c r="EM51" s="3" t="s">
        <v>66</v>
      </c>
      <c r="EO51" s="3" t="s">
        <v>67</v>
      </c>
      <c r="EQ51" s="3">
        <v>1024</v>
      </c>
      <c r="ER51" s="3">
        <v>320.23</v>
      </c>
      <c r="ES51" s="3">
        <v>0</v>
      </c>
      <c r="ET51" s="3">
        <v>0</v>
      </c>
      <c r="EU51" s="3">
        <v>0</v>
      </c>
      <c r="EV51" s="3">
        <v>320.23</v>
      </c>
      <c r="EW51" s="3">
        <v>30.44</v>
      </c>
      <c r="EX51" s="3">
        <v>0</v>
      </c>
      <c r="EY51" s="3">
        <v>0</v>
      </c>
      <c r="FQ51" s="3">
        <v>0</v>
      </c>
      <c r="FR51" s="3">
        <v>0</v>
      </c>
      <c r="FS51" s="3">
        <v>0</v>
      </c>
      <c r="FX51" s="3">
        <v>91</v>
      </c>
      <c r="FY51" s="3">
        <v>48</v>
      </c>
      <c r="GA51" s="3" t="s">
        <v>3</v>
      </c>
      <c r="GD51" s="3">
        <v>1</v>
      </c>
      <c r="GF51" s="3">
        <v>-1527708470</v>
      </c>
      <c r="GG51" s="3">
        <v>2</v>
      </c>
      <c r="GH51" s="3">
        <v>1</v>
      </c>
      <c r="GI51" s="3">
        <v>2</v>
      </c>
      <c r="GJ51" s="3">
        <v>0</v>
      </c>
      <c r="GK51" s="3">
        <v>0</v>
      </c>
      <c r="GL51" s="3">
        <f t="shared" si="52"/>
        <v>0</v>
      </c>
      <c r="GM51" s="3">
        <f t="shared" si="53"/>
        <v>196692.34</v>
      </c>
      <c r="GN51" s="3">
        <f t="shared" si="54"/>
        <v>196692.34</v>
      </c>
      <c r="GO51" s="3">
        <f t="shared" si="55"/>
        <v>0</v>
      </c>
      <c r="GP51" s="3">
        <f t="shared" si="56"/>
        <v>0</v>
      </c>
      <c r="GR51" s="3">
        <v>0</v>
      </c>
      <c r="GS51" s="3">
        <v>3</v>
      </c>
      <c r="GT51" s="3">
        <v>0</v>
      </c>
      <c r="GU51" s="3" t="s">
        <v>3</v>
      </c>
      <c r="GV51" s="3">
        <f t="shared" si="57"/>
        <v>0</v>
      </c>
      <c r="GW51" s="3">
        <v>1</v>
      </c>
      <c r="GX51" s="3">
        <f t="shared" si="58"/>
        <v>0</v>
      </c>
      <c r="HA51" s="3">
        <v>0</v>
      </c>
      <c r="HB51" s="3">
        <v>0</v>
      </c>
      <c r="HC51" s="3">
        <f t="shared" si="59"/>
        <v>0</v>
      </c>
      <c r="HE51" s="3" t="s">
        <v>3</v>
      </c>
      <c r="HF51" s="3" t="s">
        <v>3</v>
      </c>
      <c r="HM51" s="3" t="s">
        <v>3</v>
      </c>
      <c r="HN51" s="3" t="s">
        <v>3</v>
      </c>
      <c r="HO51" s="3" t="s">
        <v>3</v>
      </c>
      <c r="HP51" s="3" t="s">
        <v>3</v>
      </c>
      <c r="HQ51" s="3" t="s">
        <v>3</v>
      </c>
      <c r="HS51" s="3">
        <v>0</v>
      </c>
      <c r="IK51" s="3">
        <v>0</v>
      </c>
    </row>
    <row r="52" spans="1:255" x14ac:dyDescent="0.25">
      <c r="A52" s="2">
        <v>17</v>
      </c>
      <c r="B52" s="2">
        <v>1</v>
      </c>
      <c r="C52" s="2">
        <f>ROW(SmtRes!A93)</f>
        <v>93</v>
      </c>
      <c r="D52" s="2">
        <f>ROW(EtalonRes!A115)</f>
        <v>115</v>
      </c>
      <c r="E52" s="2" t="s">
        <v>78</v>
      </c>
      <c r="F52" s="2" t="s">
        <v>79</v>
      </c>
      <c r="G52" s="2" t="s">
        <v>80</v>
      </c>
      <c r="H52" s="2" t="s">
        <v>33</v>
      </c>
      <c r="I52" s="2">
        <v>27</v>
      </c>
      <c r="J52" s="2">
        <v>0</v>
      </c>
      <c r="K52" s="2">
        <v>27</v>
      </c>
      <c r="L52" s="2"/>
      <c r="M52" s="2"/>
      <c r="N52" s="2"/>
      <c r="O52" s="2">
        <f t="shared" si="21"/>
        <v>346.02</v>
      </c>
      <c r="P52" s="2">
        <f t="shared" si="22"/>
        <v>0</v>
      </c>
      <c r="Q52" s="2">
        <f>(ROUND((ROUND(((((ET52*1.2)*0.3))*AV52*I52),2)*BB52),2)+ROUND((ROUND(((AE52-(((EU52*1.2)*0.3)))*AV52*I52),2)*BS52),2))</f>
        <v>286.89</v>
      </c>
      <c r="R52" s="2">
        <f>(ROUND((ROUND(((((EU52*1.2)*0.3))*AV52*I52),2)*BS52),2)+ROUND((ROUND(((AE52-(((EU52*1.2)*0.3)))*AV52*I52),2)*BS52),2))</f>
        <v>32.159999999999997</v>
      </c>
      <c r="S52" s="2">
        <f t="shared" si="25"/>
        <v>59.13</v>
      </c>
      <c r="T52" s="2">
        <f t="shared" si="26"/>
        <v>0</v>
      </c>
      <c r="U52" s="2">
        <f t="shared" si="27"/>
        <v>5.2919567999999995</v>
      </c>
      <c r="V52" s="2">
        <f t="shared" si="28"/>
        <v>0</v>
      </c>
      <c r="W52" s="2">
        <f t="shared" si="29"/>
        <v>0</v>
      </c>
      <c r="X52" s="2">
        <f>(ROUND((((S52+ROUND((ROUND(((((EU52*1.2)*0.3))*AV52*I52),2)*BS52),2))*AT52)/100),2)+ROUND(((ROUND((ROUND(((AE52-(((EU52*1.2)*0.3)))*AV52*I52),2)*BS52),2)*AT52)/100),2))</f>
        <v>82.16</v>
      </c>
      <c r="Y52" s="2">
        <f>(ROUND((((S52+ROUND((ROUND(((((EU52*1.2)*0.3))*AV52*I52),2)*BS52),2))*AU52)/100),2)+ROUND(((ROUND((ROUND(((AE52-(((EU52*1.2)*0.3)))*AV52*I52),2)*BS52),2)*AU52)/100),2))</f>
        <v>41.99</v>
      </c>
      <c r="Z52" s="2"/>
      <c r="AA52" s="2">
        <v>55936046</v>
      </c>
      <c r="AB52" s="2">
        <f t="shared" si="32"/>
        <v>12.24</v>
      </c>
      <c r="AC52" s="2">
        <f>ROUND((((ES52*1)*0)),6)</f>
        <v>0</v>
      </c>
      <c r="AD52" s="2">
        <f>ROUND((((((ET52*1.2)*0.3))-(((EU52*1.2)*0.3)))+AE52),6)</f>
        <v>10.148400000000001</v>
      </c>
      <c r="AE52" s="2">
        <f>ROUND((((EU52*1.2)*0.3)),6)</f>
        <v>1.1375999999999999</v>
      </c>
      <c r="AF52" s="2">
        <f>ROUND((((EV52*1.2)*0.3)),6)</f>
        <v>2.0916000000000001</v>
      </c>
      <c r="AG52" s="2">
        <f t="shared" si="37"/>
        <v>0</v>
      </c>
      <c r="AH52" s="2">
        <f>(((EW52*1.2)*0.3))</f>
        <v>0.18720000000000001</v>
      </c>
      <c r="AI52" s="2">
        <f>(((EX52*1.2)*0.3))</f>
        <v>0</v>
      </c>
      <c r="AJ52" s="2">
        <f t="shared" si="40"/>
        <v>0</v>
      </c>
      <c r="AK52" s="2">
        <v>34</v>
      </c>
      <c r="AL52" s="2">
        <v>0</v>
      </c>
      <c r="AM52" s="2">
        <v>28.19</v>
      </c>
      <c r="AN52" s="2">
        <v>3.16</v>
      </c>
      <c r="AO52" s="2">
        <v>5.81</v>
      </c>
      <c r="AP52" s="2">
        <v>0</v>
      </c>
      <c r="AQ52" s="2">
        <v>0.52</v>
      </c>
      <c r="AR52" s="2">
        <v>0</v>
      </c>
      <c r="AS52" s="2">
        <v>0</v>
      </c>
      <c r="AT52" s="2">
        <v>90</v>
      </c>
      <c r="AU52" s="2">
        <v>46</v>
      </c>
      <c r="AV52" s="2">
        <v>1.0469999999999999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0</v>
      </c>
      <c r="BI52" s="2">
        <v>2</v>
      </c>
      <c r="BJ52" s="2" t="s">
        <v>81</v>
      </c>
      <c r="BK52" s="2"/>
      <c r="BL52" s="2"/>
      <c r="BM52" s="2">
        <v>72</v>
      </c>
      <c r="BN52" s="2">
        <v>0</v>
      </c>
      <c r="BO52" s="2" t="s">
        <v>79</v>
      </c>
      <c r="BP52" s="2">
        <v>1</v>
      </c>
      <c r="BQ52" s="2">
        <v>40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90</v>
      </c>
      <c r="CA52" s="2">
        <v>46</v>
      </c>
      <c r="CB52" s="2" t="s">
        <v>3</v>
      </c>
      <c r="CC52" s="2"/>
      <c r="CD52" s="2"/>
      <c r="CE52" s="2">
        <v>1566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421</v>
      </c>
      <c r="CO52" s="2">
        <v>0</v>
      </c>
      <c r="CP52" s="2">
        <f t="shared" si="41"/>
        <v>346.02</v>
      </c>
      <c r="CQ52" s="2">
        <f t="shared" si="42"/>
        <v>0</v>
      </c>
      <c r="CR52" s="2">
        <f>(ROUND((ROUND(((((ET52*1.2)*0.3))*AV52*1),2)*BB52),2)+ROUND((ROUND(((AE52-(((EU52*1.2)*0.3)))*AV52*1),2)*BS52),2))</f>
        <v>10.63</v>
      </c>
      <c r="CS52" s="2">
        <f>(ROUND((ROUND(((((EU52*1.2)*0.3))*AV52*1),2)*BS52),2)+ROUND((ROUND(((AE52-(((EU52*1.2)*0.3)))*AV52*1),2)*BS52),2))</f>
        <v>1.19</v>
      </c>
      <c r="CT52" s="2">
        <f t="shared" si="45"/>
        <v>2.19</v>
      </c>
      <c r="CU52" s="2">
        <f t="shared" si="46"/>
        <v>0</v>
      </c>
      <c r="CV52" s="2">
        <f t="shared" si="47"/>
        <v>0.19599839999999999</v>
      </c>
      <c r="CW52" s="2">
        <f t="shared" si="48"/>
        <v>0</v>
      </c>
      <c r="CX52" s="2">
        <f t="shared" si="49"/>
        <v>0</v>
      </c>
      <c r="CY52" s="2">
        <f>(ROUND((((S52+ROUND((ROUND(((((EU52*1.2)*0.3))*AV52*1),2)*BS52),2))*AT52)/100),2)+ROUND(((ROUND((ROUND(((AE52-(((EU52*1.2)*0.3)))*AV52*1),2)*BS52),2)*AT52)/100),2))</f>
        <v>54.29</v>
      </c>
      <c r="CZ52" s="2">
        <f>(ROUND((((S52+ROUND((ROUND(((((EU52*1.2)*0.3))*AV52*1),2)*BS52),2))*AU52)/100),2)+ROUND(((ROUND((ROUND(((AE52-(((EU52*1.2)*0.3)))*AV52*1),2)*BS52),2)*AU52)/100),2))</f>
        <v>27.75</v>
      </c>
      <c r="DA52" s="2"/>
      <c r="DB52" s="2">
        <v>43</v>
      </c>
      <c r="DC52" s="2" t="s">
        <v>3</v>
      </c>
      <c r="DD52" s="2" t="s">
        <v>24</v>
      </c>
      <c r="DE52" s="2" t="s">
        <v>25</v>
      </c>
      <c r="DF52" s="2" t="s">
        <v>25</v>
      </c>
      <c r="DG52" s="2" t="s">
        <v>25</v>
      </c>
      <c r="DH52" s="2" t="s">
        <v>3</v>
      </c>
      <c r="DI52" s="2" t="s">
        <v>25</v>
      </c>
      <c r="DJ52" s="2" t="s">
        <v>25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1013</v>
      </c>
      <c r="DV52" s="2" t="s">
        <v>33</v>
      </c>
      <c r="DW52" s="2" t="s">
        <v>33</v>
      </c>
      <c r="DX52" s="2">
        <v>1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55393704</v>
      </c>
      <c r="EF52" s="2">
        <v>40</v>
      </c>
      <c r="EG52" s="2" t="s">
        <v>26</v>
      </c>
      <c r="EH52" s="2">
        <v>0</v>
      </c>
      <c r="EI52" s="2" t="s">
        <v>3</v>
      </c>
      <c r="EJ52" s="2">
        <v>2</v>
      </c>
      <c r="EK52" s="2">
        <v>72</v>
      </c>
      <c r="EL52" s="2" t="s">
        <v>82</v>
      </c>
      <c r="EM52" s="2" t="s">
        <v>83</v>
      </c>
      <c r="EN52" s="2"/>
      <c r="EO52" s="2" t="s">
        <v>29</v>
      </c>
      <c r="EP52" s="2"/>
      <c r="EQ52" s="2">
        <v>0</v>
      </c>
      <c r="ER52" s="2">
        <v>34</v>
      </c>
      <c r="ES52" s="2">
        <v>0</v>
      </c>
      <c r="ET52" s="2">
        <v>28.19</v>
      </c>
      <c r="EU52" s="2">
        <v>3.16</v>
      </c>
      <c r="EV52" s="2">
        <v>5.81</v>
      </c>
      <c r="EW52" s="2">
        <v>0.52</v>
      </c>
      <c r="EX52" s="2">
        <v>0</v>
      </c>
      <c r="EY52" s="2">
        <v>0</v>
      </c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v>0</v>
      </c>
      <c r="FS52" s="2">
        <v>0</v>
      </c>
      <c r="FT52" s="2"/>
      <c r="FU52" s="2"/>
      <c r="FV52" s="2"/>
      <c r="FW52" s="2"/>
      <c r="FX52" s="2">
        <v>90</v>
      </c>
      <c r="FY52" s="2">
        <v>46</v>
      </c>
      <c r="FZ52" s="2"/>
      <c r="GA52" s="2" t="s">
        <v>3</v>
      </c>
      <c r="GB52" s="2"/>
      <c r="GC52" s="2"/>
      <c r="GD52" s="2">
        <v>1</v>
      </c>
      <c r="GE52" s="2"/>
      <c r="GF52" s="2">
        <v>-355621181</v>
      </c>
      <c r="GG52" s="2">
        <v>2</v>
      </c>
      <c r="GH52" s="2">
        <v>1</v>
      </c>
      <c r="GI52" s="2">
        <v>2</v>
      </c>
      <c r="GJ52" s="2">
        <v>0</v>
      </c>
      <c r="GK52" s="2">
        <v>0</v>
      </c>
      <c r="GL52" s="2">
        <f t="shared" si="52"/>
        <v>0</v>
      </c>
      <c r="GM52" s="2">
        <f t="shared" si="53"/>
        <v>470.17</v>
      </c>
      <c r="GN52" s="2">
        <f t="shared" si="54"/>
        <v>0</v>
      </c>
      <c r="GO52" s="2">
        <f t="shared" si="55"/>
        <v>470.17</v>
      </c>
      <c r="GP52" s="2">
        <f t="shared" si="56"/>
        <v>0</v>
      </c>
      <c r="GQ52" s="2"/>
      <c r="GR52" s="2">
        <v>0</v>
      </c>
      <c r="GS52" s="2">
        <v>3</v>
      </c>
      <c r="GT52" s="2">
        <v>0</v>
      </c>
      <c r="GU52" s="2" t="s">
        <v>3</v>
      </c>
      <c r="GV52" s="2">
        <f t="shared" si="57"/>
        <v>0</v>
      </c>
      <c r="GW52" s="2">
        <v>1</v>
      </c>
      <c r="GX52" s="2">
        <f t="shared" si="58"/>
        <v>0</v>
      </c>
      <c r="GY52" s="2"/>
      <c r="GZ52" s="2"/>
      <c r="HA52" s="2">
        <v>0</v>
      </c>
      <c r="HB52" s="2">
        <v>0</v>
      </c>
      <c r="HC52" s="2">
        <f t="shared" si="59"/>
        <v>0</v>
      </c>
      <c r="HD52" s="2"/>
      <c r="HE52" s="2" t="s">
        <v>3</v>
      </c>
      <c r="HF52" s="2" t="s">
        <v>3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5">
      <c r="A53" s="3">
        <v>17</v>
      </c>
      <c r="B53" s="3">
        <v>1</v>
      </c>
      <c r="C53" s="3">
        <f>ROW(SmtRes!A96)</f>
        <v>96</v>
      </c>
      <c r="D53" s="3">
        <f>ROW(EtalonRes!A120)</f>
        <v>120</v>
      </c>
      <c r="E53" s="3" t="s">
        <v>78</v>
      </c>
      <c r="F53" s="3" t="s">
        <v>79</v>
      </c>
      <c r="G53" s="3" t="s">
        <v>80</v>
      </c>
      <c r="H53" s="3" t="s">
        <v>33</v>
      </c>
      <c r="I53" s="3">
        <v>27</v>
      </c>
      <c r="J53" s="3">
        <v>0</v>
      </c>
      <c r="K53" s="3">
        <v>27</v>
      </c>
      <c r="O53" s="3">
        <f t="shared" si="21"/>
        <v>7787.38</v>
      </c>
      <c r="P53" s="3">
        <f t="shared" si="22"/>
        <v>0</v>
      </c>
      <c r="Q53" s="3">
        <f>(ROUND((ROUND(((((ET53*1.2)*0.3))*AV53*I53),2)*BB53),2)+ROUND((ROUND(((AE53-(((EU53*1.2)*0.3)))*AV53*I53),2)*BS53),2))</f>
        <v>4455.3999999999996</v>
      </c>
      <c r="R53" s="3">
        <f>(ROUND((ROUND(((((EU53*1.2)*0.3))*AV53*I53),2)*BS53),2)+ROUND((ROUND(((AE53-(((EU53*1.2)*0.3)))*AV53*I53),2)*BS53),2))</f>
        <v>1812.22</v>
      </c>
      <c r="S53" s="3">
        <f t="shared" si="25"/>
        <v>3331.98</v>
      </c>
      <c r="T53" s="3">
        <f t="shared" si="26"/>
        <v>0</v>
      </c>
      <c r="U53" s="3">
        <f t="shared" si="27"/>
        <v>5.2919567999999995</v>
      </c>
      <c r="V53" s="3">
        <f t="shared" si="28"/>
        <v>0</v>
      </c>
      <c r="W53" s="3">
        <f t="shared" si="29"/>
        <v>0</v>
      </c>
      <c r="X53" s="3">
        <f>(ROUND((((S53+ROUND((ROUND(((((EU53*1.2)*0.3))*AV53*I53),2)*BS53),2))*AT53)/100),2)+ROUND(((ROUND((ROUND(((AE53-(((EU53*1.2)*0.3)))*AV53*I53),2)*BS53),2)*AT53)/100),2))</f>
        <v>4629.78</v>
      </c>
      <c r="Y53" s="3">
        <f>(ROUND((((S53+ROUND((ROUND(((((EU53*1.2)*0.3))*AV53*I53),2)*BS53),2))*AU53)/100),2)+ROUND(((ROUND((ROUND(((AE53-(((EU53*1.2)*0.3)))*AV53*I53),2)*BS53),2)*AU53)/100),2))</f>
        <v>2366.33</v>
      </c>
      <c r="AA53" s="3">
        <v>55936048</v>
      </c>
      <c r="AB53" s="3">
        <f t="shared" si="32"/>
        <v>12.24</v>
      </c>
      <c r="AC53" s="3">
        <f>ROUND((((ES53*1)*0)),6)</f>
        <v>0</v>
      </c>
      <c r="AD53" s="3">
        <f>ROUND((((((ET53*1.2)*0.3))-(((EU53*1.2)*0.3)))+AE53),6)</f>
        <v>10.148400000000001</v>
      </c>
      <c r="AE53" s="3">
        <f>ROUND((((EU53*1.2)*0.3)),6)</f>
        <v>1.1375999999999999</v>
      </c>
      <c r="AF53" s="3">
        <f>ROUND((((EV53*1.2)*0.3)),6)</f>
        <v>2.0916000000000001</v>
      </c>
      <c r="AG53" s="3">
        <f t="shared" si="37"/>
        <v>0</v>
      </c>
      <c r="AH53" s="3">
        <f>(((EW53*1.2)*0.3))</f>
        <v>0.18720000000000001</v>
      </c>
      <c r="AI53" s="3">
        <f>(((EX53*1.2)*0.3))</f>
        <v>0</v>
      </c>
      <c r="AJ53" s="3">
        <f t="shared" si="40"/>
        <v>0</v>
      </c>
      <c r="AK53" s="3">
        <v>34</v>
      </c>
      <c r="AL53" s="3">
        <v>0</v>
      </c>
      <c r="AM53" s="3">
        <v>28.19</v>
      </c>
      <c r="AN53" s="3">
        <v>3.16</v>
      </c>
      <c r="AO53" s="3">
        <v>5.81</v>
      </c>
      <c r="AP53" s="3">
        <v>0</v>
      </c>
      <c r="AQ53" s="3">
        <v>0.52</v>
      </c>
      <c r="AR53" s="3">
        <v>0</v>
      </c>
      <c r="AS53" s="3">
        <v>0</v>
      </c>
      <c r="AT53" s="3">
        <v>90</v>
      </c>
      <c r="AU53" s="3">
        <v>46</v>
      </c>
      <c r="AV53" s="3">
        <v>1.0469999999999999</v>
      </c>
      <c r="AW53" s="3">
        <v>1</v>
      </c>
      <c r="AZ53" s="3">
        <v>1</v>
      </c>
      <c r="BA53" s="3">
        <v>56.35</v>
      </c>
      <c r="BB53" s="3">
        <v>15.53</v>
      </c>
      <c r="BC53" s="3">
        <v>1</v>
      </c>
      <c r="BD53" s="3" t="s">
        <v>3</v>
      </c>
      <c r="BE53" s="3" t="s">
        <v>3</v>
      </c>
      <c r="BF53" s="3" t="s">
        <v>3</v>
      </c>
      <c r="BG53" s="3" t="s">
        <v>3</v>
      </c>
      <c r="BH53" s="3">
        <v>0</v>
      </c>
      <c r="BI53" s="3">
        <v>2</v>
      </c>
      <c r="BJ53" s="3" t="s">
        <v>81</v>
      </c>
      <c r="BM53" s="3">
        <v>72</v>
      </c>
      <c r="BN53" s="3">
        <v>0</v>
      </c>
      <c r="BO53" s="3" t="s">
        <v>79</v>
      </c>
      <c r="BP53" s="3">
        <v>1</v>
      </c>
      <c r="BQ53" s="3">
        <v>40</v>
      </c>
      <c r="BR53" s="3">
        <v>0</v>
      </c>
      <c r="BS53" s="3">
        <v>56.35</v>
      </c>
      <c r="BT53" s="3">
        <v>1</v>
      </c>
      <c r="BU53" s="3">
        <v>1</v>
      </c>
      <c r="BV53" s="3">
        <v>1</v>
      </c>
      <c r="BW53" s="3">
        <v>1</v>
      </c>
      <c r="BX53" s="3">
        <v>1</v>
      </c>
      <c r="BY53" s="3" t="s">
        <v>3</v>
      </c>
      <c r="BZ53" s="3">
        <v>90</v>
      </c>
      <c r="CA53" s="3">
        <v>46</v>
      </c>
      <c r="CB53" s="3" t="s">
        <v>3</v>
      </c>
      <c r="CE53" s="3">
        <v>1566</v>
      </c>
      <c r="CF53" s="3">
        <v>0</v>
      </c>
      <c r="CG53" s="3">
        <v>0</v>
      </c>
      <c r="CM53" s="3">
        <v>0</v>
      </c>
      <c r="CN53" s="3" t="s">
        <v>421</v>
      </c>
      <c r="CO53" s="3">
        <v>0</v>
      </c>
      <c r="CP53" s="3">
        <f t="shared" si="41"/>
        <v>7787.3799999999992</v>
      </c>
      <c r="CQ53" s="3">
        <f t="shared" si="42"/>
        <v>0</v>
      </c>
      <c r="CR53" s="3">
        <f>(ROUND((ROUND(((((ET53*1.2)*0.3))*AV53*1),2)*BB53),2)+ROUND((ROUND(((AE53-(((EU53*1.2)*0.3)))*AV53*1),2)*BS53),2))</f>
        <v>165.08</v>
      </c>
      <c r="CS53" s="3">
        <f>(ROUND((ROUND(((((EU53*1.2)*0.3))*AV53*1),2)*BS53),2)+ROUND((ROUND(((AE53-(((EU53*1.2)*0.3)))*AV53*1),2)*BS53),2))</f>
        <v>67.06</v>
      </c>
      <c r="CT53" s="3">
        <f t="shared" si="45"/>
        <v>123.41</v>
      </c>
      <c r="CU53" s="3">
        <f t="shared" si="46"/>
        <v>0</v>
      </c>
      <c r="CV53" s="3">
        <f t="shared" si="47"/>
        <v>0.19599839999999999</v>
      </c>
      <c r="CW53" s="3">
        <f t="shared" si="48"/>
        <v>0</v>
      </c>
      <c r="CX53" s="3">
        <f t="shared" si="49"/>
        <v>0</v>
      </c>
      <c r="CY53" s="3">
        <f>(ROUND((((S53+ROUND((ROUND(((((EU53*1.2)*0.3))*AV53*1),2)*BS53),2))*AT53)/100),2)+ROUND(((ROUND((ROUND(((AE53-(((EU53*1.2)*0.3)))*AV53*1),2)*BS53),2)*AT53)/100),2))</f>
        <v>3059.14</v>
      </c>
      <c r="CZ53" s="3">
        <f>(ROUND((((S53+ROUND((ROUND(((((EU53*1.2)*0.3))*AV53*1),2)*BS53),2))*AU53)/100),2)+ROUND(((ROUND((ROUND(((AE53-(((EU53*1.2)*0.3)))*AV53*1),2)*BS53),2)*AU53)/100),2))</f>
        <v>1563.56</v>
      </c>
      <c r="DB53" s="3">
        <v>45</v>
      </c>
      <c r="DC53" s="3" t="s">
        <v>3</v>
      </c>
      <c r="DD53" s="3" t="s">
        <v>24</v>
      </c>
      <c r="DE53" s="3" t="s">
        <v>25</v>
      </c>
      <c r="DF53" s="3" t="s">
        <v>25</v>
      </c>
      <c r="DG53" s="3" t="s">
        <v>25</v>
      </c>
      <c r="DH53" s="3" t="s">
        <v>3</v>
      </c>
      <c r="DI53" s="3" t="s">
        <v>25</v>
      </c>
      <c r="DJ53" s="3" t="s">
        <v>25</v>
      </c>
      <c r="DK53" s="3" t="s">
        <v>3</v>
      </c>
      <c r="DL53" s="3" t="s">
        <v>3</v>
      </c>
      <c r="DM53" s="3" t="s">
        <v>3</v>
      </c>
      <c r="DN53" s="3">
        <v>0</v>
      </c>
      <c r="DO53" s="3">
        <v>0</v>
      </c>
      <c r="DP53" s="3">
        <v>1</v>
      </c>
      <c r="DQ53" s="3">
        <v>1</v>
      </c>
      <c r="DU53" s="3">
        <v>1013</v>
      </c>
      <c r="DV53" s="3" t="s">
        <v>33</v>
      </c>
      <c r="DW53" s="3" t="s">
        <v>33</v>
      </c>
      <c r="DX53" s="3">
        <v>1</v>
      </c>
      <c r="DZ53" s="3" t="s">
        <v>3</v>
      </c>
      <c r="EA53" s="3" t="s">
        <v>3</v>
      </c>
      <c r="EB53" s="3" t="s">
        <v>3</v>
      </c>
      <c r="EC53" s="3" t="s">
        <v>3</v>
      </c>
      <c r="EE53" s="3">
        <v>55393704</v>
      </c>
      <c r="EF53" s="3">
        <v>40</v>
      </c>
      <c r="EG53" s="3" t="s">
        <v>26</v>
      </c>
      <c r="EH53" s="3">
        <v>0</v>
      </c>
      <c r="EI53" s="3" t="s">
        <v>3</v>
      </c>
      <c r="EJ53" s="3">
        <v>2</v>
      </c>
      <c r="EK53" s="3">
        <v>72</v>
      </c>
      <c r="EL53" s="3" t="s">
        <v>82</v>
      </c>
      <c r="EM53" s="3" t="s">
        <v>83</v>
      </c>
      <c r="EO53" s="3" t="s">
        <v>29</v>
      </c>
      <c r="EQ53" s="3">
        <v>0</v>
      </c>
      <c r="ER53" s="3">
        <v>34</v>
      </c>
      <c r="ES53" s="3">
        <v>0</v>
      </c>
      <c r="ET53" s="3">
        <v>28.19</v>
      </c>
      <c r="EU53" s="3">
        <v>3.16</v>
      </c>
      <c r="EV53" s="3">
        <v>5.81</v>
      </c>
      <c r="EW53" s="3">
        <v>0.52</v>
      </c>
      <c r="EX53" s="3">
        <v>0</v>
      </c>
      <c r="EY53" s="3">
        <v>0</v>
      </c>
      <c r="FQ53" s="3">
        <v>0</v>
      </c>
      <c r="FR53" s="3">
        <v>0</v>
      </c>
      <c r="FS53" s="3">
        <v>0</v>
      </c>
      <c r="FX53" s="3">
        <v>90</v>
      </c>
      <c r="FY53" s="3">
        <v>46</v>
      </c>
      <c r="GA53" s="3" t="s">
        <v>3</v>
      </c>
      <c r="GD53" s="3">
        <v>1</v>
      </c>
      <c r="GF53" s="3">
        <v>-355621181</v>
      </c>
      <c r="GG53" s="3">
        <v>2</v>
      </c>
      <c r="GH53" s="3">
        <v>1</v>
      </c>
      <c r="GI53" s="3">
        <v>2</v>
      </c>
      <c r="GJ53" s="3">
        <v>0</v>
      </c>
      <c r="GK53" s="3">
        <v>0</v>
      </c>
      <c r="GL53" s="3">
        <f t="shared" si="52"/>
        <v>0</v>
      </c>
      <c r="GM53" s="3">
        <f t="shared" si="53"/>
        <v>14783.49</v>
      </c>
      <c r="GN53" s="3">
        <f t="shared" si="54"/>
        <v>0</v>
      </c>
      <c r="GO53" s="3">
        <f t="shared" si="55"/>
        <v>14783.49</v>
      </c>
      <c r="GP53" s="3">
        <f t="shared" si="56"/>
        <v>0</v>
      </c>
      <c r="GR53" s="3">
        <v>0</v>
      </c>
      <c r="GS53" s="3">
        <v>3</v>
      </c>
      <c r="GT53" s="3">
        <v>0</v>
      </c>
      <c r="GU53" s="3" t="s">
        <v>3</v>
      </c>
      <c r="GV53" s="3">
        <f t="shared" si="57"/>
        <v>0</v>
      </c>
      <c r="GW53" s="3">
        <v>1</v>
      </c>
      <c r="GX53" s="3">
        <f t="shared" si="58"/>
        <v>0</v>
      </c>
      <c r="HA53" s="3">
        <v>0</v>
      </c>
      <c r="HB53" s="3">
        <v>0</v>
      </c>
      <c r="HC53" s="3">
        <f t="shared" si="59"/>
        <v>0</v>
      </c>
      <c r="HE53" s="3" t="s">
        <v>3</v>
      </c>
      <c r="HF53" s="3" t="s">
        <v>3</v>
      </c>
      <c r="HM53" s="3" t="s">
        <v>3</v>
      </c>
      <c r="HN53" s="3" t="s">
        <v>3</v>
      </c>
      <c r="HO53" s="3" t="s">
        <v>3</v>
      </c>
      <c r="HP53" s="3" t="s">
        <v>3</v>
      </c>
      <c r="HQ53" s="3" t="s">
        <v>3</v>
      </c>
      <c r="HS53" s="3">
        <v>0</v>
      </c>
      <c r="IK53" s="3">
        <v>0</v>
      </c>
    </row>
    <row r="55" spans="1:255" ht="13" x14ac:dyDescent="0.3">
      <c r="A55" s="11">
        <v>51</v>
      </c>
      <c r="B55" s="11">
        <f>B24</f>
        <v>1</v>
      </c>
      <c r="C55" s="11">
        <f>A24</f>
        <v>4</v>
      </c>
      <c r="D55" s="11">
        <f>ROW(A24)</f>
        <v>24</v>
      </c>
      <c r="E55" s="11"/>
      <c r="F55" s="11" t="str">
        <f>IF(F24&lt;&gt;"",F24,"")</f>
        <v>Новый раздел</v>
      </c>
      <c r="G55" s="11" t="str">
        <f>IF(G24&lt;&gt;"",G24,"")</f>
        <v>Демонтажные работы  (Письмо от АНО «РГТ» об утверждении объёмов демонтажных работ)</v>
      </c>
      <c r="H55" s="11">
        <v>0</v>
      </c>
      <c r="I55" s="11"/>
      <c r="J55" s="11"/>
      <c r="K55" s="11"/>
      <c r="L55" s="11"/>
      <c r="M55" s="11"/>
      <c r="N55" s="11"/>
      <c r="O55" s="11">
        <f t="shared" ref="O55:T55" si="62">ROUND(AB55,2)</f>
        <v>1916.3</v>
      </c>
      <c r="P55" s="11">
        <f t="shared" si="62"/>
        <v>0</v>
      </c>
      <c r="Q55" s="11">
        <f t="shared" si="62"/>
        <v>299.36</v>
      </c>
      <c r="R55" s="11">
        <f t="shared" si="62"/>
        <v>33.43</v>
      </c>
      <c r="S55" s="11">
        <f t="shared" si="62"/>
        <v>1616.94</v>
      </c>
      <c r="T55" s="11">
        <f t="shared" si="62"/>
        <v>0</v>
      </c>
      <c r="U55" s="11">
        <f>AH55</f>
        <v>122.01993467999999</v>
      </c>
      <c r="V55" s="11">
        <f>AI55</f>
        <v>0</v>
      </c>
      <c r="W55" s="11">
        <f>ROUND(AJ55,2)</f>
        <v>0</v>
      </c>
      <c r="X55" s="11">
        <f>ROUND(AK55,2)</f>
        <v>1488.64</v>
      </c>
      <c r="Y55" s="11">
        <f>ROUND(AL55,2)</f>
        <v>764.82</v>
      </c>
      <c r="Z55" s="11"/>
      <c r="AA55" s="11"/>
      <c r="AB55" s="11">
        <f>ROUND(SUMIF(AA28:AA53,"=55936046",O28:O53),2)</f>
        <v>1916.3</v>
      </c>
      <c r="AC55" s="11">
        <f>ROUND(SUMIF(AA28:AA53,"=55936046",P28:P53),2)</f>
        <v>0</v>
      </c>
      <c r="AD55" s="11">
        <f>ROUND(SUMIF(AA28:AA53,"=55936046",Q28:Q53),2)</f>
        <v>299.36</v>
      </c>
      <c r="AE55" s="11">
        <f>ROUND(SUMIF(AA28:AA53,"=55936046",R28:R53),2)</f>
        <v>33.43</v>
      </c>
      <c r="AF55" s="11">
        <f>ROUND(SUMIF(AA28:AA53,"=55936046",S28:S53),2)</f>
        <v>1616.94</v>
      </c>
      <c r="AG55" s="11">
        <f>ROUND(SUMIF(AA28:AA53,"=55936046",T28:T53),2)</f>
        <v>0</v>
      </c>
      <c r="AH55" s="11">
        <f>SUMIF(AA28:AA53,"=55936046",U28:U53)</f>
        <v>122.01993467999999</v>
      </c>
      <c r="AI55" s="11">
        <f>SUMIF(AA28:AA53,"=55936046",V28:V53)</f>
        <v>0</v>
      </c>
      <c r="AJ55" s="11">
        <f>ROUND(SUMIF(AA28:AA53,"=55936046",W28:W53),2)</f>
        <v>0</v>
      </c>
      <c r="AK55" s="11">
        <f>ROUND(SUMIF(AA28:AA53,"=55936046",X28:X53),2)</f>
        <v>1488.64</v>
      </c>
      <c r="AL55" s="11">
        <f>ROUND(SUMIF(AA28:AA53,"=55936046",Y28:Y53),2)</f>
        <v>764.82</v>
      </c>
      <c r="AM55" s="11"/>
      <c r="AN55" s="11"/>
      <c r="AO55" s="11">
        <f t="shared" ref="AO55:BD55" si="63">ROUND(BX55,2)</f>
        <v>0</v>
      </c>
      <c r="AP55" s="11">
        <f t="shared" si="63"/>
        <v>0</v>
      </c>
      <c r="AQ55" s="11">
        <f t="shared" si="63"/>
        <v>0</v>
      </c>
      <c r="AR55" s="11">
        <f t="shared" si="63"/>
        <v>4169.76</v>
      </c>
      <c r="AS55" s="11">
        <f t="shared" si="63"/>
        <v>412.71</v>
      </c>
      <c r="AT55" s="11">
        <f t="shared" si="63"/>
        <v>3757.05</v>
      </c>
      <c r="AU55" s="11">
        <f t="shared" si="63"/>
        <v>0</v>
      </c>
      <c r="AV55" s="11">
        <f t="shared" si="63"/>
        <v>0</v>
      </c>
      <c r="AW55" s="11">
        <f t="shared" si="63"/>
        <v>0</v>
      </c>
      <c r="AX55" s="11">
        <f t="shared" si="63"/>
        <v>0</v>
      </c>
      <c r="AY55" s="11">
        <f t="shared" si="63"/>
        <v>0</v>
      </c>
      <c r="AZ55" s="11">
        <f t="shared" si="63"/>
        <v>0</v>
      </c>
      <c r="BA55" s="11">
        <f t="shared" si="63"/>
        <v>0</v>
      </c>
      <c r="BB55" s="11">
        <f t="shared" si="63"/>
        <v>0</v>
      </c>
      <c r="BC55" s="11">
        <f t="shared" si="63"/>
        <v>0</v>
      </c>
      <c r="BD55" s="11">
        <f t="shared" si="63"/>
        <v>0</v>
      </c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>
        <f>ROUND(SUMIF(AA28:AA53,"=55936046",FQ28:FQ53),2)</f>
        <v>0</v>
      </c>
      <c r="BY55" s="11">
        <f>ROUND(SUMIF(AA28:AA53,"=55936046",FR28:FR53),2)</f>
        <v>0</v>
      </c>
      <c r="BZ55" s="11">
        <f>ROUND(SUMIF(AA28:AA53,"=55936046",GL28:GL53),2)</f>
        <v>0</v>
      </c>
      <c r="CA55" s="11">
        <f>ROUND(SUMIF(AA28:AA53,"=55936046",GM28:GM53),2)</f>
        <v>4169.76</v>
      </c>
      <c r="CB55" s="11">
        <f>ROUND(SUMIF(AA28:AA53,"=55936046",GN28:GN53),2)</f>
        <v>412.71</v>
      </c>
      <c r="CC55" s="11">
        <f>ROUND(SUMIF(AA28:AA53,"=55936046",GO28:GO53),2)</f>
        <v>3757.05</v>
      </c>
      <c r="CD55" s="11">
        <f>ROUND(SUMIF(AA28:AA53,"=55936046",GP28:GP53),2)</f>
        <v>0</v>
      </c>
      <c r="CE55" s="11">
        <f>AC55-BX55</f>
        <v>0</v>
      </c>
      <c r="CF55" s="11">
        <f>AC55-BY55</f>
        <v>0</v>
      </c>
      <c r="CG55" s="11">
        <f>BX55-BZ55</f>
        <v>0</v>
      </c>
      <c r="CH55" s="11">
        <f>AC55-BX55-BY55+BZ55</f>
        <v>0</v>
      </c>
      <c r="CI55" s="11">
        <f>BY55-BZ55</f>
        <v>0</v>
      </c>
      <c r="CJ55" s="11">
        <f>ROUND(SUMIF(AA28:AA53,"=55936046",GX28:GX53),2)</f>
        <v>0</v>
      </c>
      <c r="CK55" s="11">
        <f>ROUND(SUMIF(AA28:AA53,"=55936046",GY28:GY53),2)</f>
        <v>0</v>
      </c>
      <c r="CL55" s="11">
        <f>ROUND(SUMIF(AA28:AA53,"=55936046",GZ28:GZ53),2)</f>
        <v>0</v>
      </c>
      <c r="CM55" s="11">
        <f>ROUND(SUMIF(AA28:AA53,"=55936046",HD28:HD53),2)</f>
        <v>0</v>
      </c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2">
        <f t="shared" ref="DG55:DL55" si="64">ROUND(DT55,2)</f>
        <v>95751.52</v>
      </c>
      <c r="DH55" s="12">
        <f t="shared" si="64"/>
        <v>0</v>
      </c>
      <c r="DI55" s="12">
        <f t="shared" si="64"/>
        <v>4636.95</v>
      </c>
      <c r="DJ55" s="12">
        <f t="shared" si="64"/>
        <v>1883.79</v>
      </c>
      <c r="DK55" s="12">
        <f t="shared" si="64"/>
        <v>91114.57</v>
      </c>
      <c r="DL55" s="12">
        <f t="shared" si="64"/>
        <v>0</v>
      </c>
      <c r="DM55" s="12">
        <f>DZ55</f>
        <v>122.01993467999999</v>
      </c>
      <c r="DN55" s="12">
        <f>EA55</f>
        <v>0</v>
      </c>
      <c r="DO55" s="12">
        <f>ROUND(EB55,2)</f>
        <v>0</v>
      </c>
      <c r="DP55" s="12">
        <f>ROUND(EC55,2)</f>
        <v>83884.22</v>
      </c>
      <c r="DQ55" s="12">
        <f>ROUND(ED55,2)</f>
        <v>43097.599999999999</v>
      </c>
      <c r="DR55" s="12"/>
      <c r="DS55" s="12"/>
      <c r="DT55" s="12">
        <f>ROUND(SUMIF(AA28:AA53,"=55936048",O28:O53),2)</f>
        <v>95751.52</v>
      </c>
      <c r="DU55" s="12">
        <f>ROUND(SUMIF(AA28:AA53,"=55936048",P28:P53),2)</f>
        <v>0</v>
      </c>
      <c r="DV55" s="12">
        <f>ROUND(SUMIF(AA28:AA53,"=55936048",Q28:Q53),2)</f>
        <v>4636.95</v>
      </c>
      <c r="DW55" s="12">
        <f>ROUND(SUMIF(AA28:AA53,"=55936048",R28:R53),2)</f>
        <v>1883.79</v>
      </c>
      <c r="DX55" s="12">
        <f>ROUND(SUMIF(AA28:AA53,"=55936048",S28:S53),2)</f>
        <v>91114.57</v>
      </c>
      <c r="DY55" s="12">
        <f>ROUND(SUMIF(AA28:AA53,"=55936048",T28:T53),2)</f>
        <v>0</v>
      </c>
      <c r="DZ55" s="12">
        <f>SUMIF(AA28:AA53,"=55936048",U28:U53)</f>
        <v>122.01993467999999</v>
      </c>
      <c r="EA55" s="12">
        <f>SUMIF(AA28:AA53,"=55936048",V28:V53)</f>
        <v>0</v>
      </c>
      <c r="EB55" s="12">
        <f>ROUND(SUMIF(AA28:AA53,"=55936048",W28:W53),2)</f>
        <v>0</v>
      </c>
      <c r="EC55" s="12">
        <f>ROUND(SUMIF(AA28:AA53,"=55936048",X28:X53),2)</f>
        <v>83884.22</v>
      </c>
      <c r="ED55" s="12">
        <f>ROUND(SUMIF(AA28:AA53,"=55936048",Y28:Y53),2)</f>
        <v>43097.599999999999</v>
      </c>
      <c r="EE55" s="12"/>
      <c r="EF55" s="12"/>
      <c r="EG55" s="12">
        <f t="shared" ref="EG55:EV55" si="65">ROUND(FP55,2)</f>
        <v>0</v>
      </c>
      <c r="EH55" s="12">
        <f t="shared" si="65"/>
        <v>0</v>
      </c>
      <c r="EI55" s="12">
        <f t="shared" si="65"/>
        <v>0</v>
      </c>
      <c r="EJ55" s="12">
        <f t="shared" si="65"/>
        <v>222733.34</v>
      </c>
      <c r="EK55" s="12">
        <f t="shared" si="65"/>
        <v>23255.94</v>
      </c>
      <c r="EL55" s="12">
        <f t="shared" si="65"/>
        <v>199477.4</v>
      </c>
      <c r="EM55" s="12">
        <f t="shared" si="65"/>
        <v>0</v>
      </c>
      <c r="EN55" s="12">
        <f t="shared" si="65"/>
        <v>0</v>
      </c>
      <c r="EO55" s="12">
        <f t="shared" si="65"/>
        <v>0</v>
      </c>
      <c r="EP55" s="12">
        <f t="shared" si="65"/>
        <v>0</v>
      </c>
      <c r="EQ55" s="12">
        <f t="shared" si="65"/>
        <v>0</v>
      </c>
      <c r="ER55" s="12">
        <f t="shared" si="65"/>
        <v>0</v>
      </c>
      <c r="ES55" s="12">
        <f t="shared" si="65"/>
        <v>0</v>
      </c>
      <c r="ET55" s="12">
        <f t="shared" si="65"/>
        <v>0</v>
      </c>
      <c r="EU55" s="12">
        <f t="shared" si="65"/>
        <v>0</v>
      </c>
      <c r="EV55" s="12">
        <f t="shared" si="65"/>
        <v>0</v>
      </c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>
        <f>ROUND(SUMIF(AA28:AA53,"=55936048",FQ28:FQ53),2)</f>
        <v>0</v>
      </c>
      <c r="FQ55" s="12">
        <f>ROUND(SUMIF(AA28:AA53,"=55936048",FR28:FR53),2)</f>
        <v>0</v>
      </c>
      <c r="FR55" s="12">
        <f>ROUND(SUMIF(AA28:AA53,"=55936048",GL28:GL53),2)</f>
        <v>0</v>
      </c>
      <c r="FS55" s="12">
        <f>ROUND(SUMIF(AA28:AA53,"=55936048",GM28:GM53),2)</f>
        <v>222733.34</v>
      </c>
      <c r="FT55" s="12">
        <f>ROUND(SUMIF(AA28:AA53,"=55936048",GN28:GN53),2)</f>
        <v>23255.94</v>
      </c>
      <c r="FU55" s="12">
        <f>ROUND(SUMIF(AA28:AA53,"=55936048",GO28:GO53),2)</f>
        <v>199477.4</v>
      </c>
      <c r="FV55" s="12">
        <f>ROUND(SUMIF(AA28:AA53,"=55936048",GP28:GP53),2)</f>
        <v>0</v>
      </c>
      <c r="FW55" s="12">
        <f>DU55-FP55</f>
        <v>0</v>
      </c>
      <c r="FX55" s="12">
        <f>DU55-FQ55</f>
        <v>0</v>
      </c>
      <c r="FY55" s="12">
        <f>FP55-FR55</f>
        <v>0</v>
      </c>
      <c r="FZ55" s="12">
        <f>DU55-FP55-FQ55+FR55</f>
        <v>0</v>
      </c>
      <c r="GA55" s="12">
        <f>FQ55-FR55</f>
        <v>0</v>
      </c>
      <c r="GB55" s="12">
        <f>ROUND(SUMIF(AA28:AA53,"=55936048",GX28:GX53),2)</f>
        <v>0</v>
      </c>
      <c r="GC55" s="12">
        <f>ROUND(SUMIF(AA28:AA53,"=55936048",GY28:GY53),2)</f>
        <v>0</v>
      </c>
      <c r="GD55" s="12">
        <f>ROUND(SUMIF(AA28:AA53,"=55936048",GZ28:GZ53),2)</f>
        <v>0</v>
      </c>
      <c r="GE55" s="12">
        <f>ROUND(SUMIF(AA28:AA53,"=55936048",HD28:HD53),2)</f>
        <v>0</v>
      </c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>
        <v>0</v>
      </c>
    </row>
    <row r="57" spans="1:255" ht="13" x14ac:dyDescent="0.3">
      <c r="A57" s="13">
        <v>50</v>
      </c>
      <c r="B57" s="13">
        <v>0</v>
      </c>
      <c r="C57" s="13">
        <v>0</v>
      </c>
      <c r="D57" s="13">
        <v>1</v>
      </c>
      <c r="E57" s="13">
        <v>201</v>
      </c>
      <c r="F57" s="13">
        <f>ROUND(Source!O55,O57)</f>
        <v>1916.3</v>
      </c>
      <c r="G57" s="13" t="s">
        <v>84</v>
      </c>
      <c r="H57" s="13" t="s">
        <v>85</v>
      </c>
      <c r="I57" s="13"/>
      <c r="J57" s="13"/>
      <c r="K57" s="13">
        <v>201</v>
      </c>
      <c r="L57" s="13">
        <v>1</v>
      </c>
      <c r="M57" s="13">
        <v>3</v>
      </c>
      <c r="N57" s="13" t="s">
        <v>3</v>
      </c>
      <c r="O57" s="13">
        <v>2</v>
      </c>
      <c r="P57" s="13">
        <f>ROUND(Source!DG55,O57)</f>
        <v>95751.52</v>
      </c>
      <c r="Q57" s="13"/>
      <c r="R57" s="13"/>
      <c r="S57" s="13"/>
      <c r="T57" s="13"/>
      <c r="U57" s="13"/>
      <c r="V57" s="13"/>
      <c r="W57" s="13">
        <v>1916.3</v>
      </c>
      <c r="X57" s="13">
        <v>1</v>
      </c>
      <c r="Y57" s="13">
        <v>1916.3</v>
      </c>
      <c r="Z57" s="13">
        <v>95751.52</v>
      </c>
      <c r="AA57" s="13">
        <v>1</v>
      </c>
      <c r="AB57" s="13">
        <v>95751.52</v>
      </c>
    </row>
    <row r="58" spans="1:255" ht="13" x14ac:dyDescent="0.3">
      <c r="A58" s="13">
        <v>50</v>
      </c>
      <c r="B58" s="13">
        <v>0</v>
      </c>
      <c r="C58" s="13">
        <v>0</v>
      </c>
      <c r="D58" s="13">
        <v>1</v>
      </c>
      <c r="E58" s="13">
        <v>202</v>
      </c>
      <c r="F58" s="13">
        <f>ROUND(Source!P55,O58)</f>
        <v>0</v>
      </c>
      <c r="G58" s="13" t="s">
        <v>86</v>
      </c>
      <c r="H58" s="13" t="s">
        <v>87</v>
      </c>
      <c r="I58" s="13"/>
      <c r="J58" s="13"/>
      <c r="K58" s="13">
        <v>202</v>
      </c>
      <c r="L58" s="13">
        <v>2</v>
      </c>
      <c r="M58" s="13">
        <v>3</v>
      </c>
      <c r="N58" s="13" t="s">
        <v>3</v>
      </c>
      <c r="O58" s="13">
        <v>2</v>
      </c>
      <c r="P58" s="13">
        <f>ROUND(Source!DH55,O58)</f>
        <v>0</v>
      </c>
      <c r="Q58" s="13"/>
      <c r="R58" s="13"/>
      <c r="S58" s="13"/>
      <c r="T58" s="13"/>
      <c r="U58" s="13"/>
      <c r="V58" s="13"/>
      <c r="W58" s="13">
        <v>0</v>
      </c>
      <c r="X58" s="13">
        <v>1</v>
      </c>
      <c r="Y58" s="13">
        <v>0</v>
      </c>
      <c r="Z58" s="13">
        <v>0</v>
      </c>
      <c r="AA58" s="13">
        <v>1</v>
      </c>
      <c r="AB58" s="13">
        <v>0</v>
      </c>
    </row>
    <row r="59" spans="1:255" ht="13" x14ac:dyDescent="0.3">
      <c r="A59" s="13">
        <v>50</v>
      </c>
      <c r="B59" s="13">
        <v>0</v>
      </c>
      <c r="C59" s="13">
        <v>0</v>
      </c>
      <c r="D59" s="13">
        <v>1</v>
      </c>
      <c r="E59" s="13">
        <v>222</v>
      </c>
      <c r="F59" s="13">
        <f>ROUND(Source!AO55,O59)</f>
        <v>0</v>
      </c>
      <c r="G59" s="13" t="s">
        <v>88</v>
      </c>
      <c r="H59" s="13" t="s">
        <v>89</v>
      </c>
      <c r="I59" s="13"/>
      <c r="J59" s="13"/>
      <c r="K59" s="13">
        <v>222</v>
      </c>
      <c r="L59" s="13">
        <v>3</v>
      </c>
      <c r="M59" s="13">
        <v>3</v>
      </c>
      <c r="N59" s="13" t="s">
        <v>3</v>
      </c>
      <c r="O59" s="13">
        <v>2</v>
      </c>
      <c r="P59" s="13">
        <f>ROUND(Source!EG55,O59)</f>
        <v>0</v>
      </c>
      <c r="Q59" s="13"/>
      <c r="R59" s="13"/>
      <c r="S59" s="13"/>
      <c r="T59" s="13"/>
      <c r="U59" s="13"/>
      <c r="V59" s="13"/>
      <c r="W59" s="13">
        <v>0</v>
      </c>
      <c r="X59" s="13">
        <v>1</v>
      </c>
      <c r="Y59" s="13">
        <v>0</v>
      </c>
      <c r="Z59" s="13">
        <v>0</v>
      </c>
      <c r="AA59" s="13">
        <v>1</v>
      </c>
      <c r="AB59" s="13">
        <v>0</v>
      </c>
    </row>
    <row r="60" spans="1:255" ht="13" x14ac:dyDescent="0.3">
      <c r="A60" s="13">
        <v>50</v>
      </c>
      <c r="B60" s="13">
        <v>0</v>
      </c>
      <c r="C60" s="13">
        <v>0</v>
      </c>
      <c r="D60" s="13">
        <v>1</v>
      </c>
      <c r="E60" s="13">
        <v>225</v>
      </c>
      <c r="F60" s="13">
        <f>ROUND(Source!AV55,O60)</f>
        <v>0</v>
      </c>
      <c r="G60" s="13" t="s">
        <v>90</v>
      </c>
      <c r="H60" s="13" t="s">
        <v>91</v>
      </c>
      <c r="I60" s="13"/>
      <c r="J60" s="13"/>
      <c r="K60" s="13">
        <v>225</v>
      </c>
      <c r="L60" s="13">
        <v>4</v>
      </c>
      <c r="M60" s="13">
        <v>3</v>
      </c>
      <c r="N60" s="13" t="s">
        <v>3</v>
      </c>
      <c r="O60" s="13">
        <v>2</v>
      </c>
      <c r="P60" s="13">
        <f>ROUND(Source!EN55,O60)</f>
        <v>0</v>
      </c>
      <c r="Q60" s="13"/>
      <c r="R60" s="13"/>
      <c r="S60" s="13"/>
      <c r="T60" s="13"/>
      <c r="U60" s="13"/>
      <c r="V60" s="13"/>
      <c r="W60" s="13">
        <v>0</v>
      </c>
      <c r="X60" s="13">
        <v>1</v>
      </c>
      <c r="Y60" s="13">
        <v>0</v>
      </c>
      <c r="Z60" s="13">
        <v>0</v>
      </c>
      <c r="AA60" s="13">
        <v>1</v>
      </c>
      <c r="AB60" s="13">
        <v>0</v>
      </c>
    </row>
    <row r="61" spans="1:255" ht="13" x14ac:dyDescent="0.3">
      <c r="A61" s="13">
        <v>50</v>
      </c>
      <c r="B61" s="13">
        <v>0</v>
      </c>
      <c r="C61" s="13">
        <v>0</v>
      </c>
      <c r="D61" s="13">
        <v>1</v>
      </c>
      <c r="E61" s="13">
        <v>226</v>
      </c>
      <c r="F61" s="13">
        <f>ROUND(Source!AW55,O61)</f>
        <v>0</v>
      </c>
      <c r="G61" s="13" t="s">
        <v>92</v>
      </c>
      <c r="H61" s="13" t="s">
        <v>93</v>
      </c>
      <c r="I61" s="13"/>
      <c r="J61" s="13"/>
      <c r="K61" s="13">
        <v>226</v>
      </c>
      <c r="L61" s="13">
        <v>5</v>
      </c>
      <c r="M61" s="13">
        <v>3</v>
      </c>
      <c r="N61" s="13" t="s">
        <v>3</v>
      </c>
      <c r="O61" s="13">
        <v>2</v>
      </c>
      <c r="P61" s="13">
        <f>ROUND(Source!EO55,O61)</f>
        <v>0</v>
      </c>
      <c r="Q61" s="13"/>
      <c r="R61" s="13"/>
      <c r="S61" s="13"/>
      <c r="T61" s="13"/>
      <c r="U61" s="13"/>
      <c r="V61" s="13"/>
      <c r="W61" s="13">
        <v>0</v>
      </c>
      <c r="X61" s="13">
        <v>1</v>
      </c>
      <c r="Y61" s="13">
        <v>0</v>
      </c>
      <c r="Z61" s="13">
        <v>0</v>
      </c>
      <c r="AA61" s="13">
        <v>1</v>
      </c>
      <c r="AB61" s="13">
        <v>0</v>
      </c>
    </row>
    <row r="62" spans="1:255" ht="13" x14ac:dyDescent="0.3">
      <c r="A62" s="13">
        <v>50</v>
      </c>
      <c r="B62" s="13">
        <v>0</v>
      </c>
      <c r="C62" s="13">
        <v>0</v>
      </c>
      <c r="D62" s="13">
        <v>1</v>
      </c>
      <c r="E62" s="13">
        <v>227</v>
      </c>
      <c r="F62" s="13">
        <f>ROUND(Source!AX55,O62)</f>
        <v>0</v>
      </c>
      <c r="G62" s="13" t="s">
        <v>94</v>
      </c>
      <c r="H62" s="13" t="s">
        <v>95</v>
      </c>
      <c r="I62" s="13"/>
      <c r="J62" s="13"/>
      <c r="K62" s="13">
        <v>227</v>
      </c>
      <c r="L62" s="13">
        <v>6</v>
      </c>
      <c r="M62" s="13">
        <v>3</v>
      </c>
      <c r="N62" s="13" t="s">
        <v>3</v>
      </c>
      <c r="O62" s="13">
        <v>2</v>
      </c>
      <c r="P62" s="13">
        <f>ROUND(Source!EP55,O62)</f>
        <v>0</v>
      </c>
      <c r="Q62" s="13"/>
      <c r="R62" s="13"/>
      <c r="S62" s="13"/>
      <c r="T62" s="13"/>
      <c r="U62" s="13"/>
      <c r="V62" s="13"/>
      <c r="W62" s="13">
        <v>0</v>
      </c>
      <c r="X62" s="13">
        <v>1</v>
      </c>
      <c r="Y62" s="13">
        <v>0</v>
      </c>
      <c r="Z62" s="13">
        <v>0</v>
      </c>
      <c r="AA62" s="13">
        <v>1</v>
      </c>
      <c r="AB62" s="13">
        <v>0</v>
      </c>
    </row>
    <row r="63" spans="1:255" ht="13" x14ac:dyDescent="0.3">
      <c r="A63" s="13">
        <v>50</v>
      </c>
      <c r="B63" s="13">
        <v>0</v>
      </c>
      <c r="C63" s="13">
        <v>0</v>
      </c>
      <c r="D63" s="13">
        <v>1</v>
      </c>
      <c r="E63" s="13">
        <v>228</v>
      </c>
      <c r="F63" s="13">
        <f>ROUND(Source!AY55,O63)</f>
        <v>0</v>
      </c>
      <c r="G63" s="13" t="s">
        <v>96</v>
      </c>
      <c r="H63" s="13" t="s">
        <v>97</v>
      </c>
      <c r="I63" s="13"/>
      <c r="J63" s="13"/>
      <c r="K63" s="13">
        <v>228</v>
      </c>
      <c r="L63" s="13">
        <v>7</v>
      </c>
      <c r="M63" s="13">
        <v>3</v>
      </c>
      <c r="N63" s="13" t="s">
        <v>3</v>
      </c>
      <c r="O63" s="13">
        <v>2</v>
      </c>
      <c r="P63" s="13">
        <f>ROUND(Source!EQ55,O63)</f>
        <v>0</v>
      </c>
      <c r="Q63" s="13"/>
      <c r="R63" s="13"/>
      <c r="S63" s="13"/>
      <c r="T63" s="13"/>
      <c r="U63" s="13"/>
      <c r="V63" s="13"/>
      <c r="W63" s="13">
        <v>0</v>
      </c>
      <c r="X63" s="13">
        <v>1</v>
      </c>
      <c r="Y63" s="13">
        <v>0</v>
      </c>
      <c r="Z63" s="13">
        <v>0</v>
      </c>
      <c r="AA63" s="13">
        <v>1</v>
      </c>
      <c r="AB63" s="13">
        <v>0</v>
      </c>
    </row>
    <row r="64" spans="1:255" ht="13" x14ac:dyDescent="0.3">
      <c r="A64" s="13">
        <v>50</v>
      </c>
      <c r="B64" s="13">
        <v>0</v>
      </c>
      <c r="C64" s="13">
        <v>0</v>
      </c>
      <c r="D64" s="13">
        <v>1</v>
      </c>
      <c r="E64" s="13">
        <v>216</v>
      </c>
      <c r="F64" s="13">
        <f>ROUND(Source!AP55,O64)</f>
        <v>0</v>
      </c>
      <c r="G64" s="13" t="s">
        <v>98</v>
      </c>
      <c r="H64" s="13" t="s">
        <v>99</v>
      </c>
      <c r="I64" s="13"/>
      <c r="J64" s="13"/>
      <c r="K64" s="13">
        <v>216</v>
      </c>
      <c r="L64" s="13">
        <v>8</v>
      </c>
      <c r="M64" s="13">
        <v>3</v>
      </c>
      <c r="N64" s="13" t="s">
        <v>3</v>
      </c>
      <c r="O64" s="13">
        <v>2</v>
      </c>
      <c r="P64" s="13">
        <f>ROUND(Source!EH55,O64)</f>
        <v>0</v>
      </c>
      <c r="Q64" s="13"/>
      <c r="R64" s="13"/>
      <c r="S64" s="13"/>
      <c r="T64" s="13"/>
      <c r="U64" s="13"/>
      <c r="V64" s="13"/>
      <c r="W64" s="13">
        <v>0</v>
      </c>
      <c r="X64" s="13">
        <v>1</v>
      </c>
      <c r="Y64" s="13">
        <v>0</v>
      </c>
      <c r="Z64" s="13">
        <v>0</v>
      </c>
      <c r="AA64" s="13">
        <v>1</v>
      </c>
      <c r="AB64" s="13">
        <v>0</v>
      </c>
    </row>
    <row r="65" spans="1:28" ht="13" x14ac:dyDescent="0.3">
      <c r="A65" s="13">
        <v>50</v>
      </c>
      <c r="B65" s="13">
        <v>0</v>
      </c>
      <c r="C65" s="13">
        <v>0</v>
      </c>
      <c r="D65" s="13">
        <v>1</v>
      </c>
      <c r="E65" s="13">
        <v>223</v>
      </c>
      <c r="F65" s="13">
        <f>ROUND(Source!AQ55,O65)</f>
        <v>0</v>
      </c>
      <c r="G65" s="13" t="s">
        <v>100</v>
      </c>
      <c r="H65" s="13" t="s">
        <v>101</v>
      </c>
      <c r="I65" s="13"/>
      <c r="J65" s="13"/>
      <c r="K65" s="13">
        <v>223</v>
      </c>
      <c r="L65" s="13">
        <v>9</v>
      </c>
      <c r="M65" s="13">
        <v>3</v>
      </c>
      <c r="N65" s="13" t="s">
        <v>3</v>
      </c>
      <c r="O65" s="13">
        <v>2</v>
      </c>
      <c r="P65" s="13">
        <f>ROUND(Source!EI55,O65)</f>
        <v>0</v>
      </c>
      <c r="Q65" s="13"/>
      <c r="R65" s="13"/>
      <c r="S65" s="13"/>
      <c r="T65" s="13"/>
      <c r="U65" s="13"/>
      <c r="V65" s="13"/>
      <c r="W65" s="13">
        <v>0</v>
      </c>
      <c r="X65" s="13">
        <v>1</v>
      </c>
      <c r="Y65" s="13">
        <v>0</v>
      </c>
      <c r="Z65" s="13">
        <v>0</v>
      </c>
      <c r="AA65" s="13">
        <v>1</v>
      </c>
      <c r="AB65" s="13">
        <v>0</v>
      </c>
    </row>
    <row r="66" spans="1:28" ht="13" x14ac:dyDescent="0.3">
      <c r="A66" s="13">
        <v>50</v>
      </c>
      <c r="B66" s="13">
        <v>0</v>
      </c>
      <c r="C66" s="13">
        <v>0</v>
      </c>
      <c r="D66" s="13">
        <v>1</v>
      </c>
      <c r="E66" s="13">
        <v>229</v>
      </c>
      <c r="F66" s="13">
        <f>ROUND(Source!AZ55,O66)</f>
        <v>0</v>
      </c>
      <c r="G66" s="13" t="s">
        <v>102</v>
      </c>
      <c r="H66" s="13" t="s">
        <v>103</v>
      </c>
      <c r="I66" s="13"/>
      <c r="J66" s="13"/>
      <c r="K66" s="13">
        <v>229</v>
      </c>
      <c r="L66" s="13">
        <v>10</v>
      </c>
      <c r="M66" s="13">
        <v>3</v>
      </c>
      <c r="N66" s="13" t="s">
        <v>3</v>
      </c>
      <c r="O66" s="13">
        <v>2</v>
      </c>
      <c r="P66" s="13">
        <f>ROUND(Source!ER55,O66)</f>
        <v>0</v>
      </c>
      <c r="Q66" s="13"/>
      <c r="R66" s="13"/>
      <c r="S66" s="13"/>
      <c r="T66" s="13"/>
      <c r="U66" s="13"/>
      <c r="V66" s="13"/>
      <c r="W66" s="13">
        <v>0</v>
      </c>
      <c r="X66" s="13">
        <v>1</v>
      </c>
      <c r="Y66" s="13">
        <v>0</v>
      </c>
      <c r="Z66" s="13">
        <v>0</v>
      </c>
      <c r="AA66" s="13">
        <v>1</v>
      </c>
      <c r="AB66" s="13">
        <v>0</v>
      </c>
    </row>
    <row r="67" spans="1:28" ht="13" x14ac:dyDescent="0.3">
      <c r="A67" s="13">
        <v>50</v>
      </c>
      <c r="B67" s="13">
        <v>0</v>
      </c>
      <c r="C67" s="13">
        <v>0</v>
      </c>
      <c r="D67" s="13">
        <v>1</v>
      </c>
      <c r="E67" s="13">
        <v>203</v>
      </c>
      <c r="F67" s="13">
        <f>ROUND(Source!Q55,O67)</f>
        <v>299.36</v>
      </c>
      <c r="G67" s="13" t="s">
        <v>104</v>
      </c>
      <c r="H67" s="13" t="s">
        <v>105</v>
      </c>
      <c r="I67" s="13"/>
      <c r="J67" s="13"/>
      <c r="K67" s="13">
        <v>203</v>
      </c>
      <c r="L67" s="13">
        <v>11</v>
      </c>
      <c r="M67" s="13">
        <v>3</v>
      </c>
      <c r="N67" s="13" t="s">
        <v>3</v>
      </c>
      <c r="O67" s="13">
        <v>2</v>
      </c>
      <c r="P67" s="13">
        <f>ROUND(Source!DI55,O67)</f>
        <v>4636.95</v>
      </c>
      <c r="Q67" s="13"/>
      <c r="R67" s="13"/>
      <c r="S67" s="13"/>
      <c r="T67" s="13"/>
      <c r="U67" s="13"/>
      <c r="V67" s="13"/>
      <c r="W67" s="13">
        <v>299.36</v>
      </c>
      <c r="X67" s="13">
        <v>1</v>
      </c>
      <c r="Y67" s="13">
        <v>299.36</v>
      </c>
      <c r="Z67" s="13">
        <v>4636.95</v>
      </c>
      <c r="AA67" s="13">
        <v>1</v>
      </c>
      <c r="AB67" s="13">
        <v>4636.95</v>
      </c>
    </row>
    <row r="68" spans="1:28" ht="13" x14ac:dyDescent="0.3">
      <c r="A68" s="13">
        <v>50</v>
      </c>
      <c r="B68" s="13">
        <v>0</v>
      </c>
      <c r="C68" s="13">
        <v>0</v>
      </c>
      <c r="D68" s="13">
        <v>1</v>
      </c>
      <c r="E68" s="13">
        <v>231</v>
      </c>
      <c r="F68" s="13">
        <f>ROUND(Source!BB55,O68)</f>
        <v>0</v>
      </c>
      <c r="G68" s="13" t="s">
        <v>106</v>
      </c>
      <c r="H68" s="13" t="s">
        <v>107</v>
      </c>
      <c r="I68" s="13"/>
      <c r="J68" s="13"/>
      <c r="K68" s="13">
        <v>231</v>
      </c>
      <c r="L68" s="13">
        <v>12</v>
      </c>
      <c r="M68" s="13">
        <v>3</v>
      </c>
      <c r="N68" s="13" t="s">
        <v>3</v>
      </c>
      <c r="O68" s="13">
        <v>2</v>
      </c>
      <c r="P68" s="13">
        <f>ROUND(Source!ET55,O68)</f>
        <v>0</v>
      </c>
      <c r="Q68" s="13"/>
      <c r="R68" s="13"/>
      <c r="S68" s="13"/>
      <c r="T68" s="13"/>
      <c r="U68" s="13"/>
      <c r="V68" s="13"/>
      <c r="W68" s="13">
        <v>0</v>
      </c>
      <c r="X68" s="13">
        <v>1</v>
      </c>
      <c r="Y68" s="13">
        <v>0</v>
      </c>
      <c r="Z68" s="13">
        <v>0</v>
      </c>
      <c r="AA68" s="13">
        <v>1</v>
      </c>
      <c r="AB68" s="13">
        <v>0</v>
      </c>
    </row>
    <row r="69" spans="1:28" ht="13" x14ac:dyDescent="0.3">
      <c r="A69" s="13">
        <v>50</v>
      </c>
      <c r="B69" s="13">
        <v>0</v>
      </c>
      <c r="C69" s="13">
        <v>0</v>
      </c>
      <c r="D69" s="13">
        <v>1</v>
      </c>
      <c r="E69" s="13">
        <v>204</v>
      </c>
      <c r="F69" s="13">
        <f>ROUND(Source!R55,O69)</f>
        <v>33.43</v>
      </c>
      <c r="G69" s="13" t="s">
        <v>108</v>
      </c>
      <c r="H69" s="13" t="s">
        <v>109</v>
      </c>
      <c r="I69" s="13"/>
      <c r="J69" s="13"/>
      <c r="K69" s="13">
        <v>204</v>
      </c>
      <c r="L69" s="13">
        <v>13</v>
      </c>
      <c r="M69" s="13">
        <v>3</v>
      </c>
      <c r="N69" s="13" t="s">
        <v>3</v>
      </c>
      <c r="O69" s="13">
        <v>2</v>
      </c>
      <c r="P69" s="13">
        <f>ROUND(Source!DJ55,O69)</f>
        <v>1883.79</v>
      </c>
      <c r="Q69" s="13"/>
      <c r="R69" s="13"/>
      <c r="S69" s="13"/>
      <c r="T69" s="13"/>
      <c r="U69" s="13"/>
      <c r="V69" s="13"/>
      <c r="W69" s="13">
        <v>33.43</v>
      </c>
      <c r="X69" s="13">
        <v>1</v>
      </c>
      <c r="Y69" s="13">
        <v>33.43</v>
      </c>
      <c r="Z69" s="13">
        <v>1883.79</v>
      </c>
      <c r="AA69" s="13">
        <v>1</v>
      </c>
      <c r="AB69" s="13">
        <v>1883.79</v>
      </c>
    </row>
    <row r="70" spans="1:28" ht="13" x14ac:dyDescent="0.3">
      <c r="A70" s="13">
        <v>50</v>
      </c>
      <c r="B70" s="13">
        <v>0</v>
      </c>
      <c r="C70" s="13">
        <v>0</v>
      </c>
      <c r="D70" s="13">
        <v>1</v>
      </c>
      <c r="E70" s="13">
        <v>205</v>
      </c>
      <c r="F70" s="13">
        <f>ROUND(Source!S55,O70)</f>
        <v>1616.94</v>
      </c>
      <c r="G70" s="13" t="s">
        <v>110</v>
      </c>
      <c r="H70" s="13" t="s">
        <v>111</v>
      </c>
      <c r="I70" s="13"/>
      <c r="J70" s="13"/>
      <c r="K70" s="13">
        <v>205</v>
      </c>
      <c r="L70" s="13">
        <v>14</v>
      </c>
      <c r="M70" s="13">
        <v>3</v>
      </c>
      <c r="N70" s="13" t="s">
        <v>3</v>
      </c>
      <c r="O70" s="13">
        <v>2</v>
      </c>
      <c r="P70" s="13">
        <f>ROUND(Source!DK55,O70)</f>
        <v>91114.57</v>
      </c>
      <c r="Q70" s="13"/>
      <c r="R70" s="13"/>
      <c r="S70" s="13"/>
      <c r="T70" s="13"/>
      <c r="U70" s="13"/>
      <c r="V70" s="13"/>
      <c r="W70" s="13">
        <v>1616.94</v>
      </c>
      <c r="X70" s="13">
        <v>1</v>
      </c>
      <c r="Y70" s="13">
        <v>1616.94</v>
      </c>
      <c r="Z70" s="13">
        <v>91114.57</v>
      </c>
      <c r="AA70" s="13">
        <v>1</v>
      </c>
      <c r="AB70" s="13">
        <v>91114.57</v>
      </c>
    </row>
    <row r="71" spans="1:28" ht="13" x14ac:dyDescent="0.3">
      <c r="A71" s="13">
        <v>50</v>
      </c>
      <c r="B71" s="13">
        <v>0</v>
      </c>
      <c r="C71" s="13">
        <v>0</v>
      </c>
      <c r="D71" s="13">
        <v>1</v>
      </c>
      <c r="E71" s="13">
        <v>232</v>
      </c>
      <c r="F71" s="13">
        <f>ROUND(Source!BC55,O71)</f>
        <v>0</v>
      </c>
      <c r="G71" s="13" t="s">
        <v>112</v>
      </c>
      <c r="H71" s="13" t="s">
        <v>113</v>
      </c>
      <c r="I71" s="13"/>
      <c r="J71" s="13"/>
      <c r="K71" s="13">
        <v>232</v>
      </c>
      <c r="L71" s="13">
        <v>15</v>
      </c>
      <c r="M71" s="13">
        <v>3</v>
      </c>
      <c r="N71" s="13" t="s">
        <v>3</v>
      </c>
      <c r="O71" s="13">
        <v>2</v>
      </c>
      <c r="P71" s="13">
        <f>ROUND(Source!EU55,O71)</f>
        <v>0</v>
      </c>
      <c r="Q71" s="13"/>
      <c r="R71" s="13"/>
      <c r="S71" s="13"/>
      <c r="T71" s="13"/>
      <c r="U71" s="13"/>
      <c r="V71" s="13"/>
      <c r="W71" s="13">
        <v>0</v>
      </c>
      <c r="X71" s="13">
        <v>1</v>
      </c>
      <c r="Y71" s="13">
        <v>0</v>
      </c>
      <c r="Z71" s="13">
        <v>0</v>
      </c>
      <c r="AA71" s="13">
        <v>1</v>
      </c>
      <c r="AB71" s="13">
        <v>0</v>
      </c>
    </row>
    <row r="72" spans="1:28" ht="13" x14ac:dyDescent="0.3">
      <c r="A72" s="13">
        <v>50</v>
      </c>
      <c r="B72" s="13">
        <v>0</v>
      </c>
      <c r="C72" s="13">
        <v>0</v>
      </c>
      <c r="D72" s="13">
        <v>1</v>
      </c>
      <c r="E72" s="13">
        <v>214</v>
      </c>
      <c r="F72" s="13">
        <f>ROUND(Source!AS55,O72)</f>
        <v>412.71</v>
      </c>
      <c r="G72" s="13" t="s">
        <v>114</v>
      </c>
      <c r="H72" s="13" t="s">
        <v>115</v>
      </c>
      <c r="I72" s="13"/>
      <c r="J72" s="13"/>
      <c r="K72" s="13">
        <v>214</v>
      </c>
      <c r="L72" s="13">
        <v>16</v>
      </c>
      <c r="M72" s="13">
        <v>3</v>
      </c>
      <c r="N72" s="13" t="s">
        <v>3</v>
      </c>
      <c r="O72" s="13">
        <v>2</v>
      </c>
      <c r="P72" s="13">
        <f>ROUND(Source!EK55,O72)</f>
        <v>23255.94</v>
      </c>
      <c r="Q72" s="13"/>
      <c r="R72" s="13"/>
      <c r="S72" s="13"/>
      <c r="T72" s="13"/>
      <c r="U72" s="13"/>
      <c r="V72" s="13"/>
      <c r="W72" s="13">
        <v>412.71</v>
      </c>
      <c r="X72" s="13">
        <v>1</v>
      </c>
      <c r="Y72" s="13">
        <v>412.71</v>
      </c>
      <c r="Z72" s="13">
        <v>23255.94</v>
      </c>
      <c r="AA72" s="13">
        <v>1</v>
      </c>
      <c r="AB72" s="13">
        <v>23255.94</v>
      </c>
    </row>
    <row r="73" spans="1:28" ht="13" x14ac:dyDescent="0.3">
      <c r="A73" s="13">
        <v>50</v>
      </c>
      <c r="B73" s="13">
        <v>0</v>
      </c>
      <c r="C73" s="13">
        <v>0</v>
      </c>
      <c r="D73" s="13">
        <v>1</v>
      </c>
      <c r="E73" s="13">
        <v>215</v>
      </c>
      <c r="F73" s="13">
        <f>ROUND(Source!AT55,O73)</f>
        <v>3757.05</v>
      </c>
      <c r="G73" s="13" t="s">
        <v>116</v>
      </c>
      <c r="H73" s="13" t="s">
        <v>117</v>
      </c>
      <c r="I73" s="13"/>
      <c r="J73" s="13"/>
      <c r="K73" s="13">
        <v>215</v>
      </c>
      <c r="L73" s="13">
        <v>17</v>
      </c>
      <c r="M73" s="13">
        <v>3</v>
      </c>
      <c r="N73" s="13" t="s">
        <v>3</v>
      </c>
      <c r="O73" s="13">
        <v>2</v>
      </c>
      <c r="P73" s="13">
        <f>ROUND(Source!EL55,O73)</f>
        <v>199477.4</v>
      </c>
      <c r="Q73" s="13"/>
      <c r="R73" s="13"/>
      <c r="S73" s="13"/>
      <c r="T73" s="13"/>
      <c r="U73" s="13"/>
      <c r="V73" s="13"/>
      <c r="W73" s="13">
        <v>3757.05</v>
      </c>
      <c r="X73" s="13">
        <v>1</v>
      </c>
      <c r="Y73" s="13">
        <v>3757.05</v>
      </c>
      <c r="Z73" s="13">
        <v>199477.4</v>
      </c>
      <c r="AA73" s="13">
        <v>1</v>
      </c>
      <c r="AB73" s="13">
        <v>199477.4</v>
      </c>
    </row>
    <row r="74" spans="1:28" ht="13" x14ac:dyDescent="0.3">
      <c r="A74" s="13">
        <v>50</v>
      </c>
      <c r="B74" s="13">
        <v>0</v>
      </c>
      <c r="C74" s="13">
        <v>0</v>
      </c>
      <c r="D74" s="13">
        <v>1</v>
      </c>
      <c r="E74" s="13">
        <v>217</v>
      </c>
      <c r="F74" s="13">
        <f>ROUND(Source!AU55,O74)</f>
        <v>0</v>
      </c>
      <c r="G74" s="13" t="s">
        <v>118</v>
      </c>
      <c r="H74" s="13" t="s">
        <v>119</v>
      </c>
      <c r="I74" s="13"/>
      <c r="J74" s="13"/>
      <c r="K74" s="13">
        <v>217</v>
      </c>
      <c r="L74" s="13">
        <v>18</v>
      </c>
      <c r="M74" s="13">
        <v>3</v>
      </c>
      <c r="N74" s="13" t="s">
        <v>3</v>
      </c>
      <c r="O74" s="13">
        <v>2</v>
      </c>
      <c r="P74" s="13">
        <f>ROUND(Source!EM55,O74)</f>
        <v>0</v>
      </c>
      <c r="Q74" s="13"/>
      <c r="R74" s="13"/>
      <c r="S74" s="13"/>
      <c r="T74" s="13"/>
      <c r="U74" s="13"/>
      <c r="V74" s="13"/>
      <c r="W74" s="13">
        <v>0</v>
      </c>
      <c r="X74" s="13">
        <v>1</v>
      </c>
      <c r="Y74" s="13">
        <v>0</v>
      </c>
      <c r="Z74" s="13">
        <v>0</v>
      </c>
      <c r="AA74" s="13">
        <v>1</v>
      </c>
      <c r="AB74" s="13">
        <v>0</v>
      </c>
    </row>
    <row r="75" spans="1:28" ht="13" x14ac:dyDescent="0.3">
      <c r="A75" s="13">
        <v>50</v>
      </c>
      <c r="B75" s="13">
        <v>0</v>
      </c>
      <c r="C75" s="13">
        <v>0</v>
      </c>
      <c r="D75" s="13">
        <v>1</v>
      </c>
      <c r="E75" s="13">
        <v>230</v>
      </c>
      <c r="F75" s="13">
        <f>ROUND(Source!BA55,O75)</f>
        <v>0</v>
      </c>
      <c r="G75" s="13" t="s">
        <v>120</v>
      </c>
      <c r="H75" s="13" t="s">
        <v>121</v>
      </c>
      <c r="I75" s="13"/>
      <c r="J75" s="13"/>
      <c r="K75" s="13">
        <v>230</v>
      </c>
      <c r="L75" s="13">
        <v>19</v>
      </c>
      <c r="M75" s="13">
        <v>3</v>
      </c>
      <c r="N75" s="13" t="s">
        <v>3</v>
      </c>
      <c r="O75" s="13">
        <v>2</v>
      </c>
      <c r="P75" s="13">
        <f>ROUND(Source!ES55,O75)</f>
        <v>0</v>
      </c>
      <c r="Q75" s="13"/>
      <c r="R75" s="13"/>
      <c r="S75" s="13"/>
      <c r="T75" s="13"/>
      <c r="U75" s="13"/>
      <c r="V75" s="13"/>
      <c r="W75" s="13">
        <v>0</v>
      </c>
      <c r="X75" s="13">
        <v>1</v>
      </c>
      <c r="Y75" s="13">
        <v>0</v>
      </c>
      <c r="Z75" s="13">
        <v>0</v>
      </c>
      <c r="AA75" s="13">
        <v>1</v>
      </c>
      <c r="AB75" s="13">
        <v>0</v>
      </c>
    </row>
    <row r="76" spans="1:28" ht="13" x14ac:dyDescent="0.3">
      <c r="A76" s="13">
        <v>50</v>
      </c>
      <c r="B76" s="13">
        <v>0</v>
      </c>
      <c r="C76" s="13">
        <v>0</v>
      </c>
      <c r="D76" s="13">
        <v>1</v>
      </c>
      <c r="E76" s="13">
        <v>206</v>
      </c>
      <c r="F76" s="13">
        <f>ROUND(Source!T55,O76)</f>
        <v>0</v>
      </c>
      <c r="G76" s="13" t="s">
        <v>122</v>
      </c>
      <c r="H76" s="13" t="s">
        <v>123</v>
      </c>
      <c r="I76" s="13"/>
      <c r="J76" s="13"/>
      <c r="K76" s="13">
        <v>206</v>
      </c>
      <c r="L76" s="13">
        <v>20</v>
      </c>
      <c r="M76" s="13">
        <v>3</v>
      </c>
      <c r="N76" s="13" t="s">
        <v>3</v>
      </c>
      <c r="O76" s="13">
        <v>2</v>
      </c>
      <c r="P76" s="13">
        <f>ROUND(Source!DL55,O76)</f>
        <v>0</v>
      </c>
      <c r="Q76" s="13"/>
      <c r="R76" s="13"/>
      <c r="S76" s="13"/>
      <c r="T76" s="13"/>
      <c r="U76" s="13"/>
      <c r="V76" s="13"/>
      <c r="W76" s="13">
        <v>0</v>
      </c>
      <c r="X76" s="13">
        <v>1</v>
      </c>
      <c r="Y76" s="13">
        <v>0</v>
      </c>
      <c r="Z76" s="13">
        <v>0</v>
      </c>
      <c r="AA76" s="13">
        <v>1</v>
      </c>
      <c r="AB76" s="13">
        <v>0</v>
      </c>
    </row>
    <row r="77" spans="1:28" ht="13" x14ac:dyDescent="0.3">
      <c r="A77" s="13">
        <v>50</v>
      </c>
      <c r="B77" s="13">
        <v>0</v>
      </c>
      <c r="C77" s="13">
        <v>0</v>
      </c>
      <c r="D77" s="13">
        <v>1</v>
      </c>
      <c r="E77" s="13">
        <v>207</v>
      </c>
      <c r="F77" s="13">
        <f>Source!U55</f>
        <v>122.01993467999999</v>
      </c>
      <c r="G77" s="13" t="s">
        <v>124</v>
      </c>
      <c r="H77" s="13" t="s">
        <v>125</v>
      </c>
      <c r="I77" s="13"/>
      <c r="J77" s="13"/>
      <c r="K77" s="13">
        <v>207</v>
      </c>
      <c r="L77" s="13">
        <v>21</v>
      </c>
      <c r="M77" s="13">
        <v>3</v>
      </c>
      <c r="N77" s="13" t="s">
        <v>3</v>
      </c>
      <c r="O77" s="13">
        <v>-1</v>
      </c>
      <c r="P77" s="13">
        <f>Source!DM55</f>
        <v>122.01993467999999</v>
      </c>
      <c r="Q77" s="13"/>
      <c r="R77" s="13"/>
      <c r="S77" s="13"/>
      <c r="T77" s="13"/>
      <c r="U77" s="13"/>
      <c r="V77" s="13"/>
      <c r="W77" s="13">
        <v>122.01993467999999</v>
      </c>
      <c r="X77" s="13">
        <v>1</v>
      </c>
      <c r="Y77" s="13">
        <v>122.01993467999999</v>
      </c>
      <c r="Z77" s="13">
        <v>122.01993467999999</v>
      </c>
      <c r="AA77" s="13">
        <v>1</v>
      </c>
      <c r="AB77" s="13">
        <v>122.01993467999999</v>
      </c>
    </row>
    <row r="78" spans="1:28" ht="13" x14ac:dyDescent="0.3">
      <c r="A78" s="13">
        <v>50</v>
      </c>
      <c r="B78" s="13">
        <v>0</v>
      </c>
      <c r="C78" s="13">
        <v>0</v>
      </c>
      <c r="D78" s="13">
        <v>1</v>
      </c>
      <c r="E78" s="13">
        <v>208</v>
      </c>
      <c r="F78" s="13">
        <f>Source!V55</f>
        <v>0</v>
      </c>
      <c r="G78" s="13" t="s">
        <v>126</v>
      </c>
      <c r="H78" s="13" t="s">
        <v>127</v>
      </c>
      <c r="I78" s="13"/>
      <c r="J78" s="13"/>
      <c r="K78" s="13">
        <v>208</v>
      </c>
      <c r="L78" s="13">
        <v>22</v>
      </c>
      <c r="M78" s="13">
        <v>3</v>
      </c>
      <c r="N78" s="13" t="s">
        <v>3</v>
      </c>
      <c r="O78" s="13">
        <v>-1</v>
      </c>
      <c r="P78" s="13">
        <f>Source!DN55</f>
        <v>0</v>
      </c>
      <c r="Q78" s="13"/>
      <c r="R78" s="13"/>
      <c r="S78" s="13"/>
      <c r="T78" s="13"/>
      <c r="U78" s="13"/>
      <c r="V78" s="13"/>
      <c r="W78" s="13">
        <v>0</v>
      </c>
      <c r="X78" s="13">
        <v>1</v>
      </c>
      <c r="Y78" s="13">
        <v>0</v>
      </c>
      <c r="Z78" s="13">
        <v>0</v>
      </c>
      <c r="AA78" s="13">
        <v>1</v>
      </c>
      <c r="AB78" s="13">
        <v>0</v>
      </c>
    </row>
    <row r="79" spans="1:28" ht="13" x14ac:dyDescent="0.3">
      <c r="A79" s="13">
        <v>50</v>
      </c>
      <c r="B79" s="13">
        <v>0</v>
      </c>
      <c r="C79" s="13">
        <v>0</v>
      </c>
      <c r="D79" s="13">
        <v>1</v>
      </c>
      <c r="E79" s="13">
        <v>209</v>
      </c>
      <c r="F79" s="13">
        <f>ROUND(Source!W55,O79)</f>
        <v>0</v>
      </c>
      <c r="G79" s="13" t="s">
        <v>128</v>
      </c>
      <c r="H79" s="13" t="s">
        <v>129</v>
      </c>
      <c r="I79" s="13"/>
      <c r="J79" s="13"/>
      <c r="K79" s="13">
        <v>209</v>
      </c>
      <c r="L79" s="13">
        <v>23</v>
      </c>
      <c r="M79" s="13">
        <v>3</v>
      </c>
      <c r="N79" s="13" t="s">
        <v>3</v>
      </c>
      <c r="O79" s="13">
        <v>2</v>
      </c>
      <c r="P79" s="13">
        <f>ROUND(Source!DO55,O79)</f>
        <v>0</v>
      </c>
      <c r="Q79" s="13"/>
      <c r="R79" s="13"/>
      <c r="S79" s="13"/>
      <c r="T79" s="13"/>
      <c r="U79" s="13"/>
      <c r="V79" s="13"/>
      <c r="W79" s="13">
        <v>0</v>
      </c>
      <c r="X79" s="13">
        <v>1</v>
      </c>
      <c r="Y79" s="13">
        <v>0</v>
      </c>
      <c r="Z79" s="13">
        <v>0</v>
      </c>
      <c r="AA79" s="13">
        <v>1</v>
      </c>
      <c r="AB79" s="13">
        <v>0</v>
      </c>
    </row>
    <row r="80" spans="1:28" ht="13" x14ac:dyDescent="0.3">
      <c r="A80" s="13">
        <v>50</v>
      </c>
      <c r="B80" s="13">
        <v>0</v>
      </c>
      <c r="C80" s="13">
        <v>0</v>
      </c>
      <c r="D80" s="13">
        <v>1</v>
      </c>
      <c r="E80" s="13">
        <v>233</v>
      </c>
      <c r="F80" s="13">
        <f>ROUND(Source!BD55,O80)</f>
        <v>0</v>
      </c>
      <c r="G80" s="13" t="s">
        <v>130</v>
      </c>
      <c r="H80" s="13" t="s">
        <v>131</v>
      </c>
      <c r="I80" s="13"/>
      <c r="J80" s="13"/>
      <c r="K80" s="13">
        <v>233</v>
      </c>
      <c r="L80" s="13">
        <v>24</v>
      </c>
      <c r="M80" s="13">
        <v>3</v>
      </c>
      <c r="N80" s="13" t="s">
        <v>3</v>
      </c>
      <c r="O80" s="13">
        <v>2</v>
      </c>
      <c r="P80" s="13">
        <f>ROUND(Source!EV55,O80)</f>
        <v>0</v>
      </c>
      <c r="Q80" s="13"/>
      <c r="R80" s="13"/>
      <c r="S80" s="13"/>
      <c r="T80" s="13"/>
      <c r="U80" s="13"/>
      <c r="V80" s="13"/>
      <c r="W80" s="13">
        <v>0</v>
      </c>
      <c r="X80" s="13">
        <v>1</v>
      </c>
      <c r="Y80" s="13">
        <v>0</v>
      </c>
      <c r="Z80" s="13">
        <v>0</v>
      </c>
      <c r="AA80" s="13">
        <v>1</v>
      </c>
      <c r="AB80" s="13">
        <v>0</v>
      </c>
    </row>
    <row r="81" spans="1:255" ht="13" x14ac:dyDescent="0.3">
      <c r="A81" s="13">
        <v>50</v>
      </c>
      <c r="B81" s="13">
        <v>0</v>
      </c>
      <c r="C81" s="13">
        <v>0</v>
      </c>
      <c r="D81" s="13">
        <v>1</v>
      </c>
      <c r="E81" s="13">
        <v>210</v>
      </c>
      <c r="F81" s="13">
        <f>ROUND(Source!X55,O81)</f>
        <v>1488.64</v>
      </c>
      <c r="G81" s="13" t="s">
        <v>132</v>
      </c>
      <c r="H81" s="13" t="s">
        <v>133</v>
      </c>
      <c r="I81" s="13"/>
      <c r="J81" s="13"/>
      <c r="K81" s="13">
        <v>210</v>
      </c>
      <c r="L81" s="13">
        <v>25</v>
      </c>
      <c r="M81" s="13">
        <v>3</v>
      </c>
      <c r="N81" s="13" t="s">
        <v>3</v>
      </c>
      <c r="O81" s="13">
        <v>2</v>
      </c>
      <c r="P81" s="13">
        <f>ROUND(Source!DP55,O81)</f>
        <v>83884.22</v>
      </c>
      <c r="Q81" s="13"/>
      <c r="R81" s="13"/>
      <c r="S81" s="13"/>
      <c r="T81" s="13"/>
      <c r="U81" s="13"/>
      <c r="V81" s="13"/>
      <c r="W81" s="13">
        <v>1488.64</v>
      </c>
      <c r="X81" s="13">
        <v>1</v>
      </c>
      <c r="Y81" s="13">
        <v>1488.64</v>
      </c>
      <c r="Z81" s="13">
        <v>83884.22</v>
      </c>
      <c r="AA81" s="13">
        <v>1</v>
      </c>
      <c r="AB81" s="13">
        <v>83884.22</v>
      </c>
    </row>
    <row r="82" spans="1:255" ht="13" x14ac:dyDescent="0.3">
      <c r="A82" s="13">
        <v>50</v>
      </c>
      <c r="B82" s="13">
        <v>0</v>
      </c>
      <c r="C82" s="13">
        <v>0</v>
      </c>
      <c r="D82" s="13">
        <v>1</v>
      </c>
      <c r="E82" s="13">
        <v>211</v>
      </c>
      <c r="F82" s="13">
        <f>ROUND(Source!Y55,O82)</f>
        <v>764.82</v>
      </c>
      <c r="G82" s="13" t="s">
        <v>134</v>
      </c>
      <c r="H82" s="13" t="s">
        <v>135</v>
      </c>
      <c r="I82" s="13"/>
      <c r="J82" s="13"/>
      <c r="K82" s="13">
        <v>211</v>
      </c>
      <c r="L82" s="13">
        <v>26</v>
      </c>
      <c r="M82" s="13">
        <v>3</v>
      </c>
      <c r="N82" s="13" t="s">
        <v>3</v>
      </c>
      <c r="O82" s="13">
        <v>2</v>
      </c>
      <c r="P82" s="13">
        <f>ROUND(Source!DQ55,O82)</f>
        <v>43097.599999999999</v>
      </c>
      <c r="Q82" s="13"/>
      <c r="R82" s="13"/>
      <c r="S82" s="13"/>
      <c r="T82" s="13"/>
      <c r="U82" s="13"/>
      <c r="V82" s="13"/>
      <c r="W82" s="13">
        <v>764.82</v>
      </c>
      <c r="X82" s="13">
        <v>1</v>
      </c>
      <c r="Y82" s="13">
        <v>764.82</v>
      </c>
      <c r="Z82" s="13">
        <v>43097.599999999999</v>
      </c>
      <c r="AA82" s="13">
        <v>1</v>
      </c>
      <c r="AB82" s="13">
        <v>43097.599999999999</v>
      </c>
    </row>
    <row r="83" spans="1:255" ht="13" x14ac:dyDescent="0.3">
      <c r="A83" s="13">
        <v>50</v>
      </c>
      <c r="B83" s="13">
        <v>0</v>
      </c>
      <c r="C83" s="13">
        <v>0</v>
      </c>
      <c r="D83" s="13">
        <v>1</v>
      </c>
      <c r="E83" s="13">
        <v>224</v>
      </c>
      <c r="F83" s="13">
        <f>ROUND(Source!AR55,O83)</f>
        <v>4169.76</v>
      </c>
      <c r="G83" s="13" t="s">
        <v>136</v>
      </c>
      <c r="H83" s="13" t="s">
        <v>137</v>
      </c>
      <c r="I83" s="13"/>
      <c r="J83" s="13"/>
      <c r="K83" s="13">
        <v>224</v>
      </c>
      <c r="L83" s="13">
        <v>27</v>
      </c>
      <c r="M83" s="13">
        <v>3</v>
      </c>
      <c r="N83" s="13" t="s">
        <v>3</v>
      </c>
      <c r="O83" s="13">
        <v>2</v>
      </c>
      <c r="P83" s="13">
        <f>ROUND(Source!EJ55,O83)</f>
        <v>222733.34</v>
      </c>
      <c r="Q83" s="13"/>
      <c r="R83" s="13"/>
      <c r="S83" s="13"/>
      <c r="T83" s="13"/>
      <c r="U83" s="13"/>
      <c r="V83" s="13"/>
      <c r="W83" s="13">
        <v>4169.76</v>
      </c>
      <c r="X83" s="13">
        <v>1</v>
      </c>
      <c r="Y83" s="13">
        <v>4169.76</v>
      </c>
      <c r="Z83" s="13">
        <v>222733.34</v>
      </c>
      <c r="AA83" s="13">
        <v>1</v>
      </c>
      <c r="AB83" s="13">
        <v>222733.34</v>
      </c>
    </row>
    <row r="85" spans="1:255" ht="13" x14ac:dyDescent="0.3">
      <c r="A85" s="10">
        <v>4</v>
      </c>
      <c r="B85" s="10">
        <v>1</v>
      </c>
      <c r="C85" s="10"/>
      <c r="D85" s="10">
        <f>ROW(A126)</f>
        <v>126</v>
      </c>
      <c r="E85" s="10"/>
      <c r="F85" s="10" t="s">
        <v>19</v>
      </c>
      <c r="G85" s="10" t="s">
        <v>138</v>
      </c>
      <c r="H85" s="10" t="s">
        <v>3</v>
      </c>
      <c r="I85" s="10">
        <v>0</v>
      </c>
      <c r="J85" s="10"/>
      <c r="K85" s="10">
        <v>-1</v>
      </c>
      <c r="L85" s="10"/>
      <c r="M85" s="10" t="s">
        <v>3</v>
      </c>
      <c r="N85" s="10"/>
      <c r="O85" s="10"/>
      <c r="P85" s="10"/>
      <c r="Q85" s="10"/>
      <c r="R85" s="10"/>
      <c r="S85" s="10">
        <v>0</v>
      </c>
      <c r="T85" s="10">
        <v>0</v>
      </c>
      <c r="U85" s="10" t="s">
        <v>3</v>
      </c>
      <c r="V85" s="10">
        <v>0</v>
      </c>
      <c r="W85" s="10"/>
      <c r="X85" s="10"/>
      <c r="Y85" s="10"/>
      <c r="Z85" s="10"/>
      <c r="AA85" s="10"/>
      <c r="AB85" s="10" t="s">
        <v>3</v>
      </c>
      <c r="AC85" s="10" t="s">
        <v>3</v>
      </c>
      <c r="AD85" s="10" t="s">
        <v>3</v>
      </c>
      <c r="AE85" s="10" t="s">
        <v>3</v>
      </c>
      <c r="AF85" s="10" t="s">
        <v>3</v>
      </c>
      <c r="AG85" s="10" t="s">
        <v>3</v>
      </c>
      <c r="AH85" s="10"/>
      <c r="AI85" s="10"/>
      <c r="AJ85" s="10"/>
      <c r="AK85" s="10"/>
      <c r="AL85" s="10"/>
      <c r="AM85" s="10"/>
      <c r="AN85" s="10"/>
      <c r="AO85" s="10"/>
      <c r="AP85" s="10" t="s">
        <v>3</v>
      </c>
      <c r="AQ85" s="10" t="s">
        <v>3</v>
      </c>
      <c r="AR85" s="10" t="s">
        <v>3</v>
      </c>
      <c r="AS85" s="10"/>
      <c r="AT85" s="10"/>
      <c r="AU85" s="10"/>
      <c r="AV85" s="10"/>
      <c r="AW85" s="10"/>
      <c r="AX85" s="10"/>
      <c r="AY85" s="10"/>
      <c r="AZ85" s="10" t="s">
        <v>3</v>
      </c>
      <c r="BA85" s="10"/>
      <c r="BB85" s="10" t="s">
        <v>3</v>
      </c>
      <c r="BC85" s="10" t="s">
        <v>3</v>
      </c>
      <c r="BD85" s="10" t="s">
        <v>3</v>
      </c>
      <c r="BE85" s="10" t="s">
        <v>3</v>
      </c>
      <c r="BF85" s="10" t="s">
        <v>3</v>
      </c>
      <c r="BG85" s="10" t="s">
        <v>3</v>
      </c>
      <c r="BH85" s="10" t="s">
        <v>3</v>
      </c>
      <c r="BI85" s="10" t="s">
        <v>3</v>
      </c>
      <c r="BJ85" s="10" t="s">
        <v>3</v>
      </c>
      <c r="BK85" s="10" t="s">
        <v>3</v>
      </c>
      <c r="BL85" s="10" t="s">
        <v>3</v>
      </c>
      <c r="BM85" s="10" t="s">
        <v>3</v>
      </c>
      <c r="BN85" s="10" t="s">
        <v>3</v>
      </c>
      <c r="BO85" s="10" t="s">
        <v>3</v>
      </c>
      <c r="BP85" s="10" t="s">
        <v>3</v>
      </c>
      <c r="BQ85" s="10"/>
      <c r="BR85" s="10"/>
      <c r="BS85" s="10"/>
      <c r="BT85" s="10"/>
      <c r="BU85" s="10"/>
      <c r="BV85" s="10"/>
      <c r="BW85" s="10"/>
      <c r="BX85" s="10">
        <v>0</v>
      </c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>
        <v>0</v>
      </c>
    </row>
    <row r="87" spans="1:255" ht="13" x14ac:dyDescent="0.3">
      <c r="A87" s="11">
        <v>52</v>
      </c>
      <c r="B87" s="11">
        <f t="shared" ref="B87:G87" si="66">B126</f>
        <v>1</v>
      </c>
      <c r="C87" s="11">
        <f t="shared" si="66"/>
        <v>4</v>
      </c>
      <c r="D87" s="11">
        <f t="shared" si="66"/>
        <v>85</v>
      </c>
      <c r="E87" s="11">
        <f t="shared" si="66"/>
        <v>0</v>
      </c>
      <c r="F87" s="11" t="str">
        <f t="shared" si="66"/>
        <v>1</v>
      </c>
      <c r="G87" s="11" t="str">
        <f t="shared" si="66"/>
        <v>Оборудование</v>
      </c>
      <c r="H87" s="11"/>
      <c r="I87" s="11"/>
      <c r="J87" s="11"/>
      <c r="K87" s="11"/>
      <c r="L87" s="11"/>
      <c r="M87" s="11"/>
      <c r="N87" s="11"/>
      <c r="O87" s="11">
        <f t="shared" ref="O87:AT87" si="67">O126</f>
        <v>434300.84</v>
      </c>
      <c r="P87" s="11">
        <f t="shared" si="67"/>
        <v>431525.17</v>
      </c>
      <c r="Q87" s="11">
        <f t="shared" si="67"/>
        <v>33.64</v>
      </c>
      <c r="R87" s="11">
        <f t="shared" si="67"/>
        <v>4.22</v>
      </c>
      <c r="S87" s="11">
        <f t="shared" si="67"/>
        <v>2742.03</v>
      </c>
      <c r="T87" s="11">
        <f t="shared" si="67"/>
        <v>0</v>
      </c>
      <c r="U87" s="11">
        <f t="shared" si="67"/>
        <v>183.8942424</v>
      </c>
      <c r="V87" s="11">
        <f t="shared" si="67"/>
        <v>0</v>
      </c>
      <c r="W87" s="11">
        <f t="shared" si="67"/>
        <v>0</v>
      </c>
      <c r="X87" s="11">
        <f t="shared" si="67"/>
        <v>2492.5300000000002</v>
      </c>
      <c r="Y87" s="11">
        <f t="shared" si="67"/>
        <v>1292.56</v>
      </c>
      <c r="Z87" s="11">
        <f t="shared" si="67"/>
        <v>0</v>
      </c>
      <c r="AA87" s="11">
        <f t="shared" si="67"/>
        <v>0</v>
      </c>
      <c r="AB87" s="11">
        <f t="shared" si="67"/>
        <v>434300.84</v>
      </c>
      <c r="AC87" s="11">
        <f t="shared" si="67"/>
        <v>431525.17</v>
      </c>
      <c r="AD87" s="11">
        <f t="shared" si="67"/>
        <v>33.64</v>
      </c>
      <c r="AE87" s="11">
        <f t="shared" si="67"/>
        <v>4.22</v>
      </c>
      <c r="AF87" s="11">
        <f t="shared" si="67"/>
        <v>2742.03</v>
      </c>
      <c r="AG87" s="11">
        <f t="shared" si="67"/>
        <v>0</v>
      </c>
      <c r="AH87" s="11">
        <f t="shared" si="67"/>
        <v>183.8942424</v>
      </c>
      <c r="AI87" s="11">
        <f t="shared" si="67"/>
        <v>0</v>
      </c>
      <c r="AJ87" s="11">
        <f t="shared" si="67"/>
        <v>0</v>
      </c>
      <c r="AK87" s="11">
        <f t="shared" si="67"/>
        <v>2492.5300000000002</v>
      </c>
      <c r="AL87" s="11">
        <f t="shared" si="67"/>
        <v>1292.56</v>
      </c>
      <c r="AM87" s="11">
        <f t="shared" si="67"/>
        <v>0</v>
      </c>
      <c r="AN87" s="11">
        <f t="shared" si="67"/>
        <v>0</v>
      </c>
      <c r="AO87" s="11">
        <f t="shared" si="67"/>
        <v>0</v>
      </c>
      <c r="AP87" s="11">
        <f t="shared" si="67"/>
        <v>431465.1</v>
      </c>
      <c r="AQ87" s="11">
        <f t="shared" si="67"/>
        <v>0</v>
      </c>
      <c r="AR87" s="11">
        <f t="shared" si="67"/>
        <v>438085.93</v>
      </c>
      <c r="AS87" s="11">
        <f t="shared" si="67"/>
        <v>0</v>
      </c>
      <c r="AT87" s="11">
        <f t="shared" si="67"/>
        <v>6620.83</v>
      </c>
      <c r="AU87" s="11">
        <f t="shared" ref="AU87:BZ87" si="68">AU126</f>
        <v>0</v>
      </c>
      <c r="AV87" s="11">
        <f t="shared" si="68"/>
        <v>431525.17</v>
      </c>
      <c r="AW87" s="11">
        <f t="shared" si="68"/>
        <v>60.07</v>
      </c>
      <c r="AX87" s="11">
        <f t="shared" si="68"/>
        <v>0</v>
      </c>
      <c r="AY87" s="11">
        <f t="shared" si="68"/>
        <v>60.07</v>
      </c>
      <c r="AZ87" s="11">
        <f t="shared" si="68"/>
        <v>431465.1</v>
      </c>
      <c r="BA87" s="11">
        <f t="shared" si="68"/>
        <v>0</v>
      </c>
      <c r="BB87" s="11">
        <f t="shared" si="68"/>
        <v>0</v>
      </c>
      <c r="BC87" s="11">
        <f t="shared" si="68"/>
        <v>0</v>
      </c>
      <c r="BD87" s="11">
        <f t="shared" si="68"/>
        <v>0</v>
      </c>
      <c r="BE87" s="11">
        <f t="shared" si="68"/>
        <v>0</v>
      </c>
      <c r="BF87" s="11">
        <f t="shared" si="68"/>
        <v>0</v>
      </c>
      <c r="BG87" s="11">
        <f t="shared" si="68"/>
        <v>0</v>
      </c>
      <c r="BH87" s="11">
        <f t="shared" si="68"/>
        <v>0</v>
      </c>
      <c r="BI87" s="11">
        <f t="shared" si="68"/>
        <v>0</v>
      </c>
      <c r="BJ87" s="11">
        <f t="shared" si="68"/>
        <v>0</v>
      </c>
      <c r="BK87" s="11">
        <f t="shared" si="68"/>
        <v>0</v>
      </c>
      <c r="BL87" s="11">
        <f t="shared" si="68"/>
        <v>0</v>
      </c>
      <c r="BM87" s="11">
        <f t="shared" si="68"/>
        <v>0</v>
      </c>
      <c r="BN87" s="11">
        <f t="shared" si="68"/>
        <v>0</v>
      </c>
      <c r="BO87" s="11">
        <f t="shared" si="68"/>
        <v>0</v>
      </c>
      <c r="BP87" s="11">
        <f t="shared" si="68"/>
        <v>0</v>
      </c>
      <c r="BQ87" s="11">
        <f t="shared" si="68"/>
        <v>0</v>
      </c>
      <c r="BR87" s="11">
        <f t="shared" si="68"/>
        <v>0</v>
      </c>
      <c r="BS87" s="11">
        <f t="shared" si="68"/>
        <v>0</v>
      </c>
      <c r="BT87" s="11">
        <f t="shared" si="68"/>
        <v>0</v>
      </c>
      <c r="BU87" s="11">
        <f t="shared" si="68"/>
        <v>0</v>
      </c>
      <c r="BV87" s="11">
        <f t="shared" si="68"/>
        <v>0</v>
      </c>
      <c r="BW87" s="11">
        <f t="shared" si="68"/>
        <v>0</v>
      </c>
      <c r="BX87" s="11">
        <f t="shared" si="68"/>
        <v>0</v>
      </c>
      <c r="BY87" s="11">
        <f t="shared" si="68"/>
        <v>431465.1</v>
      </c>
      <c r="BZ87" s="11">
        <f t="shared" si="68"/>
        <v>0</v>
      </c>
      <c r="CA87" s="11">
        <f t="shared" ref="CA87:DF87" si="69">CA126</f>
        <v>438085.93</v>
      </c>
      <c r="CB87" s="11">
        <f t="shared" si="69"/>
        <v>0</v>
      </c>
      <c r="CC87" s="11">
        <f t="shared" si="69"/>
        <v>6620.83</v>
      </c>
      <c r="CD87" s="11">
        <f t="shared" si="69"/>
        <v>0</v>
      </c>
      <c r="CE87" s="11">
        <f t="shared" si="69"/>
        <v>431525.17</v>
      </c>
      <c r="CF87" s="11">
        <f t="shared" si="69"/>
        <v>60.070000000006985</v>
      </c>
      <c r="CG87" s="11">
        <f t="shared" si="69"/>
        <v>0</v>
      </c>
      <c r="CH87" s="11">
        <f t="shared" si="69"/>
        <v>60.070000000006985</v>
      </c>
      <c r="CI87" s="11">
        <f t="shared" si="69"/>
        <v>431465.1</v>
      </c>
      <c r="CJ87" s="11">
        <f t="shared" si="69"/>
        <v>0</v>
      </c>
      <c r="CK87" s="11">
        <f t="shared" si="69"/>
        <v>0</v>
      </c>
      <c r="CL87" s="11">
        <f t="shared" si="69"/>
        <v>0</v>
      </c>
      <c r="CM87" s="11">
        <f t="shared" si="69"/>
        <v>0</v>
      </c>
      <c r="CN87" s="11">
        <f t="shared" si="69"/>
        <v>0</v>
      </c>
      <c r="CO87" s="11">
        <f t="shared" si="69"/>
        <v>0</v>
      </c>
      <c r="CP87" s="11">
        <f t="shared" si="69"/>
        <v>0</v>
      </c>
      <c r="CQ87" s="11">
        <f t="shared" si="69"/>
        <v>0</v>
      </c>
      <c r="CR87" s="11">
        <f t="shared" si="69"/>
        <v>0</v>
      </c>
      <c r="CS87" s="11">
        <f t="shared" si="69"/>
        <v>0</v>
      </c>
      <c r="CT87" s="11">
        <f t="shared" si="69"/>
        <v>0</v>
      </c>
      <c r="CU87" s="11">
        <f t="shared" si="69"/>
        <v>0</v>
      </c>
      <c r="CV87" s="11">
        <f t="shared" si="69"/>
        <v>0</v>
      </c>
      <c r="CW87" s="11">
        <f t="shared" si="69"/>
        <v>0</v>
      </c>
      <c r="CX87" s="11">
        <f t="shared" si="69"/>
        <v>0</v>
      </c>
      <c r="CY87" s="11">
        <f t="shared" si="69"/>
        <v>0</v>
      </c>
      <c r="CZ87" s="11">
        <f t="shared" si="69"/>
        <v>0</v>
      </c>
      <c r="DA87" s="11">
        <f t="shared" si="69"/>
        <v>0</v>
      </c>
      <c r="DB87" s="11">
        <f t="shared" si="69"/>
        <v>0</v>
      </c>
      <c r="DC87" s="11">
        <f t="shared" si="69"/>
        <v>0</v>
      </c>
      <c r="DD87" s="11">
        <f t="shared" si="69"/>
        <v>0</v>
      </c>
      <c r="DE87" s="11">
        <f t="shared" si="69"/>
        <v>0</v>
      </c>
      <c r="DF87" s="11">
        <f t="shared" si="69"/>
        <v>0</v>
      </c>
      <c r="DG87" s="12">
        <f t="shared" ref="DG87:EL87" si="70">DG126</f>
        <v>3430500.62</v>
      </c>
      <c r="DH87" s="12">
        <f t="shared" si="70"/>
        <v>3275458.49</v>
      </c>
      <c r="DI87" s="12">
        <f t="shared" si="70"/>
        <v>528.74</v>
      </c>
      <c r="DJ87" s="12">
        <f t="shared" si="70"/>
        <v>237.81</v>
      </c>
      <c r="DK87" s="12">
        <f t="shared" si="70"/>
        <v>154513.39000000001</v>
      </c>
      <c r="DL87" s="12">
        <f t="shared" si="70"/>
        <v>0</v>
      </c>
      <c r="DM87" s="12">
        <f t="shared" si="70"/>
        <v>183.8942424</v>
      </c>
      <c r="DN87" s="12">
        <f t="shared" si="70"/>
        <v>0</v>
      </c>
      <c r="DO87" s="12">
        <f t="shared" si="70"/>
        <v>0</v>
      </c>
      <c r="DP87" s="12">
        <f t="shared" si="70"/>
        <v>140454.57999999999</v>
      </c>
      <c r="DQ87" s="12">
        <f t="shared" si="70"/>
        <v>72835.48</v>
      </c>
      <c r="DR87" s="12">
        <f t="shared" si="70"/>
        <v>0</v>
      </c>
      <c r="DS87" s="12">
        <f t="shared" si="70"/>
        <v>0</v>
      </c>
      <c r="DT87" s="12">
        <f t="shared" si="70"/>
        <v>3430500.62</v>
      </c>
      <c r="DU87" s="12">
        <f t="shared" si="70"/>
        <v>3275458.49</v>
      </c>
      <c r="DV87" s="12">
        <f t="shared" si="70"/>
        <v>528.74</v>
      </c>
      <c r="DW87" s="12">
        <f t="shared" si="70"/>
        <v>237.81</v>
      </c>
      <c r="DX87" s="12">
        <f t="shared" si="70"/>
        <v>154513.39000000001</v>
      </c>
      <c r="DY87" s="12">
        <f t="shared" si="70"/>
        <v>0</v>
      </c>
      <c r="DZ87" s="12">
        <f t="shared" si="70"/>
        <v>183.8942424</v>
      </c>
      <c r="EA87" s="12">
        <f t="shared" si="70"/>
        <v>0</v>
      </c>
      <c r="EB87" s="12">
        <f t="shared" si="70"/>
        <v>0</v>
      </c>
      <c r="EC87" s="12">
        <f t="shared" si="70"/>
        <v>140454.57999999999</v>
      </c>
      <c r="ED87" s="12">
        <f t="shared" si="70"/>
        <v>72835.48</v>
      </c>
      <c r="EE87" s="12">
        <f t="shared" si="70"/>
        <v>0</v>
      </c>
      <c r="EF87" s="12">
        <f t="shared" si="70"/>
        <v>0</v>
      </c>
      <c r="EG87" s="12">
        <f t="shared" si="70"/>
        <v>0</v>
      </c>
      <c r="EH87" s="12">
        <f t="shared" si="70"/>
        <v>3274499.57</v>
      </c>
      <c r="EI87" s="12">
        <f t="shared" si="70"/>
        <v>0</v>
      </c>
      <c r="EJ87" s="12">
        <f t="shared" si="70"/>
        <v>3643790.68</v>
      </c>
      <c r="EK87" s="12">
        <f t="shared" si="70"/>
        <v>0</v>
      </c>
      <c r="EL87" s="12">
        <f t="shared" si="70"/>
        <v>369291.11</v>
      </c>
      <c r="EM87" s="12">
        <f t="shared" ref="EM87:FR87" si="71">EM126</f>
        <v>0</v>
      </c>
      <c r="EN87" s="12">
        <f t="shared" si="71"/>
        <v>3275458.49</v>
      </c>
      <c r="EO87" s="12">
        <f t="shared" si="71"/>
        <v>958.92</v>
      </c>
      <c r="EP87" s="12">
        <f t="shared" si="71"/>
        <v>0</v>
      </c>
      <c r="EQ87" s="12">
        <f t="shared" si="71"/>
        <v>958.92</v>
      </c>
      <c r="ER87" s="12">
        <f t="shared" si="71"/>
        <v>3274499.57</v>
      </c>
      <c r="ES87" s="12">
        <f t="shared" si="71"/>
        <v>0</v>
      </c>
      <c r="ET87" s="12">
        <f t="shared" si="71"/>
        <v>0</v>
      </c>
      <c r="EU87" s="12">
        <f t="shared" si="71"/>
        <v>0</v>
      </c>
      <c r="EV87" s="12">
        <f t="shared" si="71"/>
        <v>0</v>
      </c>
      <c r="EW87" s="12">
        <f t="shared" si="71"/>
        <v>0</v>
      </c>
      <c r="EX87" s="12">
        <f t="shared" si="71"/>
        <v>0</v>
      </c>
      <c r="EY87" s="12">
        <f t="shared" si="71"/>
        <v>0</v>
      </c>
      <c r="EZ87" s="12">
        <f t="shared" si="71"/>
        <v>0</v>
      </c>
      <c r="FA87" s="12">
        <f t="shared" si="71"/>
        <v>0</v>
      </c>
      <c r="FB87" s="12">
        <f t="shared" si="71"/>
        <v>0</v>
      </c>
      <c r="FC87" s="12">
        <f t="shared" si="71"/>
        <v>0</v>
      </c>
      <c r="FD87" s="12">
        <f t="shared" si="71"/>
        <v>0</v>
      </c>
      <c r="FE87" s="12">
        <f t="shared" si="71"/>
        <v>0</v>
      </c>
      <c r="FF87" s="12">
        <f t="shared" si="71"/>
        <v>0</v>
      </c>
      <c r="FG87" s="12">
        <f t="shared" si="71"/>
        <v>0</v>
      </c>
      <c r="FH87" s="12">
        <f t="shared" si="71"/>
        <v>0</v>
      </c>
      <c r="FI87" s="12">
        <f t="shared" si="71"/>
        <v>0</v>
      </c>
      <c r="FJ87" s="12">
        <f t="shared" si="71"/>
        <v>0</v>
      </c>
      <c r="FK87" s="12">
        <f t="shared" si="71"/>
        <v>0</v>
      </c>
      <c r="FL87" s="12">
        <f t="shared" si="71"/>
        <v>0</v>
      </c>
      <c r="FM87" s="12">
        <f t="shared" si="71"/>
        <v>0</v>
      </c>
      <c r="FN87" s="12">
        <f t="shared" si="71"/>
        <v>0</v>
      </c>
      <c r="FO87" s="12">
        <f t="shared" si="71"/>
        <v>0</v>
      </c>
      <c r="FP87" s="12">
        <f t="shared" si="71"/>
        <v>0</v>
      </c>
      <c r="FQ87" s="12">
        <f t="shared" si="71"/>
        <v>3274499.57</v>
      </c>
      <c r="FR87" s="12">
        <f t="shared" si="71"/>
        <v>0</v>
      </c>
      <c r="FS87" s="12">
        <f t="shared" ref="FS87:GX87" si="72">FS126</f>
        <v>3643790.68</v>
      </c>
      <c r="FT87" s="12">
        <f t="shared" si="72"/>
        <v>0</v>
      </c>
      <c r="FU87" s="12">
        <f t="shared" si="72"/>
        <v>369291.11</v>
      </c>
      <c r="FV87" s="12">
        <f t="shared" si="72"/>
        <v>0</v>
      </c>
      <c r="FW87" s="12">
        <f t="shared" si="72"/>
        <v>3275458.49</v>
      </c>
      <c r="FX87" s="12">
        <f t="shared" si="72"/>
        <v>958.92000000039116</v>
      </c>
      <c r="FY87" s="12">
        <f t="shared" si="72"/>
        <v>0</v>
      </c>
      <c r="FZ87" s="12">
        <f t="shared" si="72"/>
        <v>958.92000000039116</v>
      </c>
      <c r="GA87" s="12">
        <f t="shared" si="72"/>
        <v>3274499.57</v>
      </c>
      <c r="GB87" s="12">
        <f t="shared" si="72"/>
        <v>0</v>
      </c>
      <c r="GC87" s="12">
        <f t="shared" si="72"/>
        <v>0</v>
      </c>
      <c r="GD87" s="12">
        <f t="shared" si="72"/>
        <v>0</v>
      </c>
      <c r="GE87" s="12">
        <f t="shared" si="72"/>
        <v>0</v>
      </c>
      <c r="GF87" s="12">
        <f t="shared" si="72"/>
        <v>0</v>
      </c>
      <c r="GG87" s="12">
        <f t="shared" si="72"/>
        <v>0</v>
      </c>
      <c r="GH87" s="12">
        <f t="shared" si="72"/>
        <v>0</v>
      </c>
      <c r="GI87" s="12">
        <f t="shared" si="72"/>
        <v>0</v>
      </c>
      <c r="GJ87" s="12">
        <f t="shared" si="72"/>
        <v>0</v>
      </c>
      <c r="GK87" s="12">
        <f t="shared" si="72"/>
        <v>0</v>
      </c>
      <c r="GL87" s="12">
        <f t="shared" si="72"/>
        <v>0</v>
      </c>
      <c r="GM87" s="12">
        <f t="shared" si="72"/>
        <v>0</v>
      </c>
      <c r="GN87" s="12">
        <f t="shared" si="72"/>
        <v>0</v>
      </c>
      <c r="GO87" s="12">
        <f t="shared" si="72"/>
        <v>0</v>
      </c>
      <c r="GP87" s="12">
        <f t="shared" si="72"/>
        <v>0</v>
      </c>
      <c r="GQ87" s="12">
        <f t="shared" si="72"/>
        <v>0</v>
      </c>
      <c r="GR87" s="12">
        <f t="shared" si="72"/>
        <v>0</v>
      </c>
      <c r="GS87" s="12">
        <f t="shared" si="72"/>
        <v>0</v>
      </c>
      <c r="GT87" s="12">
        <f t="shared" si="72"/>
        <v>0</v>
      </c>
      <c r="GU87" s="12">
        <f t="shared" si="72"/>
        <v>0</v>
      </c>
      <c r="GV87" s="12">
        <f t="shared" si="72"/>
        <v>0</v>
      </c>
      <c r="GW87" s="12">
        <f t="shared" si="72"/>
        <v>0</v>
      </c>
      <c r="GX87" s="12">
        <f t="shared" si="72"/>
        <v>0</v>
      </c>
    </row>
    <row r="89" spans="1:255" x14ac:dyDescent="0.25">
      <c r="A89" s="2">
        <v>17</v>
      </c>
      <c r="B89" s="2">
        <v>1</v>
      </c>
      <c r="C89" s="2">
        <f>ROW(SmtRes!A101)</f>
        <v>101</v>
      </c>
      <c r="D89" s="2">
        <f>ROW(EtalonRes!A125)</f>
        <v>125</v>
      </c>
      <c r="E89" s="2" t="s">
        <v>139</v>
      </c>
      <c r="F89" s="2" t="s">
        <v>20</v>
      </c>
      <c r="G89" s="2" t="s">
        <v>140</v>
      </c>
      <c r="H89" s="2" t="s">
        <v>22</v>
      </c>
      <c r="I89" s="2">
        <f>ROUND(20/10,9)</f>
        <v>2</v>
      </c>
      <c r="J89" s="2">
        <v>0</v>
      </c>
      <c r="K89" s="2">
        <f>ROUND(20/10,9)</f>
        <v>2</v>
      </c>
      <c r="L89" s="2"/>
      <c r="M89" s="2"/>
      <c r="N89" s="2"/>
      <c r="O89" s="2">
        <f t="shared" ref="O89:O124" si="73">ROUND(CP89,2)</f>
        <v>1188.72</v>
      </c>
      <c r="P89" s="2">
        <f t="shared" ref="P89:P100" si="74">ROUND((ROUND((AC89*AW89*I89),2)*BC89),2)</f>
        <v>2.58</v>
      </c>
      <c r="Q89" s="2">
        <f>(ROUND((ROUND((((ET89*1.2))*AV89*I89),2)*BB89),2)+ROUND((ROUND(((AE89-((EU89*1.2)))*AV89*I89),2)*BS89),2))</f>
        <v>2.76</v>
      </c>
      <c r="R89" s="2">
        <f>(ROUND((ROUND((((EU89*1.2))*AV89*I89),2)*BS89),2)+ROUND((ROUND(((AE89-((EU89*1.2)))*AV89*I89),2)*BS89),2))</f>
        <v>0.33</v>
      </c>
      <c r="S89" s="2">
        <f t="shared" ref="S89:S124" si="75">ROUND((ROUND((AF89*AV89*I89),2)*BA89),2)</f>
        <v>1183.3800000000001</v>
      </c>
      <c r="T89" s="2">
        <f t="shared" ref="T89:T124" si="76">ROUND(CU89*I89,2)</f>
        <v>0</v>
      </c>
      <c r="U89" s="2">
        <f t="shared" ref="U89:U124" si="77">CV89*I89</f>
        <v>75.283487999999991</v>
      </c>
      <c r="V89" s="2">
        <f t="shared" ref="V89:V124" si="78">CW89*I89</f>
        <v>0</v>
      </c>
      <c r="W89" s="2">
        <f t="shared" ref="W89:W124" si="79">ROUND(CX89*I89,2)</f>
        <v>0</v>
      </c>
      <c r="X89" s="2">
        <f>(ROUND((((S89+ROUND((ROUND((((EU89*1.2))*AV89*I89),2)*BS89),2))*AT89)/100),2)+ROUND(((ROUND((ROUND(((AE89-((EU89*1.2)))*AV89*I89),2)*BS89),2)*AT89)/100),2))</f>
        <v>1065.3399999999999</v>
      </c>
      <c r="Y89" s="2">
        <f>(ROUND((((S89+ROUND((ROUND((((EU89*1.2))*AV89*I89),2)*BS89),2))*AU89)/100),2)+ROUND(((ROUND((ROUND(((AE89-((EU89*1.2)))*AV89*I89),2)*BS89),2)*AU89)/100),2))</f>
        <v>544.51</v>
      </c>
      <c r="Z89" s="2"/>
      <c r="AA89" s="2">
        <v>55936046</v>
      </c>
      <c r="AB89" s="2">
        <f t="shared" ref="AB89:AB124" si="80">ROUND((AC89+AD89+AF89),6)</f>
        <v>567.73800000000006</v>
      </c>
      <c r="AC89" s="2">
        <f>ROUND(((ES89*1)),6)</f>
        <v>1.29</v>
      </c>
      <c r="AD89" s="2">
        <f>ROUND(((((ET89*1.2))-((EU89*1.2)))+AE89),6)</f>
        <v>1.32</v>
      </c>
      <c r="AE89" s="2">
        <f>ROUND(((EU89*1.2)),6)</f>
        <v>0.156</v>
      </c>
      <c r="AF89" s="2">
        <f>ROUND(((EV89*1.2)),6)</f>
        <v>565.12800000000004</v>
      </c>
      <c r="AG89" s="2">
        <f t="shared" ref="AG89:AG124" si="81">ROUND((AP89),6)</f>
        <v>0</v>
      </c>
      <c r="AH89" s="2">
        <f>((EW89*1.2))</f>
        <v>35.951999999999998</v>
      </c>
      <c r="AI89" s="2">
        <f>((EX89*1.2))</f>
        <v>0</v>
      </c>
      <c r="AJ89" s="2">
        <f t="shared" ref="AJ89:AJ124" si="82">(AS89)</f>
        <v>0</v>
      </c>
      <c r="AK89" s="2">
        <v>473.33</v>
      </c>
      <c r="AL89" s="2">
        <v>1.29</v>
      </c>
      <c r="AM89" s="2">
        <v>1.1000000000000001</v>
      </c>
      <c r="AN89" s="2">
        <v>0.13</v>
      </c>
      <c r="AO89" s="2">
        <v>470.94</v>
      </c>
      <c r="AP89" s="2">
        <v>0</v>
      </c>
      <c r="AQ89" s="2">
        <v>29.96</v>
      </c>
      <c r="AR89" s="2">
        <v>0</v>
      </c>
      <c r="AS89" s="2">
        <v>0</v>
      </c>
      <c r="AT89" s="2">
        <v>90</v>
      </c>
      <c r="AU89" s="2">
        <v>46</v>
      </c>
      <c r="AV89" s="2">
        <v>1.0469999999999999</v>
      </c>
      <c r="AW89" s="2">
        <v>1</v>
      </c>
      <c r="AX89" s="2"/>
      <c r="AY89" s="2"/>
      <c r="AZ89" s="2">
        <v>1</v>
      </c>
      <c r="BA89" s="2">
        <v>1</v>
      </c>
      <c r="BB89" s="2">
        <v>1</v>
      </c>
      <c r="BC89" s="2">
        <v>1</v>
      </c>
      <c r="BD89" s="2" t="s">
        <v>3</v>
      </c>
      <c r="BE89" s="2" t="s">
        <v>3</v>
      </c>
      <c r="BF89" s="2" t="s">
        <v>3</v>
      </c>
      <c r="BG89" s="2" t="s">
        <v>3</v>
      </c>
      <c r="BH89" s="2">
        <v>0</v>
      </c>
      <c r="BI89" s="2">
        <v>2</v>
      </c>
      <c r="BJ89" s="2" t="s">
        <v>23</v>
      </c>
      <c r="BK89" s="2"/>
      <c r="BL89" s="2"/>
      <c r="BM89" s="2">
        <v>68</v>
      </c>
      <c r="BN89" s="2">
        <v>0</v>
      </c>
      <c r="BO89" s="2" t="s">
        <v>20</v>
      </c>
      <c r="BP89" s="2">
        <v>1</v>
      </c>
      <c r="BQ89" s="2">
        <v>40</v>
      </c>
      <c r="BR89" s="2">
        <v>0</v>
      </c>
      <c r="BS89" s="2">
        <v>1</v>
      </c>
      <c r="BT89" s="2">
        <v>1</v>
      </c>
      <c r="BU89" s="2">
        <v>1</v>
      </c>
      <c r="BV89" s="2">
        <v>1</v>
      </c>
      <c r="BW89" s="2">
        <v>1</v>
      </c>
      <c r="BX89" s="2">
        <v>1</v>
      </c>
      <c r="BY89" s="2" t="s">
        <v>3</v>
      </c>
      <c r="BZ89" s="2">
        <v>90</v>
      </c>
      <c r="CA89" s="2">
        <v>46</v>
      </c>
      <c r="CB89" s="2" t="s">
        <v>3</v>
      </c>
      <c r="CC89" s="2"/>
      <c r="CD89" s="2"/>
      <c r="CE89" s="2">
        <v>1566</v>
      </c>
      <c r="CF89" s="2">
        <v>0</v>
      </c>
      <c r="CG89" s="2">
        <v>0</v>
      </c>
      <c r="CH89" s="2"/>
      <c r="CI89" s="2"/>
      <c r="CJ89" s="2"/>
      <c r="CK89" s="2"/>
      <c r="CL89" s="2"/>
      <c r="CM89" s="2">
        <v>0</v>
      </c>
      <c r="CN89" s="2" t="s">
        <v>422</v>
      </c>
      <c r="CO89" s="2">
        <v>0</v>
      </c>
      <c r="CP89" s="2">
        <f t="shared" ref="CP89:CP124" si="83">(P89+Q89+S89)</f>
        <v>1188.72</v>
      </c>
      <c r="CQ89" s="2">
        <f t="shared" ref="CQ89:CQ100" si="84">ROUND((ROUND((AC89*AW89*1),2)*BC89),2)</f>
        <v>1.29</v>
      </c>
      <c r="CR89" s="2">
        <f>(ROUND((ROUND((((ET89*1.2))*AV89*1),2)*BB89),2)+ROUND((ROUND(((AE89-((EU89*1.2)))*AV89*1),2)*BS89),2))</f>
        <v>1.38</v>
      </c>
      <c r="CS89" s="2">
        <f>(ROUND((ROUND((((EU89*1.2))*AV89*1),2)*BS89),2)+ROUND((ROUND(((AE89-((EU89*1.2)))*AV89*1),2)*BS89),2))</f>
        <v>0.16</v>
      </c>
      <c r="CT89" s="2">
        <f t="shared" ref="CT89:CT124" si="85">ROUND((ROUND((AF89*AV89*1),2)*BA89),2)</f>
        <v>591.69000000000005</v>
      </c>
      <c r="CU89" s="2">
        <f t="shared" ref="CU89:CU124" si="86">AG89</f>
        <v>0</v>
      </c>
      <c r="CV89" s="2">
        <f t="shared" ref="CV89:CV124" si="87">(AH89*AV89)</f>
        <v>37.641743999999996</v>
      </c>
      <c r="CW89" s="2">
        <f t="shared" ref="CW89:CW124" si="88">AI89</f>
        <v>0</v>
      </c>
      <c r="CX89" s="2">
        <f t="shared" ref="CX89:CX124" si="89">AJ89</f>
        <v>0</v>
      </c>
      <c r="CY89" s="2">
        <f>(ROUND((((S89+ROUND((ROUND((((EU89*1.2))*AV89*1),2)*BS89),2))*AT89)/100),2)+ROUND(((ROUND((ROUND(((AE89-((EU89*1.2)))*AV89*1),2)*BS89),2)*AT89)/100),2))</f>
        <v>1065.19</v>
      </c>
      <c r="CZ89" s="2">
        <f>(ROUND((((S89+ROUND((ROUND((((EU89*1.2))*AV89*1),2)*BS89),2))*AU89)/100),2)+ROUND(((ROUND((ROUND(((AE89-((EU89*1.2)))*AV89*1),2)*BS89),2)*AU89)/100),2))</f>
        <v>544.42999999999995</v>
      </c>
      <c r="DA89" s="2"/>
      <c r="DB89" s="2">
        <v>47</v>
      </c>
      <c r="DC89" s="2" t="s">
        <v>3</v>
      </c>
      <c r="DD89" s="2" t="s">
        <v>62</v>
      </c>
      <c r="DE89" s="2" t="s">
        <v>63</v>
      </c>
      <c r="DF89" s="2" t="s">
        <v>63</v>
      </c>
      <c r="DG89" s="2" t="s">
        <v>63</v>
      </c>
      <c r="DH89" s="2" t="s">
        <v>3</v>
      </c>
      <c r="DI89" s="2" t="s">
        <v>63</v>
      </c>
      <c r="DJ89" s="2" t="s">
        <v>63</v>
      </c>
      <c r="DK89" s="2" t="s">
        <v>3</v>
      </c>
      <c r="DL89" s="2" t="s">
        <v>3</v>
      </c>
      <c r="DM89" s="2" t="s">
        <v>3</v>
      </c>
      <c r="DN89" s="2">
        <v>0</v>
      </c>
      <c r="DO89" s="2">
        <v>0</v>
      </c>
      <c r="DP89" s="2">
        <v>1</v>
      </c>
      <c r="DQ89" s="2">
        <v>1</v>
      </c>
      <c r="DR89" s="2"/>
      <c r="DS89" s="2"/>
      <c r="DT89" s="2"/>
      <c r="DU89" s="2">
        <v>1010</v>
      </c>
      <c r="DV89" s="2" t="s">
        <v>22</v>
      </c>
      <c r="DW89" s="2" t="s">
        <v>22</v>
      </c>
      <c r="DX89" s="2">
        <v>10</v>
      </c>
      <c r="DY89" s="2"/>
      <c r="DZ89" s="2" t="s">
        <v>3</v>
      </c>
      <c r="EA89" s="2" t="s">
        <v>3</v>
      </c>
      <c r="EB89" s="2" t="s">
        <v>3</v>
      </c>
      <c r="EC89" s="2" t="s">
        <v>3</v>
      </c>
      <c r="ED89" s="2"/>
      <c r="EE89" s="2">
        <v>55393700</v>
      </c>
      <c r="EF89" s="2">
        <v>40</v>
      </c>
      <c r="EG89" s="2" t="s">
        <v>26</v>
      </c>
      <c r="EH89" s="2">
        <v>0</v>
      </c>
      <c r="EI89" s="2" t="s">
        <v>3</v>
      </c>
      <c r="EJ89" s="2">
        <v>2</v>
      </c>
      <c r="EK89" s="2">
        <v>68</v>
      </c>
      <c r="EL89" s="2" t="s">
        <v>27</v>
      </c>
      <c r="EM89" s="2" t="s">
        <v>28</v>
      </c>
      <c r="EN89" s="2"/>
      <c r="EO89" s="2" t="s">
        <v>67</v>
      </c>
      <c r="EP89" s="2"/>
      <c r="EQ89" s="2">
        <v>0</v>
      </c>
      <c r="ER89" s="2">
        <v>473.33</v>
      </c>
      <c r="ES89" s="2">
        <v>1.29</v>
      </c>
      <c r="ET89" s="2">
        <v>1.1000000000000001</v>
      </c>
      <c r="EU89" s="2">
        <v>0.13</v>
      </c>
      <c r="EV89" s="2">
        <v>470.94</v>
      </c>
      <c r="EW89" s="2">
        <v>29.96</v>
      </c>
      <c r="EX89" s="2">
        <v>0</v>
      </c>
      <c r="EY89" s="2">
        <v>0</v>
      </c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>
        <v>0</v>
      </c>
      <c r="FR89" s="2">
        <v>0</v>
      </c>
      <c r="FS89" s="2">
        <v>0</v>
      </c>
      <c r="FT89" s="2"/>
      <c r="FU89" s="2"/>
      <c r="FV89" s="2"/>
      <c r="FW89" s="2"/>
      <c r="FX89" s="2">
        <v>90</v>
      </c>
      <c r="FY89" s="2">
        <v>46</v>
      </c>
      <c r="FZ89" s="2"/>
      <c r="GA89" s="2" t="s">
        <v>3</v>
      </c>
      <c r="GB89" s="2"/>
      <c r="GC89" s="2"/>
      <c r="GD89" s="2">
        <v>1</v>
      </c>
      <c r="GE89" s="2"/>
      <c r="GF89" s="2">
        <v>968422704</v>
      </c>
      <c r="GG89" s="2">
        <v>2</v>
      </c>
      <c r="GH89" s="2">
        <v>1</v>
      </c>
      <c r="GI89" s="2">
        <v>2</v>
      </c>
      <c r="GJ89" s="2">
        <v>0</v>
      </c>
      <c r="GK89" s="2">
        <v>0</v>
      </c>
      <c r="GL89" s="2">
        <f t="shared" ref="GL89:GL124" si="90">ROUND(IF(AND(BH89=3,BI89=3,FS89&lt;&gt;0),P89,0),2)</f>
        <v>0</v>
      </c>
      <c r="GM89" s="2">
        <f t="shared" ref="GM89:GM124" si="91">ROUND(O89+X89+Y89,2)+GX89</f>
        <v>2798.57</v>
      </c>
      <c r="GN89" s="2">
        <f t="shared" ref="GN89:GN124" si="92">IF(OR(BI89=0,BI89=1),GM89-GX89,0)</f>
        <v>0</v>
      </c>
      <c r="GO89" s="2">
        <f t="shared" ref="GO89:GO124" si="93">IF(BI89=2,GM89-GX89,0)</f>
        <v>2798.57</v>
      </c>
      <c r="GP89" s="2">
        <f t="shared" ref="GP89:GP124" si="94">IF(BI89=4,GM89-GX89,0)</f>
        <v>0</v>
      </c>
      <c r="GQ89" s="2"/>
      <c r="GR89" s="2">
        <v>0</v>
      </c>
      <c r="GS89" s="2">
        <v>3</v>
      </c>
      <c r="GT89" s="2">
        <v>0</v>
      </c>
      <c r="GU89" s="2" t="s">
        <v>3</v>
      </c>
      <c r="GV89" s="2">
        <f t="shared" ref="GV89:GV124" si="95">ROUND((GT89),6)</f>
        <v>0</v>
      </c>
      <c r="GW89" s="2">
        <v>1</v>
      </c>
      <c r="GX89" s="2">
        <f t="shared" ref="GX89:GX124" si="96">ROUND(HC89*I89,2)</f>
        <v>0</v>
      </c>
      <c r="GY89" s="2"/>
      <c r="GZ89" s="2"/>
      <c r="HA89" s="2">
        <v>0</v>
      </c>
      <c r="HB89" s="2">
        <v>0</v>
      </c>
      <c r="HC89" s="2">
        <f t="shared" ref="HC89:HC124" si="97">GV89*GW89</f>
        <v>0</v>
      </c>
      <c r="HD89" s="2"/>
      <c r="HE89" s="2" t="s">
        <v>3</v>
      </c>
      <c r="HF89" s="2" t="s">
        <v>3</v>
      </c>
      <c r="HG89" s="2"/>
      <c r="HH89" s="2"/>
      <c r="HI89" s="2"/>
      <c r="HJ89" s="2"/>
      <c r="HK89" s="2"/>
      <c r="HL89" s="2"/>
      <c r="HM89" s="2" t="s">
        <v>3</v>
      </c>
      <c r="HN89" s="2" t="s">
        <v>3</v>
      </c>
      <c r="HO89" s="2" t="s">
        <v>3</v>
      </c>
      <c r="HP89" s="2" t="s">
        <v>3</v>
      </c>
      <c r="HQ89" s="2" t="s">
        <v>3</v>
      </c>
      <c r="HR89" s="2"/>
      <c r="HS89" s="2">
        <v>0</v>
      </c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>
        <v>0</v>
      </c>
      <c r="IL89" s="2"/>
      <c r="IM89" s="2"/>
      <c r="IN89" s="2"/>
      <c r="IO89" s="2"/>
      <c r="IP89" s="2"/>
      <c r="IQ89" s="2"/>
      <c r="IR89" s="2"/>
      <c r="IS89" s="2"/>
      <c r="IT89" s="2"/>
      <c r="IU89" s="2"/>
    </row>
    <row r="90" spans="1:255" x14ac:dyDescent="0.25">
      <c r="A90" s="3">
        <v>17</v>
      </c>
      <c r="B90" s="3">
        <v>1</v>
      </c>
      <c r="C90" s="3">
        <f>ROW(SmtRes!A106)</f>
        <v>106</v>
      </c>
      <c r="D90" s="3">
        <f>ROW(EtalonRes!A130)</f>
        <v>130</v>
      </c>
      <c r="E90" s="3" t="s">
        <v>139</v>
      </c>
      <c r="F90" s="3" t="s">
        <v>20</v>
      </c>
      <c r="G90" s="3" t="s">
        <v>140</v>
      </c>
      <c r="H90" s="3" t="s">
        <v>22</v>
      </c>
      <c r="I90" s="3">
        <f>ROUND(20/10,9)</f>
        <v>2</v>
      </c>
      <c r="J90" s="3">
        <v>0</v>
      </c>
      <c r="K90" s="3">
        <f>ROUND(20/10,9)</f>
        <v>2</v>
      </c>
      <c r="O90" s="3">
        <f t="shared" si="73"/>
        <v>66745.289999999994</v>
      </c>
      <c r="P90" s="3">
        <f t="shared" si="74"/>
        <v>19.63</v>
      </c>
      <c r="Q90" s="3">
        <f>(ROUND((ROUND((((ET90*1.2))*AV90*I90),2)*BB90),2)+ROUND((ROUND(((AE90-((EU90*1.2)))*AV90*I90),2)*BS90),2))</f>
        <v>42.2</v>
      </c>
      <c r="R90" s="3">
        <f>(ROUND((ROUND((((EU90*1.2))*AV90*I90),2)*BS90),2)+ROUND((ROUND(((AE90-((EU90*1.2)))*AV90*I90),2)*BS90),2))</f>
        <v>18.600000000000001</v>
      </c>
      <c r="S90" s="3">
        <f t="shared" si="75"/>
        <v>66683.460000000006</v>
      </c>
      <c r="T90" s="3">
        <f t="shared" si="76"/>
        <v>0</v>
      </c>
      <c r="U90" s="3">
        <f t="shared" si="77"/>
        <v>75.283487999999991</v>
      </c>
      <c r="V90" s="3">
        <f t="shared" si="78"/>
        <v>0</v>
      </c>
      <c r="W90" s="3">
        <f t="shared" si="79"/>
        <v>0</v>
      </c>
      <c r="X90" s="3">
        <f>(ROUND((((S90+ROUND((ROUND((((EU90*1.2))*AV90*I90),2)*BS90),2))*AT90)/100),2)+ROUND(((ROUND((ROUND(((AE90-((EU90*1.2)))*AV90*I90),2)*BS90),2)*AT90)/100),2))</f>
        <v>60031.85</v>
      </c>
      <c r="Y90" s="3">
        <f>(ROUND((((S90+ROUND((ROUND((((EU90*1.2))*AV90*I90),2)*BS90),2))*AU90)/100),2)+ROUND(((ROUND((ROUND(((AE90-((EU90*1.2)))*AV90*I90),2)*BS90),2)*AU90)/100),2))</f>
        <v>30682.95</v>
      </c>
      <c r="AA90" s="3">
        <v>55936048</v>
      </c>
      <c r="AB90" s="3">
        <f t="shared" si="80"/>
        <v>567.73800000000006</v>
      </c>
      <c r="AC90" s="3">
        <f>ROUND(((ES90*1)),6)</f>
        <v>1.29</v>
      </c>
      <c r="AD90" s="3">
        <f>ROUND(((((ET90*1.2))-((EU90*1.2)))+AE90),6)</f>
        <v>1.32</v>
      </c>
      <c r="AE90" s="3">
        <f>ROUND(((EU90*1.2)),6)</f>
        <v>0.156</v>
      </c>
      <c r="AF90" s="3">
        <f>ROUND(((EV90*1.2)),6)</f>
        <v>565.12800000000004</v>
      </c>
      <c r="AG90" s="3">
        <f t="shared" si="81"/>
        <v>0</v>
      </c>
      <c r="AH90" s="3">
        <f>((EW90*1.2))</f>
        <v>35.951999999999998</v>
      </c>
      <c r="AI90" s="3">
        <f>((EX90*1.2))</f>
        <v>0</v>
      </c>
      <c r="AJ90" s="3">
        <f t="shared" si="82"/>
        <v>0</v>
      </c>
      <c r="AK90" s="3">
        <v>473.33</v>
      </c>
      <c r="AL90" s="3">
        <v>1.29</v>
      </c>
      <c r="AM90" s="3">
        <v>1.1000000000000001</v>
      </c>
      <c r="AN90" s="3">
        <v>0.13</v>
      </c>
      <c r="AO90" s="3">
        <v>470.94</v>
      </c>
      <c r="AP90" s="3">
        <v>0</v>
      </c>
      <c r="AQ90" s="3">
        <v>29.96</v>
      </c>
      <c r="AR90" s="3">
        <v>0</v>
      </c>
      <c r="AS90" s="3">
        <v>0</v>
      </c>
      <c r="AT90" s="3">
        <v>90</v>
      </c>
      <c r="AU90" s="3">
        <v>46</v>
      </c>
      <c r="AV90" s="3">
        <v>1.0469999999999999</v>
      </c>
      <c r="AW90" s="3">
        <v>1</v>
      </c>
      <c r="AZ90" s="3">
        <v>1</v>
      </c>
      <c r="BA90" s="3">
        <v>56.35</v>
      </c>
      <c r="BB90" s="3">
        <v>15.29</v>
      </c>
      <c r="BC90" s="3">
        <v>7.61</v>
      </c>
      <c r="BD90" s="3" t="s">
        <v>3</v>
      </c>
      <c r="BE90" s="3" t="s">
        <v>3</v>
      </c>
      <c r="BF90" s="3" t="s">
        <v>3</v>
      </c>
      <c r="BG90" s="3" t="s">
        <v>3</v>
      </c>
      <c r="BH90" s="3">
        <v>0</v>
      </c>
      <c r="BI90" s="3">
        <v>2</v>
      </c>
      <c r="BJ90" s="3" t="s">
        <v>23</v>
      </c>
      <c r="BM90" s="3">
        <v>68</v>
      </c>
      <c r="BN90" s="3">
        <v>0</v>
      </c>
      <c r="BO90" s="3" t="s">
        <v>20</v>
      </c>
      <c r="BP90" s="3">
        <v>1</v>
      </c>
      <c r="BQ90" s="3">
        <v>40</v>
      </c>
      <c r="BR90" s="3">
        <v>0</v>
      </c>
      <c r="BS90" s="3">
        <v>56.35</v>
      </c>
      <c r="BT90" s="3">
        <v>1</v>
      </c>
      <c r="BU90" s="3">
        <v>1</v>
      </c>
      <c r="BV90" s="3">
        <v>1</v>
      </c>
      <c r="BW90" s="3">
        <v>1</v>
      </c>
      <c r="BX90" s="3">
        <v>1</v>
      </c>
      <c r="BY90" s="3" t="s">
        <v>3</v>
      </c>
      <c r="BZ90" s="3">
        <v>90</v>
      </c>
      <c r="CA90" s="3">
        <v>46</v>
      </c>
      <c r="CB90" s="3" t="s">
        <v>3</v>
      </c>
      <c r="CE90" s="3">
        <v>1566</v>
      </c>
      <c r="CF90" s="3">
        <v>0</v>
      </c>
      <c r="CG90" s="3">
        <v>0</v>
      </c>
      <c r="CM90" s="3">
        <v>0</v>
      </c>
      <c r="CN90" s="3" t="s">
        <v>422</v>
      </c>
      <c r="CO90" s="3">
        <v>0</v>
      </c>
      <c r="CP90" s="3">
        <f t="shared" si="83"/>
        <v>66745.290000000008</v>
      </c>
      <c r="CQ90" s="3">
        <f t="shared" si="84"/>
        <v>9.82</v>
      </c>
      <c r="CR90" s="3">
        <f>(ROUND((ROUND((((ET90*1.2))*AV90*1),2)*BB90),2)+ROUND((ROUND(((AE90-((EU90*1.2)))*AV90*1),2)*BS90),2))</f>
        <v>21.1</v>
      </c>
      <c r="CS90" s="3">
        <f>(ROUND((ROUND((((EU90*1.2))*AV90*1),2)*BS90),2)+ROUND((ROUND(((AE90-((EU90*1.2)))*AV90*1),2)*BS90),2))</f>
        <v>9.02</v>
      </c>
      <c r="CT90" s="3">
        <f t="shared" si="85"/>
        <v>33341.730000000003</v>
      </c>
      <c r="CU90" s="3">
        <f t="shared" si="86"/>
        <v>0</v>
      </c>
      <c r="CV90" s="3">
        <f t="shared" si="87"/>
        <v>37.641743999999996</v>
      </c>
      <c r="CW90" s="3">
        <f t="shared" si="88"/>
        <v>0</v>
      </c>
      <c r="CX90" s="3">
        <f t="shared" si="89"/>
        <v>0</v>
      </c>
      <c r="CY90" s="3">
        <f>(ROUND((((S90+ROUND((ROUND((((EU90*1.2))*AV90*1),2)*BS90),2))*AT90)/100),2)+ROUND(((ROUND((ROUND(((AE90-((EU90*1.2)))*AV90*1),2)*BS90),2)*AT90)/100),2))</f>
        <v>60023.23</v>
      </c>
      <c r="CZ90" s="3">
        <f>(ROUND((((S90+ROUND((ROUND((((EU90*1.2))*AV90*1),2)*BS90),2))*AU90)/100),2)+ROUND(((ROUND((ROUND(((AE90-((EU90*1.2)))*AV90*1),2)*BS90),2)*AU90)/100),2))</f>
        <v>30678.54</v>
      </c>
      <c r="DB90" s="3">
        <v>48</v>
      </c>
      <c r="DC90" s="3" t="s">
        <v>3</v>
      </c>
      <c r="DD90" s="3" t="s">
        <v>62</v>
      </c>
      <c r="DE90" s="3" t="s">
        <v>63</v>
      </c>
      <c r="DF90" s="3" t="s">
        <v>63</v>
      </c>
      <c r="DG90" s="3" t="s">
        <v>63</v>
      </c>
      <c r="DH90" s="3" t="s">
        <v>3</v>
      </c>
      <c r="DI90" s="3" t="s">
        <v>63</v>
      </c>
      <c r="DJ90" s="3" t="s">
        <v>63</v>
      </c>
      <c r="DK90" s="3" t="s">
        <v>3</v>
      </c>
      <c r="DL90" s="3" t="s">
        <v>3</v>
      </c>
      <c r="DM90" s="3" t="s">
        <v>3</v>
      </c>
      <c r="DN90" s="3">
        <v>0</v>
      </c>
      <c r="DO90" s="3">
        <v>0</v>
      </c>
      <c r="DP90" s="3">
        <v>1</v>
      </c>
      <c r="DQ90" s="3">
        <v>1</v>
      </c>
      <c r="DU90" s="3">
        <v>1010</v>
      </c>
      <c r="DV90" s="3" t="s">
        <v>22</v>
      </c>
      <c r="DW90" s="3" t="s">
        <v>22</v>
      </c>
      <c r="DX90" s="3">
        <v>10</v>
      </c>
      <c r="DZ90" s="3" t="s">
        <v>3</v>
      </c>
      <c r="EA90" s="3" t="s">
        <v>3</v>
      </c>
      <c r="EB90" s="3" t="s">
        <v>3</v>
      </c>
      <c r="EC90" s="3" t="s">
        <v>3</v>
      </c>
      <c r="EE90" s="3">
        <v>55393700</v>
      </c>
      <c r="EF90" s="3">
        <v>40</v>
      </c>
      <c r="EG90" s="3" t="s">
        <v>26</v>
      </c>
      <c r="EH90" s="3">
        <v>0</v>
      </c>
      <c r="EI90" s="3" t="s">
        <v>3</v>
      </c>
      <c r="EJ90" s="3">
        <v>2</v>
      </c>
      <c r="EK90" s="3">
        <v>68</v>
      </c>
      <c r="EL90" s="3" t="s">
        <v>27</v>
      </c>
      <c r="EM90" s="3" t="s">
        <v>28</v>
      </c>
      <c r="EO90" s="3" t="s">
        <v>67</v>
      </c>
      <c r="EQ90" s="3">
        <v>0</v>
      </c>
      <c r="ER90" s="3">
        <v>473.33</v>
      </c>
      <c r="ES90" s="3">
        <v>1.29</v>
      </c>
      <c r="ET90" s="3">
        <v>1.1000000000000001</v>
      </c>
      <c r="EU90" s="3">
        <v>0.13</v>
      </c>
      <c r="EV90" s="3">
        <v>470.94</v>
      </c>
      <c r="EW90" s="3">
        <v>29.96</v>
      </c>
      <c r="EX90" s="3">
        <v>0</v>
      </c>
      <c r="EY90" s="3">
        <v>0</v>
      </c>
      <c r="FQ90" s="3">
        <v>0</v>
      </c>
      <c r="FR90" s="3">
        <v>0</v>
      </c>
      <c r="FS90" s="3">
        <v>0</v>
      </c>
      <c r="FX90" s="3">
        <v>90</v>
      </c>
      <c r="FY90" s="3">
        <v>46</v>
      </c>
      <c r="GA90" s="3" t="s">
        <v>3</v>
      </c>
      <c r="GD90" s="3">
        <v>1</v>
      </c>
      <c r="GF90" s="3">
        <v>968422704</v>
      </c>
      <c r="GG90" s="3">
        <v>2</v>
      </c>
      <c r="GH90" s="3">
        <v>1</v>
      </c>
      <c r="GI90" s="3">
        <v>2</v>
      </c>
      <c r="GJ90" s="3">
        <v>0</v>
      </c>
      <c r="GK90" s="3">
        <v>0</v>
      </c>
      <c r="GL90" s="3">
        <f t="shared" si="90"/>
        <v>0</v>
      </c>
      <c r="GM90" s="3">
        <f t="shared" si="91"/>
        <v>157460.09</v>
      </c>
      <c r="GN90" s="3">
        <f t="shared" si="92"/>
        <v>0</v>
      </c>
      <c r="GO90" s="3">
        <f t="shared" si="93"/>
        <v>157460.09</v>
      </c>
      <c r="GP90" s="3">
        <f t="shared" si="94"/>
        <v>0</v>
      </c>
      <c r="GR90" s="3">
        <v>0</v>
      </c>
      <c r="GS90" s="3">
        <v>3</v>
      </c>
      <c r="GT90" s="3">
        <v>0</v>
      </c>
      <c r="GU90" s="3" t="s">
        <v>3</v>
      </c>
      <c r="GV90" s="3">
        <f t="shared" si="95"/>
        <v>0</v>
      </c>
      <c r="GW90" s="3">
        <v>1</v>
      </c>
      <c r="GX90" s="3">
        <f t="shared" si="96"/>
        <v>0</v>
      </c>
      <c r="HA90" s="3">
        <v>0</v>
      </c>
      <c r="HB90" s="3">
        <v>0</v>
      </c>
      <c r="HC90" s="3">
        <f t="shared" si="97"/>
        <v>0</v>
      </c>
      <c r="HE90" s="3" t="s">
        <v>3</v>
      </c>
      <c r="HF90" s="3" t="s">
        <v>3</v>
      </c>
      <c r="HM90" s="3" t="s">
        <v>3</v>
      </c>
      <c r="HN90" s="3" t="s">
        <v>3</v>
      </c>
      <c r="HO90" s="3" t="s">
        <v>3</v>
      </c>
      <c r="HP90" s="3" t="s">
        <v>3</v>
      </c>
      <c r="HQ90" s="3" t="s">
        <v>3</v>
      </c>
      <c r="HS90" s="3">
        <v>0</v>
      </c>
      <c r="IK90" s="3">
        <v>0</v>
      </c>
    </row>
    <row r="91" spans="1:255" x14ac:dyDescent="0.25">
      <c r="A91" s="2">
        <v>18</v>
      </c>
      <c r="B91" s="2">
        <v>1</v>
      </c>
      <c r="C91" s="2">
        <v>101</v>
      </c>
      <c r="D91" s="2"/>
      <c r="E91" s="2" t="s">
        <v>141</v>
      </c>
      <c r="F91" s="2" t="s">
        <v>142</v>
      </c>
      <c r="G91" s="2" t="s">
        <v>143</v>
      </c>
      <c r="H91" s="2" t="s">
        <v>144</v>
      </c>
      <c r="I91" s="2">
        <f>I89*J91</f>
        <v>20</v>
      </c>
      <c r="J91" s="2">
        <v>10</v>
      </c>
      <c r="K91" s="2">
        <v>10</v>
      </c>
      <c r="L91" s="2"/>
      <c r="M91" s="2"/>
      <c r="N91" s="2"/>
      <c r="O91" s="2">
        <f t="shared" si="73"/>
        <v>392501.8</v>
      </c>
      <c r="P91" s="2">
        <f t="shared" si="74"/>
        <v>392501.8</v>
      </c>
      <c r="Q91" s="2">
        <f>(ROUND((ROUND(((ET91)*AV91*I91),2)*BB91),2)+ROUND((ROUND(((AE91-(EU91))*AV91*I91),2)*BS91),2))</f>
        <v>0</v>
      </c>
      <c r="R91" s="2">
        <f>(ROUND((ROUND(((EU91)*AV91*I91),2)*BS91),2)+ROUND((ROUND(((AE91-(EU91))*AV91*I91),2)*BS91),2))</f>
        <v>0</v>
      </c>
      <c r="S91" s="2">
        <f t="shared" si="75"/>
        <v>0</v>
      </c>
      <c r="T91" s="2">
        <f t="shared" si="76"/>
        <v>0</v>
      </c>
      <c r="U91" s="2">
        <f t="shared" si="77"/>
        <v>0</v>
      </c>
      <c r="V91" s="2">
        <f t="shared" si="78"/>
        <v>0</v>
      </c>
      <c r="W91" s="2">
        <f t="shared" si="79"/>
        <v>0</v>
      </c>
      <c r="X91" s="2">
        <f>(ROUND((((S91+ROUND((ROUND(((EU91)*AV91*I91),2)*BS91),2))*AT91)/100),2)+ROUND(((ROUND((ROUND(((AE91-(EU91))*AV91*I91),2)*BS91),2)*AT91)/100),2))</f>
        <v>0</v>
      </c>
      <c r="Y91" s="2">
        <f>(ROUND((((S91+ROUND((ROUND(((EU91)*AV91*I91),2)*BS91),2))*AU91)/100),2)+ROUND(((ROUND((ROUND(((AE91-(EU91))*AV91*I91),2)*BS91),2)*AU91)/100),2))</f>
        <v>0</v>
      </c>
      <c r="Z91" s="2"/>
      <c r="AA91" s="2">
        <v>55936046</v>
      </c>
      <c r="AB91" s="2">
        <f t="shared" si="80"/>
        <v>19625.09</v>
      </c>
      <c r="AC91" s="2">
        <f>ROUND((ES91),6)</f>
        <v>19625.09</v>
      </c>
      <c r="AD91" s="2">
        <f>ROUND((((ET91)-(EU91))+AE91),6)</f>
        <v>0</v>
      </c>
      <c r="AE91" s="2">
        <f>ROUND((EU91),6)</f>
        <v>0</v>
      </c>
      <c r="AF91" s="2">
        <f>ROUND((EV91),6)</f>
        <v>0</v>
      </c>
      <c r="AG91" s="2">
        <f t="shared" si="81"/>
        <v>0</v>
      </c>
      <c r="AH91" s="2">
        <f>(EW91)</f>
        <v>0</v>
      </c>
      <c r="AI91" s="2">
        <f>(EX91)</f>
        <v>0</v>
      </c>
      <c r="AJ91" s="2">
        <f t="shared" si="82"/>
        <v>0</v>
      </c>
      <c r="AK91" s="2">
        <v>19625.09</v>
      </c>
      <c r="AL91" s="2">
        <v>19625.09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1</v>
      </c>
      <c r="AW91" s="2">
        <v>1</v>
      </c>
      <c r="AX91" s="2"/>
      <c r="AY91" s="2"/>
      <c r="AZ91" s="2">
        <v>1</v>
      </c>
      <c r="BA91" s="2">
        <v>1</v>
      </c>
      <c r="BB91" s="2">
        <v>1</v>
      </c>
      <c r="BC91" s="2">
        <v>1</v>
      </c>
      <c r="BD91" s="2" t="s">
        <v>3</v>
      </c>
      <c r="BE91" s="2" t="s">
        <v>3</v>
      </c>
      <c r="BF91" s="2" t="s">
        <v>3</v>
      </c>
      <c r="BG91" s="2" t="s">
        <v>3</v>
      </c>
      <c r="BH91" s="2">
        <v>3</v>
      </c>
      <c r="BI91" s="2">
        <v>3</v>
      </c>
      <c r="BJ91" s="2" t="s">
        <v>142</v>
      </c>
      <c r="BK91" s="2"/>
      <c r="BL91" s="2"/>
      <c r="BM91" s="2">
        <v>400007</v>
      </c>
      <c r="BN91" s="2">
        <v>0</v>
      </c>
      <c r="BO91" s="2" t="s">
        <v>3</v>
      </c>
      <c r="BP91" s="2">
        <v>0</v>
      </c>
      <c r="BQ91" s="2">
        <v>214</v>
      </c>
      <c r="BR91" s="2">
        <v>0</v>
      </c>
      <c r="BS91" s="2">
        <v>1</v>
      </c>
      <c r="BT91" s="2">
        <v>1</v>
      </c>
      <c r="BU91" s="2">
        <v>1</v>
      </c>
      <c r="BV91" s="2">
        <v>1</v>
      </c>
      <c r="BW91" s="2">
        <v>1</v>
      </c>
      <c r="BX91" s="2">
        <v>1</v>
      </c>
      <c r="BY91" s="2" t="s">
        <v>3</v>
      </c>
      <c r="BZ91" s="2">
        <v>90</v>
      </c>
      <c r="CA91" s="2">
        <v>46</v>
      </c>
      <c r="CB91" s="2" t="s">
        <v>3</v>
      </c>
      <c r="CC91" s="2"/>
      <c r="CD91" s="2"/>
      <c r="CE91" s="2">
        <v>1566</v>
      </c>
      <c r="CF91" s="2">
        <v>0</v>
      </c>
      <c r="CG91" s="2">
        <v>0</v>
      </c>
      <c r="CH91" s="2"/>
      <c r="CI91" s="2"/>
      <c r="CJ91" s="2"/>
      <c r="CK91" s="2"/>
      <c r="CL91" s="2"/>
      <c r="CM91" s="2">
        <v>0</v>
      </c>
      <c r="CN91" s="2" t="s">
        <v>423</v>
      </c>
      <c r="CO91" s="2">
        <v>0</v>
      </c>
      <c r="CP91" s="2">
        <f t="shared" si="83"/>
        <v>392501.8</v>
      </c>
      <c r="CQ91" s="2">
        <f t="shared" si="84"/>
        <v>19625.09</v>
      </c>
      <c r="CR91" s="2">
        <f>(ROUND((ROUND(((ET91)*AV91*1),2)*BB91),2)+ROUND((ROUND(((AE91-(EU91))*AV91*1),2)*BS91),2))</f>
        <v>0</v>
      </c>
      <c r="CS91" s="2">
        <f>(ROUND((ROUND(((EU91)*AV91*1),2)*BS91),2)+ROUND((ROUND(((AE91-(EU91))*AV91*1),2)*BS91),2))</f>
        <v>0</v>
      </c>
      <c r="CT91" s="2">
        <f t="shared" si="85"/>
        <v>0</v>
      </c>
      <c r="CU91" s="2">
        <f t="shared" si="86"/>
        <v>0</v>
      </c>
      <c r="CV91" s="2">
        <f t="shared" si="87"/>
        <v>0</v>
      </c>
      <c r="CW91" s="2">
        <f t="shared" si="88"/>
        <v>0</v>
      </c>
      <c r="CX91" s="2">
        <f t="shared" si="89"/>
        <v>0</v>
      </c>
      <c r="CY91" s="2">
        <f>(ROUND((((S91+ROUND((ROUND(((EU91)*AV91*1),2)*BS91),2))*AT91)/100),2)+ROUND(((ROUND((ROUND(((AE91-(EU91))*AV91*1),2)*BS91),2)*AT91)/100),2))</f>
        <v>0</v>
      </c>
      <c r="CZ91" s="2">
        <f>(ROUND((((S91+ROUND((ROUND(((EU91)*AV91*1),2)*BS91),2))*AU91)/100),2)+ROUND(((ROUND((ROUND(((AE91-(EU91))*AV91*1),2)*BS91),2)*AU91)/100),2))</f>
        <v>0</v>
      </c>
      <c r="DA91" s="2"/>
      <c r="DB91" s="2"/>
      <c r="DC91" s="2" t="s">
        <v>3</v>
      </c>
      <c r="DD91" s="2" t="s">
        <v>3</v>
      </c>
      <c r="DE91" s="2" t="s">
        <v>3</v>
      </c>
      <c r="DF91" s="2" t="s">
        <v>3</v>
      </c>
      <c r="DG91" s="2" t="s">
        <v>3</v>
      </c>
      <c r="DH91" s="2" t="s">
        <v>3</v>
      </c>
      <c r="DI91" s="2" t="s">
        <v>3</v>
      </c>
      <c r="DJ91" s="2" t="s">
        <v>3</v>
      </c>
      <c r="DK91" s="2" t="s">
        <v>3</v>
      </c>
      <c r="DL91" s="2" t="s">
        <v>3</v>
      </c>
      <c r="DM91" s="2" t="s">
        <v>3</v>
      </c>
      <c r="DN91" s="2">
        <v>0</v>
      </c>
      <c r="DO91" s="2">
        <v>0</v>
      </c>
      <c r="DP91" s="2">
        <v>1</v>
      </c>
      <c r="DQ91" s="2">
        <v>1</v>
      </c>
      <c r="DR91" s="2"/>
      <c r="DS91" s="2"/>
      <c r="DT91" s="2"/>
      <c r="DU91" s="2">
        <v>1013</v>
      </c>
      <c r="DV91" s="2" t="s">
        <v>144</v>
      </c>
      <c r="DW91" s="2" t="s">
        <v>144</v>
      </c>
      <c r="DX91" s="2">
        <v>1</v>
      </c>
      <c r="DY91" s="2"/>
      <c r="DZ91" s="2" t="s">
        <v>3</v>
      </c>
      <c r="EA91" s="2" t="s">
        <v>3</v>
      </c>
      <c r="EB91" s="2" t="s">
        <v>3</v>
      </c>
      <c r="EC91" s="2" t="s">
        <v>3</v>
      </c>
      <c r="ED91" s="2"/>
      <c r="EE91" s="2">
        <v>55393630</v>
      </c>
      <c r="EF91" s="2">
        <v>214</v>
      </c>
      <c r="EG91" s="2" t="s">
        <v>145</v>
      </c>
      <c r="EH91" s="2">
        <v>0</v>
      </c>
      <c r="EI91" s="2" t="s">
        <v>3</v>
      </c>
      <c r="EJ91" s="2">
        <v>3</v>
      </c>
      <c r="EK91" s="2">
        <v>400007</v>
      </c>
      <c r="EL91" s="2" t="s">
        <v>145</v>
      </c>
      <c r="EM91" s="2" t="s">
        <v>146</v>
      </c>
      <c r="EN91" s="2"/>
      <c r="EO91" s="2" t="s">
        <v>67</v>
      </c>
      <c r="EP91" s="2"/>
      <c r="EQ91" s="2">
        <v>16</v>
      </c>
      <c r="ER91" s="2">
        <v>0</v>
      </c>
      <c r="ES91" s="2">
        <v>19625.09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>
        <v>0</v>
      </c>
      <c r="FR91" s="2">
        <f>P91</f>
        <v>392501.8</v>
      </c>
      <c r="FS91" s="2">
        <v>0</v>
      </c>
      <c r="FT91" s="2"/>
      <c r="FU91" s="2"/>
      <c r="FV91" s="2"/>
      <c r="FW91" s="2"/>
      <c r="FX91" s="2">
        <v>90</v>
      </c>
      <c r="FY91" s="2">
        <v>46</v>
      </c>
      <c r="FZ91" s="2"/>
      <c r="GA91" s="2" t="s">
        <v>147</v>
      </c>
      <c r="GB91" s="2"/>
      <c r="GC91" s="2"/>
      <c r="GD91" s="2">
        <v>1</v>
      </c>
      <c r="GE91" s="2"/>
      <c r="GF91" s="2">
        <v>1023096474</v>
      </c>
      <c r="GG91" s="2">
        <v>2</v>
      </c>
      <c r="GH91" s="2">
        <v>4</v>
      </c>
      <c r="GI91" s="2">
        <v>-2</v>
      </c>
      <c r="GJ91" s="2">
        <v>0</v>
      </c>
      <c r="GK91" s="2">
        <v>0</v>
      </c>
      <c r="GL91" s="2">
        <f t="shared" si="90"/>
        <v>0</v>
      </c>
      <c r="GM91" s="2">
        <f t="shared" si="91"/>
        <v>392501.8</v>
      </c>
      <c r="GN91" s="2">
        <f t="shared" si="92"/>
        <v>0</v>
      </c>
      <c r="GO91" s="2">
        <f t="shared" si="93"/>
        <v>0</v>
      </c>
      <c r="GP91" s="2">
        <f t="shared" si="94"/>
        <v>0</v>
      </c>
      <c r="GQ91" s="2"/>
      <c r="GR91" s="2">
        <v>1</v>
      </c>
      <c r="GS91" s="2">
        <v>2</v>
      </c>
      <c r="GT91" s="2">
        <v>0</v>
      </c>
      <c r="GU91" s="2" t="s">
        <v>3</v>
      </c>
      <c r="GV91" s="2">
        <f t="shared" si="95"/>
        <v>0</v>
      </c>
      <c r="GW91" s="2">
        <v>1</v>
      </c>
      <c r="GX91" s="2">
        <f t="shared" si="96"/>
        <v>0</v>
      </c>
      <c r="GY91" s="2"/>
      <c r="GZ91" s="2"/>
      <c r="HA91" s="2">
        <v>0</v>
      </c>
      <c r="HB91" s="2">
        <v>0</v>
      </c>
      <c r="HC91" s="2">
        <f t="shared" si="97"/>
        <v>0</v>
      </c>
      <c r="HD91" s="2"/>
      <c r="HE91" s="2" t="s">
        <v>35</v>
      </c>
      <c r="HF91" s="2" t="s">
        <v>148</v>
      </c>
      <c r="HG91" s="2"/>
      <c r="HH91" s="2"/>
      <c r="HI91" s="2"/>
      <c r="HJ91" s="2"/>
      <c r="HK91" s="2"/>
      <c r="HL91" s="2"/>
      <c r="HM91" s="2" t="s">
        <v>3</v>
      </c>
      <c r="HN91" s="2" t="s">
        <v>3</v>
      </c>
      <c r="HO91" s="2" t="s">
        <v>3</v>
      </c>
      <c r="HP91" s="2" t="s">
        <v>3</v>
      </c>
      <c r="HQ91" s="2" t="s">
        <v>3</v>
      </c>
      <c r="HR91" s="2"/>
      <c r="HS91" s="2">
        <v>0</v>
      </c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>
        <v>0</v>
      </c>
      <c r="IL91" s="2"/>
      <c r="IM91" s="2"/>
      <c r="IN91" s="2"/>
      <c r="IO91" s="2"/>
      <c r="IP91" s="2"/>
      <c r="IQ91" s="2"/>
      <c r="IR91" s="2"/>
      <c r="IS91" s="2"/>
      <c r="IT91" s="2"/>
      <c r="IU91" s="2"/>
    </row>
    <row r="92" spans="1:255" x14ac:dyDescent="0.25">
      <c r="A92" s="3">
        <v>18</v>
      </c>
      <c r="B92" s="3">
        <v>1</v>
      </c>
      <c r="C92" s="3">
        <v>106</v>
      </c>
      <c r="E92" s="3" t="s">
        <v>141</v>
      </c>
      <c r="F92" s="3" t="s">
        <v>142</v>
      </c>
      <c r="G92" s="3" t="s">
        <v>143</v>
      </c>
      <c r="H92" s="3" t="s">
        <v>144</v>
      </c>
      <c r="I92" s="3">
        <f>I90*J92</f>
        <v>20</v>
      </c>
      <c r="J92" s="3">
        <v>10</v>
      </c>
      <c r="K92" s="3">
        <v>10</v>
      </c>
      <c r="O92" s="3">
        <f t="shared" si="73"/>
        <v>2971238.63</v>
      </c>
      <c r="P92" s="3">
        <f t="shared" si="74"/>
        <v>2971238.63</v>
      </c>
      <c r="Q92" s="3">
        <f>(ROUND((ROUND(((ET92)*AV92*I92),2)*BB92),2)+ROUND((ROUND(((AE92-(EU92))*AV92*I92),2)*BS92),2))</f>
        <v>0</v>
      </c>
      <c r="R92" s="3">
        <f>(ROUND((ROUND(((EU92)*AV92*I92),2)*BS92),2)+ROUND((ROUND(((AE92-(EU92))*AV92*I92),2)*BS92),2))</f>
        <v>0</v>
      </c>
      <c r="S92" s="3">
        <f t="shared" si="75"/>
        <v>0</v>
      </c>
      <c r="T92" s="3">
        <f t="shared" si="76"/>
        <v>0</v>
      </c>
      <c r="U92" s="3">
        <f t="shared" si="77"/>
        <v>0</v>
      </c>
      <c r="V92" s="3">
        <f t="shared" si="78"/>
        <v>0</v>
      </c>
      <c r="W92" s="3">
        <f t="shared" si="79"/>
        <v>0</v>
      </c>
      <c r="X92" s="3">
        <f>(ROUND((((S92+ROUND((ROUND(((EU92)*AV92*I92),2)*BS92),2))*AT92)/100),2)+ROUND(((ROUND((ROUND(((AE92-(EU92))*AV92*I92),2)*BS92),2)*AT92)/100),2))</f>
        <v>0</v>
      </c>
      <c r="Y92" s="3">
        <f>(ROUND((((S92+ROUND((ROUND(((EU92)*AV92*I92),2)*BS92),2))*AU92)/100),2)+ROUND(((ROUND((ROUND(((AE92-(EU92))*AV92*I92),2)*BS92),2)*AU92)/100),2))</f>
        <v>0</v>
      </c>
      <c r="AA92" s="3">
        <v>55936048</v>
      </c>
      <c r="AB92" s="3">
        <f t="shared" si="80"/>
        <v>19625.09</v>
      </c>
      <c r="AC92" s="3">
        <f>ROUND((ES92),6)</f>
        <v>19625.09</v>
      </c>
      <c r="AD92" s="3">
        <f>ROUND((((ET92)-(EU92))+AE92),6)</f>
        <v>0</v>
      </c>
      <c r="AE92" s="3">
        <f>ROUND((EU92),6)</f>
        <v>0</v>
      </c>
      <c r="AF92" s="3">
        <f>ROUND((EV92),6)</f>
        <v>0</v>
      </c>
      <c r="AG92" s="3">
        <f t="shared" si="81"/>
        <v>0</v>
      </c>
      <c r="AH92" s="3">
        <f>(EW92)</f>
        <v>0</v>
      </c>
      <c r="AI92" s="3">
        <f>(EX92)</f>
        <v>0</v>
      </c>
      <c r="AJ92" s="3">
        <f t="shared" si="82"/>
        <v>0</v>
      </c>
      <c r="AK92" s="3">
        <v>19625.09</v>
      </c>
      <c r="AL92" s="3">
        <v>19625.09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1</v>
      </c>
      <c r="AW92" s="3">
        <v>1</v>
      </c>
      <c r="AZ92" s="3">
        <v>1</v>
      </c>
      <c r="BA92" s="3">
        <v>1</v>
      </c>
      <c r="BB92" s="3">
        <v>1</v>
      </c>
      <c r="BC92" s="3">
        <v>7.57</v>
      </c>
      <c r="BD92" s="3" t="s">
        <v>3</v>
      </c>
      <c r="BE92" s="3" t="s">
        <v>3</v>
      </c>
      <c r="BF92" s="3" t="s">
        <v>3</v>
      </c>
      <c r="BG92" s="3" t="s">
        <v>3</v>
      </c>
      <c r="BH92" s="3">
        <v>3</v>
      </c>
      <c r="BI92" s="3">
        <v>3</v>
      </c>
      <c r="BJ92" s="3" t="s">
        <v>142</v>
      </c>
      <c r="BM92" s="3">
        <v>400007</v>
      </c>
      <c r="BN92" s="3">
        <v>0</v>
      </c>
      <c r="BO92" s="3" t="s">
        <v>3</v>
      </c>
      <c r="BP92" s="3">
        <v>0</v>
      </c>
      <c r="BQ92" s="3">
        <v>214</v>
      </c>
      <c r="BR92" s="3">
        <v>0</v>
      </c>
      <c r="BS92" s="3">
        <v>1</v>
      </c>
      <c r="BT92" s="3">
        <v>1</v>
      </c>
      <c r="BU92" s="3">
        <v>1</v>
      </c>
      <c r="BV92" s="3">
        <v>1</v>
      </c>
      <c r="BW92" s="3">
        <v>1</v>
      </c>
      <c r="BX92" s="3">
        <v>1</v>
      </c>
      <c r="BY92" s="3" t="s">
        <v>3</v>
      </c>
      <c r="BZ92" s="3">
        <v>90</v>
      </c>
      <c r="CA92" s="3">
        <v>46</v>
      </c>
      <c r="CB92" s="3" t="s">
        <v>3</v>
      </c>
      <c r="CE92" s="3">
        <v>1566</v>
      </c>
      <c r="CF92" s="3">
        <v>0</v>
      </c>
      <c r="CG92" s="3">
        <v>0</v>
      </c>
      <c r="CM92" s="3">
        <v>0</v>
      </c>
      <c r="CN92" s="3" t="s">
        <v>423</v>
      </c>
      <c r="CO92" s="3">
        <v>0</v>
      </c>
      <c r="CP92" s="3">
        <f t="shared" si="83"/>
        <v>2971238.63</v>
      </c>
      <c r="CQ92" s="3">
        <f t="shared" si="84"/>
        <v>148561.93</v>
      </c>
      <c r="CR92" s="3">
        <f>(ROUND((ROUND(((ET92)*AV92*1),2)*BB92),2)+ROUND((ROUND(((AE92-(EU92))*AV92*1),2)*BS92),2))</f>
        <v>0</v>
      </c>
      <c r="CS92" s="3">
        <f>(ROUND((ROUND(((EU92)*AV92*1),2)*BS92),2)+ROUND((ROUND(((AE92-(EU92))*AV92*1),2)*BS92),2))</f>
        <v>0</v>
      </c>
      <c r="CT92" s="3">
        <f t="shared" si="85"/>
        <v>0</v>
      </c>
      <c r="CU92" s="3">
        <f t="shared" si="86"/>
        <v>0</v>
      </c>
      <c r="CV92" s="3">
        <f t="shared" si="87"/>
        <v>0</v>
      </c>
      <c r="CW92" s="3">
        <f t="shared" si="88"/>
        <v>0</v>
      </c>
      <c r="CX92" s="3">
        <f t="shared" si="89"/>
        <v>0</v>
      </c>
      <c r="CY92" s="3">
        <f>(ROUND((((S92+ROUND((ROUND(((EU92)*AV92*1),2)*BS92),2))*AT92)/100),2)+ROUND(((ROUND((ROUND(((AE92-(EU92))*AV92*1),2)*BS92),2)*AT92)/100),2))</f>
        <v>0</v>
      </c>
      <c r="CZ92" s="3">
        <f>(ROUND((((S92+ROUND((ROUND(((EU92)*AV92*1),2)*BS92),2))*AU92)/100),2)+ROUND(((ROUND((ROUND(((AE92-(EU92))*AV92*1),2)*BS92),2)*AU92)/100),2))</f>
        <v>0</v>
      </c>
      <c r="DC92" s="3" t="s">
        <v>3</v>
      </c>
      <c r="DD92" s="3" t="s">
        <v>3</v>
      </c>
      <c r="DE92" s="3" t="s">
        <v>3</v>
      </c>
      <c r="DF92" s="3" t="s">
        <v>3</v>
      </c>
      <c r="DG92" s="3" t="s">
        <v>3</v>
      </c>
      <c r="DH92" s="3" t="s">
        <v>3</v>
      </c>
      <c r="DI92" s="3" t="s">
        <v>3</v>
      </c>
      <c r="DJ92" s="3" t="s">
        <v>3</v>
      </c>
      <c r="DK92" s="3" t="s">
        <v>3</v>
      </c>
      <c r="DL92" s="3" t="s">
        <v>3</v>
      </c>
      <c r="DM92" s="3" t="s">
        <v>3</v>
      </c>
      <c r="DN92" s="3">
        <v>0</v>
      </c>
      <c r="DO92" s="3">
        <v>0</v>
      </c>
      <c r="DP92" s="3">
        <v>1</v>
      </c>
      <c r="DQ92" s="3">
        <v>1</v>
      </c>
      <c r="DU92" s="3">
        <v>1013</v>
      </c>
      <c r="DV92" s="3" t="s">
        <v>144</v>
      </c>
      <c r="DW92" s="3" t="s">
        <v>144</v>
      </c>
      <c r="DX92" s="3">
        <v>1</v>
      </c>
      <c r="DZ92" s="3" t="s">
        <v>3</v>
      </c>
      <c r="EA92" s="3" t="s">
        <v>3</v>
      </c>
      <c r="EB92" s="3" t="s">
        <v>3</v>
      </c>
      <c r="EC92" s="3" t="s">
        <v>3</v>
      </c>
      <c r="EE92" s="3">
        <v>55393630</v>
      </c>
      <c r="EF92" s="3">
        <v>214</v>
      </c>
      <c r="EG92" s="3" t="s">
        <v>145</v>
      </c>
      <c r="EH92" s="3">
        <v>0</v>
      </c>
      <c r="EI92" s="3" t="s">
        <v>3</v>
      </c>
      <c r="EJ92" s="3">
        <v>3</v>
      </c>
      <c r="EK92" s="3">
        <v>400007</v>
      </c>
      <c r="EL92" s="3" t="s">
        <v>145</v>
      </c>
      <c r="EM92" s="3" t="s">
        <v>146</v>
      </c>
      <c r="EO92" s="3" t="s">
        <v>67</v>
      </c>
      <c r="EQ92" s="3">
        <v>16</v>
      </c>
      <c r="ER92" s="3">
        <v>0</v>
      </c>
      <c r="ES92" s="3">
        <v>19625.09</v>
      </c>
      <c r="ET92" s="3">
        <v>0</v>
      </c>
      <c r="EU92" s="3">
        <v>0</v>
      </c>
      <c r="EV92" s="3">
        <v>0</v>
      </c>
      <c r="EW92" s="3">
        <v>0</v>
      </c>
      <c r="EX92" s="3">
        <v>0</v>
      </c>
      <c r="EZ92" s="3">
        <v>5</v>
      </c>
      <c r="FC92" s="3">
        <v>1</v>
      </c>
      <c r="FD92" s="3">
        <v>18</v>
      </c>
      <c r="FF92" s="3">
        <v>173880</v>
      </c>
      <c r="FQ92" s="3">
        <v>0</v>
      </c>
      <c r="FR92" s="3">
        <f>P92</f>
        <v>2971238.63</v>
      </c>
      <c r="FS92" s="3">
        <v>0</v>
      </c>
      <c r="FX92" s="3">
        <v>90</v>
      </c>
      <c r="FY92" s="3">
        <v>46</v>
      </c>
      <c r="GA92" s="3" t="s">
        <v>147</v>
      </c>
      <c r="GD92" s="3">
        <v>1</v>
      </c>
      <c r="GF92" s="3">
        <v>1023096474</v>
      </c>
      <c r="GG92" s="3">
        <v>2</v>
      </c>
      <c r="GH92" s="3">
        <v>3</v>
      </c>
      <c r="GI92" s="3">
        <v>5</v>
      </c>
      <c r="GJ92" s="3">
        <v>0</v>
      </c>
      <c r="GK92" s="3">
        <v>0</v>
      </c>
      <c r="GL92" s="3">
        <f t="shared" si="90"/>
        <v>0</v>
      </c>
      <c r="GM92" s="3">
        <f t="shared" si="91"/>
        <v>2971238.63</v>
      </c>
      <c r="GN92" s="3">
        <f t="shared" si="92"/>
        <v>0</v>
      </c>
      <c r="GO92" s="3">
        <f t="shared" si="93"/>
        <v>0</v>
      </c>
      <c r="GP92" s="3">
        <f t="shared" si="94"/>
        <v>0</v>
      </c>
      <c r="GR92" s="3">
        <v>1</v>
      </c>
      <c r="GS92" s="3">
        <v>1</v>
      </c>
      <c r="GT92" s="3">
        <v>0</v>
      </c>
      <c r="GU92" s="3" t="s">
        <v>3</v>
      </c>
      <c r="GV92" s="3">
        <f t="shared" si="95"/>
        <v>0</v>
      </c>
      <c r="GW92" s="3">
        <v>1</v>
      </c>
      <c r="GX92" s="3">
        <f t="shared" si="96"/>
        <v>0</v>
      </c>
      <c r="HA92" s="3">
        <v>0</v>
      </c>
      <c r="HB92" s="3">
        <v>0</v>
      </c>
      <c r="HC92" s="3">
        <f t="shared" si="97"/>
        <v>0</v>
      </c>
      <c r="HE92" s="3" t="s">
        <v>35</v>
      </c>
      <c r="HF92" s="3" t="s">
        <v>148</v>
      </c>
      <c r="HM92" s="3" t="s">
        <v>3</v>
      </c>
      <c r="HN92" s="3" t="s">
        <v>3</v>
      </c>
      <c r="HO92" s="3" t="s">
        <v>3</v>
      </c>
      <c r="HP92" s="3" t="s">
        <v>3</v>
      </c>
      <c r="HQ92" s="3" t="s">
        <v>3</v>
      </c>
      <c r="HS92" s="3">
        <v>0</v>
      </c>
      <c r="IK92" s="3">
        <v>0</v>
      </c>
    </row>
    <row r="93" spans="1:255" x14ac:dyDescent="0.25">
      <c r="A93" s="2">
        <v>17</v>
      </c>
      <c r="B93" s="2">
        <v>1</v>
      </c>
      <c r="C93" s="2">
        <f>ROW(SmtRes!A109)</f>
        <v>109</v>
      </c>
      <c r="D93" s="2">
        <f>ROW(EtalonRes!A134)</f>
        <v>134</v>
      </c>
      <c r="E93" s="2" t="s">
        <v>149</v>
      </c>
      <c r="F93" s="2" t="s">
        <v>44</v>
      </c>
      <c r="G93" s="2" t="s">
        <v>150</v>
      </c>
      <c r="H93" s="2" t="s">
        <v>33</v>
      </c>
      <c r="I93" s="2">
        <v>21</v>
      </c>
      <c r="J93" s="2">
        <v>0</v>
      </c>
      <c r="K93" s="2">
        <v>21</v>
      </c>
      <c r="L93" s="2"/>
      <c r="M93" s="2"/>
      <c r="N93" s="2"/>
      <c r="O93" s="2">
        <f t="shared" si="73"/>
        <v>348.78</v>
      </c>
      <c r="P93" s="2">
        <f t="shared" si="74"/>
        <v>35.07</v>
      </c>
      <c r="Q93" s="2">
        <f>(ROUND((ROUND((((ET93*1.2))*AV93*I93),2)*BB93),2)+ROUND((ROUND(((AE93-((EU93*1.2)))*AV93*I93),2)*BS93),2))</f>
        <v>0</v>
      </c>
      <c r="R93" s="2">
        <f>(ROUND((ROUND((((EU93*1.2))*AV93*I93),2)*BS93),2)+ROUND((ROUND(((AE93-((EU93*1.2)))*AV93*I93),2)*BS93),2))</f>
        <v>0</v>
      </c>
      <c r="S93" s="2">
        <f t="shared" si="75"/>
        <v>313.70999999999998</v>
      </c>
      <c r="T93" s="2">
        <f t="shared" si="76"/>
        <v>0</v>
      </c>
      <c r="U93" s="2">
        <f t="shared" si="77"/>
        <v>26.384399999999999</v>
      </c>
      <c r="V93" s="2">
        <f t="shared" si="78"/>
        <v>0</v>
      </c>
      <c r="W93" s="2">
        <f t="shared" si="79"/>
        <v>0</v>
      </c>
      <c r="X93" s="2">
        <f>(ROUND((((S93+ROUND((ROUND((((EU93*1.2))*AV93*I93),2)*BS93),2))*AT93)/100),2)+ROUND(((ROUND((ROUND(((AE93-((EU93*1.2)))*AV93*I93),2)*BS93),2)*AT93)/100),2))</f>
        <v>298.02</v>
      </c>
      <c r="Y93" s="2">
        <f>(ROUND((((S93+ROUND((ROUND((((EU93*1.2))*AV93*I93),2)*BS93),2))*AU93)/100),2)+ROUND(((ROUND((ROUND(((AE93-((EU93*1.2)))*AV93*I93),2)*BS93),2)*AU93)/100),2))</f>
        <v>166.27</v>
      </c>
      <c r="Z93" s="2"/>
      <c r="AA93" s="2">
        <v>55936046</v>
      </c>
      <c r="AB93" s="2">
        <f t="shared" si="80"/>
        <v>15.938000000000001</v>
      </c>
      <c r="AC93" s="2">
        <f>ROUND(((ES93*1)),6)</f>
        <v>1.67</v>
      </c>
      <c r="AD93" s="2">
        <f>ROUND(((((ET93*1.2))-((EU93*1.2)))+AE93),6)</f>
        <v>0</v>
      </c>
      <c r="AE93" s="2">
        <f t="shared" ref="AE93:AF96" si="98">ROUND(((EU93*1.2)),6)</f>
        <v>0</v>
      </c>
      <c r="AF93" s="2">
        <f t="shared" si="98"/>
        <v>14.268000000000001</v>
      </c>
      <c r="AG93" s="2">
        <f t="shared" si="81"/>
        <v>0</v>
      </c>
      <c r="AH93" s="2">
        <f t="shared" ref="AH93:AI96" si="99">((EW93*1.2))</f>
        <v>1.2</v>
      </c>
      <c r="AI93" s="2">
        <f t="shared" si="99"/>
        <v>0</v>
      </c>
      <c r="AJ93" s="2">
        <f t="shared" si="82"/>
        <v>0</v>
      </c>
      <c r="AK93" s="2">
        <v>13.56</v>
      </c>
      <c r="AL93" s="2">
        <v>1.67</v>
      </c>
      <c r="AM93" s="2">
        <v>0</v>
      </c>
      <c r="AN93" s="2">
        <v>0</v>
      </c>
      <c r="AO93" s="2">
        <v>11.89</v>
      </c>
      <c r="AP93" s="2">
        <v>0</v>
      </c>
      <c r="AQ93" s="2">
        <v>1</v>
      </c>
      <c r="AR93" s="2">
        <v>0</v>
      </c>
      <c r="AS93" s="2">
        <v>0</v>
      </c>
      <c r="AT93" s="2">
        <v>95</v>
      </c>
      <c r="AU93" s="2">
        <v>53</v>
      </c>
      <c r="AV93" s="2">
        <v>1.0469999999999999</v>
      </c>
      <c r="AW93" s="2">
        <v>1</v>
      </c>
      <c r="AX93" s="2"/>
      <c r="AY93" s="2"/>
      <c r="AZ93" s="2">
        <v>1</v>
      </c>
      <c r="BA93" s="2">
        <v>1</v>
      </c>
      <c r="BB93" s="2">
        <v>1</v>
      </c>
      <c r="BC93" s="2">
        <v>1</v>
      </c>
      <c r="BD93" s="2" t="s">
        <v>3</v>
      </c>
      <c r="BE93" s="2" t="s">
        <v>3</v>
      </c>
      <c r="BF93" s="2" t="s">
        <v>3</v>
      </c>
      <c r="BG93" s="2" t="s">
        <v>3</v>
      </c>
      <c r="BH93" s="2">
        <v>0</v>
      </c>
      <c r="BI93" s="2">
        <v>2</v>
      </c>
      <c r="BJ93" s="2" t="s">
        <v>46</v>
      </c>
      <c r="BK93" s="2"/>
      <c r="BL93" s="2"/>
      <c r="BM93" s="2">
        <v>69</v>
      </c>
      <c r="BN93" s="2">
        <v>0</v>
      </c>
      <c r="BO93" s="2" t="s">
        <v>44</v>
      </c>
      <c r="BP93" s="2">
        <v>1</v>
      </c>
      <c r="BQ93" s="2">
        <v>40</v>
      </c>
      <c r="BR93" s="2">
        <v>0</v>
      </c>
      <c r="BS93" s="2">
        <v>1</v>
      </c>
      <c r="BT93" s="2">
        <v>1</v>
      </c>
      <c r="BU93" s="2">
        <v>1</v>
      </c>
      <c r="BV93" s="2">
        <v>1</v>
      </c>
      <c r="BW93" s="2">
        <v>1</v>
      </c>
      <c r="BX93" s="2">
        <v>1</v>
      </c>
      <c r="BY93" s="2" t="s">
        <v>3</v>
      </c>
      <c r="BZ93" s="2">
        <v>95</v>
      </c>
      <c r="CA93" s="2">
        <v>53</v>
      </c>
      <c r="CB93" s="2" t="s">
        <v>3</v>
      </c>
      <c r="CC93" s="2"/>
      <c r="CD93" s="2"/>
      <c r="CE93" s="2">
        <v>1566</v>
      </c>
      <c r="CF93" s="2">
        <v>0</v>
      </c>
      <c r="CG93" s="2">
        <v>0</v>
      </c>
      <c r="CH93" s="2"/>
      <c r="CI93" s="2"/>
      <c r="CJ93" s="2"/>
      <c r="CK93" s="2"/>
      <c r="CL93" s="2"/>
      <c r="CM93" s="2">
        <v>0</v>
      </c>
      <c r="CN93" s="2" t="s">
        <v>422</v>
      </c>
      <c r="CO93" s="2">
        <v>0</v>
      </c>
      <c r="CP93" s="2">
        <f t="shared" si="83"/>
        <v>348.78</v>
      </c>
      <c r="CQ93" s="2">
        <f t="shared" si="84"/>
        <v>1.67</v>
      </c>
      <c r="CR93" s="2">
        <f>(ROUND((ROUND((((ET93*1.2))*AV93*1),2)*BB93),2)+ROUND((ROUND(((AE93-((EU93*1.2)))*AV93*1),2)*BS93),2))</f>
        <v>0</v>
      </c>
      <c r="CS93" s="2">
        <f>(ROUND((ROUND((((EU93*1.2))*AV93*1),2)*BS93),2)+ROUND((ROUND(((AE93-((EU93*1.2)))*AV93*1),2)*BS93),2))</f>
        <v>0</v>
      </c>
      <c r="CT93" s="2">
        <f t="shared" si="85"/>
        <v>14.94</v>
      </c>
      <c r="CU93" s="2">
        <f t="shared" si="86"/>
        <v>0</v>
      </c>
      <c r="CV93" s="2">
        <f t="shared" si="87"/>
        <v>1.2564</v>
      </c>
      <c r="CW93" s="2">
        <f t="shared" si="88"/>
        <v>0</v>
      </c>
      <c r="CX93" s="2">
        <f t="shared" si="89"/>
        <v>0</v>
      </c>
      <c r="CY93" s="2">
        <f>(ROUND((((S93+ROUND((ROUND((((EU93*1.2))*AV93*1),2)*BS93),2))*AT93)/100),2)+ROUND(((ROUND((ROUND(((AE93-((EU93*1.2)))*AV93*1),2)*BS93),2)*AT93)/100),2))</f>
        <v>298.02</v>
      </c>
      <c r="CZ93" s="2">
        <f>(ROUND((((S93+ROUND((ROUND((((EU93*1.2))*AV93*1),2)*BS93),2))*AU93)/100),2)+ROUND(((ROUND((ROUND(((AE93-((EU93*1.2)))*AV93*1),2)*BS93),2)*AU93)/100),2))</f>
        <v>166.27</v>
      </c>
      <c r="DA93" s="2"/>
      <c r="DB93" s="2">
        <v>49</v>
      </c>
      <c r="DC93" s="2" t="s">
        <v>3</v>
      </c>
      <c r="DD93" s="2" t="s">
        <v>62</v>
      </c>
      <c r="DE93" s="2" t="s">
        <v>63</v>
      </c>
      <c r="DF93" s="2" t="s">
        <v>63</v>
      </c>
      <c r="DG93" s="2" t="s">
        <v>63</v>
      </c>
      <c r="DH93" s="2" t="s">
        <v>3</v>
      </c>
      <c r="DI93" s="2" t="s">
        <v>63</v>
      </c>
      <c r="DJ93" s="2" t="s">
        <v>63</v>
      </c>
      <c r="DK93" s="2" t="s">
        <v>3</v>
      </c>
      <c r="DL93" s="2" t="s">
        <v>3</v>
      </c>
      <c r="DM93" s="2" t="s">
        <v>3</v>
      </c>
      <c r="DN93" s="2">
        <v>0</v>
      </c>
      <c r="DO93" s="2">
        <v>0</v>
      </c>
      <c r="DP93" s="2">
        <v>1</v>
      </c>
      <c r="DQ93" s="2">
        <v>1</v>
      </c>
      <c r="DR93" s="2"/>
      <c r="DS93" s="2"/>
      <c r="DT93" s="2"/>
      <c r="DU93" s="2">
        <v>1013</v>
      </c>
      <c r="DV93" s="2" t="s">
        <v>33</v>
      </c>
      <c r="DW93" s="2" t="s">
        <v>33</v>
      </c>
      <c r="DX93" s="2">
        <v>1</v>
      </c>
      <c r="DY93" s="2"/>
      <c r="DZ93" s="2" t="s">
        <v>3</v>
      </c>
      <c r="EA93" s="2" t="s">
        <v>3</v>
      </c>
      <c r="EB93" s="2" t="s">
        <v>3</v>
      </c>
      <c r="EC93" s="2" t="s">
        <v>3</v>
      </c>
      <c r="ED93" s="2"/>
      <c r="EE93" s="2">
        <v>55393701</v>
      </c>
      <c r="EF93" s="2">
        <v>40</v>
      </c>
      <c r="EG93" s="2" t="s">
        <v>26</v>
      </c>
      <c r="EH93" s="2">
        <v>0</v>
      </c>
      <c r="EI93" s="2" t="s">
        <v>3</v>
      </c>
      <c r="EJ93" s="2">
        <v>2</v>
      </c>
      <c r="EK93" s="2">
        <v>69</v>
      </c>
      <c r="EL93" s="2" t="s">
        <v>47</v>
      </c>
      <c r="EM93" s="2" t="s">
        <v>48</v>
      </c>
      <c r="EN93" s="2"/>
      <c r="EO93" s="2" t="s">
        <v>67</v>
      </c>
      <c r="EP93" s="2"/>
      <c r="EQ93" s="2">
        <v>0</v>
      </c>
      <c r="ER93" s="2">
        <v>13.56</v>
      </c>
      <c r="ES93" s="2">
        <v>1.67</v>
      </c>
      <c r="ET93" s="2">
        <v>0</v>
      </c>
      <c r="EU93" s="2">
        <v>0</v>
      </c>
      <c r="EV93" s="2">
        <v>11.89</v>
      </c>
      <c r="EW93" s="2">
        <v>1</v>
      </c>
      <c r="EX93" s="2">
        <v>0</v>
      </c>
      <c r="EY93" s="2">
        <v>0</v>
      </c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>
        <v>0</v>
      </c>
      <c r="FR93" s="2">
        <v>0</v>
      </c>
      <c r="FS93" s="2">
        <v>0</v>
      </c>
      <c r="FT93" s="2"/>
      <c r="FU93" s="2"/>
      <c r="FV93" s="2"/>
      <c r="FW93" s="2"/>
      <c r="FX93" s="2">
        <v>95</v>
      </c>
      <c r="FY93" s="2">
        <v>53</v>
      </c>
      <c r="FZ93" s="2"/>
      <c r="GA93" s="2" t="s">
        <v>3</v>
      </c>
      <c r="GB93" s="2"/>
      <c r="GC93" s="2"/>
      <c r="GD93" s="2">
        <v>1</v>
      </c>
      <c r="GE93" s="2"/>
      <c r="GF93" s="2">
        <v>205901832</v>
      </c>
      <c r="GG93" s="2">
        <v>2</v>
      </c>
      <c r="GH93" s="2">
        <v>1</v>
      </c>
      <c r="GI93" s="2">
        <v>2</v>
      </c>
      <c r="GJ93" s="2">
        <v>0</v>
      </c>
      <c r="GK93" s="2">
        <v>0</v>
      </c>
      <c r="GL93" s="2">
        <f t="shared" si="90"/>
        <v>0</v>
      </c>
      <c r="GM93" s="2">
        <f t="shared" si="91"/>
        <v>813.07</v>
      </c>
      <c r="GN93" s="2">
        <f t="shared" si="92"/>
        <v>0</v>
      </c>
      <c r="GO93" s="2">
        <f t="shared" si="93"/>
        <v>813.07</v>
      </c>
      <c r="GP93" s="2">
        <f t="shared" si="94"/>
        <v>0</v>
      </c>
      <c r="GQ93" s="2"/>
      <c r="GR93" s="2">
        <v>0</v>
      </c>
      <c r="GS93" s="2">
        <v>3</v>
      </c>
      <c r="GT93" s="2">
        <v>0</v>
      </c>
      <c r="GU93" s="2" t="s">
        <v>3</v>
      </c>
      <c r="GV93" s="2">
        <f t="shared" si="95"/>
        <v>0</v>
      </c>
      <c r="GW93" s="2">
        <v>1</v>
      </c>
      <c r="GX93" s="2">
        <f t="shared" si="96"/>
        <v>0</v>
      </c>
      <c r="GY93" s="2"/>
      <c r="GZ93" s="2"/>
      <c r="HA93" s="2">
        <v>0</v>
      </c>
      <c r="HB93" s="2">
        <v>0</v>
      </c>
      <c r="HC93" s="2">
        <f t="shared" si="97"/>
        <v>0</v>
      </c>
      <c r="HD93" s="2"/>
      <c r="HE93" s="2" t="s">
        <v>3</v>
      </c>
      <c r="HF93" s="2" t="s">
        <v>3</v>
      </c>
      <c r="HG93" s="2"/>
      <c r="HH93" s="2"/>
      <c r="HI93" s="2"/>
      <c r="HJ93" s="2"/>
      <c r="HK93" s="2"/>
      <c r="HL93" s="2"/>
      <c r="HM93" s="2" t="s">
        <v>3</v>
      </c>
      <c r="HN93" s="2" t="s">
        <v>3</v>
      </c>
      <c r="HO93" s="2" t="s">
        <v>3</v>
      </c>
      <c r="HP93" s="2" t="s">
        <v>3</v>
      </c>
      <c r="HQ93" s="2" t="s">
        <v>3</v>
      </c>
      <c r="HR93" s="2"/>
      <c r="HS93" s="2">
        <v>0</v>
      </c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>
        <v>0</v>
      </c>
      <c r="IL93" s="2"/>
      <c r="IM93" s="2"/>
      <c r="IN93" s="2"/>
      <c r="IO93" s="2"/>
      <c r="IP93" s="2"/>
      <c r="IQ93" s="2"/>
      <c r="IR93" s="2"/>
      <c r="IS93" s="2"/>
      <c r="IT93" s="2"/>
      <c r="IU93" s="2"/>
    </row>
    <row r="94" spans="1:255" x14ac:dyDescent="0.25">
      <c r="A94" s="3">
        <v>17</v>
      </c>
      <c r="B94" s="3">
        <v>1</v>
      </c>
      <c r="C94" s="3">
        <f>ROW(SmtRes!A112)</f>
        <v>112</v>
      </c>
      <c r="D94" s="3">
        <f>ROW(EtalonRes!A138)</f>
        <v>138</v>
      </c>
      <c r="E94" s="3" t="s">
        <v>149</v>
      </c>
      <c r="F94" s="3" t="s">
        <v>44</v>
      </c>
      <c r="G94" s="3" t="s">
        <v>150</v>
      </c>
      <c r="H94" s="3" t="s">
        <v>33</v>
      </c>
      <c r="I94" s="3">
        <v>21</v>
      </c>
      <c r="J94" s="3">
        <v>0</v>
      </c>
      <c r="K94" s="3">
        <v>21</v>
      </c>
      <c r="O94" s="3">
        <f t="shared" si="73"/>
        <v>18304.259999999998</v>
      </c>
      <c r="P94" s="3">
        <f t="shared" si="74"/>
        <v>626.70000000000005</v>
      </c>
      <c r="Q94" s="3">
        <f>(ROUND((ROUND((((ET94*1.2))*AV94*I94),2)*BB94),2)+ROUND((ROUND(((AE94-((EU94*1.2)))*AV94*I94),2)*BS94),2))</f>
        <v>0</v>
      </c>
      <c r="R94" s="3">
        <f>(ROUND((ROUND((((EU94*1.2))*AV94*I94),2)*BS94),2)+ROUND((ROUND(((AE94-((EU94*1.2)))*AV94*I94),2)*BS94),2))</f>
        <v>0</v>
      </c>
      <c r="S94" s="3">
        <f t="shared" si="75"/>
        <v>17677.560000000001</v>
      </c>
      <c r="T94" s="3">
        <f t="shared" si="76"/>
        <v>0</v>
      </c>
      <c r="U94" s="3">
        <f t="shared" si="77"/>
        <v>26.384399999999999</v>
      </c>
      <c r="V94" s="3">
        <f t="shared" si="78"/>
        <v>0</v>
      </c>
      <c r="W94" s="3">
        <f t="shared" si="79"/>
        <v>0</v>
      </c>
      <c r="X94" s="3">
        <f>(ROUND((((S94+ROUND((ROUND((((EU94*1.2))*AV94*I94),2)*BS94),2))*AT94)/100),2)+ROUND(((ROUND((ROUND(((AE94-((EU94*1.2)))*AV94*I94),2)*BS94),2)*AT94)/100),2))</f>
        <v>16793.68</v>
      </c>
      <c r="Y94" s="3">
        <f>(ROUND((((S94+ROUND((ROUND((((EU94*1.2))*AV94*I94),2)*BS94),2))*AU94)/100),2)+ROUND(((ROUND((ROUND(((AE94-((EU94*1.2)))*AV94*I94),2)*BS94),2)*AU94)/100),2))</f>
        <v>9369.11</v>
      </c>
      <c r="AA94" s="3">
        <v>55936048</v>
      </c>
      <c r="AB94" s="3">
        <f t="shared" si="80"/>
        <v>15.938000000000001</v>
      </c>
      <c r="AC94" s="3">
        <f>ROUND(((ES94*1)),6)</f>
        <v>1.67</v>
      </c>
      <c r="AD94" s="3">
        <f>ROUND(((((ET94*1.2))-((EU94*1.2)))+AE94),6)</f>
        <v>0</v>
      </c>
      <c r="AE94" s="3">
        <f t="shared" si="98"/>
        <v>0</v>
      </c>
      <c r="AF94" s="3">
        <f t="shared" si="98"/>
        <v>14.268000000000001</v>
      </c>
      <c r="AG94" s="3">
        <f t="shared" si="81"/>
        <v>0</v>
      </c>
      <c r="AH94" s="3">
        <f t="shared" si="99"/>
        <v>1.2</v>
      </c>
      <c r="AI94" s="3">
        <f t="shared" si="99"/>
        <v>0</v>
      </c>
      <c r="AJ94" s="3">
        <f t="shared" si="82"/>
        <v>0</v>
      </c>
      <c r="AK94" s="3">
        <v>13.56</v>
      </c>
      <c r="AL94" s="3">
        <v>1.67</v>
      </c>
      <c r="AM94" s="3">
        <v>0</v>
      </c>
      <c r="AN94" s="3">
        <v>0</v>
      </c>
      <c r="AO94" s="3">
        <v>11.89</v>
      </c>
      <c r="AP94" s="3">
        <v>0</v>
      </c>
      <c r="AQ94" s="3">
        <v>1</v>
      </c>
      <c r="AR94" s="3">
        <v>0</v>
      </c>
      <c r="AS94" s="3">
        <v>0</v>
      </c>
      <c r="AT94" s="3">
        <v>95</v>
      </c>
      <c r="AU94" s="3">
        <v>53</v>
      </c>
      <c r="AV94" s="3">
        <v>1.0469999999999999</v>
      </c>
      <c r="AW94" s="3">
        <v>1</v>
      </c>
      <c r="AZ94" s="3">
        <v>1</v>
      </c>
      <c r="BA94" s="3">
        <v>56.35</v>
      </c>
      <c r="BB94" s="3">
        <v>1</v>
      </c>
      <c r="BC94" s="3">
        <v>17.87</v>
      </c>
      <c r="BD94" s="3" t="s">
        <v>3</v>
      </c>
      <c r="BE94" s="3" t="s">
        <v>3</v>
      </c>
      <c r="BF94" s="3" t="s">
        <v>3</v>
      </c>
      <c r="BG94" s="3" t="s">
        <v>3</v>
      </c>
      <c r="BH94" s="3">
        <v>0</v>
      </c>
      <c r="BI94" s="3">
        <v>2</v>
      </c>
      <c r="BJ94" s="3" t="s">
        <v>46</v>
      </c>
      <c r="BM94" s="3">
        <v>69</v>
      </c>
      <c r="BN94" s="3">
        <v>0</v>
      </c>
      <c r="BO94" s="3" t="s">
        <v>44</v>
      </c>
      <c r="BP94" s="3">
        <v>1</v>
      </c>
      <c r="BQ94" s="3">
        <v>40</v>
      </c>
      <c r="BR94" s="3">
        <v>0</v>
      </c>
      <c r="BS94" s="3">
        <v>56.35</v>
      </c>
      <c r="BT94" s="3">
        <v>1</v>
      </c>
      <c r="BU94" s="3">
        <v>1</v>
      </c>
      <c r="BV94" s="3">
        <v>1</v>
      </c>
      <c r="BW94" s="3">
        <v>1</v>
      </c>
      <c r="BX94" s="3">
        <v>1</v>
      </c>
      <c r="BY94" s="3" t="s">
        <v>3</v>
      </c>
      <c r="BZ94" s="3">
        <v>95</v>
      </c>
      <c r="CA94" s="3">
        <v>53</v>
      </c>
      <c r="CB94" s="3" t="s">
        <v>3</v>
      </c>
      <c r="CE94" s="3">
        <v>1566</v>
      </c>
      <c r="CF94" s="3">
        <v>0</v>
      </c>
      <c r="CG94" s="3">
        <v>0</v>
      </c>
      <c r="CM94" s="3">
        <v>0</v>
      </c>
      <c r="CN94" s="3" t="s">
        <v>422</v>
      </c>
      <c r="CO94" s="3">
        <v>0</v>
      </c>
      <c r="CP94" s="3">
        <f t="shared" si="83"/>
        <v>18304.260000000002</v>
      </c>
      <c r="CQ94" s="3">
        <f t="shared" si="84"/>
        <v>29.84</v>
      </c>
      <c r="CR94" s="3">
        <f>(ROUND((ROUND((((ET94*1.2))*AV94*1),2)*BB94),2)+ROUND((ROUND(((AE94-((EU94*1.2)))*AV94*1),2)*BS94),2))</f>
        <v>0</v>
      </c>
      <c r="CS94" s="3">
        <f>(ROUND((ROUND((((EU94*1.2))*AV94*1),2)*BS94),2)+ROUND((ROUND(((AE94-((EU94*1.2)))*AV94*1),2)*BS94),2))</f>
        <v>0</v>
      </c>
      <c r="CT94" s="3">
        <f t="shared" si="85"/>
        <v>841.87</v>
      </c>
      <c r="CU94" s="3">
        <f t="shared" si="86"/>
        <v>0</v>
      </c>
      <c r="CV94" s="3">
        <f t="shared" si="87"/>
        <v>1.2564</v>
      </c>
      <c r="CW94" s="3">
        <f t="shared" si="88"/>
        <v>0</v>
      </c>
      <c r="CX94" s="3">
        <f t="shared" si="89"/>
        <v>0</v>
      </c>
      <c r="CY94" s="3">
        <f>(ROUND((((S94+ROUND((ROUND((((EU94*1.2))*AV94*1),2)*BS94),2))*AT94)/100),2)+ROUND(((ROUND((ROUND(((AE94-((EU94*1.2)))*AV94*1),2)*BS94),2)*AT94)/100),2))</f>
        <v>16793.68</v>
      </c>
      <c r="CZ94" s="3">
        <f>(ROUND((((S94+ROUND((ROUND((((EU94*1.2))*AV94*1),2)*BS94),2))*AU94)/100),2)+ROUND(((ROUND((ROUND(((AE94-((EU94*1.2)))*AV94*1),2)*BS94),2)*AU94)/100),2))</f>
        <v>9369.11</v>
      </c>
      <c r="DB94" s="3">
        <v>50</v>
      </c>
      <c r="DC94" s="3" t="s">
        <v>3</v>
      </c>
      <c r="DD94" s="3" t="s">
        <v>62</v>
      </c>
      <c r="DE94" s="3" t="s">
        <v>63</v>
      </c>
      <c r="DF94" s="3" t="s">
        <v>63</v>
      </c>
      <c r="DG94" s="3" t="s">
        <v>63</v>
      </c>
      <c r="DH94" s="3" t="s">
        <v>3</v>
      </c>
      <c r="DI94" s="3" t="s">
        <v>63</v>
      </c>
      <c r="DJ94" s="3" t="s">
        <v>63</v>
      </c>
      <c r="DK94" s="3" t="s">
        <v>3</v>
      </c>
      <c r="DL94" s="3" t="s">
        <v>3</v>
      </c>
      <c r="DM94" s="3" t="s">
        <v>3</v>
      </c>
      <c r="DN94" s="3">
        <v>0</v>
      </c>
      <c r="DO94" s="3">
        <v>0</v>
      </c>
      <c r="DP94" s="3">
        <v>1</v>
      </c>
      <c r="DQ94" s="3">
        <v>1</v>
      </c>
      <c r="DU94" s="3">
        <v>1013</v>
      </c>
      <c r="DV94" s="3" t="s">
        <v>33</v>
      </c>
      <c r="DW94" s="3" t="s">
        <v>33</v>
      </c>
      <c r="DX94" s="3">
        <v>1</v>
      </c>
      <c r="DZ94" s="3" t="s">
        <v>3</v>
      </c>
      <c r="EA94" s="3" t="s">
        <v>3</v>
      </c>
      <c r="EB94" s="3" t="s">
        <v>3</v>
      </c>
      <c r="EC94" s="3" t="s">
        <v>3</v>
      </c>
      <c r="EE94" s="3">
        <v>55393701</v>
      </c>
      <c r="EF94" s="3">
        <v>40</v>
      </c>
      <c r="EG94" s="3" t="s">
        <v>26</v>
      </c>
      <c r="EH94" s="3">
        <v>0</v>
      </c>
      <c r="EI94" s="3" t="s">
        <v>3</v>
      </c>
      <c r="EJ94" s="3">
        <v>2</v>
      </c>
      <c r="EK94" s="3">
        <v>69</v>
      </c>
      <c r="EL94" s="3" t="s">
        <v>47</v>
      </c>
      <c r="EM94" s="3" t="s">
        <v>48</v>
      </c>
      <c r="EO94" s="3" t="s">
        <v>67</v>
      </c>
      <c r="EQ94" s="3">
        <v>0</v>
      </c>
      <c r="ER94" s="3">
        <v>13.56</v>
      </c>
      <c r="ES94" s="3">
        <v>1.67</v>
      </c>
      <c r="ET94" s="3">
        <v>0</v>
      </c>
      <c r="EU94" s="3">
        <v>0</v>
      </c>
      <c r="EV94" s="3">
        <v>11.89</v>
      </c>
      <c r="EW94" s="3">
        <v>1</v>
      </c>
      <c r="EX94" s="3">
        <v>0</v>
      </c>
      <c r="EY94" s="3">
        <v>0</v>
      </c>
      <c r="FQ94" s="3">
        <v>0</v>
      </c>
      <c r="FR94" s="3">
        <v>0</v>
      </c>
      <c r="FS94" s="3">
        <v>0</v>
      </c>
      <c r="FX94" s="3">
        <v>95</v>
      </c>
      <c r="FY94" s="3">
        <v>53</v>
      </c>
      <c r="GA94" s="3" t="s">
        <v>3</v>
      </c>
      <c r="GD94" s="3">
        <v>1</v>
      </c>
      <c r="GF94" s="3">
        <v>205901832</v>
      </c>
      <c r="GG94" s="3">
        <v>2</v>
      </c>
      <c r="GH94" s="3">
        <v>1</v>
      </c>
      <c r="GI94" s="3">
        <v>2</v>
      </c>
      <c r="GJ94" s="3">
        <v>0</v>
      </c>
      <c r="GK94" s="3">
        <v>0</v>
      </c>
      <c r="GL94" s="3">
        <f t="shared" si="90"/>
        <v>0</v>
      </c>
      <c r="GM94" s="3">
        <f t="shared" si="91"/>
        <v>44467.05</v>
      </c>
      <c r="GN94" s="3">
        <f t="shared" si="92"/>
        <v>0</v>
      </c>
      <c r="GO94" s="3">
        <f t="shared" si="93"/>
        <v>44467.05</v>
      </c>
      <c r="GP94" s="3">
        <f t="shared" si="94"/>
        <v>0</v>
      </c>
      <c r="GR94" s="3">
        <v>0</v>
      </c>
      <c r="GS94" s="3">
        <v>3</v>
      </c>
      <c r="GT94" s="3">
        <v>0</v>
      </c>
      <c r="GU94" s="3" t="s">
        <v>3</v>
      </c>
      <c r="GV94" s="3">
        <f t="shared" si="95"/>
        <v>0</v>
      </c>
      <c r="GW94" s="3">
        <v>1</v>
      </c>
      <c r="GX94" s="3">
        <f t="shared" si="96"/>
        <v>0</v>
      </c>
      <c r="HA94" s="3">
        <v>0</v>
      </c>
      <c r="HB94" s="3">
        <v>0</v>
      </c>
      <c r="HC94" s="3">
        <f t="shared" si="97"/>
        <v>0</v>
      </c>
      <c r="HE94" s="3" t="s">
        <v>3</v>
      </c>
      <c r="HF94" s="3" t="s">
        <v>3</v>
      </c>
      <c r="HM94" s="3" t="s">
        <v>3</v>
      </c>
      <c r="HN94" s="3" t="s">
        <v>3</v>
      </c>
      <c r="HO94" s="3" t="s">
        <v>3</v>
      </c>
      <c r="HP94" s="3" t="s">
        <v>3</v>
      </c>
      <c r="HQ94" s="3" t="s">
        <v>3</v>
      </c>
      <c r="HS94" s="3">
        <v>0</v>
      </c>
      <c r="IK94" s="3">
        <v>0</v>
      </c>
    </row>
    <row r="95" spans="1:255" x14ac:dyDescent="0.25">
      <c r="A95" s="2">
        <v>17</v>
      </c>
      <c r="B95" s="2">
        <v>1</v>
      </c>
      <c r="C95" s="2">
        <f>ROW(SmtRes!A113)</f>
        <v>113</v>
      </c>
      <c r="D95" s="2">
        <f>ROW(EtalonRes!A139)</f>
        <v>139</v>
      </c>
      <c r="E95" s="2" t="s">
        <v>3</v>
      </c>
      <c r="F95" s="2" t="s">
        <v>31</v>
      </c>
      <c r="G95" s="2" t="s">
        <v>151</v>
      </c>
      <c r="H95" s="2" t="s">
        <v>33</v>
      </c>
      <c r="I95" s="2">
        <v>21</v>
      </c>
      <c r="J95" s="2">
        <v>0</v>
      </c>
      <c r="K95" s="2">
        <v>21</v>
      </c>
      <c r="L95" s="2"/>
      <c r="M95" s="2"/>
      <c r="N95" s="2"/>
      <c r="O95" s="2">
        <f t="shared" si="73"/>
        <v>301.72000000000003</v>
      </c>
      <c r="P95" s="2">
        <f t="shared" si="74"/>
        <v>22.05</v>
      </c>
      <c r="Q95" s="2">
        <f>(ROUND((ROUND((((ET95*1.2))*AV95*I95),2)*BB95),2)+ROUND((ROUND(((AE95-((EU95*1.2)))*AV95*I95),2)*BS95),2))</f>
        <v>0</v>
      </c>
      <c r="R95" s="2">
        <f>(ROUND((ROUND((((EU95*1.2))*AV95*I95),2)*BS95),2)+ROUND((ROUND(((AE95-((EU95*1.2)))*AV95*I95),2)*BS95),2))</f>
        <v>0</v>
      </c>
      <c r="S95" s="2">
        <f t="shared" si="75"/>
        <v>279.67</v>
      </c>
      <c r="T95" s="2">
        <f t="shared" si="76"/>
        <v>0</v>
      </c>
      <c r="U95" s="2">
        <f t="shared" si="77"/>
        <v>22.162895999999996</v>
      </c>
      <c r="V95" s="2">
        <f t="shared" si="78"/>
        <v>0</v>
      </c>
      <c r="W95" s="2">
        <f t="shared" si="79"/>
        <v>0</v>
      </c>
      <c r="X95" s="2">
        <f>(ROUND((((S95+ROUND((ROUND((((EU95*1.2))*AV95*I95),2)*BS95),2))*AT95)/100),2)+ROUND(((ROUND((ROUND(((AE95-((EU95*1.2)))*AV95*I95),2)*BS95),2)*AT95)/100),2))</f>
        <v>251.7</v>
      </c>
      <c r="Y95" s="2">
        <f>(ROUND((((S95+ROUND((ROUND((((EU95*1.2))*AV95*I95),2)*BS95),2))*AU95)/100),2)+ROUND(((ROUND((ROUND(((AE95-((EU95*1.2)))*AV95*I95),2)*BS95),2)*AU95)/100),2))</f>
        <v>128.65</v>
      </c>
      <c r="Z95" s="2"/>
      <c r="AA95" s="2">
        <v>-1</v>
      </c>
      <c r="AB95" s="2">
        <f t="shared" si="80"/>
        <v>13.77</v>
      </c>
      <c r="AC95" s="2">
        <f>ROUND(((ES95*1)),6)</f>
        <v>1.05</v>
      </c>
      <c r="AD95" s="2">
        <f>ROUND(((((ET95*1.2))-((EU95*1.2)))+AE95),6)</f>
        <v>0</v>
      </c>
      <c r="AE95" s="2">
        <f t="shared" si="98"/>
        <v>0</v>
      </c>
      <c r="AF95" s="2">
        <f t="shared" si="98"/>
        <v>12.72</v>
      </c>
      <c r="AG95" s="2">
        <f t="shared" si="81"/>
        <v>0</v>
      </c>
      <c r="AH95" s="2">
        <f t="shared" si="99"/>
        <v>1.008</v>
      </c>
      <c r="AI95" s="2">
        <f t="shared" si="99"/>
        <v>0</v>
      </c>
      <c r="AJ95" s="2">
        <f t="shared" si="82"/>
        <v>0</v>
      </c>
      <c r="AK95" s="2">
        <v>11.65</v>
      </c>
      <c r="AL95" s="2">
        <v>1.05</v>
      </c>
      <c r="AM95" s="2">
        <v>0</v>
      </c>
      <c r="AN95" s="2">
        <v>0</v>
      </c>
      <c r="AO95" s="2">
        <v>10.6</v>
      </c>
      <c r="AP95" s="2">
        <v>0</v>
      </c>
      <c r="AQ95" s="2">
        <v>0.84</v>
      </c>
      <c r="AR95" s="2">
        <v>0</v>
      </c>
      <c r="AS95" s="2">
        <v>0</v>
      </c>
      <c r="AT95" s="2">
        <v>90</v>
      </c>
      <c r="AU95" s="2">
        <v>46</v>
      </c>
      <c r="AV95" s="2">
        <v>1.0469999999999999</v>
      </c>
      <c r="AW95" s="2">
        <v>1</v>
      </c>
      <c r="AX95" s="2"/>
      <c r="AY95" s="2"/>
      <c r="AZ95" s="2">
        <v>1</v>
      </c>
      <c r="BA95" s="2">
        <v>1</v>
      </c>
      <c r="BB95" s="2">
        <v>1</v>
      </c>
      <c r="BC95" s="2">
        <v>1</v>
      </c>
      <c r="BD95" s="2" t="s">
        <v>3</v>
      </c>
      <c r="BE95" s="2" t="s">
        <v>3</v>
      </c>
      <c r="BF95" s="2" t="s">
        <v>3</v>
      </c>
      <c r="BG95" s="2" t="s">
        <v>3</v>
      </c>
      <c r="BH95" s="2">
        <v>0</v>
      </c>
      <c r="BI95" s="2">
        <v>2</v>
      </c>
      <c r="BJ95" s="2" t="s">
        <v>34</v>
      </c>
      <c r="BK95" s="2"/>
      <c r="BL95" s="2"/>
      <c r="BM95" s="2">
        <v>68</v>
      </c>
      <c r="BN95" s="2">
        <v>0</v>
      </c>
      <c r="BO95" s="2" t="s">
        <v>31</v>
      </c>
      <c r="BP95" s="2">
        <v>1</v>
      </c>
      <c r="BQ95" s="2">
        <v>40</v>
      </c>
      <c r="BR95" s="2">
        <v>0</v>
      </c>
      <c r="BS95" s="2">
        <v>1</v>
      </c>
      <c r="BT95" s="2">
        <v>1</v>
      </c>
      <c r="BU95" s="2">
        <v>1</v>
      </c>
      <c r="BV95" s="2">
        <v>1</v>
      </c>
      <c r="BW95" s="2">
        <v>1</v>
      </c>
      <c r="BX95" s="2">
        <v>1</v>
      </c>
      <c r="BY95" s="2" t="s">
        <v>3</v>
      </c>
      <c r="BZ95" s="2">
        <v>90</v>
      </c>
      <c r="CA95" s="2">
        <v>46</v>
      </c>
      <c r="CB95" s="2" t="s">
        <v>3</v>
      </c>
      <c r="CC95" s="2"/>
      <c r="CD95" s="2"/>
      <c r="CE95" s="2">
        <v>1566</v>
      </c>
      <c r="CF95" s="2">
        <v>0</v>
      </c>
      <c r="CG95" s="2">
        <v>0</v>
      </c>
      <c r="CH95" s="2"/>
      <c r="CI95" s="2"/>
      <c r="CJ95" s="2"/>
      <c r="CK95" s="2"/>
      <c r="CL95" s="2"/>
      <c r="CM95" s="2">
        <v>0</v>
      </c>
      <c r="CN95" s="2" t="s">
        <v>422</v>
      </c>
      <c r="CO95" s="2">
        <v>0</v>
      </c>
      <c r="CP95" s="2">
        <f t="shared" si="83"/>
        <v>301.72000000000003</v>
      </c>
      <c r="CQ95" s="2">
        <f t="shared" si="84"/>
        <v>1.05</v>
      </c>
      <c r="CR95" s="2">
        <f>(ROUND((ROUND((((ET95*1.2))*AV95*1),2)*BB95),2)+ROUND((ROUND(((AE95-((EU95*1.2)))*AV95*1),2)*BS95),2))</f>
        <v>0</v>
      </c>
      <c r="CS95" s="2">
        <f>(ROUND((ROUND((((EU95*1.2))*AV95*1),2)*BS95),2)+ROUND((ROUND(((AE95-((EU95*1.2)))*AV95*1),2)*BS95),2))</f>
        <v>0</v>
      </c>
      <c r="CT95" s="2">
        <f t="shared" si="85"/>
        <v>13.32</v>
      </c>
      <c r="CU95" s="2">
        <f t="shared" si="86"/>
        <v>0</v>
      </c>
      <c r="CV95" s="2">
        <f t="shared" si="87"/>
        <v>1.0553759999999999</v>
      </c>
      <c r="CW95" s="2">
        <f t="shared" si="88"/>
        <v>0</v>
      </c>
      <c r="CX95" s="2">
        <f t="shared" si="89"/>
        <v>0</v>
      </c>
      <c r="CY95" s="2">
        <f>(ROUND((((S95+ROUND((ROUND((((EU95*1.2))*AV95*1),2)*BS95),2))*AT95)/100),2)+ROUND(((ROUND((ROUND(((AE95-((EU95*1.2)))*AV95*1),2)*BS95),2)*AT95)/100),2))</f>
        <v>251.7</v>
      </c>
      <c r="CZ95" s="2">
        <f>(ROUND((((S95+ROUND((ROUND((((EU95*1.2))*AV95*1),2)*BS95),2))*AU95)/100),2)+ROUND(((ROUND((ROUND(((AE95-((EU95*1.2)))*AV95*1),2)*BS95),2)*AU95)/100),2))</f>
        <v>128.65</v>
      </c>
      <c r="DA95" s="2"/>
      <c r="DB95" s="2">
        <v>51</v>
      </c>
      <c r="DC95" s="2" t="s">
        <v>3</v>
      </c>
      <c r="DD95" s="2" t="s">
        <v>62</v>
      </c>
      <c r="DE95" s="2" t="s">
        <v>63</v>
      </c>
      <c r="DF95" s="2" t="s">
        <v>63</v>
      </c>
      <c r="DG95" s="2" t="s">
        <v>63</v>
      </c>
      <c r="DH95" s="2" t="s">
        <v>3</v>
      </c>
      <c r="DI95" s="2" t="s">
        <v>63</v>
      </c>
      <c r="DJ95" s="2" t="s">
        <v>63</v>
      </c>
      <c r="DK95" s="2" t="s">
        <v>3</v>
      </c>
      <c r="DL95" s="2" t="s">
        <v>3</v>
      </c>
      <c r="DM95" s="2" t="s">
        <v>3</v>
      </c>
      <c r="DN95" s="2">
        <v>0</v>
      </c>
      <c r="DO95" s="2">
        <v>0</v>
      </c>
      <c r="DP95" s="2">
        <v>1</v>
      </c>
      <c r="DQ95" s="2">
        <v>1</v>
      </c>
      <c r="DR95" s="2"/>
      <c r="DS95" s="2"/>
      <c r="DT95" s="2"/>
      <c r="DU95" s="2">
        <v>1013</v>
      </c>
      <c r="DV95" s="2" t="s">
        <v>33</v>
      </c>
      <c r="DW95" s="2" t="s">
        <v>33</v>
      </c>
      <c r="DX95" s="2">
        <v>1</v>
      </c>
      <c r="DY95" s="2"/>
      <c r="DZ95" s="2" t="s">
        <v>3</v>
      </c>
      <c r="EA95" s="2" t="s">
        <v>3</v>
      </c>
      <c r="EB95" s="2" t="s">
        <v>3</v>
      </c>
      <c r="EC95" s="2" t="s">
        <v>3</v>
      </c>
      <c r="ED95" s="2"/>
      <c r="EE95" s="2">
        <v>55393700</v>
      </c>
      <c r="EF95" s="2">
        <v>40</v>
      </c>
      <c r="EG95" s="2" t="s">
        <v>26</v>
      </c>
      <c r="EH95" s="2">
        <v>0</v>
      </c>
      <c r="EI95" s="2" t="s">
        <v>3</v>
      </c>
      <c r="EJ95" s="2">
        <v>2</v>
      </c>
      <c r="EK95" s="2">
        <v>68</v>
      </c>
      <c r="EL95" s="2" t="s">
        <v>27</v>
      </c>
      <c r="EM95" s="2" t="s">
        <v>28</v>
      </c>
      <c r="EN95" s="2"/>
      <c r="EO95" s="2" t="s">
        <v>67</v>
      </c>
      <c r="EP95" s="2"/>
      <c r="EQ95" s="2">
        <v>1024</v>
      </c>
      <c r="ER95" s="2">
        <v>11.65</v>
      </c>
      <c r="ES95" s="2">
        <v>1.05</v>
      </c>
      <c r="ET95" s="2">
        <v>0</v>
      </c>
      <c r="EU95" s="2">
        <v>0</v>
      </c>
      <c r="EV95" s="2">
        <v>10.6</v>
      </c>
      <c r="EW95" s="2">
        <v>0.84</v>
      </c>
      <c r="EX95" s="2">
        <v>0</v>
      </c>
      <c r="EY95" s="2">
        <v>0</v>
      </c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>
        <v>0</v>
      </c>
      <c r="FR95" s="2">
        <v>0</v>
      </c>
      <c r="FS95" s="2">
        <v>0</v>
      </c>
      <c r="FT95" s="2"/>
      <c r="FU95" s="2"/>
      <c r="FV95" s="2"/>
      <c r="FW95" s="2"/>
      <c r="FX95" s="2">
        <v>90</v>
      </c>
      <c r="FY95" s="2">
        <v>46</v>
      </c>
      <c r="FZ95" s="2"/>
      <c r="GA95" s="2" t="s">
        <v>3</v>
      </c>
      <c r="GB95" s="2"/>
      <c r="GC95" s="2"/>
      <c r="GD95" s="2">
        <v>1</v>
      </c>
      <c r="GE95" s="2"/>
      <c r="GF95" s="2">
        <v>-1797125674</v>
      </c>
      <c r="GG95" s="2">
        <v>2</v>
      </c>
      <c r="GH95" s="2">
        <v>1</v>
      </c>
      <c r="GI95" s="2">
        <v>2</v>
      </c>
      <c r="GJ95" s="2">
        <v>0</v>
      </c>
      <c r="GK95" s="2">
        <v>0</v>
      </c>
      <c r="GL95" s="2">
        <f t="shared" si="90"/>
        <v>0</v>
      </c>
      <c r="GM95" s="2">
        <f t="shared" si="91"/>
        <v>682.07</v>
      </c>
      <c r="GN95" s="2">
        <f t="shared" si="92"/>
        <v>0</v>
      </c>
      <c r="GO95" s="2">
        <f t="shared" si="93"/>
        <v>682.07</v>
      </c>
      <c r="GP95" s="2">
        <f t="shared" si="94"/>
        <v>0</v>
      </c>
      <c r="GQ95" s="2"/>
      <c r="GR95" s="2">
        <v>0</v>
      </c>
      <c r="GS95" s="2">
        <v>3</v>
      </c>
      <c r="GT95" s="2">
        <v>0</v>
      </c>
      <c r="GU95" s="2" t="s">
        <v>3</v>
      </c>
      <c r="GV95" s="2">
        <f t="shared" si="95"/>
        <v>0</v>
      </c>
      <c r="GW95" s="2">
        <v>1</v>
      </c>
      <c r="GX95" s="2">
        <f t="shared" si="96"/>
        <v>0</v>
      </c>
      <c r="GY95" s="2"/>
      <c r="GZ95" s="2"/>
      <c r="HA95" s="2">
        <v>0</v>
      </c>
      <c r="HB95" s="2">
        <v>0</v>
      </c>
      <c r="HC95" s="2">
        <f t="shared" si="97"/>
        <v>0</v>
      </c>
      <c r="HD95" s="2"/>
      <c r="HE95" s="2" t="s">
        <v>3</v>
      </c>
      <c r="HF95" s="2" t="s">
        <v>3</v>
      </c>
      <c r="HG95" s="2"/>
      <c r="HH95" s="2"/>
      <c r="HI95" s="2"/>
      <c r="HJ95" s="2"/>
      <c r="HK95" s="2"/>
      <c r="HL95" s="2"/>
      <c r="HM95" s="2" t="s">
        <v>3</v>
      </c>
      <c r="HN95" s="2" t="s">
        <v>3</v>
      </c>
      <c r="HO95" s="2" t="s">
        <v>3</v>
      </c>
      <c r="HP95" s="2" t="s">
        <v>3</v>
      </c>
      <c r="HQ95" s="2" t="s">
        <v>3</v>
      </c>
      <c r="HR95" s="2"/>
      <c r="HS95" s="2">
        <v>0</v>
      </c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>
        <v>0</v>
      </c>
      <c r="IL95" s="2"/>
      <c r="IM95" s="2"/>
      <c r="IN95" s="2"/>
      <c r="IO95" s="2"/>
      <c r="IP95" s="2"/>
      <c r="IQ95" s="2"/>
      <c r="IR95" s="2"/>
      <c r="IS95" s="2"/>
      <c r="IT95" s="2"/>
      <c r="IU95" s="2"/>
    </row>
    <row r="96" spans="1:255" x14ac:dyDescent="0.25">
      <c r="A96" s="3">
        <v>17</v>
      </c>
      <c r="B96" s="3">
        <v>1</v>
      </c>
      <c r="C96" s="3">
        <f>ROW(SmtRes!A114)</f>
        <v>114</v>
      </c>
      <c r="D96" s="3">
        <f>ROW(EtalonRes!A140)</f>
        <v>140</v>
      </c>
      <c r="E96" s="3" t="s">
        <v>3</v>
      </c>
      <c r="F96" s="3" t="s">
        <v>31</v>
      </c>
      <c r="G96" s="3" t="s">
        <v>151</v>
      </c>
      <c r="H96" s="3" t="s">
        <v>33</v>
      </c>
      <c r="I96" s="3">
        <v>21</v>
      </c>
      <c r="J96" s="3">
        <v>0</v>
      </c>
      <c r="K96" s="3">
        <v>21</v>
      </c>
      <c r="O96" s="3">
        <f t="shared" si="73"/>
        <v>15976.37</v>
      </c>
      <c r="P96" s="3">
        <f t="shared" si="74"/>
        <v>216.97</v>
      </c>
      <c r="Q96" s="3">
        <f>(ROUND((ROUND((((ET96*1.2))*AV96*I96),2)*BB96),2)+ROUND((ROUND(((AE96-((EU96*1.2)))*AV96*I96),2)*BS96),2))</f>
        <v>0</v>
      </c>
      <c r="R96" s="3">
        <f>(ROUND((ROUND((((EU96*1.2))*AV96*I96),2)*BS96),2)+ROUND((ROUND(((AE96-((EU96*1.2)))*AV96*I96),2)*BS96),2))</f>
        <v>0</v>
      </c>
      <c r="S96" s="3">
        <f t="shared" si="75"/>
        <v>15759.4</v>
      </c>
      <c r="T96" s="3">
        <f t="shared" si="76"/>
        <v>0</v>
      </c>
      <c r="U96" s="3">
        <f t="shared" si="77"/>
        <v>22.162895999999996</v>
      </c>
      <c r="V96" s="3">
        <f t="shared" si="78"/>
        <v>0</v>
      </c>
      <c r="W96" s="3">
        <f t="shared" si="79"/>
        <v>0</v>
      </c>
      <c r="X96" s="3">
        <f>(ROUND((((S96+ROUND((ROUND((((EU96*1.2))*AV96*I96),2)*BS96),2))*AT96)/100),2)+ROUND(((ROUND((ROUND(((AE96-((EU96*1.2)))*AV96*I96),2)*BS96),2)*AT96)/100),2))</f>
        <v>14183.46</v>
      </c>
      <c r="Y96" s="3">
        <f>(ROUND((((S96+ROUND((ROUND((((EU96*1.2))*AV96*I96),2)*BS96),2))*AU96)/100),2)+ROUND(((ROUND((ROUND(((AE96-((EU96*1.2)))*AV96*I96),2)*BS96),2)*AU96)/100),2))</f>
        <v>7249.32</v>
      </c>
      <c r="AA96" s="3">
        <v>-1</v>
      </c>
      <c r="AB96" s="3">
        <f t="shared" si="80"/>
        <v>13.77</v>
      </c>
      <c r="AC96" s="3">
        <f>ROUND(((ES96*1)),6)</f>
        <v>1.05</v>
      </c>
      <c r="AD96" s="3">
        <f>ROUND(((((ET96*1.2))-((EU96*1.2)))+AE96),6)</f>
        <v>0</v>
      </c>
      <c r="AE96" s="3">
        <f t="shared" si="98"/>
        <v>0</v>
      </c>
      <c r="AF96" s="3">
        <f t="shared" si="98"/>
        <v>12.72</v>
      </c>
      <c r="AG96" s="3">
        <f t="shared" si="81"/>
        <v>0</v>
      </c>
      <c r="AH96" s="3">
        <f t="shared" si="99"/>
        <v>1.008</v>
      </c>
      <c r="AI96" s="3">
        <f t="shared" si="99"/>
        <v>0</v>
      </c>
      <c r="AJ96" s="3">
        <f t="shared" si="82"/>
        <v>0</v>
      </c>
      <c r="AK96" s="3">
        <v>11.65</v>
      </c>
      <c r="AL96" s="3">
        <v>1.05</v>
      </c>
      <c r="AM96" s="3">
        <v>0</v>
      </c>
      <c r="AN96" s="3">
        <v>0</v>
      </c>
      <c r="AO96" s="3">
        <v>10.6</v>
      </c>
      <c r="AP96" s="3">
        <v>0</v>
      </c>
      <c r="AQ96" s="3">
        <v>0.84</v>
      </c>
      <c r="AR96" s="3">
        <v>0</v>
      </c>
      <c r="AS96" s="3">
        <v>0</v>
      </c>
      <c r="AT96" s="3">
        <v>90</v>
      </c>
      <c r="AU96" s="3">
        <v>46</v>
      </c>
      <c r="AV96" s="3">
        <v>1.0469999999999999</v>
      </c>
      <c r="AW96" s="3">
        <v>1</v>
      </c>
      <c r="AZ96" s="3">
        <v>1</v>
      </c>
      <c r="BA96" s="3">
        <v>56.35</v>
      </c>
      <c r="BB96" s="3">
        <v>1</v>
      </c>
      <c r="BC96" s="3">
        <v>9.84</v>
      </c>
      <c r="BD96" s="3" t="s">
        <v>3</v>
      </c>
      <c r="BE96" s="3" t="s">
        <v>3</v>
      </c>
      <c r="BF96" s="3" t="s">
        <v>3</v>
      </c>
      <c r="BG96" s="3" t="s">
        <v>3</v>
      </c>
      <c r="BH96" s="3">
        <v>0</v>
      </c>
      <c r="BI96" s="3">
        <v>2</v>
      </c>
      <c r="BJ96" s="3" t="s">
        <v>34</v>
      </c>
      <c r="BM96" s="3">
        <v>68</v>
      </c>
      <c r="BN96" s="3">
        <v>0</v>
      </c>
      <c r="BO96" s="3" t="s">
        <v>31</v>
      </c>
      <c r="BP96" s="3">
        <v>1</v>
      </c>
      <c r="BQ96" s="3">
        <v>40</v>
      </c>
      <c r="BR96" s="3">
        <v>0</v>
      </c>
      <c r="BS96" s="3">
        <v>56.35</v>
      </c>
      <c r="BT96" s="3">
        <v>1</v>
      </c>
      <c r="BU96" s="3">
        <v>1</v>
      </c>
      <c r="BV96" s="3">
        <v>1</v>
      </c>
      <c r="BW96" s="3">
        <v>1</v>
      </c>
      <c r="BX96" s="3">
        <v>1</v>
      </c>
      <c r="BY96" s="3" t="s">
        <v>3</v>
      </c>
      <c r="BZ96" s="3">
        <v>90</v>
      </c>
      <c r="CA96" s="3">
        <v>46</v>
      </c>
      <c r="CB96" s="3" t="s">
        <v>3</v>
      </c>
      <c r="CE96" s="3">
        <v>1566</v>
      </c>
      <c r="CF96" s="3">
        <v>0</v>
      </c>
      <c r="CG96" s="3">
        <v>0</v>
      </c>
      <c r="CM96" s="3">
        <v>0</v>
      </c>
      <c r="CN96" s="3" t="s">
        <v>422</v>
      </c>
      <c r="CO96" s="3">
        <v>0</v>
      </c>
      <c r="CP96" s="3">
        <f t="shared" si="83"/>
        <v>15976.369999999999</v>
      </c>
      <c r="CQ96" s="3">
        <f t="shared" si="84"/>
        <v>10.33</v>
      </c>
      <c r="CR96" s="3">
        <f>(ROUND((ROUND((((ET96*1.2))*AV96*1),2)*BB96),2)+ROUND((ROUND(((AE96-((EU96*1.2)))*AV96*1),2)*BS96),2))</f>
        <v>0</v>
      </c>
      <c r="CS96" s="3">
        <f>(ROUND((ROUND((((EU96*1.2))*AV96*1),2)*BS96),2)+ROUND((ROUND(((AE96-((EU96*1.2)))*AV96*1),2)*BS96),2))</f>
        <v>0</v>
      </c>
      <c r="CT96" s="3">
        <f t="shared" si="85"/>
        <v>750.58</v>
      </c>
      <c r="CU96" s="3">
        <f t="shared" si="86"/>
        <v>0</v>
      </c>
      <c r="CV96" s="3">
        <f t="shared" si="87"/>
        <v>1.0553759999999999</v>
      </c>
      <c r="CW96" s="3">
        <f t="shared" si="88"/>
        <v>0</v>
      </c>
      <c r="CX96" s="3">
        <f t="shared" si="89"/>
        <v>0</v>
      </c>
      <c r="CY96" s="3">
        <f>(ROUND((((S96+ROUND((ROUND((((EU96*1.2))*AV96*1),2)*BS96),2))*AT96)/100),2)+ROUND(((ROUND((ROUND(((AE96-((EU96*1.2)))*AV96*1),2)*BS96),2)*AT96)/100),2))</f>
        <v>14183.46</v>
      </c>
      <c r="CZ96" s="3">
        <f>(ROUND((((S96+ROUND((ROUND((((EU96*1.2))*AV96*1),2)*BS96),2))*AU96)/100),2)+ROUND(((ROUND((ROUND(((AE96-((EU96*1.2)))*AV96*1),2)*BS96),2)*AU96)/100),2))</f>
        <v>7249.32</v>
      </c>
      <c r="DB96" s="3">
        <v>52</v>
      </c>
      <c r="DC96" s="3" t="s">
        <v>3</v>
      </c>
      <c r="DD96" s="3" t="s">
        <v>62</v>
      </c>
      <c r="DE96" s="3" t="s">
        <v>63</v>
      </c>
      <c r="DF96" s="3" t="s">
        <v>63</v>
      </c>
      <c r="DG96" s="3" t="s">
        <v>63</v>
      </c>
      <c r="DH96" s="3" t="s">
        <v>3</v>
      </c>
      <c r="DI96" s="3" t="s">
        <v>63</v>
      </c>
      <c r="DJ96" s="3" t="s">
        <v>63</v>
      </c>
      <c r="DK96" s="3" t="s">
        <v>3</v>
      </c>
      <c r="DL96" s="3" t="s">
        <v>3</v>
      </c>
      <c r="DM96" s="3" t="s">
        <v>3</v>
      </c>
      <c r="DN96" s="3">
        <v>0</v>
      </c>
      <c r="DO96" s="3">
        <v>0</v>
      </c>
      <c r="DP96" s="3">
        <v>1</v>
      </c>
      <c r="DQ96" s="3">
        <v>1</v>
      </c>
      <c r="DU96" s="3">
        <v>1013</v>
      </c>
      <c r="DV96" s="3" t="s">
        <v>33</v>
      </c>
      <c r="DW96" s="3" t="s">
        <v>33</v>
      </c>
      <c r="DX96" s="3">
        <v>1</v>
      </c>
      <c r="DZ96" s="3" t="s">
        <v>3</v>
      </c>
      <c r="EA96" s="3" t="s">
        <v>3</v>
      </c>
      <c r="EB96" s="3" t="s">
        <v>3</v>
      </c>
      <c r="EC96" s="3" t="s">
        <v>3</v>
      </c>
      <c r="EE96" s="3">
        <v>55393700</v>
      </c>
      <c r="EF96" s="3">
        <v>40</v>
      </c>
      <c r="EG96" s="3" t="s">
        <v>26</v>
      </c>
      <c r="EH96" s="3">
        <v>0</v>
      </c>
      <c r="EI96" s="3" t="s">
        <v>3</v>
      </c>
      <c r="EJ96" s="3">
        <v>2</v>
      </c>
      <c r="EK96" s="3">
        <v>68</v>
      </c>
      <c r="EL96" s="3" t="s">
        <v>27</v>
      </c>
      <c r="EM96" s="3" t="s">
        <v>28</v>
      </c>
      <c r="EO96" s="3" t="s">
        <v>67</v>
      </c>
      <c r="EQ96" s="3">
        <v>1024</v>
      </c>
      <c r="ER96" s="3">
        <v>11.65</v>
      </c>
      <c r="ES96" s="3">
        <v>1.05</v>
      </c>
      <c r="ET96" s="3">
        <v>0</v>
      </c>
      <c r="EU96" s="3">
        <v>0</v>
      </c>
      <c r="EV96" s="3">
        <v>10.6</v>
      </c>
      <c r="EW96" s="3">
        <v>0.84</v>
      </c>
      <c r="EX96" s="3">
        <v>0</v>
      </c>
      <c r="EY96" s="3">
        <v>0</v>
      </c>
      <c r="FQ96" s="3">
        <v>0</v>
      </c>
      <c r="FR96" s="3">
        <v>0</v>
      </c>
      <c r="FS96" s="3">
        <v>0</v>
      </c>
      <c r="FX96" s="3">
        <v>90</v>
      </c>
      <c r="FY96" s="3">
        <v>46</v>
      </c>
      <c r="GA96" s="3" t="s">
        <v>3</v>
      </c>
      <c r="GD96" s="3">
        <v>1</v>
      </c>
      <c r="GF96" s="3">
        <v>-1797125674</v>
      </c>
      <c r="GG96" s="3">
        <v>2</v>
      </c>
      <c r="GH96" s="3">
        <v>1</v>
      </c>
      <c r="GI96" s="3">
        <v>2</v>
      </c>
      <c r="GJ96" s="3">
        <v>0</v>
      </c>
      <c r="GK96" s="3">
        <v>0</v>
      </c>
      <c r="GL96" s="3">
        <f t="shared" si="90"/>
        <v>0</v>
      </c>
      <c r="GM96" s="3">
        <f t="shared" si="91"/>
        <v>37409.15</v>
      </c>
      <c r="GN96" s="3">
        <f t="shared" si="92"/>
        <v>0</v>
      </c>
      <c r="GO96" s="3">
        <f t="shared" si="93"/>
        <v>37409.15</v>
      </c>
      <c r="GP96" s="3">
        <f t="shared" si="94"/>
        <v>0</v>
      </c>
      <c r="GR96" s="3">
        <v>0</v>
      </c>
      <c r="GS96" s="3">
        <v>3</v>
      </c>
      <c r="GT96" s="3">
        <v>0</v>
      </c>
      <c r="GU96" s="3" t="s">
        <v>3</v>
      </c>
      <c r="GV96" s="3">
        <f t="shared" si="95"/>
        <v>0</v>
      </c>
      <c r="GW96" s="3">
        <v>1</v>
      </c>
      <c r="GX96" s="3">
        <f t="shared" si="96"/>
        <v>0</v>
      </c>
      <c r="HA96" s="3">
        <v>0</v>
      </c>
      <c r="HB96" s="3">
        <v>0</v>
      </c>
      <c r="HC96" s="3">
        <f t="shared" si="97"/>
        <v>0</v>
      </c>
      <c r="HE96" s="3" t="s">
        <v>3</v>
      </c>
      <c r="HF96" s="3" t="s">
        <v>3</v>
      </c>
      <c r="HM96" s="3" t="s">
        <v>3</v>
      </c>
      <c r="HN96" s="3" t="s">
        <v>3</v>
      </c>
      <c r="HO96" s="3" t="s">
        <v>3</v>
      </c>
      <c r="HP96" s="3" t="s">
        <v>3</v>
      </c>
      <c r="HQ96" s="3" t="s">
        <v>3</v>
      </c>
      <c r="HS96" s="3">
        <v>0</v>
      </c>
      <c r="IK96" s="3">
        <v>0</v>
      </c>
    </row>
    <row r="97" spans="1:255" x14ac:dyDescent="0.25">
      <c r="A97" s="2">
        <v>17</v>
      </c>
      <c r="B97" s="2">
        <v>1</v>
      </c>
      <c r="C97" s="2"/>
      <c r="D97" s="2"/>
      <c r="E97" s="2" t="s">
        <v>152</v>
      </c>
      <c r="F97" s="2" t="s">
        <v>153</v>
      </c>
      <c r="G97" s="2" t="s">
        <v>154</v>
      </c>
      <c r="H97" s="2" t="s">
        <v>144</v>
      </c>
      <c r="I97" s="2">
        <v>21</v>
      </c>
      <c r="J97" s="2">
        <v>0</v>
      </c>
      <c r="K97" s="2">
        <v>21</v>
      </c>
      <c r="L97" s="2"/>
      <c r="M97" s="2"/>
      <c r="N97" s="2"/>
      <c r="O97" s="2">
        <f t="shared" si="73"/>
        <v>2924.88</v>
      </c>
      <c r="P97" s="2">
        <f t="shared" si="74"/>
        <v>2924.88</v>
      </c>
      <c r="Q97" s="2">
        <f>(ROUND((ROUND(((ET97)*AV97*I97),2)*BB97),2)+ROUND((ROUND(((AE97-(EU97))*AV97*I97),2)*BS97),2))</f>
        <v>0</v>
      </c>
      <c r="R97" s="2">
        <f>(ROUND((ROUND(((EU97)*AV97*I97),2)*BS97),2)+ROUND((ROUND(((AE97-(EU97))*AV97*I97),2)*BS97),2))</f>
        <v>0</v>
      </c>
      <c r="S97" s="2">
        <f t="shared" si="75"/>
        <v>0</v>
      </c>
      <c r="T97" s="2">
        <f t="shared" si="76"/>
        <v>0</v>
      </c>
      <c r="U97" s="2">
        <f t="shared" si="77"/>
        <v>0</v>
      </c>
      <c r="V97" s="2">
        <f t="shared" si="78"/>
        <v>0</v>
      </c>
      <c r="W97" s="2">
        <f t="shared" si="79"/>
        <v>0</v>
      </c>
      <c r="X97" s="2">
        <f>(ROUND((((S97+ROUND((ROUND(((EU97)*AV97*I97),2)*BS97),2))*AT97)/100),2)+ROUND(((ROUND((ROUND(((AE97-(EU97))*AV97*I97),2)*BS97),2)*AT97)/100),2))</f>
        <v>0</v>
      </c>
      <c r="Y97" s="2">
        <f>(ROUND((((S97+ROUND((ROUND(((EU97)*AV97*I97),2)*BS97),2))*AU97)/100),2)+ROUND(((ROUND((ROUND(((AE97-(EU97))*AV97*I97),2)*BS97),2)*AU97)/100),2))</f>
        <v>0</v>
      </c>
      <c r="Z97" s="2"/>
      <c r="AA97" s="2">
        <v>55936046</v>
      </c>
      <c r="AB97" s="2">
        <f t="shared" si="80"/>
        <v>139.28</v>
      </c>
      <c r="AC97" s="2">
        <f>ROUND((ES97),6)</f>
        <v>139.28</v>
      </c>
      <c r="AD97" s="2">
        <f>ROUND((((ET97)-(EU97))+AE97),6)</f>
        <v>0</v>
      </c>
      <c r="AE97" s="2">
        <f>ROUND((EU97),6)</f>
        <v>0</v>
      </c>
      <c r="AF97" s="2">
        <f>ROUND((EV97),6)</f>
        <v>0</v>
      </c>
      <c r="AG97" s="2">
        <f t="shared" si="81"/>
        <v>0</v>
      </c>
      <c r="AH97" s="2">
        <f>(EW97)</f>
        <v>0</v>
      </c>
      <c r="AI97" s="2">
        <f>(EX97)</f>
        <v>0</v>
      </c>
      <c r="AJ97" s="2">
        <f t="shared" si="82"/>
        <v>0</v>
      </c>
      <c r="AK97" s="2">
        <v>139.28</v>
      </c>
      <c r="AL97" s="2">
        <v>139.28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1</v>
      </c>
      <c r="AW97" s="2">
        <v>1</v>
      </c>
      <c r="AX97" s="2"/>
      <c r="AY97" s="2"/>
      <c r="AZ97" s="2">
        <v>1</v>
      </c>
      <c r="BA97" s="2">
        <v>1</v>
      </c>
      <c r="BB97" s="2">
        <v>1</v>
      </c>
      <c r="BC97" s="2">
        <v>1</v>
      </c>
      <c r="BD97" s="2" t="s">
        <v>3</v>
      </c>
      <c r="BE97" s="2" t="s">
        <v>3</v>
      </c>
      <c r="BF97" s="2" t="s">
        <v>3</v>
      </c>
      <c r="BG97" s="2" t="s">
        <v>3</v>
      </c>
      <c r="BH97" s="2">
        <v>3</v>
      </c>
      <c r="BI97" s="2">
        <v>3</v>
      </c>
      <c r="BJ97" s="2" t="s">
        <v>153</v>
      </c>
      <c r="BK97" s="2"/>
      <c r="BL97" s="2"/>
      <c r="BM97" s="2">
        <v>400007</v>
      </c>
      <c r="BN97" s="2">
        <v>0</v>
      </c>
      <c r="BO97" s="2" t="s">
        <v>3</v>
      </c>
      <c r="BP97" s="2">
        <v>0</v>
      </c>
      <c r="BQ97" s="2">
        <v>214</v>
      </c>
      <c r="BR97" s="2">
        <v>0</v>
      </c>
      <c r="BS97" s="2">
        <v>1</v>
      </c>
      <c r="BT97" s="2">
        <v>1</v>
      </c>
      <c r="BU97" s="2">
        <v>1</v>
      </c>
      <c r="BV97" s="2">
        <v>1</v>
      </c>
      <c r="BW97" s="2">
        <v>1</v>
      </c>
      <c r="BX97" s="2">
        <v>1</v>
      </c>
      <c r="BY97" s="2" t="s">
        <v>3</v>
      </c>
      <c r="BZ97" s="2">
        <v>0</v>
      </c>
      <c r="CA97" s="2">
        <v>0</v>
      </c>
      <c r="CB97" s="2" t="s">
        <v>3</v>
      </c>
      <c r="CC97" s="2"/>
      <c r="CD97" s="2"/>
      <c r="CE97" s="2">
        <v>1566</v>
      </c>
      <c r="CF97" s="2">
        <v>0</v>
      </c>
      <c r="CG97" s="2">
        <v>0</v>
      </c>
      <c r="CH97" s="2"/>
      <c r="CI97" s="2"/>
      <c r="CJ97" s="2"/>
      <c r="CK97" s="2"/>
      <c r="CL97" s="2"/>
      <c r="CM97" s="2">
        <v>0</v>
      </c>
      <c r="CN97" s="2" t="s">
        <v>3</v>
      </c>
      <c r="CO97" s="2">
        <v>0</v>
      </c>
      <c r="CP97" s="2">
        <f t="shared" si="83"/>
        <v>2924.88</v>
      </c>
      <c r="CQ97" s="2">
        <f t="shared" si="84"/>
        <v>139.28</v>
      </c>
      <c r="CR97" s="2">
        <f>(ROUND((ROUND(((ET97)*AV97*1),2)*BB97),2)+ROUND((ROUND(((AE97-(EU97))*AV97*1),2)*BS97),2))</f>
        <v>0</v>
      </c>
      <c r="CS97" s="2">
        <f>(ROUND((ROUND(((EU97)*AV97*1),2)*BS97),2)+ROUND((ROUND(((AE97-(EU97))*AV97*1),2)*BS97),2))</f>
        <v>0</v>
      </c>
      <c r="CT97" s="2">
        <f t="shared" si="85"/>
        <v>0</v>
      </c>
      <c r="CU97" s="2">
        <f t="shared" si="86"/>
        <v>0</v>
      </c>
      <c r="CV97" s="2">
        <f t="shared" si="87"/>
        <v>0</v>
      </c>
      <c r="CW97" s="2">
        <f t="shared" si="88"/>
        <v>0</v>
      </c>
      <c r="CX97" s="2">
        <f t="shared" si="89"/>
        <v>0</v>
      </c>
      <c r="CY97" s="2">
        <f>(ROUND((((S97+ROUND((ROUND(((EU97)*AV97*1),2)*BS97),2))*AT97)/100),2)+ROUND(((ROUND((ROUND(((AE97-(EU97))*AV97*1),2)*BS97),2)*AT97)/100),2))</f>
        <v>0</v>
      </c>
      <c r="CZ97" s="2">
        <f>(ROUND((((S97+ROUND((ROUND(((EU97)*AV97*1),2)*BS97),2))*AU97)/100),2)+ROUND(((ROUND((ROUND(((AE97-(EU97))*AV97*1),2)*BS97),2)*AU97)/100),2))</f>
        <v>0</v>
      </c>
      <c r="DA97" s="2"/>
      <c r="DB97" s="2"/>
      <c r="DC97" s="2" t="s">
        <v>3</v>
      </c>
      <c r="DD97" s="2" t="s">
        <v>3</v>
      </c>
      <c r="DE97" s="2" t="s">
        <v>3</v>
      </c>
      <c r="DF97" s="2" t="s">
        <v>3</v>
      </c>
      <c r="DG97" s="2" t="s">
        <v>3</v>
      </c>
      <c r="DH97" s="2" t="s">
        <v>3</v>
      </c>
      <c r="DI97" s="2" t="s">
        <v>3</v>
      </c>
      <c r="DJ97" s="2" t="s">
        <v>3</v>
      </c>
      <c r="DK97" s="2" t="s">
        <v>3</v>
      </c>
      <c r="DL97" s="2" t="s">
        <v>3</v>
      </c>
      <c r="DM97" s="2" t="s">
        <v>3</v>
      </c>
      <c r="DN97" s="2">
        <v>0</v>
      </c>
      <c r="DO97" s="2">
        <v>0</v>
      </c>
      <c r="DP97" s="2">
        <v>1</v>
      </c>
      <c r="DQ97" s="2">
        <v>1</v>
      </c>
      <c r="DR97" s="2"/>
      <c r="DS97" s="2"/>
      <c r="DT97" s="2"/>
      <c r="DU97" s="2">
        <v>1013</v>
      </c>
      <c r="DV97" s="2" t="s">
        <v>144</v>
      </c>
      <c r="DW97" s="2" t="s">
        <v>144</v>
      </c>
      <c r="DX97" s="2">
        <v>1</v>
      </c>
      <c r="DY97" s="2"/>
      <c r="DZ97" s="2" t="s">
        <v>3</v>
      </c>
      <c r="EA97" s="2" t="s">
        <v>3</v>
      </c>
      <c r="EB97" s="2" t="s">
        <v>3</v>
      </c>
      <c r="EC97" s="2" t="s">
        <v>3</v>
      </c>
      <c r="ED97" s="2"/>
      <c r="EE97" s="2">
        <v>55393630</v>
      </c>
      <c r="EF97" s="2">
        <v>214</v>
      </c>
      <c r="EG97" s="2" t="s">
        <v>145</v>
      </c>
      <c r="EH97" s="2">
        <v>0</v>
      </c>
      <c r="EI97" s="2" t="s">
        <v>3</v>
      </c>
      <c r="EJ97" s="2">
        <v>3</v>
      </c>
      <c r="EK97" s="2">
        <v>400007</v>
      </c>
      <c r="EL97" s="2" t="s">
        <v>145</v>
      </c>
      <c r="EM97" s="2" t="s">
        <v>146</v>
      </c>
      <c r="EN97" s="2"/>
      <c r="EO97" s="2" t="s">
        <v>3</v>
      </c>
      <c r="EP97" s="2"/>
      <c r="EQ97" s="2">
        <v>16</v>
      </c>
      <c r="ER97" s="2">
        <v>0</v>
      </c>
      <c r="ES97" s="2">
        <v>139.28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>
        <v>0</v>
      </c>
      <c r="FR97" s="2">
        <f>P97</f>
        <v>2924.88</v>
      </c>
      <c r="FS97" s="2">
        <v>0</v>
      </c>
      <c r="FT97" s="2"/>
      <c r="FU97" s="2"/>
      <c r="FV97" s="2"/>
      <c r="FW97" s="2"/>
      <c r="FX97" s="2">
        <v>0</v>
      </c>
      <c r="FY97" s="2">
        <v>0</v>
      </c>
      <c r="FZ97" s="2"/>
      <c r="GA97" s="2" t="s">
        <v>155</v>
      </c>
      <c r="GB97" s="2"/>
      <c r="GC97" s="2"/>
      <c r="GD97" s="2">
        <v>1</v>
      </c>
      <c r="GE97" s="2"/>
      <c r="GF97" s="2">
        <v>-677638658</v>
      </c>
      <c r="GG97" s="2">
        <v>2</v>
      </c>
      <c r="GH97" s="2">
        <v>4</v>
      </c>
      <c r="GI97" s="2">
        <v>-2</v>
      </c>
      <c r="GJ97" s="2">
        <v>0</v>
      </c>
      <c r="GK97" s="2">
        <v>0</v>
      </c>
      <c r="GL97" s="2">
        <f t="shared" si="90"/>
        <v>0</v>
      </c>
      <c r="GM97" s="2">
        <f t="shared" si="91"/>
        <v>2924.88</v>
      </c>
      <c r="GN97" s="2">
        <f t="shared" si="92"/>
        <v>0</v>
      </c>
      <c r="GO97" s="2">
        <f t="shared" si="93"/>
        <v>0</v>
      </c>
      <c r="GP97" s="2">
        <f t="shared" si="94"/>
        <v>0</v>
      </c>
      <c r="GQ97" s="2"/>
      <c r="GR97" s="2">
        <v>1</v>
      </c>
      <c r="GS97" s="2">
        <v>2</v>
      </c>
      <c r="GT97" s="2">
        <v>0</v>
      </c>
      <c r="GU97" s="2" t="s">
        <v>3</v>
      </c>
      <c r="GV97" s="2">
        <f t="shared" si="95"/>
        <v>0</v>
      </c>
      <c r="GW97" s="2">
        <v>1</v>
      </c>
      <c r="GX97" s="2">
        <f t="shared" si="96"/>
        <v>0</v>
      </c>
      <c r="GY97" s="2"/>
      <c r="GZ97" s="2"/>
      <c r="HA97" s="2">
        <v>0</v>
      </c>
      <c r="HB97" s="2">
        <v>0</v>
      </c>
      <c r="HC97" s="2">
        <f t="shared" si="97"/>
        <v>0</v>
      </c>
      <c r="HD97" s="2"/>
      <c r="HE97" s="2" t="s">
        <v>35</v>
      </c>
      <c r="HF97" s="2" t="s">
        <v>148</v>
      </c>
      <c r="HG97" s="2"/>
      <c r="HH97" s="2"/>
      <c r="HI97" s="2"/>
      <c r="HJ97" s="2"/>
      <c r="HK97" s="2"/>
      <c r="HL97" s="2"/>
      <c r="HM97" s="2" t="s">
        <v>3</v>
      </c>
      <c r="HN97" s="2" t="s">
        <v>3</v>
      </c>
      <c r="HO97" s="2" t="s">
        <v>3</v>
      </c>
      <c r="HP97" s="2" t="s">
        <v>3</v>
      </c>
      <c r="HQ97" s="2" t="s">
        <v>3</v>
      </c>
      <c r="HR97" s="2"/>
      <c r="HS97" s="2">
        <v>0</v>
      </c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>
        <v>0</v>
      </c>
      <c r="IL97" s="2"/>
      <c r="IM97" s="2"/>
      <c r="IN97" s="2"/>
      <c r="IO97" s="2"/>
      <c r="IP97" s="2"/>
      <c r="IQ97" s="2"/>
      <c r="IR97" s="2"/>
      <c r="IS97" s="2"/>
      <c r="IT97" s="2"/>
      <c r="IU97" s="2"/>
    </row>
    <row r="98" spans="1:255" x14ac:dyDescent="0.25">
      <c r="A98" s="3">
        <v>17</v>
      </c>
      <c r="B98" s="3">
        <v>1</v>
      </c>
      <c r="E98" s="3" t="s">
        <v>152</v>
      </c>
      <c r="F98" s="3" t="s">
        <v>153</v>
      </c>
      <c r="G98" s="3" t="s">
        <v>154</v>
      </c>
      <c r="H98" s="3" t="s">
        <v>144</v>
      </c>
      <c r="I98" s="3">
        <v>21</v>
      </c>
      <c r="J98" s="3">
        <v>0</v>
      </c>
      <c r="K98" s="3">
        <v>21</v>
      </c>
      <c r="O98" s="3">
        <f t="shared" si="73"/>
        <v>22141.34</v>
      </c>
      <c r="P98" s="3">
        <f t="shared" si="74"/>
        <v>22141.34</v>
      </c>
      <c r="Q98" s="3">
        <f>(ROUND((ROUND(((ET98)*AV98*I98),2)*BB98),2)+ROUND((ROUND(((AE98-(EU98))*AV98*I98),2)*BS98),2))</f>
        <v>0</v>
      </c>
      <c r="R98" s="3">
        <f>(ROUND((ROUND(((EU98)*AV98*I98),2)*BS98),2)+ROUND((ROUND(((AE98-(EU98))*AV98*I98),2)*BS98),2))</f>
        <v>0</v>
      </c>
      <c r="S98" s="3">
        <f t="shared" si="75"/>
        <v>0</v>
      </c>
      <c r="T98" s="3">
        <f t="shared" si="76"/>
        <v>0</v>
      </c>
      <c r="U98" s="3">
        <f t="shared" si="77"/>
        <v>0</v>
      </c>
      <c r="V98" s="3">
        <f t="shared" si="78"/>
        <v>0</v>
      </c>
      <c r="W98" s="3">
        <f t="shared" si="79"/>
        <v>0</v>
      </c>
      <c r="X98" s="3">
        <f>(ROUND((((S98+ROUND((ROUND(((EU98)*AV98*I98),2)*BS98),2))*AT98)/100),2)+ROUND(((ROUND((ROUND(((AE98-(EU98))*AV98*I98),2)*BS98),2)*AT98)/100),2))</f>
        <v>0</v>
      </c>
      <c r="Y98" s="3">
        <f>(ROUND((((S98+ROUND((ROUND(((EU98)*AV98*I98),2)*BS98),2))*AU98)/100),2)+ROUND(((ROUND((ROUND(((AE98-(EU98))*AV98*I98),2)*BS98),2)*AU98)/100),2))</f>
        <v>0</v>
      </c>
      <c r="AA98" s="3">
        <v>55936048</v>
      </c>
      <c r="AB98" s="3">
        <f t="shared" si="80"/>
        <v>139.28</v>
      </c>
      <c r="AC98" s="3">
        <f>ROUND((ES98),6)</f>
        <v>139.28</v>
      </c>
      <c r="AD98" s="3">
        <f>ROUND((((ET98)-(EU98))+AE98),6)</f>
        <v>0</v>
      </c>
      <c r="AE98" s="3">
        <f>ROUND((EU98),6)</f>
        <v>0</v>
      </c>
      <c r="AF98" s="3">
        <f>ROUND((EV98),6)</f>
        <v>0</v>
      </c>
      <c r="AG98" s="3">
        <f t="shared" si="81"/>
        <v>0</v>
      </c>
      <c r="AH98" s="3">
        <f>(EW98)</f>
        <v>0</v>
      </c>
      <c r="AI98" s="3">
        <f>(EX98)</f>
        <v>0</v>
      </c>
      <c r="AJ98" s="3">
        <f t="shared" si="82"/>
        <v>0</v>
      </c>
      <c r="AK98" s="3">
        <v>139.28</v>
      </c>
      <c r="AL98" s="3">
        <v>139.28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1</v>
      </c>
      <c r="AW98" s="3">
        <v>1</v>
      </c>
      <c r="AZ98" s="3">
        <v>1</v>
      </c>
      <c r="BA98" s="3">
        <v>1</v>
      </c>
      <c r="BB98" s="3">
        <v>1</v>
      </c>
      <c r="BC98" s="3">
        <v>7.57</v>
      </c>
      <c r="BD98" s="3" t="s">
        <v>3</v>
      </c>
      <c r="BE98" s="3" t="s">
        <v>3</v>
      </c>
      <c r="BF98" s="3" t="s">
        <v>3</v>
      </c>
      <c r="BG98" s="3" t="s">
        <v>3</v>
      </c>
      <c r="BH98" s="3">
        <v>3</v>
      </c>
      <c r="BI98" s="3">
        <v>3</v>
      </c>
      <c r="BJ98" s="3" t="s">
        <v>153</v>
      </c>
      <c r="BM98" s="3">
        <v>400007</v>
      </c>
      <c r="BN98" s="3">
        <v>0</v>
      </c>
      <c r="BO98" s="3" t="s">
        <v>3</v>
      </c>
      <c r="BP98" s="3">
        <v>0</v>
      </c>
      <c r="BQ98" s="3">
        <v>214</v>
      </c>
      <c r="BR98" s="3">
        <v>0</v>
      </c>
      <c r="BS98" s="3">
        <v>1</v>
      </c>
      <c r="BT98" s="3">
        <v>1</v>
      </c>
      <c r="BU98" s="3">
        <v>1</v>
      </c>
      <c r="BV98" s="3">
        <v>1</v>
      </c>
      <c r="BW98" s="3">
        <v>1</v>
      </c>
      <c r="BX98" s="3">
        <v>1</v>
      </c>
      <c r="BY98" s="3" t="s">
        <v>3</v>
      </c>
      <c r="BZ98" s="3">
        <v>0</v>
      </c>
      <c r="CA98" s="3">
        <v>0</v>
      </c>
      <c r="CB98" s="3" t="s">
        <v>3</v>
      </c>
      <c r="CE98" s="3">
        <v>1566</v>
      </c>
      <c r="CF98" s="3">
        <v>0</v>
      </c>
      <c r="CG98" s="3">
        <v>0</v>
      </c>
      <c r="CM98" s="3">
        <v>0</v>
      </c>
      <c r="CN98" s="3" t="s">
        <v>3</v>
      </c>
      <c r="CO98" s="3">
        <v>0</v>
      </c>
      <c r="CP98" s="3">
        <f t="shared" si="83"/>
        <v>22141.34</v>
      </c>
      <c r="CQ98" s="3">
        <f t="shared" si="84"/>
        <v>1054.3499999999999</v>
      </c>
      <c r="CR98" s="3">
        <f>(ROUND((ROUND(((ET98)*AV98*1),2)*BB98),2)+ROUND((ROUND(((AE98-(EU98))*AV98*1),2)*BS98),2))</f>
        <v>0</v>
      </c>
      <c r="CS98" s="3">
        <f>(ROUND((ROUND(((EU98)*AV98*1),2)*BS98),2)+ROUND((ROUND(((AE98-(EU98))*AV98*1),2)*BS98),2))</f>
        <v>0</v>
      </c>
      <c r="CT98" s="3">
        <f t="shared" si="85"/>
        <v>0</v>
      </c>
      <c r="CU98" s="3">
        <f t="shared" si="86"/>
        <v>0</v>
      </c>
      <c r="CV98" s="3">
        <f t="shared" si="87"/>
        <v>0</v>
      </c>
      <c r="CW98" s="3">
        <f t="shared" si="88"/>
        <v>0</v>
      </c>
      <c r="CX98" s="3">
        <f t="shared" si="89"/>
        <v>0</v>
      </c>
      <c r="CY98" s="3">
        <f>(ROUND((((S98+ROUND((ROUND(((EU98)*AV98*1),2)*BS98),2))*AT98)/100),2)+ROUND(((ROUND((ROUND(((AE98-(EU98))*AV98*1),2)*BS98),2)*AT98)/100),2))</f>
        <v>0</v>
      </c>
      <c r="CZ98" s="3">
        <f>(ROUND((((S98+ROUND((ROUND(((EU98)*AV98*1),2)*BS98),2))*AU98)/100),2)+ROUND(((ROUND((ROUND(((AE98-(EU98))*AV98*1),2)*BS98),2)*AU98)/100),2))</f>
        <v>0</v>
      </c>
      <c r="DC98" s="3" t="s">
        <v>3</v>
      </c>
      <c r="DD98" s="3" t="s">
        <v>3</v>
      </c>
      <c r="DE98" s="3" t="s">
        <v>3</v>
      </c>
      <c r="DF98" s="3" t="s">
        <v>3</v>
      </c>
      <c r="DG98" s="3" t="s">
        <v>3</v>
      </c>
      <c r="DH98" s="3" t="s">
        <v>3</v>
      </c>
      <c r="DI98" s="3" t="s">
        <v>3</v>
      </c>
      <c r="DJ98" s="3" t="s">
        <v>3</v>
      </c>
      <c r="DK98" s="3" t="s">
        <v>3</v>
      </c>
      <c r="DL98" s="3" t="s">
        <v>3</v>
      </c>
      <c r="DM98" s="3" t="s">
        <v>3</v>
      </c>
      <c r="DN98" s="3">
        <v>0</v>
      </c>
      <c r="DO98" s="3">
        <v>0</v>
      </c>
      <c r="DP98" s="3">
        <v>1</v>
      </c>
      <c r="DQ98" s="3">
        <v>1</v>
      </c>
      <c r="DU98" s="3">
        <v>1013</v>
      </c>
      <c r="DV98" s="3" t="s">
        <v>144</v>
      </c>
      <c r="DW98" s="3" t="s">
        <v>144</v>
      </c>
      <c r="DX98" s="3">
        <v>1</v>
      </c>
      <c r="DZ98" s="3" t="s">
        <v>3</v>
      </c>
      <c r="EA98" s="3" t="s">
        <v>3</v>
      </c>
      <c r="EB98" s="3" t="s">
        <v>3</v>
      </c>
      <c r="EC98" s="3" t="s">
        <v>3</v>
      </c>
      <c r="EE98" s="3">
        <v>55393630</v>
      </c>
      <c r="EF98" s="3">
        <v>214</v>
      </c>
      <c r="EG98" s="3" t="s">
        <v>145</v>
      </c>
      <c r="EH98" s="3">
        <v>0</v>
      </c>
      <c r="EI98" s="3" t="s">
        <v>3</v>
      </c>
      <c r="EJ98" s="3">
        <v>3</v>
      </c>
      <c r="EK98" s="3">
        <v>400007</v>
      </c>
      <c r="EL98" s="3" t="s">
        <v>145</v>
      </c>
      <c r="EM98" s="3" t="s">
        <v>146</v>
      </c>
      <c r="EO98" s="3" t="s">
        <v>3</v>
      </c>
      <c r="EQ98" s="3">
        <v>16</v>
      </c>
      <c r="ER98" s="3">
        <v>0</v>
      </c>
      <c r="ES98" s="3">
        <v>139.28</v>
      </c>
      <c r="ET98" s="3">
        <v>0</v>
      </c>
      <c r="EU98" s="3">
        <v>0</v>
      </c>
      <c r="EV98" s="3">
        <v>0</v>
      </c>
      <c r="EW98" s="3">
        <v>0</v>
      </c>
      <c r="EX98" s="3">
        <v>0</v>
      </c>
      <c r="EY98" s="3">
        <v>0</v>
      </c>
      <c r="EZ98" s="3">
        <v>5</v>
      </c>
      <c r="FC98" s="3">
        <v>1</v>
      </c>
      <c r="FD98" s="3">
        <v>18</v>
      </c>
      <c r="FF98" s="3">
        <v>1234</v>
      </c>
      <c r="FQ98" s="3">
        <v>0</v>
      </c>
      <c r="FR98" s="3">
        <f>P98</f>
        <v>22141.34</v>
      </c>
      <c r="FS98" s="3">
        <v>0</v>
      </c>
      <c r="FX98" s="3">
        <v>0</v>
      </c>
      <c r="FY98" s="3">
        <v>0</v>
      </c>
      <c r="GA98" s="3" t="s">
        <v>155</v>
      </c>
      <c r="GD98" s="3">
        <v>1</v>
      </c>
      <c r="GF98" s="3">
        <v>-677638658</v>
      </c>
      <c r="GG98" s="3">
        <v>2</v>
      </c>
      <c r="GH98" s="3">
        <v>3</v>
      </c>
      <c r="GI98" s="3">
        <v>5</v>
      </c>
      <c r="GJ98" s="3">
        <v>0</v>
      </c>
      <c r="GK98" s="3">
        <v>0</v>
      </c>
      <c r="GL98" s="3">
        <f t="shared" si="90"/>
        <v>0</v>
      </c>
      <c r="GM98" s="3">
        <f t="shared" si="91"/>
        <v>22141.34</v>
      </c>
      <c r="GN98" s="3">
        <f t="shared" si="92"/>
        <v>0</v>
      </c>
      <c r="GO98" s="3">
        <f t="shared" si="93"/>
        <v>0</v>
      </c>
      <c r="GP98" s="3">
        <f t="shared" si="94"/>
        <v>0</v>
      </c>
      <c r="GR98" s="3">
        <v>1</v>
      </c>
      <c r="GS98" s="3">
        <v>1</v>
      </c>
      <c r="GT98" s="3">
        <v>0</v>
      </c>
      <c r="GU98" s="3" t="s">
        <v>3</v>
      </c>
      <c r="GV98" s="3">
        <f t="shared" si="95"/>
        <v>0</v>
      </c>
      <c r="GW98" s="3">
        <v>1</v>
      </c>
      <c r="GX98" s="3">
        <f t="shared" si="96"/>
        <v>0</v>
      </c>
      <c r="HA98" s="3">
        <v>0</v>
      </c>
      <c r="HB98" s="3">
        <v>0</v>
      </c>
      <c r="HC98" s="3">
        <f t="shared" si="97"/>
        <v>0</v>
      </c>
      <c r="HE98" s="3" t="s">
        <v>35</v>
      </c>
      <c r="HF98" s="3" t="s">
        <v>148</v>
      </c>
      <c r="HM98" s="3" t="s">
        <v>3</v>
      </c>
      <c r="HN98" s="3" t="s">
        <v>3</v>
      </c>
      <c r="HO98" s="3" t="s">
        <v>3</v>
      </c>
      <c r="HP98" s="3" t="s">
        <v>3</v>
      </c>
      <c r="HQ98" s="3" t="s">
        <v>3</v>
      </c>
      <c r="HS98" s="3">
        <v>0</v>
      </c>
      <c r="IK98" s="3">
        <v>0</v>
      </c>
    </row>
    <row r="99" spans="1:255" x14ac:dyDescent="0.25">
      <c r="A99" s="2">
        <v>17</v>
      </c>
      <c r="B99" s="2">
        <v>1</v>
      </c>
      <c r="C99" s="2">
        <f>ROW(SmtRes!A119)</f>
        <v>119</v>
      </c>
      <c r="D99" s="2">
        <f>ROW(EtalonRes!A145)</f>
        <v>145</v>
      </c>
      <c r="E99" s="2" t="s">
        <v>3</v>
      </c>
      <c r="F99" s="2" t="s">
        <v>36</v>
      </c>
      <c r="G99" s="2" t="s">
        <v>156</v>
      </c>
      <c r="H99" s="2" t="s">
        <v>33</v>
      </c>
      <c r="I99" s="2">
        <v>20</v>
      </c>
      <c r="J99" s="2">
        <v>0</v>
      </c>
      <c r="K99" s="2">
        <v>20</v>
      </c>
      <c r="L99" s="2"/>
      <c r="M99" s="2"/>
      <c r="N99" s="2"/>
      <c r="O99" s="2">
        <f t="shared" si="73"/>
        <v>1056.19</v>
      </c>
      <c r="P99" s="2">
        <f t="shared" si="74"/>
        <v>46.8</v>
      </c>
      <c r="Q99" s="2">
        <f>(ROUND((ROUND((((ET99*1.2))*AV99*I99),2)*BB99),2)+ROUND((ROUND(((AE99-((EU99*1.2)))*AV99*I99),2)*BS99),2))</f>
        <v>0</v>
      </c>
      <c r="R99" s="2">
        <f>(ROUND((ROUND((((EU99*1.2))*AV99*I99),2)*BS99),2)+ROUND((ROUND(((AE99-((EU99*1.2)))*AV99*I99),2)*BS99),2))</f>
        <v>0</v>
      </c>
      <c r="S99" s="2">
        <f t="shared" si="75"/>
        <v>1009.39</v>
      </c>
      <c r="T99" s="2">
        <f t="shared" si="76"/>
        <v>0</v>
      </c>
      <c r="U99" s="2">
        <f t="shared" si="77"/>
        <v>79.907039999999995</v>
      </c>
      <c r="V99" s="2">
        <f t="shared" si="78"/>
        <v>0</v>
      </c>
      <c r="W99" s="2">
        <f t="shared" si="79"/>
        <v>0</v>
      </c>
      <c r="X99" s="2">
        <f>(ROUND((((S99+ROUND((ROUND((((EU99*1.2))*AV99*I99),2)*BS99),2))*AT99)/100),2)+ROUND(((ROUND((ROUND(((AE99-((EU99*1.2)))*AV99*I99),2)*BS99),2)*AT99)/100),2))</f>
        <v>908.45</v>
      </c>
      <c r="Y99" s="2">
        <f>(ROUND((((S99+ROUND((ROUND((((EU99*1.2))*AV99*I99),2)*BS99),2))*AU99)/100),2)+ROUND(((ROUND((ROUND(((AE99-((EU99*1.2)))*AV99*I99),2)*BS99),2)*AU99)/100),2))</f>
        <v>464.32</v>
      </c>
      <c r="Z99" s="2"/>
      <c r="AA99" s="2">
        <v>-1</v>
      </c>
      <c r="AB99" s="2">
        <f t="shared" si="80"/>
        <v>50.543999999999997</v>
      </c>
      <c r="AC99" s="2">
        <f>ROUND(((ES99*1)),6)</f>
        <v>2.34</v>
      </c>
      <c r="AD99" s="2">
        <f>ROUND(((((ET99*1.2))-((EU99*1.2)))+AE99),6)</f>
        <v>0</v>
      </c>
      <c r="AE99" s="2">
        <f>ROUND(((EU99*1.2)),6)</f>
        <v>0</v>
      </c>
      <c r="AF99" s="2">
        <f>ROUND(((EV99*1.2)),6)</f>
        <v>48.204000000000001</v>
      </c>
      <c r="AG99" s="2">
        <f t="shared" si="81"/>
        <v>0</v>
      </c>
      <c r="AH99" s="2">
        <f>((EW99*1.2))</f>
        <v>3.8159999999999998</v>
      </c>
      <c r="AI99" s="2">
        <f>((EX99*1.2))</f>
        <v>0</v>
      </c>
      <c r="AJ99" s="2">
        <f t="shared" si="82"/>
        <v>0</v>
      </c>
      <c r="AK99" s="2">
        <v>42.51</v>
      </c>
      <c r="AL99" s="2">
        <v>2.34</v>
      </c>
      <c r="AM99" s="2">
        <v>0</v>
      </c>
      <c r="AN99" s="2">
        <v>0</v>
      </c>
      <c r="AO99" s="2">
        <v>40.17</v>
      </c>
      <c r="AP99" s="2">
        <v>0</v>
      </c>
      <c r="AQ99" s="2">
        <v>3.18</v>
      </c>
      <c r="AR99" s="2">
        <v>0</v>
      </c>
      <c r="AS99" s="2">
        <v>0</v>
      </c>
      <c r="AT99" s="2">
        <v>90</v>
      </c>
      <c r="AU99" s="2">
        <v>46</v>
      </c>
      <c r="AV99" s="2">
        <v>1.0469999999999999</v>
      </c>
      <c r="AW99" s="2">
        <v>1</v>
      </c>
      <c r="AX99" s="2"/>
      <c r="AY99" s="2"/>
      <c r="AZ99" s="2">
        <v>1</v>
      </c>
      <c r="BA99" s="2">
        <v>1</v>
      </c>
      <c r="BB99" s="2">
        <v>1</v>
      </c>
      <c r="BC99" s="2">
        <v>1</v>
      </c>
      <c r="BD99" s="2" t="s">
        <v>3</v>
      </c>
      <c r="BE99" s="2" t="s">
        <v>3</v>
      </c>
      <c r="BF99" s="2" t="s">
        <v>3</v>
      </c>
      <c r="BG99" s="2" t="s">
        <v>3</v>
      </c>
      <c r="BH99" s="2">
        <v>0</v>
      </c>
      <c r="BI99" s="2">
        <v>2</v>
      </c>
      <c r="BJ99" s="2" t="s">
        <v>38</v>
      </c>
      <c r="BK99" s="2"/>
      <c r="BL99" s="2"/>
      <c r="BM99" s="2">
        <v>68</v>
      </c>
      <c r="BN99" s="2">
        <v>0</v>
      </c>
      <c r="BO99" s="2" t="s">
        <v>36</v>
      </c>
      <c r="BP99" s="2">
        <v>1</v>
      </c>
      <c r="BQ99" s="2">
        <v>40</v>
      </c>
      <c r="BR99" s="2">
        <v>0</v>
      </c>
      <c r="BS99" s="2">
        <v>1</v>
      </c>
      <c r="BT99" s="2">
        <v>1</v>
      </c>
      <c r="BU99" s="2">
        <v>1</v>
      </c>
      <c r="BV99" s="2">
        <v>1</v>
      </c>
      <c r="BW99" s="2">
        <v>1</v>
      </c>
      <c r="BX99" s="2">
        <v>1</v>
      </c>
      <c r="BY99" s="2" t="s">
        <v>3</v>
      </c>
      <c r="BZ99" s="2">
        <v>90</v>
      </c>
      <c r="CA99" s="2">
        <v>46</v>
      </c>
      <c r="CB99" s="2" t="s">
        <v>3</v>
      </c>
      <c r="CC99" s="2"/>
      <c r="CD99" s="2"/>
      <c r="CE99" s="2">
        <v>1566</v>
      </c>
      <c r="CF99" s="2">
        <v>0</v>
      </c>
      <c r="CG99" s="2">
        <v>0</v>
      </c>
      <c r="CH99" s="2"/>
      <c r="CI99" s="2"/>
      <c r="CJ99" s="2"/>
      <c r="CK99" s="2"/>
      <c r="CL99" s="2"/>
      <c r="CM99" s="2">
        <v>0</v>
      </c>
      <c r="CN99" s="2" t="s">
        <v>422</v>
      </c>
      <c r="CO99" s="2">
        <v>0</v>
      </c>
      <c r="CP99" s="2">
        <f t="shared" si="83"/>
        <v>1056.19</v>
      </c>
      <c r="CQ99" s="2">
        <f t="shared" si="84"/>
        <v>2.34</v>
      </c>
      <c r="CR99" s="2">
        <f>(ROUND((ROUND((((ET99*1.2))*AV99*1),2)*BB99),2)+ROUND((ROUND(((AE99-((EU99*1.2)))*AV99*1),2)*BS99),2))</f>
        <v>0</v>
      </c>
      <c r="CS99" s="2">
        <f>(ROUND((ROUND((((EU99*1.2))*AV99*1),2)*BS99),2)+ROUND((ROUND(((AE99-((EU99*1.2)))*AV99*1),2)*BS99),2))</f>
        <v>0</v>
      </c>
      <c r="CT99" s="2">
        <f t="shared" si="85"/>
        <v>50.47</v>
      </c>
      <c r="CU99" s="2">
        <f t="shared" si="86"/>
        <v>0</v>
      </c>
      <c r="CV99" s="2">
        <f t="shared" si="87"/>
        <v>3.9953519999999996</v>
      </c>
      <c r="CW99" s="2">
        <f t="shared" si="88"/>
        <v>0</v>
      </c>
      <c r="CX99" s="2">
        <f t="shared" si="89"/>
        <v>0</v>
      </c>
      <c r="CY99" s="2">
        <f>(ROUND((((S99+ROUND((ROUND((((EU99*1.2))*AV99*1),2)*BS99),2))*AT99)/100),2)+ROUND(((ROUND((ROUND(((AE99-((EU99*1.2)))*AV99*1),2)*BS99),2)*AT99)/100),2))</f>
        <v>908.45</v>
      </c>
      <c r="CZ99" s="2">
        <f>(ROUND((((S99+ROUND((ROUND((((EU99*1.2))*AV99*1),2)*BS99),2))*AU99)/100),2)+ROUND(((ROUND((ROUND(((AE99-((EU99*1.2)))*AV99*1),2)*BS99),2)*AU99)/100),2))</f>
        <v>464.32</v>
      </c>
      <c r="DA99" s="2"/>
      <c r="DB99" s="2">
        <v>53</v>
      </c>
      <c r="DC99" s="2" t="s">
        <v>3</v>
      </c>
      <c r="DD99" s="2" t="s">
        <v>62</v>
      </c>
      <c r="DE99" s="2" t="s">
        <v>63</v>
      </c>
      <c r="DF99" s="2" t="s">
        <v>63</v>
      </c>
      <c r="DG99" s="2" t="s">
        <v>63</v>
      </c>
      <c r="DH99" s="2" t="s">
        <v>3</v>
      </c>
      <c r="DI99" s="2" t="s">
        <v>63</v>
      </c>
      <c r="DJ99" s="2" t="s">
        <v>63</v>
      </c>
      <c r="DK99" s="2" t="s">
        <v>3</v>
      </c>
      <c r="DL99" s="2" t="s">
        <v>3</v>
      </c>
      <c r="DM99" s="2" t="s">
        <v>3</v>
      </c>
      <c r="DN99" s="2">
        <v>0</v>
      </c>
      <c r="DO99" s="2">
        <v>0</v>
      </c>
      <c r="DP99" s="2">
        <v>1</v>
      </c>
      <c r="DQ99" s="2">
        <v>1</v>
      </c>
      <c r="DR99" s="2"/>
      <c r="DS99" s="2"/>
      <c r="DT99" s="2"/>
      <c r="DU99" s="2">
        <v>1013</v>
      </c>
      <c r="DV99" s="2" t="s">
        <v>33</v>
      </c>
      <c r="DW99" s="2" t="s">
        <v>33</v>
      </c>
      <c r="DX99" s="2">
        <v>1</v>
      </c>
      <c r="DY99" s="2"/>
      <c r="DZ99" s="2" t="s">
        <v>3</v>
      </c>
      <c r="EA99" s="2" t="s">
        <v>3</v>
      </c>
      <c r="EB99" s="2" t="s">
        <v>3</v>
      </c>
      <c r="EC99" s="2" t="s">
        <v>3</v>
      </c>
      <c r="ED99" s="2"/>
      <c r="EE99" s="2">
        <v>55393700</v>
      </c>
      <c r="EF99" s="2">
        <v>40</v>
      </c>
      <c r="EG99" s="2" t="s">
        <v>26</v>
      </c>
      <c r="EH99" s="2">
        <v>0</v>
      </c>
      <c r="EI99" s="2" t="s">
        <v>3</v>
      </c>
      <c r="EJ99" s="2">
        <v>2</v>
      </c>
      <c r="EK99" s="2">
        <v>68</v>
      </c>
      <c r="EL99" s="2" t="s">
        <v>27</v>
      </c>
      <c r="EM99" s="2" t="s">
        <v>28</v>
      </c>
      <c r="EN99" s="2"/>
      <c r="EO99" s="2" t="s">
        <v>67</v>
      </c>
      <c r="EP99" s="2"/>
      <c r="EQ99" s="2">
        <v>1024</v>
      </c>
      <c r="ER99" s="2">
        <v>42.51</v>
      </c>
      <c r="ES99" s="2">
        <v>2.34</v>
      </c>
      <c r="ET99" s="2">
        <v>0</v>
      </c>
      <c r="EU99" s="2">
        <v>0</v>
      </c>
      <c r="EV99" s="2">
        <v>40.17</v>
      </c>
      <c r="EW99" s="2">
        <v>3.18</v>
      </c>
      <c r="EX99" s="2">
        <v>0</v>
      </c>
      <c r="EY99" s="2">
        <v>0</v>
      </c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>
        <v>0</v>
      </c>
      <c r="FR99" s="2">
        <v>0</v>
      </c>
      <c r="FS99" s="2">
        <v>0</v>
      </c>
      <c r="FT99" s="2"/>
      <c r="FU99" s="2"/>
      <c r="FV99" s="2"/>
      <c r="FW99" s="2"/>
      <c r="FX99" s="2">
        <v>90</v>
      </c>
      <c r="FY99" s="2">
        <v>46</v>
      </c>
      <c r="FZ99" s="2"/>
      <c r="GA99" s="2" t="s">
        <v>3</v>
      </c>
      <c r="GB99" s="2"/>
      <c r="GC99" s="2"/>
      <c r="GD99" s="2">
        <v>1</v>
      </c>
      <c r="GE99" s="2"/>
      <c r="GF99" s="2">
        <v>-1314481947</v>
      </c>
      <c r="GG99" s="2">
        <v>2</v>
      </c>
      <c r="GH99" s="2">
        <v>1</v>
      </c>
      <c r="GI99" s="2">
        <v>2</v>
      </c>
      <c r="GJ99" s="2">
        <v>0</v>
      </c>
      <c r="GK99" s="2">
        <v>0</v>
      </c>
      <c r="GL99" s="2">
        <f t="shared" si="90"/>
        <v>0</v>
      </c>
      <c r="GM99" s="2">
        <f t="shared" si="91"/>
        <v>2428.96</v>
      </c>
      <c r="GN99" s="2">
        <f t="shared" si="92"/>
        <v>0</v>
      </c>
      <c r="GO99" s="2">
        <f t="shared" si="93"/>
        <v>2428.96</v>
      </c>
      <c r="GP99" s="2">
        <f t="shared" si="94"/>
        <v>0</v>
      </c>
      <c r="GQ99" s="2"/>
      <c r="GR99" s="2">
        <v>0</v>
      </c>
      <c r="GS99" s="2">
        <v>3</v>
      </c>
      <c r="GT99" s="2">
        <v>0</v>
      </c>
      <c r="GU99" s="2" t="s">
        <v>3</v>
      </c>
      <c r="GV99" s="2">
        <f t="shared" si="95"/>
        <v>0</v>
      </c>
      <c r="GW99" s="2">
        <v>1</v>
      </c>
      <c r="GX99" s="2">
        <f t="shared" si="96"/>
        <v>0</v>
      </c>
      <c r="GY99" s="2"/>
      <c r="GZ99" s="2"/>
      <c r="HA99" s="2">
        <v>0</v>
      </c>
      <c r="HB99" s="2">
        <v>0</v>
      </c>
      <c r="HC99" s="2">
        <f t="shared" si="97"/>
        <v>0</v>
      </c>
      <c r="HD99" s="2"/>
      <c r="HE99" s="2" t="s">
        <v>3</v>
      </c>
      <c r="HF99" s="2" t="s">
        <v>3</v>
      </c>
      <c r="HG99" s="2"/>
      <c r="HH99" s="2"/>
      <c r="HI99" s="2"/>
      <c r="HJ99" s="2"/>
      <c r="HK99" s="2"/>
      <c r="HL99" s="2"/>
      <c r="HM99" s="2" t="s">
        <v>3</v>
      </c>
      <c r="HN99" s="2" t="s">
        <v>3</v>
      </c>
      <c r="HO99" s="2" t="s">
        <v>3</v>
      </c>
      <c r="HP99" s="2" t="s">
        <v>3</v>
      </c>
      <c r="HQ99" s="2" t="s">
        <v>3</v>
      </c>
      <c r="HR99" s="2"/>
      <c r="HS99" s="2">
        <v>0</v>
      </c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>
        <v>0</v>
      </c>
      <c r="IL99" s="2"/>
      <c r="IM99" s="2"/>
      <c r="IN99" s="2"/>
      <c r="IO99" s="2"/>
      <c r="IP99" s="2"/>
      <c r="IQ99" s="2"/>
      <c r="IR99" s="2"/>
      <c r="IS99" s="2"/>
      <c r="IT99" s="2"/>
      <c r="IU99" s="2"/>
    </row>
    <row r="100" spans="1:255" x14ac:dyDescent="0.25">
      <c r="A100" s="3">
        <v>17</v>
      </c>
      <c r="B100" s="3">
        <v>1</v>
      </c>
      <c r="C100" s="3">
        <f>ROW(SmtRes!A124)</f>
        <v>124</v>
      </c>
      <c r="D100" s="3">
        <f>ROW(EtalonRes!A150)</f>
        <v>150</v>
      </c>
      <c r="E100" s="3" t="s">
        <v>3</v>
      </c>
      <c r="F100" s="3" t="s">
        <v>36</v>
      </c>
      <c r="G100" s="3" t="s">
        <v>156</v>
      </c>
      <c r="H100" s="3" t="s">
        <v>33</v>
      </c>
      <c r="I100" s="3">
        <v>20</v>
      </c>
      <c r="J100" s="3">
        <v>0</v>
      </c>
      <c r="K100" s="3">
        <v>20</v>
      </c>
      <c r="O100" s="3">
        <f t="shared" si="73"/>
        <v>57358.36</v>
      </c>
      <c r="P100" s="3">
        <f t="shared" si="74"/>
        <v>479.23</v>
      </c>
      <c r="Q100" s="3">
        <f>(ROUND((ROUND((((ET100*1.2))*AV100*I100),2)*BB100),2)+ROUND((ROUND(((AE100-((EU100*1.2)))*AV100*I100),2)*BS100),2))</f>
        <v>0</v>
      </c>
      <c r="R100" s="3">
        <f>(ROUND((ROUND((((EU100*1.2))*AV100*I100),2)*BS100),2)+ROUND((ROUND(((AE100-((EU100*1.2)))*AV100*I100),2)*BS100),2))</f>
        <v>0</v>
      </c>
      <c r="S100" s="3">
        <f t="shared" si="75"/>
        <v>56879.13</v>
      </c>
      <c r="T100" s="3">
        <f t="shared" si="76"/>
        <v>0</v>
      </c>
      <c r="U100" s="3">
        <f t="shared" si="77"/>
        <v>79.907039999999995</v>
      </c>
      <c r="V100" s="3">
        <f t="shared" si="78"/>
        <v>0</v>
      </c>
      <c r="W100" s="3">
        <f t="shared" si="79"/>
        <v>0</v>
      </c>
      <c r="X100" s="3">
        <f>(ROUND((((S100+ROUND((ROUND((((EU100*1.2))*AV100*I100),2)*BS100),2))*AT100)/100),2)+ROUND(((ROUND((ROUND(((AE100-((EU100*1.2)))*AV100*I100),2)*BS100),2)*AT100)/100),2))</f>
        <v>51191.22</v>
      </c>
      <c r="Y100" s="3">
        <f>(ROUND((((S100+ROUND((ROUND((((EU100*1.2))*AV100*I100),2)*BS100),2))*AU100)/100),2)+ROUND(((ROUND((ROUND(((AE100-((EU100*1.2)))*AV100*I100),2)*BS100),2)*AU100)/100),2))</f>
        <v>26164.400000000001</v>
      </c>
      <c r="AA100" s="3">
        <v>-1</v>
      </c>
      <c r="AB100" s="3">
        <f t="shared" si="80"/>
        <v>50.543999999999997</v>
      </c>
      <c r="AC100" s="3">
        <f>ROUND(((ES100*1)),6)</f>
        <v>2.34</v>
      </c>
      <c r="AD100" s="3">
        <f>ROUND(((((ET100*1.2))-((EU100*1.2)))+AE100),6)</f>
        <v>0</v>
      </c>
      <c r="AE100" s="3">
        <f>ROUND(((EU100*1.2)),6)</f>
        <v>0</v>
      </c>
      <c r="AF100" s="3">
        <f>ROUND(((EV100*1.2)),6)</f>
        <v>48.204000000000001</v>
      </c>
      <c r="AG100" s="3">
        <f t="shared" si="81"/>
        <v>0</v>
      </c>
      <c r="AH100" s="3">
        <f>((EW100*1.2))</f>
        <v>3.8159999999999998</v>
      </c>
      <c r="AI100" s="3">
        <f>((EX100*1.2))</f>
        <v>0</v>
      </c>
      <c r="AJ100" s="3">
        <f t="shared" si="82"/>
        <v>0</v>
      </c>
      <c r="AK100" s="3">
        <v>42.51</v>
      </c>
      <c r="AL100" s="3">
        <v>2.34</v>
      </c>
      <c r="AM100" s="3">
        <v>0</v>
      </c>
      <c r="AN100" s="3">
        <v>0</v>
      </c>
      <c r="AO100" s="3">
        <v>40.17</v>
      </c>
      <c r="AP100" s="3">
        <v>0</v>
      </c>
      <c r="AQ100" s="3">
        <v>3.18</v>
      </c>
      <c r="AR100" s="3">
        <v>0</v>
      </c>
      <c r="AS100" s="3">
        <v>0</v>
      </c>
      <c r="AT100" s="3">
        <v>90</v>
      </c>
      <c r="AU100" s="3">
        <v>46</v>
      </c>
      <c r="AV100" s="3">
        <v>1.0469999999999999</v>
      </c>
      <c r="AW100" s="3">
        <v>1</v>
      </c>
      <c r="AZ100" s="3">
        <v>1</v>
      </c>
      <c r="BA100" s="3">
        <v>56.35</v>
      </c>
      <c r="BB100" s="3">
        <v>1</v>
      </c>
      <c r="BC100" s="3">
        <v>10.24</v>
      </c>
      <c r="BD100" s="3" t="s">
        <v>3</v>
      </c>
      <c r="BE100" s="3" t="s">
        <v>3</v>
      </c>
      <c r="BF100" s="3" t="s">
        <v>3</v>
      </c>
      <c r="BG100" s="3" t="s">
        <v>3</v>
      </c>
      <c r="BH100" s="3">
        <v>0</v>
      </c>
      <c r="BI100" s="3">
        <v>2</v>
      </c>
      <c r="BJ100" s="3" t="s">
        <v>38</v>
      </c>
      <c r="BM100" s="3">
        <v>68</v>
      </c>
      <c r="BN100" s="3">
        <v>0</v>
      </c>
      <c r="BO100" s="3" t="s">
        <v>36</v>
      </c>
      <c r="BP100" s="3">
        <v>1</v>
      </c>
      <c r="BQ100" s="3">
        <v>40</v>
      </c>
      <c r="BR100" s="3">
        <v>0</v>
      </c>
      <c r="BS100" s="3">
        <v>56.35</v>
      </c>
      <c r="BT100" s="3">
        <v>1</v>
      </c>
      <c r="BU100" s="3">
        <v>1</v>
      </c>
      <c r="BV100" s="3">
        <v>1</v>
      </c>
      <c r="BW100" s="3">
        <v>1</v>
      </c>
      <c r="BX100" s="3">
        <v>1</v>
      </c>
      <c r="BY100" s="3" t="s">
        <v>3</v>
      </c>
      <c r="BZ100" s="3">
        <v>90</v>
      </c>
      <c r="CA100" s="3">
        <v>46</v>
      </c>
      <c r="CB100" s="3" t="s">
        <v>3</v>
      </c>
      <c r="CE100" s="3">
        <v>1566</v>
      </c>
      <c r="CF100" s="3">
        <v>0</v>
      </c>
      <c r="CG100" s="3">
        <v>0</v>
      </c>
      <c r="CM100" s="3">
        <v>0</v>
      </c>
      <c r="CN100" s="3" t="s">
        <v>422</v>
      </c>
      <c r="CO100" s="3">
        <v>0</v>
      </c>
      <c r="CP100" s="3">
        <f t="shared" si="83"/>
        <v>57358.36</v>
      </c>
      <c r="CQ100" s="3">
        <f t="shared" si="84"/>
        <v>23.96</v>
      </c>
      <c r="CR100" s="3">
        <f>(ROUND((ROUND((((ET100*1.2))*AV100*1),2)*BB100),2)+ROUND((ROUND(((AE100-((EU100*1.2)))*AV100*1),2)*BS100),2))</f>
        <v>0</v>
      </c>
      <c r="CS100" s="3">
        <f>(ROUND((ROUND((((EU100*1.2))*AV100*1),2)*BS100),2)+ROUND((ROUND(((AE100-((EU100*1.2)))*AV100*1),2)*BS100),2))</f>
        <v>0</v>
      </c>
      <c r="CT100" s="3">
        <f t="shared" si="85"/>
        <v>2843.98</v>
      </c>
      <c r="CU100" s="3">
        <f t="shared" si="86"/>
        <v>0</v>
      </c>
      <c r="CV100" s="3">
        <f t="shared" si="87"/>
        <v>3.9953519999999996</v>
      </c>
      <c r="CW100" s="3">
        <f t="shared" si="88"/>
        <v>0</v>
      </c>
      <c r="CX100" s="3">
        <f t="shared" si="89"/>
        <v>0</v>
      </c>
      <c r="CY100" s="3">
        <f>(ROUND((((S100+ROUND((ROUND((((EU100*1.2))*AV100*1),2)*BS100),2))*AT100)/100),2)+ROUND(((ROUND((ROUND(((AE100-((EU100*1.2)))*AV100*1),2)*BS100),2)*AT100)/100),2))</f>
        <v>51191.22</v>
      </c>
      <c r="CZ100" s="3">
        <f>(ROUND((((S100+ROUND((ROUND((((EU100*1.2))*AV100*1),2)*BS100),2))*AU100)/100),2)+ROUND(((ROUND((ROUND(((AE100-((EU100*1.2)))*AV100*1),2)*BS100),2)*AU100)/100),2))</f>
        <v>26164.400000000001</v>
      </c>
      <c r="DB100" s="3">
        <v>54</v>
      </c>
      <c r="DC100" s="3" t="s">
        <v>3</v>
      </c>
      <c r="DD100" s="3" t="s">
        <v>62</v>
      </c>
      <c r="DE100" s="3" t="s">
        <v>63</v>
      </c>
      <c r="DF100" s="3" t="s">
        <v>63</v>
      </c>
      <c r="DG100" s="3" t="s">
        <v>63</v>
      </c>
      <c r="DH100" s="3" t="s">
        <v>3</v>
      </c>
      <c r="DI100" s="3" t="s">
        <v>63</v>
      </c>
      <c r="DJ100" s="3" t="s">
        <v>63</v>
      </c>
      <c r="DK100" s="3" t="s">
        <v>3</v>
      </c>
      <c r="DL100" s="3" t="s">
        <v>3</v>
      </c>
      <c r="DM100" s="3" t="s">
        <v>3</v>
      </c>
      <c r="DN100" s="3">
        <v>0</v>
      </c>
      <c r="DO100" s="3">
        <v>0</v>
      </c>
      <c r="DP100" s="3">
        <v>1</v>
      </c>
      <c r="DQ100" s="3">
        <v>1</v>
      </c>
      <c r="DU100" s="3">
        <v>1013</v>
      </c>
      <c r="DV100" s="3" t="s">
        <v>33</v>
      </c>
      <c r="DW100" s="3" t="s">
        <v>33</v>
      </c>
      <c r="DX100" s="3">
        <v>1</v>
      </c>
      <c r="DZ100" s="3" t="s">
        <v>3</v>
      </c>
      <c r="EA100" s="3" t="s">
        <v>3</v>
      </c>
      <c r="EB100" s="3" t="s">
        <v>3</v>
      </c>
      <c r="EC100" s="3" t="s">
        <v>3</v>
      </c>
      <c r="EE100" s="3">
        <v>55393700</v>
      </c>
      <c r="EF100" s="3">
        <v>40</v>
      </c>
      <c r="EG100" s="3" t="s">
        <v>26</v>
      </c>
      <c r="EH100" s="3">
        <v>0</v>
      </c>
      <c r="EI100" s="3" t="s">
        <v>3</v>
      </c>
      <c r="EJ100" s="3">
        <v>2</v>
      </c>
      <c r="EK100" s="3">
        <v>68</v>
      </c>
      <c r="EL100" s="3" t="s">
        <v>27</v>
      </c>
      <c r="EM100" s="3" t="s">
        <v>28</v>
      </c>
      <c r="EO100" s="3" t="s">
        <v>67</v>
      </c>
      <c r="EQ100" s="3">
        <v>1024</v>
      </c>
      <c r="ER100" s="3">
        <v>42.51</v>
      </c>
      <c r="ES100" s="3">
        <v>2.34</v>
      </c>
      <c r="ET100" s="3">
        <v>0</v>
      </c>
      <c r="EU100" s="3">
        <v>0</v>
      </c>
      <c r="EV100" s="3">
        <v>40.17</v>
      </c>
      <c r="EW100" s="3">
        <v>3.18</v>
      </c>
      <c r="EX100" s="3">
        <v>0</v>
      </c>
      <c r="EY100" s="3">
        <v>0</v>
      </c>
      <c r="FQ100" s="3">
        <v>0</v>
      </c>
      <c r="FR100" s="3">
        <v>0</v>
      </c>
      <c r="FS100" s="3">
        <v>0</v>
      </c>
      <c r="FX100" s="3">
        <v>90</v>
      </c>
      <c r="FY100" s="3">
        <v>46</v>
      </c>
      <c r="GA100" s="3" t="s">
        <v>3</v>
      </c>
      <c r="GD100" s="3">
        <v>1</v>
      </c>
      <c r="GF100" s="3">
        <v>-1314481947</v>
      </c>
      <c r="GG100" s="3">
        <v>2</v>
      </c>
      <c r="GH100" s="3">
        <v>1</v>
      </c>
      <c r="GI100" s="3">
        <v>2</v>
      </c>
      <c r="GJ100" s="3">
        <v>0</v>
      </c>
      <c r="GK100" s="3">
        <v>0</v>
      </c>
      <c r="GL100" s="3">
        <f t="shared" si="90"/>
        <v>0</v>
      </c>
      <c r="GM100" s="3">
        <f t="shared" si="91"/>
        <v>134713.98000000001</v>
      </c>
      <c r="GN100" s="3">
        <f t="shared" si="92"/>
        <v>0</v>
      </c>
      <c r="GO100" s="3">
        <f t="shared" si="93"/>
        <v>134713.98000000001</v>
      </c>
      <c r="GP100" s="3">
        <f t="shared" si="94"/>
        <v>0</v>
      </c>
      <c r="GR100" s="3">
        <v>0</v>
      </c>
      <c r="GS100" s="3">
        <v>3</v>
      </c>
      <c r="GT100" s="3">
        <v>0</v>
      </c>
      <c r="GU100" s="3" t="s">
        <v>3</v>
      </c>
      <c r="GV100" s="3">
        <f t="shared" si="95"/>
        <v>0</v>
      </c>
      <c r="GW100" s="3">
        <v>1</v>
      </c>
      <c r="GX100" s="3">
        <f t="shared" si="96"/>
        <v>0</v>
      </c>
      <c r="HA100" s="3">
        <v>0</v>
      </c>
      <c r="HB100" s="3">
        <v>0</v>
      </c>
      <c r="HC100" s="3">
        <f t="shared" si="97"/>
        <v>0</v>
      </c>
      <c r="HE100" s="3" t="s">
        <v>3</v>
      </c>
      <c r="HF100" s="3" t="s">
        <v>3</v>
      </c>
      <c r="HM100" s="3" t="s">
        <v>3</v>
      </c>
      <c r="HN100" s="3" t="s">
        <v>3</v>
      </c>
      <c r="HO100" s="3" t="s">
        <v>3</v>
      </c>
      <c r="HP100" s="3" t="s">
        <v>3</v>
      </c>
      <c r="HQ100" s="3" t="s">
        <v>3</v>
      </c>
      <c r="HS100" s="3">
        <v>0</v>
      </c>
      <c r="IK100" s="3">
        <v>0</v>
      </c>
    </row>
    <row r="101" spans="1:255" x14ac:dyDescent="0.25">
      <c r="A101" s="2">
        <v>18</v>
      </c>
      <c r="B101" s="2">
        <v>1</v>
      </c>
      <c r="C101" s="2">
        <v>119</v>
      </c>
      <c r="D101" s="2"/>
      <c r="E101" s="2" t="s">
        <v>3</v>
      </c>
      <c r="F101" s="2" t="s">
        <v>157</v>
      </c>
      <c r="G101" s="2" t="s">
        <v>158</v>
      </c>
      <c r="H101" s="2" t="s">
        <v>159</v>
      </c>
      <c r="I101" s="2">
        <f>I99*J101</f>
        <v>20</v>
      </c>
      <c r="J101" s="2">
        <v>1</v>
      </c>
      <c r="K101" s="2">
        <v>1</v>
      </c>
      <c r="L101" s="2"/>
      <c r="M101" s="2"/>
      <c r="N101" s="2"/>
      <c r="O101" s="2">
        <f t="shared" si="73"/>
        <v>1983</v>
      </c>
      <c r="P101" s="2">
        <f>ROUND((ROUND((AC101*I101),2)*BC101),2)</f>
        <v>1983</v>
      </c>
      <c r="Q101" s="2">
        <f>(ROUND((ROUND(((ET101)*AV101*I101),2)*BB101),2)+ROUND((ROUND(((AE101-(EU101))*AV101*I101),2)*BS101),2))</f>
        <v>0</v>
      </c>
      <c r="R101" s="2">
        <f>(ROUND((ROUND(((EU101)*AV101*I101),2)*BS101),2)+ROUND((ROUND(((AE101-(EU101))*AV101*I101),2)*BS101),2))</f>
        <v>0</v>
      </c>
      <c r="S101" s="2">
        <f t="shared" si="75"/>
        <v>0</v>
      </c>
      <c r="T101" s="2">
        <f t="shared" si="76"/>
        <v>0</v>
      </c>
      <c r="U101" s="2">
        <f t="shared" si="77"/>
        <v>0</v>
      </c>
      <c r="V101" s="2">
        <f t="shared" si="78"/>
        <v>0</v>
      </c>
      <c r="W101" s="2">
        <f t="shared" si="79"/>
        <v>0</v>
      </c>
      <c r="X101" s="2">
        <f>(ROUND((((S101+ROUND((ROUND(((EU101)*AV101*I101),2)*BS101),2))*AT101)/100),2)+ROUND(((ROUND((ROUND(((AE101-(EU101))*AV101*I101),2)*BS101),2)*AT101)/100),2))</f>
        <v>0</v>
      </c>
      <c r="Y101" s="2">
        <f>(ROUND((((S101+ROUND((ROUND(((EU101)*AV101*I101),2)*BS101),2))*AU101)/100),2)+ROUND(((ROUND((ROUND(((AE101-(EU101))*AV101*I101),2)*BS101),2)*AU101)/100),2))</f>
        <v>0</v>
      </c>
      <c r="Z101" s="2"/>
      <c r="AA101" s="2">
        <v>-1</v>
      </c>
      <c r="AB101" s="2">
        <f t="shared" si="80"/>
        <v>99.15</v>
      </c>
      <c r="AC101" s="2">
        <f>ROUND((ES101),6)</f>
        <v>99.15</v>
      </c>
      <c r="AD101" s="2">
        <f>ROUND((((ET101)-(EU101))+AE101),6)</f>
        <v>0</v>
      </c>
      <c r="AE101" s="2">
        <f t="shared" ref="AE101:AF104" si="100">ROUND((EU101),6)</f>
        <v>0</v>
      </c>
      <c r="AF101" s="2">
        <f t="shared" si="100"/>
        <v>0</v>
      </c>
      <c r="AG101" s="2">
        <f t="shared" si="81"/>
        <v>0</v>
      </c>
      <c r="AH101" s="2">
        <f t="shared" ref="AH101:AI104" si="101">(EW101)</f>
        <v>0</v>
      </c>
      <c r="AI101" s="2">
        <f t="shared" si="101"/>
        <v>0</v>
      </c>
      <c r="AJ101" s="2">
        <f t="shared" si="82"/>
        <v>0</v>
      </c>
      <c r="AK101" s="2">
        <v>99.15</v>
      </c>
      <c r="AL101" s="2">
        <v>99.15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1</v>
      </c>
      <c r="AW101" s="2">
        <v>1</v>
      </c>
      <c r="AX101" s="2"/>
      <c r="AY101" s="2"/>
      <c r="AZ101" s="2">
        <v>1</v>
      </c>
      <c r="BA101" s="2">
        <v>1</v>
      </c>
      <c r="BB101" s="2">
        <v>1</v>
      </c>
      <c r="BC101" s="2">
        <v>1</v>
      </c>
      <c r="BD101" s="2" t="s">
        <v>3</v>
      </c>
      <c r="BE101" s="2" t="s">
        <v>3</v>
      </c>
      <c r="BF101" s="2" t="s">
        <v>3</v>
      </c>
      <c r="BG101" s="2" t="s">
        <v>3</v>
      </c>
      <c r="BH101" s="2">
        <v>3</v>
      </c>
      <c r="BI101" s="2">
        <v>3</v>
      </c>
      <c r="BJ101" s="2" t="s">
        <v>160</v>
      </c>
      <c r="BK101" s="2"/>
      <c r="BL101" s="2"/>
      <c r="BM101" s="2">
        <v>746</v>
      </c>
      <c r="BN101" s="2">
        <v>0</v>
      </c>
      <c r="BO101" s="2" t="s">
        <v>3</v>
      </c>
      <c r="BP101" s="2">
        <v>0</v>
      </c>
      <c r="BQ101" s="2">
        <v>130</v>
      </c>
      <c r="BR101" s="2">
        <v>0</v>
      </c>
      <c r="BS101" s="2">
        <v>1</v>
      </c>
      <c r="BT101" s="2">
        <v>1</v>
      </c>
      <c r="BU101" s="2">
        <v>1</v>
      </c>
      <c r="BV101" s="2">
        <v>1</v>
      </c>
      <c r="BW101" s="2">
        <v>1</v>
      </c>
      <c r="BX101" s="2">
        <v>1</v>
      </c>
      <c r="BY101" s="2" t="s">
        <v>3</v>
      </c>
      <c r="BZ101" s="2">
        <v>90</v>
      </c>
      <c r="CA101" s="2">
        <v>46</v>
      </c>
      <c r="CB101" s="2" t="s">
        <v>3</v>
      </c>
      <c r="CC101" s="2"/>
      <c r="CD101" s="2"/>
      <c r="CE101" s="2">
        <v>1566</v>
      </c>
      <c r="CF101" s="2">
        <v>0</v>
      </c>
      <c r="CG101" s="2">
        <v>0</v>
      </c>
      <c r="CH101" s="2"/>
      <c r="CI101" s="2"/>
      <c r="CJ101" s="2"/>
      <c r="CK101" s="2"/>
      <c r="CL101" s="2"/>
      <c r="CM101" s="2">
        <v>0</v>
      </c>
      <c r="CN101" s="2" t="s">
        <v>423</v>
      </c>
      <c r="CO101" s="2">
        <v>0</v>
      </c>
      <c r="CP101" s="2">
        <f t="shared" si="83"/>
        <v>1983</v>
      </c>
      <c r="CQ101" s="2">
        <f>ROUND((ROUND((AC101*1),2)*BC101),2)</f>
        <v>99.15</v>
      </c>
      <c r="CR101" s="2">
        <f>(ROUND((ROUND(((ET101)*AV101*1),2)*BB101),2)+ROUND((ROUND(((AE101-(EU101))*AV101*1),2)*BS101),2))</f>
        <v>0</v>
      </c>
      <c r="CS101" s="2">
        <f>(ROUND((ROUND(((EU101)*AV101*1),2)*BS101),2)+ROUND((ROUND(((AE101-(EU101))*AV101*1),2)*BS101),2))</f>
        <v>0</v>
      </c>
      <c r="CT101" s="2">
        <f t="shared" si="85"/>
        <v>0</v>
      </c>
      <c r="CU101" s="2">
        <f t="shared" si="86"/>
        <v>0</v>
      </c>
      <c r="CV101" s="2">
        <f t="shared" si="87"/>
        <v>0</v>
      </c>
      <c r="CW101" s="2">
        <f t="shared" si="88"/>
        <v>0</v>
      </c>
      <c r="CX101" s="2">
        <f t="shared" si="89"/>
        <v>0</v>
      </c>
      <c r="CY101" s="2">
        <f>(ROUND((((S101+ROUND((ROUND(((EU101)*AV101*1),2)*BS101),2))*AT101)/100),2)+ROUND(((ROUND((ROUND(((AE101-(EU101))*AV101*1),2)*BS101),2)*AT101)/100),2))</f>
        <v>0</v>
      </c>
      <c r="CZ101" s="2">
        <f>(ROUND((((S101+ROUND((ROUND(((EU101)*AV101*1),2)*BS101),2))*AU101)/100),2)+ROUND(((ROUND((ROUND(((AE101-(EU101))*AV101*1),2)*BS101),2)*AU101)/100),2))</f>
        <v>0</v>
      </c>
      <c r="DA101" s="2"/>
      <c r="DB101" s="2"/>
      <c r="DC101" s="2" t="s">
        <v>3</v>
      </c>
      <c r="DD101" s="2" t="s">
        <v>3</v>
      </c>
      <c r="DE101" s="2" t="s">
        <v>3</v>
      </c>
      <c r="DF101" s="2" t="s">
        <v>3</v>
      </c>
      <c r="DG101" s="2" t="s">
        <v>3</v>
      </c>
      <c r="DH101" s="2" t="s">
        <v>3</v>
      </c>
      <c r="DI101" s="2" t="s">
        <v>3</v>
      </c>
      <c r="DJ101" s="2" t="s">
        <v>3</v>
      </c>
      <c r="DK101" s="2" t="s">
        <v>3</v>
      </c>
      <c r="DL101" s="2" t="s">
        <v>3</v>
      </c>
      <c r="DM101" s="2" t="s">
        <v>3</v>
      </c>
      <c r="DN101" s="2">
        <v>0</v>
      </c>
      <c r="DO101" s="2">
        <v>0</v>
      </c>
      <c r="DP101" s="2">
        <v>1</v>
      </c>
      <c r="DQ101" s="2">
        <v>1</v>
      </c>
      <c r="DR101" s="2"/>
      <c r="DS101" s="2"/>
      <c r="DT101" s="2"/>
      <c r="DU101" s="2">
        <v>1010</v>
      </c>
      <c r="DV101" s="2" t="s">
        <v>159</v>
      </c>
      <c r="DW101" s="2" t="s">
        <v>159</v>
      </c>
      <c r="DX101" s="2">
        <v>1</v>
      </c>
      <c r="DY101" s="2"/>
      <c r="DZ101" s="2" t="s">
        <v>3</v>
      </c>
      <c r="EA101" s="2" t="s">
        <v>3</v>
      </c>
      <c r="EB101" s="2" t="s">
        <v>3</v>
      </c>
      <c r="EC101" s="2" t="s">
        <v>3</v>
      </c>
      <c r="ED101" s="2"/>
      <c r="EE101" s="2">
        <v>55393806</v>
      </c>
      <c r="EF101" s="2">
        <v>130</v>
      </c>
      <c r="EG101" s="2" t="s">
        <v>161</v>
      </c>
      <c r="EH101" s="2">
        <v>0</v>
      </c>
      <c r="EI101" s="2" t="s">
        <v>3</v>
      </c>
      <c r="EJ101" s="2">
        <v>3</v>
      </c>
      <c r="EK101" s="2">
        <v>746</v>
      </c>
      <c r="EL101" s="2" t="s">
        <v>162</v>
      </c>
      <c r="EM101" s="2" t="s">
        <v>163</v>
      </c>
      <c r="EN101" s="2"/>
      <c r="EO101" s="2" t="s">
        <v>67</v>
      </c>
      <c r="EP101" s="2"/>
      <c r="EQ101" s="2">
        <v>1024</v>
      </c>
      <c r="ER101" s="2">
        <v>99.15</v>
      </c>
      <c r="ES101" s="2">
        <v>99.15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>
        <v>0</v>
      </c>
      <c r="FR101" s="2">
        <f>P101</f>
        <v>1983</v>
      </c>
      <c r="FS101" s="2">
        <v>0</v>
      </c>
      <c r="FT101" s="2"/>
      <c r="FU101" s="2"/>
      <c r="FV101" s="2"/>
      <c r="FW101" s="2"/>
      <c r="FX101" s="2">
        <v>90</v>
      </c>
      <c r="FY101" s="2">
        <v>46</v>
      </c>
      <c r="FZ101" s="2"/>
      <c r="GA101" s="2" t="s">
        <v>3</v>
      </c>
      <c r="GB101" s="2"/>
      <c r="GC101" s="2"/>
      <c r="GD101" s="2">
        <v>1</v>
      </c>
      <c r="GE101" s="2"/>
      <c r="GF101" s="2">
        <v>-1660574435</v>
      </c>
      <c r="GG101" s="2">
        <v>2</v>
      </c>
      <c r="GH101" s="2">
        <v>1</v>
      </c>
      <c r="GI101" s="2">
        <v>-2</v>
      </c>
      <c r="GJ101" s="2">
        <v>0</v>
      </c>
      <c r="GK101" s="2">
        <v>0</v>
      </c>
      <c r="GL101" s="2">
        <f t="shared" si="90"/>
        <v>0</v>
      </c>
      <c r="GM101" s="2">
        <f t="shared" si="91"/>
        <v>1983</v>
      </c>
      <c r="GN101" s="2">
        <f t="shared" si="92"/>
        <v>0</v>
      </c>
      <c r="GO101" s="2">
        <f t="shared" si="93"/>
        <v>0</v>
      </c>
      <c r="GP101" s="2">
        <f t="shared" si="94"/>
        <v>0</v>
      </c>
      <c r="GQ101" s="2"/>
      <c r="GR101" s="2">
        <v>0</v>
      </c>
      <c r="GS101" s="2">
        <v>3</v>
      </c>
      <c r="GT101" s="2">
        <v>0</v>
      </c>
      <c r="GU101" s="2" t="s">
        <v>3</v>
      </c>
      <c r="GV101" s="2">
        <f t="shared" si="95"/>
        <v>0</v>
      </c>
      <c r="GW101" s="2">
        <v>1</v>
      </c>
      <c r="GX101" s="2">
        <f t="shared" si="96"/>
        <v>0</v>
      </c>
      <c r="GY101" s="2"/>
      <c r="GZ101" s="2"/>
      <c r="HA101" s="2">
        <v>0</v>
      </c>
      <c r="HB101" s="2">
        <v>0</v>
      </c>
      <c r="HC101" s="2">
        <f t="shared" si="97"/>
        <v>0</v>
      </c>
      <c r="HD101" s="2"/>
      <c r="HE101" s="2" t="s">
        <v>3</v>
      </c>
      <c r="HF101" s="2" t="s">
        <v>3</v>
      </c>
      <c r="HG101" s="2"/>
      <c r="HH101" s="2"/>
      <c r="HI101" s="2"/>
      <c r="HJ101" s="2"/>
      <c r="HK101" s="2"/>
      <c r="HL101" s="2"/>
      <c r="HM101" s="2" t="s">
        <v>3</v>
      </c>
      <c r="HN101" s="2" t="s">
        <v>3</v>
      </c>
      <c r="HO101" s="2" t="s">
        <v>3</v>
      </c>
      <c r="HP101" s="2" t="s">
        <v>3</v>
      </c>
      <c r="HQ101" s="2" t="s">
        <v>3</v>
      </c>
      <c r="HR101" s="2"/>
      <c r="HS101" s="2">
        <v>0</v>
      </c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>
        <v>0</v>
      </c>
      <c r="IL101" s="2"/>
      <c r="IM101" s="2"/>
      <c r="IN101" s="2"/>
      <c r="IO101" s="2"/>
      <c r="IP101" s="2"/>
      <c r="IQ101" s="2"/>
      <c r="IR101" s="2"/>
      <c r="IS101" s="2"/>
      <c r="IT101" s="2"/>
      <c r="IU101" s="2"/>
    </row>
    <row r="102" spans="1:255" x14ac:dyDescent="0.25">
      <c r="A102" s="3">
        <v>18</v>
      </c>
      <c r="B102" s="3">
        <v>1</v>
      </c>
      <c r="C102" s="3">
        <v>124</v>
      </c>
      <c r="E102" s="3" t="s">
        <v>3</v>
      </c>
      <c r="F102" s="3" t="s">
        <v>157</v>
      </c>
      <c r="G102" s="3" t="s">
        <v>158</v>
      </c>
      <c r="H102" s="3" t="s">
        <v>159</v>
      </c>
      <c r="I102" s="3">
        <f>I100*J102</f>
        <v>20</v>
      </c>
      <c r="J102" s="3">
        <v>1</v>
      </c>
      <c r="K102" s="3">
        <v>1</v>
      </c>
      <c r="O102" s="3">
        <f t="shared" si="73"/>
        <v>23320.080000000002</v>
      </c>
      <c r="P102" s="3">
        <f>ROUND((ROUND((AC102*I102),2)*BC102),2)</f>
        <v>23320.080000000002</v>
      </c>
      <c r="Q102" s="3">
        <f>(ROUND((ROUND(((ET102)*AV102*I102),2)*BB102),2)+ROUND((ROUND(((AE102-(EU102))*AV102*I102),2)*BS102),2))</f>
        <v>0</v>
      </c>
      <c r="R102" s="3">
        <f>(ROUND((ROUND(((EU102)*AV102*I102),2)*BS102),2)+ROUND((ROUND(((AE102-(EU102))*AV102*I102),2)*BS102),2))</f>
        <v>0</v>
      </c>
      <c r="S102" s="3">
        <f t="shared" si="75"/>
        <v>0</v>
      </c>
      <c r="T102" s="3">
        <f t="shared" si="76"/>
        <v>0</v>
      </c>
      <c r="U102" s="3">
        <f t="shared" si="77"/>
        <v>0</v>
      </c>
      <c r="V102" s="3">
        <f t="shared" si="78"/>
        <v>0</v>
      </c>
      <c r="W102" s="3">
        <f t="shared" si="79"/>
        <v>0</v>
      </c>
      <c r="X102" s="3">
        <f>(ROUND((((S102+ROUND((ROUND(((EU102)*AV102*I102),2)*BS102),2))*AT102)/100),2)+ROUND(((ROUND((ROUND(((AE102-(EU102))*AV102*I102),2)*BS102),2)*AT102)/100),2))</f>
        <v>0</v>
      </c>
      <c r="Y102" s="3">
        <f>(ROUND((((S102+ROUND((ROUND(((EU102)*AV102*I102),2)*BS102),2))*AU102)/100),2)+ROUND(((ROUND((ROUND(((AE102-(EU102))*AV102*I102),2)*BS102),2)*AU102)/100),2))</f>
        <v>0</v>
      </c>
      <c r="AA102" s="3">
        <v>-1</v>
      </c>
      <c r="AB102" s="3">
        <f t="shared" si="80"/>
        <v>99.15</v>
      </c>
      <c r="AC102" s="3">
        <f>ROUND((ES102),6)</f>
        <v>99.15</v>
      </c>
      <c r="AD102" s="3">
        <f>ROUND((((ET102)-(EU102))+AE102),6)</f>
        <v>0</v>
      </c>
      <c r="AE102" s="3">
        <f t="shared" si="100"/>
        <v>0</v>
      </c>
      <c r="AF102" s="3">
        <f t="shared" si="100"/>
        <v>0</v>
      </c>
      <c r="AG102" s="3">
        <f t="shared" si="81"/>
        <v>0</v>
      </c>
      <c r="AH102" s="3">
        <f t="shared" si="101"/>
        <v>0</v>
      </c>
      <c r="AI102" s="3">
        <f t="shared" si="101"/>
        <v>0</v>
      </c>
      <c r="AJ102" s="3">
        <f t="shared" si="82"/>
        <v>0</v>
      </c>
      <c r="AK102" s="3">
        <v>99.15</v>
      </c>
      <c r="AL102" s="3">
        <v>99.15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1</v>
      </c>
      <c r="AW102" s="3">
        <v>1</v>
      </c>
      <c r="AZ102" s="3">
        <v>1</v>
      </c>
      <c r="BA102" s="3">
        <v>1</v>
      </c>
      <c r="BB102" s="3">
        <v>1</v>
      </c>
      <c r="BC102" s="3">
        <v>11.76</v>
      </c>
      <c r="BD102" s="3" t="s">
        <v>3</v>
      </c>
      <c r="BE102" s="3" t="s">
        <v>3</v>
      </c>
      <c r="BF102" s="3" t="s">
        <v>3</v>
      </c>
      <c r="BG102" s="3" t="s">
        <v>3</v>
      </c>
      <c r="BH102" s="3">
        <v>3</v>
      </c>
      <c r="BI102" s="3">
        <v>3</v>
      </c>
      <c r="BJ102" s="3" t="s">
        <v>160</v>
      </c>
      <c r="BM102" s="3">
        <v>746</v>
      </c>
      <c r="BN102" s="3">
        <v>0</v>
      </c>
      <c r="BO102" s="3" t="s">
        <v>3</v>
      </c>
      <c r="BP102" s="3">
        <v>0</v>
      </c>
      <c r="BQ102" s="3">
        <v>130</v>
      </c>
      <c r="BR102" s="3">
        <v>0</v>
      </c>
      <c r="BS102" s="3">
        <v>1</v>
      </c>
      <c r="BT102" s="3">
        <v>1</v>
      </c>
      <c r="BU102" s="3">
        <v>1</v>
      </c>
      <c r="BV102" s="3">
        <v>1</v>
      </c>
      <c r="BW102" s="3">
        <v>1</v>
      </c>
      <c r="BX102" s="3">
        <v>1</v>
      </c>
      <c r="BY102" s="3" t="s">
        <v>3</v>
      </c>
      <c r="BZ102" s="3">
        <v>90</v>
      </c>
      <c r="CA102" s="3">
        <v>46</v>
      </c>
      <c r="CB102" s="3" t="s">
        <v>3</v>
      </c>
      <c r="CE102" s="3">
        <v>1566</v>
      </c>
      <c r="CF102" s="3">
        <v>0</v>
      </c>
      <c r="CG102" s="3">
        <v>0</v>
      </c>
      <c r="CM102" s="3">
        <v>0</v>
      </c>
      <c r="CN102" s="3" t="s">
        <v>423</v>
      </c>
      <c r="CO102" s="3">
        <v>0</v>
      </c>
      <c r="CP102" s="3">
        <f t="shared" si="83"/>
        <v>23320.080000000002</v>
      </c>
      <c r="CQ102" s="3">
        <f>ROUND((ROUND((AC102*1),2)*BC102),2)</f>
        <v>1166</v>
      </c>
      <c r="CR102" s="3">
        <f>(ROUND((ROUND(((ET102)*AV102*1),2)*BB102),2)+ROUND((ROUND(((AE102-(EU102))*AV102*1),2)*BS102),2))</f>
        <v>0</v>
      </c>
      <c r="CS102" s="3">
        <f>(ROUND((ROUND(((EU102)*AV102*1),2)*BS102),2)+ROUND((ROUND(((AE102-(EU102))*AV102*1),2)*BS102),2))</f>
        <v>0</v>
      </c>
      <c r="CT102" s="3">
        <f t="shared" si="85"/>
        <v>0</v>
      </c>
      <c r="CU102" s="3">
        <f t="shared" si="86"/>
        <v>0</v>
      </c>
      <c r="CV102" s="3">
        <f t="shared" si="87"/>
        <v>0</v>
      </c>
      <c r="CW102" s="3">
        <f t="shared" si="88"/>
        <v>0</v>
      </c>
      <c r="CX102" s="3">
        <f t="shared" si="89"/>
        <v>0</v>
      </c>
      <c r="CY102" s="3">
        <f>(ROUND((((S102+ROUND((ROUND(((EU102)*AV102*1),2)*BS102),2))*AT102)/100),2)+ROUND(((ROUND((ROUND(((AE102-(EU102))*AV102*1),2)*BS102),2)*AT102)/100),2))</f>
        <v>0</v>
      </c>
      <c r="CZ102" s="3">
        <f>(ROUND((((S102+ROUND((ROUND(((EU102)*AV102*1),2)*BS102),2))*AU102)/100),2)+ROUND(((ROUND((ROUND(((AE102-(EU102))*AV102*1),2)*BS102),2)*AU102)/100),2))</f>
        <v>0</v>
      </c>
      <c r="DC102" s="3" t="s">
        <v>3</v>
      </c>
      <c r="DD102" s="3" t="s">
        <v>3</v>
      </c>
      <c r="DE102" s="3" t="s">
        <v>3</v>
      </c>
      <c r="DF102" s="3" t="s">
        <v>3</v>
      </c>
      <c r="DG102" s="3" t="s">
        <v>3</v>
      </c>
      <c r="DH102" s="3" t="s">
        <v>3</v>
      </c>
      <c r="DI102" s="3" t="s">
        <v>3</v>
      </c>
      <c r="DJ102" s="3" t="s">
        <v>3</v>
      </c>
      <c r="DK102" s="3" t="s">
        <v>3</v>
      </c>
      <c r="DL102" s="3" t="s">
        <v>3</v>
      </c>
      <c r="DM102" s="3" t="s">
        <v>3</v>
      </c>
      <c r="DN102" s="3">
        <v>0</v>
      </c>
      <c r="DO102" s="3">
        <v>0</v>
      </c>
      <c r="DP102" s="3">
        <v>1</v>
      </c>
      <c r="DQ102" s="3">
        <v>1</v>
      </c>
      <c r="DU102" s="3">
        <v>1010</v>
      </c>
      <c r="DV102" s="3" t="s">
        <v>159</v>
      </c>
      <c r="DW102" s="3" t="s">
        <v>159</v>
      </c>
      <c r="DX102" s="3">
        <v>1</v>
      </c>
      <c r="DZ102" s="3" t="s">
        <v>3</v>
      </c>
      <c r="EA102" s="3" t="s">
        <v>3</v>
      </c>
      <c r="EB102" s="3" t="s">
        <v>3</v>
      </c>
      <c r="EC102" s="3" t="s">
        <v>3</v>
      </c>
      <c r="EE102" s="3">
        <v>55393806</v>
      </c>
      <c r="EF102" s="3">
        <v>130</v>
      </c>
      <c r="EG102" s="3" t="s">
        <v>161</v>
      </c>
      <c r="EH102" s="3">
        <v>0</v>
      </c>
      <c r="EI102" s="3" t="s">
        <v>3</v>
      </c>
      <c r="EJ102" s="3">
        <v>3</v>
      </c>
      <c r="EK102" s="3">
        <v>746</v>
      </c>
      <c r="EL102" s="3" t="s">
        <v>162</v>
      </c>
      <c r="EM102" s="3" t="s">
        <v>163</v>
      </c>
      <c r="EO102" s="3" t="s">
        <v>67</v>
      </c>
      <c r="EQ102" s="3">
        <v>1024</v>
      </c>
      <c r="ER102" s="3">
        <v>99.15</v>
      </c>
      <c r="ES102" s="3">
        <v>99.15</v>
      </c>
      <c r="ET102" s="3">
        <v>0</v>
      </c>
      <c r="EU102" s="3">
        <v>0</v>
      </c>
      <c r="EV102" s="3">
        <v>0</v>
      </c>
      <c r="EW102" s="3">
        <v>0</v>
      </c>
      <c r="EX102" s="3">
        <v>0</v>
      </c>
      <c r="FQ102" s="3">
        <v>0</v>
      </c>
      <c r="FR102" s="3">
        <f>P102</f>
        <v>23320.080000000002</v>
      </c>
      <c r="FS102" s="3">
        <v>0</v>
      </c>
      <c r="FX102" s="3">
        <v>90</v>
      </c>
      <c r="FY102" s="3">
        <v>46</v>
      </c>
      <c r="GA102" s="3" t="s">
        <v>3</v>
      </c>
      <c r="GD102" s="3">
        <v>1</v>
      </c>
      <c r="GF102" s="3">
        <v>-1660574435</v>
      </c>
      <c r="GG102" s="3">
        <v>2</v>
      </c>
      <c r="GH102" s="3">
        <v>1</v>
      </c>
      <c r="GI102" s="3">
        <v>2</v>
      </c>
      <c r="GJ102" s="3">
        <v>0</v>
      </c>
      <c r="GK102" s="3">
        <v>0</v>
      </c>
      <c r="GL102" s="3">
        <f t="shared" si="90"/>
        <v>0</v>
      </c>
      <c r="GM102" s="3">
        <f t="shared" si="91"/>
        <v>23320.080000000002</v>
      </c>
      <c r="GN102" s="3">
        <f t="shared" si="92"/>
        <v>0</v>
      </c>
      <c r="GO102" s="3">
        <f t="shared" si="93"/>
        <v>0</v>
      </c>
      <c r="GP102" s="3">
        <f t="shared" si="94"/>
        <v>0</v>
      </c>
      <c r="GR102" s="3">
        <v>0</v>
      </c>
      <c r="GS102" s="3">
        <v>3</v>
      </c>
      <c r="GT102" s="3">
        <v>0</v>
      </c>
      <c r="GU102" s="3" t="s">
        <v>3</v>
      </c>
      <c r="GV102" s="3">
        <f t="shared" si="95"/>
        <v>0</v>
      </c>
      <c r="GW102" s="3">
        <v>1</v>
      </c>
      <c r="GX102" s="3">
        <f t="shared" si="96"/>
        <v>0</v>
      </c>
      <c r="HA102" s="3">
        <v>0</v>
      </c>
      <c r="HB102" s="3">
        <v>0</v>
      </c>
      <c r="HC102" s="3">
        <f t="shared" si="97"/>
        <v>0</v>
      </c>
      <c r="HE102" s="3" t="s">
        <v>3</v>
      </c>
      <c r="HF102" s="3" t="s">
        <v>3</v>
      </c>
      <c r="HM102" s="3" t="s">
        <v>3</v>
      </c>
      <c r="HN102" s="3" t="s">
        <v>3</v>
      </c>
      <c r="HO102" s="3" t="s">
        <v>3</v>
      </c>
      <c r="HP102" s="3" t="s">
        <v>3</v>
      </c>
      <c r="HQ102" s="3" t="s">
        <v>3</v>
      </c>
      <c r="HS102" s="3">
        <v>0</v>
      </c>
      <c r="IK102" s="3">
        <v>0</v>
      </c>
    </row>
    <row r="103" spans="1:255" x14ac:dyDescent="0.25">
      <c r="A103" s="2">
        <v>17</v>
      </c>
      <c r="B103" s="2">
        <v>1</v>
      </c>
      <c r="C103" s="2"/>
      <c r="D103" s="2"/>
      <c r="E103" s="2" t="s">
        <v>164</v>
      </c>
      <c r="F103" s="2" t="s">
        <v>157</v>
      </c>
      <c r="G103" s="2" t="s">
        <v>158</v>
      </c>
      <c r="H103" s="2" t="s">
        <v>159</v>
      </c>
      <c r="I103" s="2">
        <v>20</v>
      </c>
      <c r="J103" s="2">
        <v>0</v>
      </c>
      <c r="K103" s="2">
        <v>20</v>
      </c>
      <c r="L103" s="2"/>
      <c r="M103" s="2"/>
      <c r="N103" s="2"/>
      <c r="O103" s="2">
        <f t="shared" si="73"/>
        <v>1983</v>
      </c>
      <c r="P103" s="2">
        <f>ROUND((ROUND((AC103*I103),2)*BC103),2)</f>
        <v>1983</v>
      </c>
      <c r="Q103" s="2">
        <f>(ROUND((ROUND(((ET103)*AV103*I103),2)*BB103),2)+ROUND((ROUND(((AE103-(EU103))*AV103*I103),2)*BS103),2))</f>
        <v>0</v>
      </c>
      <c r="R103" s="2">
        <f>(ROUND((ROUND(((EU103)*AV103*I103),2)*BS103),2)+ROUND((ROUND(((AE103-(EU103))*AV103*I103),2)*BS103),2))</f>
        <v>0</v>
      </c>
      <c r="S103" s="2">
        <f t="shared" si="75"/>
        <v>0</v>
      </c>
      <c r="T103" s="2">
        <f t="shared" si="76"/>
        <v>0</v>
      </c>
      <c r="U103" s="2">
        <f t="shared" si="77"/>
        <v>0</v>
      </c>
      <c r="V103" s="2">
        <f t="shared" si="78"/>
        <v>0</v>
      </c>
      <c r="W103" s="2">
        <f t="shared" si="79"/>
        <v>0</v>
      </c>
      <c r="X103" s="2">
        <f>(ROUND((((S103+ROUND((ROUND(((EU103)*AV103*I103),2)*BS103),2))*AT103)/100),2)+ROUND(((ROUND((ROUND(((AE103-(EU103))*AV103*I103),2)*BS103),2)*AT103)/100),2))</f>
        <v>0</v>
      </c>
      <c r="Y103" s="2">
        <f>(ROUND((((S103+ROUND((ROUND(((EU103)*AV103*I103),2)*BS103),2))*AU103)/100),2)+ROUND(((ROUND((ROUND(((AE103-(EU103))*AV103*I103),2)*BS103),2)*AU103)/100),2))</f>
        <v>0</v>
      </c>
      <c r="Z103" s="2"/>
      <c r="AA103" s="2">
        <v>55936046</v>
      </c>
      <c r="AB103" s="2">
        <f t="shared" si="80"/>
        <v>99.15</v>
      </c>
      <c r="AC103" s="2">
        <f>ROUND((ES103),6)</f>
        <v>99.15</v>
      </c>
      <c r="AD103" s="2">
        <f>ROUND((((ET103)-(EU103))+AE103),6)</f>
        <v>0</v>
      </c>
      <c r="AE103" s="2">
        <f t="shared" si="100"/>
        <v>0</v>
      </c>
      <c r="AF103" s="2">
        <f t="shared" si="100"/>
        <v>0</v>
      </c>
      <c r="AG103" s="2">
        <f t="shared" si="81"/>
        <v>0</v>
      </c>
      <c r="AH103" s="2">
        <f t="shared" si="101"/>
        <v>0</v>
      </c>
      <c r="AI103" s="2">
        <f t="shared" si="101"/>
        <v>0</v>
      </c>
      <c r="AJ103" s="2">
        <f t="shared" si="82"/>
        <v>0</v>
      </c>
      <c r="AK103" s="2">
        <v>99.15</v>
      </c>
      <c r="AL103" s="2">
        <v>99.15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1</v>
      </c>
      <c r="AW103" s="2">
        <v>1</v>
      </c>
      <c r="AX103" s="2"/>
      <c r="AY103" s="2"/>
      <c r="AZ103" s="2">
        <v>1</v>
      </c>
      <c r="BA103" s="2">
        <v>1</v>
      </c>
      <c r="BB103" s="2">
        <v>1</v>
      </c>
      <c r="BC103" s="2">
        <v>1</v>
      </c>
      <c r="BD103" s="2" t="s">
        <v>3</v>
      </c>
      <c r="BE103" s="2" t="s">
        <v>3</v>
      </c>
      <c r="BF103" s="2" t="s">
        <v>3</v>
      </c>
      <c r="BG103" s="2" t="s">
        <v>3</v>
      </c>
      <c r="BH103" s="2">
        <v>3</v>
      </c>
      <c r="BI103" s="2">
        <v>3</v>
      </c>
      <c r="BJ103" s="2" t="s">
        <v>160</v>
      </c>
      <c r="BK103" s="2"/>
      <c r="BL103" s="2"/>
      <c r="BM103" s="2">
        <v>746</v>
      </c>
      <c r="BN103" s="2">
        <v>0</v>
      </c>
      <c r="BO103" s="2" t="s">
        <v>3</v>
      </c>
      <c r="BP103" s="2">
        <v>0</v>
      </c>
      <c r="BQ103" s="2">
        <v>130</v>
      </c>
      <c r="BR103" s="2">
        <v>0</v>
      </c>
      <c r="BS103" s="2">
        <v>1</v>
      </c>
      <c r="BT103" s="2">
        <v>1</v>
      </c>
      <c r="BU103" s="2">
        <v>1</v>
      </c>
      <c r="BV103" s="2">
        <v>1</v>
      </c>
      <c r="BW103" s="2">
        <v>1</v>
      </c>
      <c r="BX103" s="2">
        <v>1</v>
      </c>
      <c r="BY103" s="2" t="s">
        <v>3</v>
      </c>
      <c r="BZ103" s="2">
        <v>0</v>
      </c>
      <c r="CA103" s="2">
        <v>0</v>
      </c>
      <c r="CB103" s="2" t="s">
        <v>3</v>
      </c>
      <c r="CC103" s="2"/>
      <c r="CD103" s="2"/>
      <c r="CE103" s="2">
        <v>1566</v>
      </c>
      <c r="CF103" s="2">
        <v>0</v>
      </c>
      <c r="CG103" s="2">
        <v>0</v>
      </c>
      <c r="CH103" s="2"/>
      <c r="CI103" s="2"/>
      <c r="CJ103" s="2"/>
      <c r="CK103" s="2"/>
      <c r="CL103" s="2"/>
      <c r="CM103" s="2">
        <v>0</v>
      </c>
      <c r="CN103" s="2" t="s">
        <v>3</v>
      </c>
      <c r="CO103" s="2">
        <v>0</v>
      </c>
      <c r="CP103" s="2">
        <f t="shared" si="83"/>
        <v>1983</v>
      </c>
      <c r="CQ103" s="2">
        <f>ROUND((ROUND((AC103*1),2)*BC103),2)</f>
        <v>99.15</v>
      </c>
      <c r="CR103" s="2">
        <f>(ROUND((ROUND(((ET103)*AV103*1),2)*BB103),2)+ROUND((ROUND(((AE103-(EU103))*AV103*1),2)*BS103),2))</f>
        <v>0</v>
      </c>
      <c r="CS103" s="2">
        <f>(ROUND((ROUND(((EU103)*AV103*1),2)*BS103),2)+ROUND((ROUND(((AE103-(EU103))*AV103*1),2)*BS103),2))</f>
        <v>0</v>
      </c>
      <c r="CT103" s="2">
        <f t="shared" si="85"/>
        <v>0</v>
      </c>
      <c r="CU103" s="2">
        <f t="shared" si="86"/>
        <v>0</v>
      </c>
      <c r="CV103" s="2">
        <f t="shared" si="87"/>
        <v>0</v>
      </c>
      <c r="CW103" s="2">
        <f t="shared" si="88"/>
        <v>0</v>
      </c>
      <c r="CX103" s="2">
        <f t="shared" si="89"/>
        <v>0</v>
      </c>
      <c r="CY103" s="2">
        <f>(ROUND((((S103+ROUND((ROUND(((EU103)*AV103*1),2)*BS103),2))*AT103)/100),2)+ROUND(((ROUND((ROUND(((AE103-(EU103))*AV103*1),2)*BS103),2)*AT103)/100),2))</f>
        <v>0</v>
      </c>
      <c r="CZ103" s="2">
        <f>(ROUND((((S103+ROUND((ROUND(((EU103)*AV103*1),2)*BS103),2))*AU103)/100),2)+ROUND(((ROUND((ROUND(((AE103-(EU103))*AV103*1),2)*BS103),2)*AU103)/100),2))</f>
        <v>0</v>
      </c>
      <c r="DA103" s="2"/>
      <c r="DB103" s="2"/>
      <c r="DC103" s="2" t="s">
        <v>3</v>
      </c>
      <c r="DD103" s="2" t="s">
        <v>3</v>
      </c>
      <c r="DE103" s="2" t="s">
        <v>3</v>
      </c>
      <c r="DF103" s="2" t="s">
        <v>3</v>
      </c>
      <c r="DG103" s="2" t="s">
        <v>3</v>
      </c>
      <c r="DH103" s="2" t="s">
        <v>3</v>
      </c>
      <c r="DI103" s="2" t="s">
        <v>3</v>
      </c>
      <c r="DJ103" s="2" t="s">
        <v>3</v>
      </c>
      <c r="DK103" s="2" t="s">
        <v>3</v>
      </c>
      <c r="DL103" s="2" t="s">
        <v>3</v>
      </c>
      <c r="DM103" s="2" t="s">
        <v>3</v>
      </c>
      <c r="DN103" s="2">
        <v>0</v>
      </c>
      <c r="DO103" s="2">
        <v>0</v>
      </c>
      <c r="DP103" s="2">
        <v>1</v>
      </c>
      <c r="DQ103" s="2">
        <v>1</v>
      </c>
      <c r="DR103" s="2"/>
      <c r="DS103" s="2"/>
      <c r="DT103" s="2"/>
      <c r="DU103" s="2">
        <v>1010</v>
      </c>
      <c r="DV103" s="2" t="s">
        <v>159</v>
      </c>
      <c r="DW103" s="2" t="s">
        <v>159</v>
      </c>
      <c r="DX103" s="2">
        <v>1</v>
      </c>
      <c r="DY103" s="2"/>
      <c r="DZ103" s="2" t="s">
        <v>3</v>
      </c>
      <c r="EA103" s="2" t="s">
        <v>3</v>
      </c>
      <c r="EB103" s="2" t="s">
        <v>3</v>
      </c>
      <c r="EC103" s="2" t="s">
        <v>3</v>
      </c>
      <c r="ED103" s="2"/>
      <c r="EE103" s="2">
        <v>55393806</v>
      </c>
      <c r="EF103" s="2">
        <v>130</v>
      </c>
      <c r="EG103" s="2" t="s">
        <v>161</v>
      </c>
      <c r="EH103" s="2">
        <v>0</v>
      </c>
      <c r="EI103" s="2" t="s">
        <v>3</v>
      </c>
      <c r="EJ103" s="2">
        <v>3</v>
      </c>
      <c r="EK103" s="2">
        <v>746</v>
      </c>
      <c r="EL103" s="2" t="s">
        <v>162</v>
      </c>
      <c r="EM103" s="2" t="s">
        <v>163</v>
      </c>
      <c r="EN103" s="2"/>
      <c r="EO103" s="2" t="s">
        <v>3</v>
      </c>
      <c r="EP103" s="2"/>
      <c r="EQ103" s="2">
        <v>0</v>
      </c>
      <c r="ER103" s="2">
        <v>99.15</v>
      </c>
      <c r="ES103" s="2">
        <v>99.15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>
        <v>0</v>
      </c>
      <c r="FR103" s="2">
        <f>P103</f>
        <v>1983</v>
      </c>
      <c r="FS103" s="2">
        <v>0</v>
      </c>
      <c r="FT103" s="2"/>
      <c r="FU103" s="2"/>
      <c r="FV103" s="2"/>
      <c r="FW103" s="2"/>
      <c r="FX103" s="2">
        <v>0</v>
      </c>
      <c r="FY103" s="2">
        <v>0</v>
      </c>
      <c r="FZ103" s="2"/>
      <c r="GA103" s="2" t="s">
        <v>3</v>
      </c>
      <c r="GB103" s="2"/>
      <c r="GC103" s="2"/>
      <c r="GD103" s="2">
        <v>1</v>
      </c>
      <c r="GE103" s="2"/>
      <c r="GF103" s="2">
        <v>-1660574435</v>
      </c>
      <c r="GG103" s="2">
        <v>2</v>
      </c>
      <c r="GH103" s="2">
        <v>1</v>
      </c>
      <c r="GI103" s="2">
        <v>-2</v>
      </c>
      <c r="GJ103" s="2">
        <v>0</v>
      </c>
      <c r="GK103" s="2">
        <v>0</v>
      </c>
      <c r="GL103" s="2">
        <f t="shared" si="90"/>
        <v>0</v>
      </c>
      <c r="GM103" s="2">
        <f t="shared" si="91"/>
        <v>1983</v>
      </c>
      <c r="GN103" s="2">
        <f t="shared" si="92"/>
        <v>0</v>
      </c>
      <c r="GO103" s="2">
        <f t="shared" si="93"/>
        <v>0</v>
      </c>
      <c r="GP103" s="2">
        <f t="shared" si="94"/>
        <v>0</v>
      </c>
      <c r="GQ103" s="2"/>
      <c r="GR103" s="2">
        <v>0</v>
      </c>
      <c r="GS103" s="2">
        <v>3</v>
      </c>
      <c r="GT103" s="2">
        <v>0</v>
      </c>
      <c r="GU103" s="2" t="s">
        <v>3</v>
      </c>
      <c r="GV103" s="2">
        <f t="shared" si="95"/>
        <v>0</v>
      </c>
      <c r="GW103" s="2">
        <v>1</v>
      </c>
      <c r="GX103" s="2">
        <f t="shared" si="96"/>
        <v>0</v>
      </c>
      <c r="GY103" s="2"/>
      <c r="GZ103" s="2"/>
      <c r="HA103" s="2">
        <v>0</v>
      </c>
      <c r="HB103" s="2">
        <v>0</v>
      </c>
      <c r="HC103" s="2">
        <f t="shared" si="97"/>
        <v>0</v>
      </c>
      <c r="HD103" s="2"/>
      <c r="HE103" s="2" t="s">
        <v>3</v>
      </c>
      <c r="HF103" s="2" t="s">
        <v>3</v>
      </c>
      <c r="HG103" s="2"/>
      <c r="HH103" s="2"/>
      <c r="HI103" s="2"/>
      <c r="HJ103" s="2"/>
      <c r="HK103" s="2"/>
      <c r="HL103" s="2"/>
      <c r="HM103" s="2" t="s">
        <v>3</v>
      </c>
      <c r="HN103" s="2" t="s">
        <v>3</v>
      </c>
      <c r="HO103" s="2" t="s">
        <v>3</v>
      </c>
      <c r="HP103" s="2" t="s">
        <v>3</v>
      </c>
      <c r="HQ103" s="2" t="s">
        <v>3</v>
      </c>
      <c r="HR103" s="2"/>
      <c r="HS103" s="2">
        <v>0</v>
      </c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>
        <v>0</v>
      </c>
      <c r="IL103" s="2"/>
      <c r="IM103" s="2"/>
      <c r="IN103" s="2"/>
      <c r="IO103" s="2"/>
      <c r="IP103" s="2"/>
      <c r="IQ103" s="2"/>
      <c r="IR103" s="2"/>
      <c r="IS103" s="2"/>
      <c r="IT103" s="2"/>
      <c r="IU103" s="2"/>
    </row>
    <row r="104" spans="1:255" x14ac:dyDescent="0.25">
      <c r="A104" s="3">
        <v>17</v>
      </c>
      <c r="B104" s="3">
        <v>1</v>
      </c>
      <c r="E104" s="3" t="s">
        <v>164</v>
      </c>
      <c r="F104" s="3" t="s">
        <v>157</v>
      </c>
      <c r="G104" s="3" t="s">
        <v>158</v>
      </c>
      <c r="H104" s="3" t="s">
        <v>159</v>
      </c>
      <c r="I104" s="3">
        <v>20</v>
      </c>
      <c r="J104" s="3">
        <v>0</v>
      </c>
      <c r="K104" s="3">
        <v>20</v>
      </c>
      <c r="O104" s="3">
        <f t="shared" si="73"/>
        <v>23320.080000000002</v>
      </c>
      <c r="P104" s="3">
        <f>ROUND((ROUND((AC104*I104),2)*BC104),2)</f>
        <v>23320.080000000002</v>
      </c>
      <c r="Q104" s="3">
        <f>(ROUND((ROUND(((ET104)*AV104*I104),2)*BB104),2)+ROUND((ROUND(((AE104-(EU104))*AV104*I104),2)*BS104),2))</f>
        <v>0</v>
      </c>
      <c r="R104" s="3">
        <f>(ROUND((ROUND(((EU104)*AV104*I104),2)*BS104),2)+ROUND((ROUND(((AE104-(EU104))*AV104*I104),2)*BS104),2))</f>
        <v>0</v>
      </c>
      <c r="S104" s="3">
        <f t="shared" si="75"/>
        <v>0</v>
      </c>
      <c r="T104" s="3">
        <f t="shared" si="76"/>
        <v>0</v>
      </c>
      <c r="U104" s="3">
        <f t="shared" si="77"/>
        <v>0</v>
      </c>
      <c r="V104" s="3">
        <f t="shared" si="78"/>
        <v>0</v>
      </c>
      <c r="W104" s="3">
        <f t="shared" si="79"/>
        <v>0</v>
      </c>
      <c r="X104" s="3">
        <f>(ROUND((((S104+ROUND((ROUND(((EU104)*AV104*I104),2)*BS104),2))*AT104)/100),2)+ROUND(((ROUND((ROUND(((AE104-(EU104))*AV104*I104),2)*BS104),2)*AT104)/100),2))</f>
        <v>0</v>
      </c>
      <c r="Y104" s="3">
        <f>(ROUND((((S104+ROUND((ROUND(((EU104)*AV104*I104),2)*BS104),2))*AU104)/100),2)+ROUND(((ROUND((ROUND(((AE104-(EU104))*AV104*I104),2)*BS104),2)*AU104)/100),2))</f>
        <v>0</v>
      </c>
      <c r="AA104" s="3">
        <v>55936048</v>
      </c>
      <c r="AB104" s="3">
        <f t="shared" si="80"/>
        <v>99.15</v>
      </c>
      <c r="AC104" s="3">
        <f>ROUND((ES104),6)</f>
        <v>99.15</v>
      </c>
      <c r="AD104" s="3">
        <f>ROUND((((ET104)-(EU104))+AE104),6)</f>
        <v>0</v>
      </c>
      <c r="AE104" s="3">
        <f t="shared" si="100"/>
        <v>0</v>
      </c>
      <c r="AF104" s="3">
        <f t="shared" si="100"/>
        <v>0</v>
      </c>
      <c r="AG104" s="3">
        <f t="shared" si="81"/>
        <v>0</v>
      </c>
      <c r="AH104" s="3">
        <f t="shared" si="101"/>
        <v>0</v>
      </c>
      <c r="AI104" s="3">
        <f t="shared" si="101"/>
        <v>0</v>
      </c>
      <c r="AJ104" s="3">
        <f t="shared" si="82"/>
        <v>0</v>
      </c>
      <c r="AK104" s="3">
        <v>99.15</v>
      </c>
      <c r="AL104" s="3">
        <v>99.15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1</v>
      </c>
      <c r="AW104" s="3">
        <v>1</v>
      </c>
      <c r="AZ104" s="3">
        <v>1</v>
      </c>
      <c r="BA104" s="3">
        <v>1</v>
      </c>
      <c r="BB104" s="3">
        <v>1</v>
      </c>
      <c r="BC104" s="3">
        <v>11.76</v>
      </c>
      <c r="BD104" s="3" t="s">
        <v>3</v>
      </c>
      <c r="BE104" s="3" t="s">
        <v>3</v>
      </c>
      <c r="BF104" s="3" t="s">
        <v>3</v>
      </c>
      <c r="BG104" s="3" t="s">
        <v>3</v>
      </c>
      <c r="BH104" s="3">
        <v>3</v>
      </c>
      <c r="BI104" s="3">
        <v>3</v>
      </c>
      <c r="BJ104" s="3" t="s">
        <v>160</v>
      </c>
      <c r="BM104" s="3">
        <v>746</v>
      </c>
      <c r="BN104" s="3">
        <v>0</v>
      </c>
      <c r="BO104" s="3" t="s">
        <v>3</v>
      </c>
      <c r="BP104" s="3">
        <v>0</v>
      </c>
      <c r="BQ104" s="3">
        <v>130</v>
      </c>
      <c r="BR104" s="3">
        <v>0</v>
      </c>
      <c r="BS104" s="3">
        <v>1</v>
      </c>
      <c r="BT104" s="3">
        <v>1</v>
      </c>
      <c r="BU104" s="3">
        <v>1</v>
      </c>
      <c r="BV104" s="3">
        <v>1</v>
      </c>
      <c r="BW104" s="3">
        <v>1</v>
      </c>
      <c r="BX104" s="3">
        <v>1</v>
      </c>
      <c r="BY104" s="3" t="s">
        <v>3</v>
      </c>
      <c r="BZ104" s="3">
        <v>0</v>
      </c>
      <c r="CA104" s="3">
        <v>0</v>
      </c>
      <c r="CB104" s="3" t="s">
        <v>3</v>
      </c>
      <c r="CE104" s="3">
        <v>1566</v>
      </c>
      <c r="CF104" s="3">
        <v>0</v>
      </c>
      <c r="CG104" s="3">
        <v>0</v>
      </c>
      <c r="CM104" s="3">
        <v>0</v>
      </c>
      <c r="CN104" s="3" t="s">
        <v>3</v>
      </c>
      <c r="CO104" s="3">
        <v>0</v>
      </c>
      <c r="CP104" s="3">
        <f t="shared" si="83"/>
        <v>23320.080000000002</v>
      </c>
      <c r="CQ104" s="3">
        <f>ROUND((ROUND((AC104*1),2)*BC104),2)</f>
        <v>1166</v>
      </c>
      <c r="CR104" s="3">
        <f>(ROUND((ROUND(((ET104)*AV104*1),2)*BB104),2)+ROUND((ROUND(((AE104-(EU104))*AV104*1),2)*BS104),2))</f>
        <v>0</v>
      </c>
      <c r="CS104" s="3">
        <f>(ROUND((ROUND(((EU104)*AV104*1),2)*BS104),2)+ROUND((ROUND(((AE104-(EU104))*AV104*1),2)*BS104),2))</f>
        <v>0</v>
      </c>
      <c r="CT104" s="3">
        <f t="shared" si="85"/>
        <v>0</v>
      </c>
      <c r="CU104" s="3">
        <f t="shared" si="86"/>
        <v>0</v>
      </c>
      <c r="CV104" s="3">
        <f t="shared" si="87"/>
        <v>0</v>
      </c>
      <c r="CW104" s="3">
        <f t="shared" si="88"/>
        <v>0</v>
      </c>
      <c r="CX104" s="3">
        <f t="shared" si="89"/>
        <v>0</v>
      </c>
      <c r="CY104" s="3">
        <f>(ROUND((((S104+ROUND((ROUND(((EU104)*AV104*1),2)*BS104),2))*AT104)/100),2)+ROUND(((ROUND((ROUND(((AE104-(EU104))*AV104*1),2)*BS104),2)*AT104)/100),2))</f>
        <v>0</v>
      </c>
      <c r="CZ104" s="3">
        <f>(ROUND((((S104+ROUND((ROUND(((EU104)*AV104*1),2)*BS104),2))*AU104)/100),2)+ROUND(((ROUND((ROUND(((AE104-(EU104))*AV104*1),2)*BS104),2)*AU104)/100),2))</f>
        <v>0</v>
      </c>
      <c r="DC104" s="3" t="s">
        <v>3</v>
      </c>
      <c r="DD104" s="3" t="s">
        <v>3</v>
      </c>
      <c r="DE104" s="3" t="s">
        <v>3</v>
      </c>
      <c r="DF104" s="3" t="s">
        <v>3</v>
      </c>
      <c r="DG104" s="3" t="s">
        <v>3</v>
      </c>
      <c r="DH104" s="3" t="s">
        <v>3</v>
      </c>
      <c r="DI104" s="3" t="s">
        <v>3</v>
      </c>
      <c r="DJ104" s="3" t="s">
        <v>3</v>
      </c>
      <c r="DK104" s="3" t="s">
        <v>3</v>
      </c>
      <c r="DL104" s="3" t="s">
        <v>3</v>
      </c>
      <c r="DM104" s="3" t="s">
        <v>3</v>
      </c>
      <c r="DN104" s="3">
        <v>0</v>
      </c>
      <c r="DO104" s="3">
        <v>0</v>
      </c>
      <c r="DP104" s="3">
        <v>1</v>
      </c>
      <c r="DQ104" s="3">
        <v>1</v>
      </c>
      <c r="DU104" s="3">
        <v>1010</v>
      </c>
      <c r="DV104" s="3" t="s">
        <v>159</v>
      </c>
      <c r="DW104" s="3" t="s">
        <v>159</v>
      </c>
      <c r="DX104" s="3">
        <v>1</v>
      </c>
      <c r="DZ104" s="3" t="s">
        <v>3</v>
      </c>
      <c r="EA104" s="3" t="s">
        <v>3</v>
      </c>
      <c r="EB104" s="3" t="s">
        <v>3</v>
      </c>
      <c r="EC104" s="3" t="s">
        <v>3</v>
      </c>
      <c r="EE104" s="3">
        <v>55393806</v>
      </c>
      <c r="EF104" s="3">
        <v>130</v>
      </c>
      <c r="EG104" s="3" t="s">
        <v>161</v>
      </c>
      <c r="EH104" s="3">
        <v>0</v>
      </c>
      <c r="EI104" s="3" t="s">
        <v>3</v>
      </c>
      <c r="EJ104" s="3">
        <v>3</v>
      </c>
      <c r="EK104" s="3">
        <v>746</v>
      </c>
      <c r="EL104" s="3" t="s">
        <v>162</v>
      </c>
      <c r="EM104" s="3" t="s">
        <v>163</v>
      </c>
      <c r="EO104" s="3" t="s">
        <v>3</v>
      </c>
      <c r="EQ104" s="3">
        <v>0</v>
      </c>
      <c r="ER104" s="3">
        <v>99.15</v>
      </c>
      <c r="ES104" s="3">
        <v>99.15</v>
      </c>
      <c r="ET104" s="3">
        <v>0</v>
      </c>
      <c r="EU104" s="3">
        <v>0</v>
      </c>
      <c r="EV104" s="3">
        <v>0</v>
      </c>
      <c r="EW104" s="3">
        <v>0</v>
      </c>
      <c r="EX104" s="3">
        <v>0</v>
      </c>
      <c r="EY104" s="3">
        <v>0</v>
      </c>
      <c r="FQ104" s="3">
        <v>0</v>
      </c>
      <c r="FR104" s="3">
        <f>P104</f>
        <v>23320.080000000002</v>
      </c>
      <c r="FS104" s="3">
        <v>0</v>
      </c>
      <c r="FX104" s="3">
        <v>0</v>
      </c>
      <c r="FY104" s="3">
        <v>0</v>
      </c>
      <c r="GA104" s="3" t="s">
        <v>3</v>
      </c>
      <c r="GD104" s="3">
        <v>1</v>
      </c>
      <c r="GF104" s="3">
        <v>-1660574435</v>
      </c>
      <c r="GG104" s="3">
        <v>2</v>
      </c>
      <c r="GH104" s="3">
        <v>1</v>
      </c>
      <c r="GI104" s="3">
        <v>2</v>
      </c>
      <c r="GJ104" s="3">
        <v>0</v>
      </c>
      <c r="GK104" s="3">
        <v>0</v>
      </c>
      <c r="GL104" s="3">
        <f t="shared" si="90"/>
        <v>0</v>
      </c>
      <c r="GM104" s="3">
        <f t="shared" si="91"/>
        <v>23320.080000000002</v>
      </c>
      <c r="GN104" s="3">
        <f t="shared" si="92"/>
        <v>0</v>
      </c>
      <c r="GO104" s="3">
        <f t="shared" si="93"/>
        <v>0</v>
      </c>
      <c r="GP104" s="3">
        <f t="shared" si="94"/>
        <v>0</v>
      </c>
      <c r="GR104" s="3">
        <v>0</v>
      </c>
      <c r="GS104" s="3">
        <v>3</v>
      </c>
      <c r="GT104" s="3">
        <v>0</v>
      </c>
      <c r="GU104" s="3" t="s">
        <v>3</v>
      </c>
      <c r="GV104" s="3">
        <f t="shared" si="95"/>
        <v>0</v>
      </c>
      <c r="GW104" s="3">
        <v>1</v>
      </c>
      <c r="GX104" s="3">
        <f t="shared" si="96"/>
        <v>0</v>
      </c>
      <c r="HA104" s="3">
        <v>0</v>
      </c>
      <c r="HB104" s="3">
        <v>0</v>
      </c>
      <c r="HC104" s="3">
        <f t="shared" si="97"/>
        <v>0</v>
      </c>
      <c r="HE104" s="3" t="s">
        <v>3</v>
      </c>
      <c r="HF104" s="3" t="s">
        <v>3</v>
      </c>
      <c r="HM104" s="3" t="s">
        <v>3</v>
      </c>
      <c r="HN104" s="3" t="s">
        <v>3</v>
      </c>
      <c r="HO104" s="3" t="s">
        <v>3</v>
      </c>
      <c r="HP104" s="3" t="s">
        <v>3</v>
      </c>
      <c r="HQ104" s="3" t="s">
        <v>3</v>
      </c>
      <c r="HS104" s="3">
        <v>0</v>
      </c>
      <c r="IK104" s="3">
        <v>0</v>
      </c>
    </row>
    <row r="105" spans="1:255" x14ac:dyDescent="0.25">
      <c r="A105" s="2">
        <v>17</v>
      </c>
      <c r="B105" s="2">
        <v>1</v>
      </c>
      <c r="C105" s="2">
        <f>ROW(SmtRes!A130)</f>
        <v>130</v>
      </c>
      <c r="D105" s="2">
        <f>ROW(EtalonRes!A156)</f>
        <v>156</v>
      </c>
      <c r="E105" s="2" t="s">
        <v>165</v>
      </c>
      <c r="F105" s="2" t="s">
        <v>40</v>
      </c>
      <c r="G105" s="2" t="s">
        <v>166</v>
      </c>
      <c r="H105" s="2" t="s">
        <v>22</v>
      </c>
      <c r="I105" s="2">
        <f>ROUND(35/10,9)</f>
        <v>3.5</v>
      </c>
      <c r="J105" s="2">
        <v>0</v>
      </c>
      <c r="K105" s="2">
        <f>ROUND(35/10,9)</f>
        <v>3.5</v>
      </c>
      <c r="L105" s="2"/>
      <c r="M105" s="2"/>
      <c r="N105" s="2"/>
      <c r="O105" s="2">
        <f t="shared" si="73"/>
        <v>1035.3699999999999</v>
      </c>
      <c r="P105" s="2">
        <f t="shared" ref="P105:P124" si="102">ROUND((ROUND((AC105*AW105*I105),2)*BC105),2)</f>
        <v>8.5399999999999991</v>
      </c>
      <c r="Q105" s="2">
        <f>(ROUND((ROUND((((ET105*1.2))*AV105*I105),2)*BB105),2)+ROUND((ROUND(((AE105-((EU105*1.2)))*AV105*I105),2)*BS105),2))</f>
        <v>26.69</v>
      </c>
      <c r="R105" s="2">
        <f>(ROUND((ROUND((((EU105*1.2))*AV105*I105),2)*BS105),2)+ROUND((ROUND(((AE105-((EU105*1.2)))*AV105*I105),2)*BS105),2))</f>
        <v>3.34</v>
      </c>
      <c r="S105" s="2">
        <f t="shared" si="75"/>
        <v>1000.14</v>
      </c>
      <c r="T105" s="2">
        <f t="shared" si="76"/>
        <v>0</v>
      </c>
      <c r="U105" s="2">
        <f t="shared" si="77"/>
        <v>64.377935999999991</v>
      </c>
      <c r="V105" s="2">
        <f t="shared" si="78"/>
        <v>0</v>
      </c>
      <c r="W105" s="2">
        <f t="shared" si="79"/>
        <v>0</v>
      </c>
      <c r="X105" s="2">
        <f>(ROUND((((S105+ROUND((ROUND((((EU105*1.2))*AV105*I105),2)*BS105),2))*AT105)/100),2)+ROUND(((ROUND((ROUND(((AE105-((EU105*1.2)))*AV105*I105),2)*BS105),2)*AT105)/100),2))</f>
        <v>903.13</v>
      </c>
      <c r="Y105" s="2">
        <f>(ROUND((((S105+ROUND((ROUND((((EU105*1.2))*AV105*I105),2)*BS105),2))*AU105)/100),2)+ROUND(((ROUND((ROUND(((AE105-((EU105*1.2)))*AV105*I105),2)*BS105),2)*AU105)/100),2))</f>
        <v>461.6</v>
      </c>
      <c r="Z105" s="2"/>
      <c r="AA105" s="2">
        <v>55936046</v>
      </c>
      <c r="AB105" s="2">
        <f t="shared" si="80"/>
        <v>282.65199999999999</v>
      </c>
      <c r="AC105" s="2">
        <f>ROUND(((ES105*1)),6)</f>
        <v>2.44</v>
      </c>
      <c r="AD105" s="2">
        <f>ROUND(((((ET105*1.2))-((EU105*1.2)))+AE105),6)</f>
        <v>7.2839999999999998</v>
      </c>
      <c r="AE105" s="2">
        <f>ROUND(((EU105*1.2)),6)</f>
        <v>0.91200000000000003</v>
      </c>
      <c r="AF105" s="2">
        <f>ROUND(((EV105*1.2)),6)</f>
        <v>272.928</v>
      </c>
      <c r="AG105" s="2">
        <f t="shared" si="81"/>
        <v>0</v>
      </c>
      <c r="AH105" s="2">
        <f>((EW105*1.2))</f>
        <v>17.568000000000001</v>
      </c>
      <c r="AI105" s="2">
        <f>((EX105*1.2))</f>
        <v>0</v>
      </c>
      <c r="AJ105" s="2">
        <f t="shared" si="82"/>
        <v>0</v>
      </c>
      <c r="AK105" s="2">
        <v>235.95</v>
      </c>
      <c r="AL105" s="2">
        <v>2.44</v>
      </c>
      <c r="AM105" s="2">
        <v>6.07</v>
      </c>
      <c r="AN105" s="2">
        <v>0.76</v>
      </c>
      <c r="AO105" s="2">
        <v>227.44</v>
      </c>
      <c r="AP105" s="2">
        <v>0</v>
      </c>
      <c r="AQ105" s="2">
        <v>14.64</v>
      </c>
      <c r="AR105" s="2">
        <v>0</v>
      </c>
      <c r="AS105" s="2">
        <v>0</v>
      </c>
      <c r="AT105" s="2">
        <v>90</v>
      </c>
      <c r="AU105" s="2">
        <v>46</v>
      </c>
      <c r="AV105" s="2">
        <v>1.0469999999999999</v>
      </c>
      <c r="AW105" s="2">
        <v>1</v>
      </c>
      <c r="AX105" s="2"/>
      <c r="AY105" s="2"/>
      <c r="AZ105" s="2">
        <v>1</v>
      </c>
      <c r="BA105" s="2">
        <v>1</v>
      </c>
      <c r="BB105" s="2">
        <v>1</v>
      </c>
      <c r="BC105" s="2">
        <v>1</v>
      </c>
      <c r="BD105" s="2" t="s">
        <v>3</v>
      </c>
      <c r="BE105" s="2" t="s">
        <v>3</v>
      </c>
      <c r="BF105" s="2" t="s">
        <v>3</v>
      </c>
      <c r="BG105" s="2" t="s">
        <v>3</v>
      </c>
      <c r="BH105" s="2">
        <v>0</v>
      </c>
      <c r="BI105" s="2">
        <v>2</v>
      </c>
      <c r="BJ105" s="2" t="s">
        <v>42</v>
      </c>
      <c r="BK105" s="2"/>
      <c r="BL105" s="2"/>
      <c r="BM105" s="2">
        <v>68</v>
      </c>
      <c r="BN105" s="2">
        <v>0</v>
      </c>
      <c r="BO105" s="2" t="s">
        <v>40</v>
      </c>
      <c r="BP105" s="2">
        <v>1</v>
      </c>
      <c r="BQ105" s="2">
        <v>40</v>
      </c>
      <c r="BR105" s="2">
        <v>0</v>
      </c>
      <c r="BS105" s="2">
        <v>1</v>
      </c>
      <c r="BT105" s="2">
        <v>1</v>
      </c>
      <c r="BU105" s="2">
        <v>1</v>
      </c>
      <c r="BV105" s="2">
        <v>1</v>
      </c>
      <c r="BW105" s="2">
        <v>1</v>
      </c>
      <c r="BX105" s="2">
        <v>1</v>
      </c>
      <c r="BY105" s="2" t="s">
        <v>3</v>
      </c>
      <c r="BZ105" s="2">
        <v>90</v>
      </c>
      <c r="CA105" s="2">
        <v>46</v>
      </c>
      <c r="CB105" s="2" t="s">
        <v>3</v>
      </c>
      <c r="CC105" s="2"/>
      <c r="CD105" s="2"/>
      <c r="CE105" s="2">
        <v>1566</v>
      </c>
      <c r="CF105" s="2">
        <v>0</v>
      </c>
      <c r="CG105" s="2">
        <v>0</v>
      </c>
      <c r="CH105" s="2"/>
      <c r="CI105" s="2"/>
      <c r="CJ105" s="2"/>
      <c r="CK105" s="2"/>
      <c r="CL105" s="2"/>
      <c r="CM105" s="2">
        <v>0</v>
      </c>
      <c r="CN105" s="2" t="s">
        <v>422</v>
      </c>
      <c r="CO105" s="2">
        <v>0</v>
      </c>
      <c r="CP105" s="2">
        <f t="shared" si="83"/>
        <v>1035.3699999999999</v>
      </c>
      <c r="CQ105" s="2">
        <f t="shared" ref="CQ105:CQ124" si="103">ROUND((ROUND((AC105*AW105*1),2)*BC105),2)</f>
        <v>2.44</v>
      </c>
      <c r="CR105" s="2">
        <f>(ROUND((ROUND((((ET105*1.2))*AV105*1),2)*BB105),2)+ROUND((ROUND(((AE105-((EU105*1.2)))*AV105*1),2)*BS105),2))</f>
        <v>7.63</v>
      </c>
      <c r="CS105" s="2">
        <f>(ROUND((ROUND((((EU105*1.2))*AV105*1),2)*BS105),2)+ROUND((ROUND(((AE105-((EU105*1.2)))*AV105*1),2)*BS105),2))</f>
        <v>0.95</v>
      </c>
      <c r="CT105" s="2">
        <f t="shared" si="85"/>
        <v>285.76</v>
      </c>
      <c r="CU105" s="2">
        <f t="shared" si="86"/>
        <v>0</v>
      </c>
      <c r="CV105" s="2">
        <f t="shared" si="87"/>
        <v>18.393695999999998</v>
      </c>
      <c r="CW105" s="2">
        <f t="shared" si="88"/>
        <v>0</v>
      </c>
      <c r="CX105" s="2">
        <f t="shared" si="89"/>
        <v>0</v>
      </c>
      <c r="CY105" s="2">
        <f>(ROUND((((S105+ROUND((ROUND((((EU105*1.2))*AV105*1),2)*BS105),2))*AT105)/100),2)+ROUND(((ROUND((ROUND(((AE105-((EU105*1.2)))*AV105*1),2)*BS105),2)*AT105)/100),2))</f>
        <v>900.98</v>
      </c>
      <c r="CZ105" s="2">
        <f>(ROUND((((S105+ROUND((ROUND((((EU105*1.2))*AV105*1),2)*BS105),2))*AU105)/100),2)+ROUND(((ROUND((ROUND(((AE105-((EU105*1.2)))*AV105*1),2)*BS105),2)*AU105)/100),2))</f>
        <v>460.5</v>
      </c>
      <c r="DA105" s="2"/>
      <c r="DB105" s="2">
        <v>55</v>
      </c>
      <c r="DC105" s="2" t="s">
        <v>3</v>
      </c>
      <c r="DD105" s="2" t="s">
        <v>62</v>
      </c>
      <c r="DE105" s="2" t="s">
        <v>63</v>
      </c>
      <c r="DF105" s="2" t="s">
        <v>63</v>
      </c>
      <c r="DG105" s="2" t="s">
        <v>63</v>
      </c>
      <c r="DH105" s="2" t="s">
        <v>3</v>
      </c>
      <c r="DI105" s="2" t="s">
        <v>63</v>
      </c>
      <c r="DJ105" s="2" t="s">
        <v>63</v>
      </c>
      <c r="DK105" s="2" t="s">
        <v>3</v>
      </c>
      <c r="DL105" s="2" t="s">
        <v>3</v>
      </c>
      <c r="DM105" s="2" t="s">
        <v>3</v>
      </c>
      <c r="DN105" s="2">
        <v>0</v>
      </c>
      <c r="DO105" s="2">
        <v>0</v>
      </c>
      <c r="DP105" s="2">
        <v>1</v>
      </c>
      <c r="DQ105" s="2">
        <v>1</v>
      </c>
      <c r="DR105" s="2"/>
      <c r="DS105" s="2"/>
      <c r="DT105" s="2"/>
      <c r="DU105" s="2">
        <v>1010</v>
      </c>
      <c r="DV105" s="2" t="s">
        <v>22</v>
      </c>
      <c r="DW105" s="2" t="s">
        <v>22</v>
      </c>
      <c r="DX105" s="2">
        <v>10</v>
      </c>
      <c r="DY105" s="2"/>
      <c r="DZ105" s="2" t="s">
        <v>3</v>
      </c>
      <c r="EA105" s="2" t="s">
        <v>3</v>
      </c>
      <c r="EB105" s="2" t="s">
        <v>3</v>
      </c>
      <c r="EC105" s="2" t="s">
        <v>3</v>
      </c>
      <c r="ED105" s="2"/>
      <c r="EE105" s="2">
        <v>55393700</v>
      </c>
      <c r="EF105" s="2">
        <v>40</v>
      </c>
      <c r="EG105" s="2" t="s">
        <v>26</v>
      </c>
      <c r="EH105" s="2">
        <v>0</v>
      </c>
      <c r="EI105" s="2" t="s">
        <v>3</v>
      </c>
      <c r="EJ105" s="2">
        <v>2</v>
      </c>
      <c r="EK105" s="2">
        <v>68</v>
      </c>
      <c r="EL105" s="2" t="s">
        <v>27</v>
      </c>
      <c r="EM105" s="2" t="s">
        <v>28</v>
      </c>
      <c r="EN105" s="2"/>
      <c r="EO105" s="2" t="s">
        <v>67</v>
      </c>
      <c r="EP105" s="2"/>
      <c r="EQ105" s="2">
        <v>0</v>
      </c>
      <c r="ER105" s="2">
        <v>235.95</v>
      </c>
      <c r="ES105" s="2">
        <v>2.44</v>
      </c>
      <c r="ET105" s="2">
        <v>6.07</v>
      </c>
      <c r="EU105" s="2">
        <v>0.76</v>
      </c>
      <c r="EV105" s="2">
        <v>227.44</v>
      </c>
      <c r="EW105" s="2">
        <v>14.64</v>
      </c>
      <c r="EX105" s="2">
        <v>0</v>
      </c>
      <c r="EY105" s="2">
        <v>0</v>
      </c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>
        <v>0</v>
      </c>
      <c r="FR105" s="2">
        <v>0</v>
      </c>
      <c r="FS105" s="2">
        <v>0</v>
      </c>
      <c r="FT105" s="2"/>
      <c r="FU105" s="2"/>
      <c r="FV105" s="2"/>
      <c r="FW105" s="2"/>
      <c r="FX105" s="2">
        <v>90</v>
      </c>
      <c r="FY105" s="2">
        <v>46</v>
      </c>
      <c r="FZ105" s="2"/>
      <c r="GA105" s="2" t="s">
        <v>3</v>
      </c>
      <c r="GB105" s="2"/>
      <c r="GC105" s="2"/>
      <c r="GD105" s="2">
        <v>1</v>
      </c>
      <c r="GE105" s="2"/>
      <c r="GF105" s="2">
        <v>-1267474206</v>
      </c>
      <c r="GG105" s="2">
        <v>2</v>
      </c>
      <c r="GH105" s="2">
        <v>1</v>
      </c>
      <c r="GI105" s="2">
        <v>2</v>
      </c>
      <c r="GJ105" s="2">
        <v>0</v>
      </c>
      <c r="GK105" s="2">
        <v>0</v>
      </c>
      <c r="GL105" s="2">
        <f t="shared" si="90"/>
        <v>0</v>
      </c>
      <c r="GM105" s="2">
        <f t="shared" si="91"/>
        <v>2400.1</v>
      </c>
      <c r="GN105" s="2">
        <f t="shared" si="92"/>
        <v>0</v>
      </c>
      <c r="GO105" s="2">
        <f t="shared" si="93"/>
        <v>2400.1</v>
      </c>
      <c r="GP105" s="2">
        <f t="shared" si="94"/>
        <v>0</v>
      </c>
      <c r="GQ105" s="2"/>
      <c r="GR105" s="2">
        <v>0</v>
      </c>
      <c r="GS105" s="2">
        <v>3</v>
      </c>
      <c r="GT105" s="2">
        <v>0</v>
      </c>
      <c r="GU105" s="2" t="s">
        <v>3</v>
      </c>
      <c r="GV105" s="2">
        <f t="shared" si="95"/>
        <v>0</v>
      </c>
      <c r="GW105" s="2">
        <v>1</v>
      </c>
      <c r="GX105" s="2">
        <f t="shared" si="96"/>
        <v>0</v>
      </c>
      <c r="GY105" s="2"/>
      <c r="GZ105" s="2"/>
      <c r="HA105" s="2">
        <v>0</v>
      </c>
      <c r="HB105" s="2">
        <v>0</v>
      </c>
      <c r="HC105" s="2">
        <f t="shared" si="97"/>
        <v>0</v>
      </c>
      <c r="HD105" s="2"/>
      <c r="HE105" s="2" t="s">
        <v>3</v>
      </c>
      <c r="HF105" s="2" t="s">
        <v>3</v>
      </c>
      <c r="HG105" s="2"/>
      <c r="HH105" s="2"/>
      <c r="HI105" s="2"/>
      <c r="HJ105" s="2"/>
      <c r="HK105" s="2"/>
      <c r="HL105" s="2"/>
      <c r="HM105" s="2" t="s">
        <v>3</v>
      </c>
      <c r="HN105" s="2" t="s">
        <v>3</v>
      </c>
      <c r="HO105" s="2" t="s">
        <v>3</v>
      </c>
      <c r="HP105" s="2" t="s">
        <v>3</v>
      </c>
      <c r="HQ105" s="2" t="s">
        <v>3</v>
      </c>
      <c r="HR105" s="2"/>
      <c r="HS105" s="2">
        <v>0</v>
      </c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>
        <v>0</v>
      </c>
      <c r="IL105" s="2"/>
      <c r="IM105" s="2"/>
      <c r="IN105" s="2"/>
      <c r="IO105" s="2"/>
      <c r="IP105" s="2"/>
      <c r="IQ105" s="2"/>
      <c r="IR105" s="2"/>
      <c r="IS105" s="2"/>
      <c r="IT105" s="2"/>
      <c r="IU105" s="2"/>
    </row>
    <row r="106" spans="1:255" x14ac:dyDescent="0.25">
      <c r="A106" s="3">
        <v>17</v>
      </c>
      <c r="B106" s="3">
        <v>1</v>
      </c>
      <c r="C106" s="3">
        <f>ROW(SmtRes!A136)</f>
        <v>136</v>
      </c>
      <c r="D106" s="3">
        <f>ROW(EtalonRes!A162)</f>
        <v>162</v>
      </c>
      <c r="E106" s="3" t="s">
        <v>165</v>
      </c>
      <c r="F106" s="3" t="s">
        <v>40</v>
      </c>
      <c r="G106" s="3" t="s">
        <v>166</v>
      </c>
      <c r="H106" s="3" t="s">
        <v>22</v>
      </c>
      <c r="I106" s="3">
        <f>ROUND(35/10,9)</f>
        <v>3.5</v>
      </c>
      <c r="J106" s="3">
        <v>0</v>
      </c>
      <c r="K106" s="3">
        <f>ROUND(35/10,9)</f>
        <v>3.5</v>
      </c>
      <c r="O106" s="3">
        <f t="shared" si="73"/>
        <v>56842.71</v>
      </c>
      <c r="P106" s="3">
        <f t="shared" si="102"/>
        <v>64.989999999999995</v>
      </c>
      <c r="Q106" s="3">
        <f>(ROUND((ROUND((((ET106*1.2))*AV106*I106),2)*BB106),2)+ROUND((ROUND(((AE106-((EU106*1.2)))*AV106*I106),2)*BS106),2))</f>
        <v>419.83</v>
      </c>
      <c r="R106" s="3">
        <f>(ROUND((ROUND((((EU106*1.2))*AV106*I106),2)*BS106),2)+ROUND((ROUND(((AE106-((EU106*1.2)))*AV106*I106),2)*BS106),2))</f>
        <v>188.21</v>
      </c>
      <c r="S106" s="3">
        <f t="shared" si="75"/>
        <v>56357.89</v>
      </c>
      <c r="T106" s="3">
        <f t="shared" si="76"/>
        <v>0</v>
      </c>
      <c r="U106" s="3">
        <f t="shared" si="77"/>
        <v>64.377935999999991</v>
      </c>
      <c r="V106" s="3">
        <f t="shared" si="78"/>
        <v>0</v>
      </c>
      <c r="W106" s="3">
        <f t="shared" si="79"/>
        <v>0</v>
      </c>
      <c r="X106" s="3">
        <f>(ROUND((((S106+ROUND((ROUND((((EU106*1.2))*AV106*I106),2)*BS106),2))*AT106)/100),2)+ROUND(((ROUND((ROUND(((AE106-((EU106*1.2)))*AV106*I106),2)*BS106),2)*AT106)/100),2))</f>
        <v>50891.49</v>
      </c>
      <c r="Y106" s="3">
        <f>(ROUND((((S106+ROUND((ROUND((((EU106*1.2))*AV106*I106),2)*BS106),2))*AU106)/100),2)+ROUND(((ROUND((ROUND(((AE106-((EU106*1.2)))*AV106*I106),2)*BS106),2)*AU106)/100),2))</f>
        <v>26011.21</v>
      </c>
      <c r="AA106" s="3">
        <v>55936048</v>
      </c>
      <c r="AB106" s="3">
        <f t="shared" si="80"/>
        <v>282.65199999999999</v>
      </c>
      <c r="AC106" s="3">
        <f>ROUND(((ES106*1)),6)</f>
        <v>2.44</v>
      </c>
      <c r="AD106" s="3">
        <f>ROUND(((((ET106*1.2))-((EU106*1.2)))+AE106),6)</f>
        <v>7.2839999999999998</v>
      </c>
      <c r="AE106" s="3">
        <f>ROUND(((EU106*1.2)),6)</f>
        <v>0.91200000000000003</v>
      </c>
      <c r="AF106" s="3">
        <f>ROUND(((EV106*1.2)),6)</f>
        <v>272.928</v>
      </c>
      <c r="AG106" s="3">
        <f t="shared" si="81"/>
        <v>0</v>
      </c>
      <c r="AH106" s="3">
        <f>((EW106*1.2))</f>
        <v>17.568000000000001</v>
      </c>
      <c r="AI106" s="3">
        <f>((EX106*1.2))</f>
        <v>0</v>
      </c>
      <c r="AJ106" s="3">
        <f t="shared" si="82"/>
        <v>0</v>
      </c>
      <c r="AK106" s="3">
        <v>235.95</v>
      </c>
      <c r="AL106" s="3">
        <v>2.44</v>
      </c>
      <c r="AM106" s="3">
        <v>6.07</v>
      </c>
      <c r="AN106" s="3">
        <v>0.76</v>
      </c>
      <c r="AO106" s="3">
        <v>227.44</v>
      </c>
      <c r="AP106" s="3">
        <v>0</v>
      </c>
      <c r="AQ106" s="3">
        <v>14.64</v>
      </c>
      <c r="AR106" s="3">
        <v>0</v>
      </c>
      <c r="AS106" s="3">
        <v>0</v>
      </c>
      <c r="AT106" s="3">
        <v>90</v>
      </c>
      <c r="AU106" s="3">
        <v>46</v>
      </c>
      <c r="AV106" s="3">
        <v>1.0469999999999999</v>
      </c>
      <c r="AW106" s="3">
        <v>1</v>
      </c>
      <c r="AZ106" s="3">
        <v>1</v>
      </c>
      <c r="BA106" s="3">
        <v>56.35</v>
      </c>
      <c r="BB106" s="3">
        <v>15.73</v>
      </c>
      <c r="BC106" s="3">
        <v>7.61</v>
      </c>
      <c r="BD106" s="3" t="s">
        <v>3</v>
      </c>
      <c r="BE106" s="3" t="s">
        <v>3</v>
      </c>
      <c r="BF106" s="3" t="s">
        <v>3</v>
      </c>
      <c r="BG106" s="3" t="s">
        <v>3</v>
      </c>
      <c r="BH106" s="3">
        <v>0</v>
      </c>
      <c r="BI106" s="3">
        <v>2</v>
      </c>
      <c r="BJ106" s="3" t="s">
        <v>42</v>
      </c>
      <c r="BM106" s="3">
        <v>68</v>
      </c>
      <c r="BN106" s="3">
        <v>0</v>
      </c>
      <c r="BO106" s="3" t="s">
        <v>40</v>
      </c>
      <c r="BP106" s="3">
        <v>1</v>
      </c>
      <c r="BQ106" s="3">
        <v>40</v>
      </c>
      <c r="BR106" s="3">
        <v>0</v>
      </c>
      <c r="BS106" s="3">
        <v>56.35</v>
      </c>
      <c r="BT106" s="3">
        <v>1</v>
      </c>
      <c r="BU106" s="3">
        <v>1</v>
      </c>
      <c r="BV106" s="3">
        <v>1</v>
      </c>
      <c r="BW106" s="3">
        <v>1</v>
      </c>
      <c r="BX106" s="3">
        <v>1</v>
      </c>
      <c r="BY106" s="3" t="s">
        <v>3</v>
      </c>
      <c r="BZ106" s="3">
        <v>90</v>
      </c>
      <c r="CA106" s="3">
        <v>46</v>
      </c>
      <c r="CB106" s="3" t="s">
        <v>3</v>
      </c>
      <c r="CE106" s="3">
        <v>1566</v>
      </c>
      <c r="CF106" s="3">
        <v>0</v>
      </c>
      <c r="CG106" s="3">
        <v>0</v>
      </c>
      <c r="CM106" s="3">
        <v>0</v>
      </c>
      <c r="CN106" s="3" t="s">
        <v>422</v>
      </c>
      <c r="CO106" s="3">
        <v>0</v>
      </c>
      <c r="CP106" s="3">
        <f t="shared" si="83"/>
        <v>56842.71</v>
      </c>
      <c r="CQ106" s="3">
        <f t="shared" si="103"/>
        <v>18.57</v>
      </c>
      <c r="CR106" s="3">
        <f>(ROUND((ROUND((((ET106*1.2))*AV106*1),2)*BB106),2)+ROUND((ROUND(((AE106-((EU106*1.2)))*AV106*1),2)*BS106),2))</f>
        <v>120.02</v>
      </c>
      <c r="CS106" s="3">
        <f>(ROUND((ROUND((((EU106*1.2))*AV106*1),2)*BS106),2)+ROUND((ROUND(((AE106-((EU106*1.2)))*AV106*1),2)*BS106),2))</f>
        <v>53.53</v>
      </c>
      <c r="CT106" s="3">
        <f t="shared" si="85"/>
        <v>16102.58</v>
      </c>
      <c r="CU106" s="3">
        <f t="shared" si="86"/>
        <v>0</v>
      </c>
      <c r="CV106" s="3">
        <f t="shared" si="87"/>
        <v>18.393695999999998</v>
      </c>
      <c r="CW106" s="3">
        <f t="shared" si="88"/>
        <v>0</v>
      </c>
      <c r="CX106" s="3">
        <f t="shared" si="89"/>
        <v>0</v>
      </c>
      <c r="CY106" s="3">
        <f>(ROUND((((S106+ROUND((ROUND((((EU106*1.2))*AV106*1),2)*BS106),2))*AT106)/100),2)+ROUND(((ROUND((ROUND(((AE106-((EU106*1.2)))*AV106*1),2)*BS106),2)*AT106)/100),2))</f>
        <v>50770.28</v>
      </c>
      <c r="CZ106" s="3">
        <f>(ROUND((((S106+ROUND((ROUND((((EU106*1.2))*AV106*1),2)*BS106),2))*AU106)/100),2)+ROUND(((ROUND((ROUND(((AE106-((EU106*1.2)))*AV106*1),2)*BS106),2)*AU106)/100),2))</f>
        <v>25949.25</v>
      </c>
      <c r="DB106" s="3">
        <v>56</v>
      </c>
      <c r="DC106" s="3" t="s">
        <v>3</v>
      </c>
      <c r="DD106" s="3" t="s">
        <v>62</v>
      </c>
      <c r="DE106" s="3" t="s">
        <v>63</v>
      </c>
      <c r="DF106" s="3" t="s">
        <v>63</v>
      </c>
      <c r="DG106" s="3" t="s">
        <v>63</v>
      </c>
      <c r="DH106" s="3" t="s">
        <v>3</v>
      </c>
      <c r="DI106" s="3" t="s">
        <v>63</v>
      </c>
      <c r="DJ106" s="3" t="s">
        <v>63</v>
      </c>
      <c r="DK106" s="3" t="s">
        <v>3</v>
      </c>
      <c r="DL106" s="3" t="s">
        <v>3</v>
      </c>
      <c r="DM106" s="3" t="s">
        <v>3</v>
      </c>
      <c r="DN106" s="3">
        <v>0</v>
      </c>
      <c r="DO106" s="3">
        <v>0</v>
      </c>
      <c r="DP106" s="3">
        <v>1</v>
      </c>
      <c r="DQ106" s="3">
        <v>1</v>
      </c>
      <c r="DU106" s="3">
        <v>1010</v>
      </c>
      <c r="DV106" s="3" t="s">
        <v>22</v>
      </c>
      <c r="DW106" s="3" t="s">
        <v>22</v>
      </c>
      <c r="DX106" s="3">
        <v>10</v>
      </c>
      <c r="DZ106" s="3" t="s">
        <v>3</v>
      </c>
      <c r="EA106" s="3" t="s">
        <v>3</v>
      </c>
      <c r="EB106" s="3" t="s">
        <v>3</v>
      </c>
      <c r="EC106" s="3" t="s">
        <v>3</v>
      </c>
      <c r="EE106" s="3">
        <v>55393700</v>
      </c>
      <c r="EF106" s="3">
        <v>40</v>
      </c>
      <c r="EG106" s="3" t="s">
        <v>26</v>
      </c>
      <c r="EH106" s="3">
        <v>0</v>
      </c>
      <c r="EI106" s="3" t="s">
        <v>3</v>
      </c>
      <c r="EJ106" s="3">
        <v>2</v>
      </c>
      <c r="EK106" s="3">
        <v>68</v>
      </c>
      <c r="EL106" s="3" t="s">
        <v>27</v>
      </c>
      <c r="EM106" s="3" t="s">
        <v>28</v>
      </c>
      <c r="EO106" s="3" t="s">
        <v>67</v>
      </c>
      <c r="EQ106" s="3">
        <v>0</v>
      </c>
      <c r="ER106" s="3">
        <v>235.95</v>
      </c>
      <c r="ES106" s="3">
        <v>2.44</v>
      </c>
      <c r="ET106" s="3">
        <v>6.07</v>
      </c>
      <c r="EU106" s="3">
        <v>0.76</v>
      </c>
      <c r="EV106" s="3">
        <v>227.44</v>
      </c>
      <c r="EW106" s="3">
        <v>14.64</v>
      </c>
      <c r="EX106" s="3">
        <v>0</v>
      </c>
      <c r="EY106" s="3">
        <v>0</v>
      </c>
      <c r="FQ106" s="3">
        <v>0</v>
      </c>
      <c r="FR106" s="3">
        <v>0</v>
      </c>
      <c r="FS106" s="3">
        <v>0</v>
      </c>
      <c r="FX106" s="3">
        <v>90</v>
      </c>
      <c r="FY106" s="3">
        <v>46</v>
      </c>
      <c r="GA106" s="3" t="s">
        <v>3</v>
      </c>
      <c r="GD106" s="3">
        <v>1</v>
      </c>
      <c r="GF106" s="3">
        <v>-1267474206</v>
      </c>
      <c r="GG106" s="3">
        <v>2</v>
      </c>
      <c r="GH106" s="3">
        <v>1</v>
      </c>
      <c r="GI106" s="3">
        <v>2</v>
      </c>
      <c r="GJ106" s="3">
        <v>0</v>
      </c>
      <c r="GK106" s="3">
        <v>0</v>
      </c>
      <c r="GL106" s="3">
        <f t="shared" si="90"/>
        <v>0</v>
      </c>
      <c r="GM106" s="3">
        <f t="shared" si="91"/>
        <v>133745.41</v>
      </c>
      <c r="GN106" s="3">
        <f t="shared" si="92"/>
        <v>0</v>
      </c>
      <c r="GO106" s="3">
        <f t="shared" si="93"/>
        <v>133745.41</v>
      </c>
      <c r="GP106" s="3">
        <f t="shared" si="94"/>
        <v>0</v>
      </c>
      <c r="GR106" s="3">
        <v>0</v>
      </c>
      <c r="GS106" s="3">
        <v>3</v>
      </c>
      <c r="GT106" s="3">
        <v>0</v>
      </c>
      <c r="GU106" s="3" t="s">
        <v>3</v>
      </c>
      <c r="GV106" s="3">
        <f t="shared" si="95"/>
        <v>0</v>
      </c>
      <c r="GW106" s="3">
        <v>1</v>
      </c>
      <c r="GX106" s="3">
        <f t="shared" si="96"/>
        <v>0</v>
      </c>
      <c r="HA106" s="3">
        <v>0</v>
      </c>
      <c r="HB106" s="3">
        <v>0</v>
      </c>
      <c r="HC106" s="3">
        <f t="shared" si="97"/>
        <v>0</v>
      </c>
      <c r="HE106" s="3" t="s">
        <v>3</v>
      </c>
      <c r="HF106" s="3" t="s">
        <v>3</v>
      </c>
      <c r="HM106" s="3" t="s">
        <v>3</v>
      </c>
      <c r="HN106" s="3" t="s">
        <v>3</v>
      </c>
      <c r="HO106" s="3" t="s">
        <v>3</v>
      </c>
      <c r="HP106" s="3" t="s">
        <v>3</v>
      </c>
      <c r="HQ106" s="3" t="s">
        <v>3</v>
      </c>
      <c r="HS106" s="3">
        <v>0</v>
      </c>
      <c r="IK106" s="3">
        <v>0</v>
      </c>
    </row>
    <row r="107" spans="1:255" x14ac:dyDescent="0.25">
      <c r="A107" s="2">
        <v>18</v>
      </c>
      <c r="B107" s="2">
        <v>1</v>
      </c>
      <c r="C107" s="2">
        <v>130</v>
      </c>
      <c r="D107" s="2"/>
      <c r="E107" s="2" t="s">
        <v>167</v>
      </c>
      <c r="F107" s="2" t="s">
        <v>168</v>
      </c>
      <c r="G107" s="2" t="s">
        <v>169</v>
      </c>
      <c r="H107" s="2" t="s">
        <v>144</v>
      </c>
      <c r="I107" s="2">
        <f>I105*J107</f>
        <v>35</v>
      </c>
      <c r="J107" s="2">
        <v>10</v>
      </c>
      <c r="K107" s="2">
        <v>10</v>
      </c>
      <c r="L107" s="2"/>
      <c r="M107" s="2"/>
      <c r="N107" s="2"/>
      <c r="O107" s="2">
        <f t="shared" si="73"/>
        <v>23307.200000000001</v>
      </c>
      <c r="P107" s="2">
        <f t="shared" si="102"/>
        <v>23307.200000000001</v>
      </c>
      <c r="Q107" s="2">
        <f>(ROUND((ROUND(((ET107)*AV107*I107),2)*BB107),2)+ROUND((ROUND(((AE107-(EU107))*AV107*I107),2)*BS107),2))</f>
        <v>0</v>
      </c>
      <c r="R107" s="2">
        <f>(ROUND((ROUND(((EU107)*AV107*I107),2)*BS107),2)+ROUND((ROUND(((AE107-(EU107))*AV107*I107),2)*BS107),2))</f>
        <v>0</v>
      </c>
      <c r="S107" s="2">
        <f t="shared" si="75"/>
        <v>0</v>
      </c>
      <c r="T107" s="2">
        <f t="shared" si="76"/>
        <v>0</v>
      </c>
      <c r="U107" s="2">
        <f t="shared" si="77"/>
        <v>0</v>
      </c>
      <c r="V107" s="2">
        <f t="shared" si="78"/>
        <v>0</v>
      </c>
      <c r="W107" s="2">
        <f t="shared" si="79"/>
        <v>0</v>
      </c>
      <c r="X107" s="2">
        <f>(ROUND((((S107+ROUND((ROUND(((EU107)*AV107*I107),2)*BS107),2))*AT107)/100),2)+ROUND(((ROUND((ROUND(((AE107-(EU107))*AV107*I107),2)*BS107),2)*AT107)/100),2))</f>
        <v>0</v>
      </c>
      <c r="Y107" s="2">
        <f>(ROUND((((S107+ROUND((ROUND(((EU107)*AV107*I107),2)*BS107),2))*AU107)/100),2)+ROUND(((ROUND((ROUND(((AE107-(EU107))*AV107*I107),2)*BS107),2)*AU107)/100),2))</f>
        <v>0</v>
      </c>
      <c r="Z107" s="2"/>
      <c r="AA107" s="2">
        <v>55936046</v>
      </c>
      <c r="AB107" s="2">
        <f t="shared" si="80"/>
        <v>665.92</v>
      </c>
      <c r="AC107" s="2">
        <f>ROUND((ES107),6)</f>
        <v>665.92</v>
      </c>
      <c r="AD107" s="2">
        <f>ROUND((((ET107)-(EU107))+AE107),6)</f>
        <v>0</v>
      </c>
      <c r="AE107" s="2">
        <f>ROUND((EU107),6)</f>
        <v>0</v>
      </c>
      <c r="AF107" s="2">
        <f>ROUND((EV107),6)</f>
        <v>0</v>
      </c>
      <c r="AG107" s="2">
        <f t="shared" si="81"/>
        <v>0</v>
      </c>
      <c r="AH107" s="2">
        <f>(EW107)</f>
        <v>0</v>
      </c>
      <c r="AI107" s="2">
        <f>(EX107)</f>
        <v>0</v>
      </c>
      <c r="AJ107" s="2">
        <f t="shared" si="82"/>
        <v>0</v>
      </c>
      <c r="AK107" s="2">
        <v>665.92</v>
      </c>
      <c r="AL107" s="2">
        <v>665.92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1</v>
      </c>
      <c r="AW107" s="2">
        <v>1</v>
      </c>
      <c r="AX107" s="2"/>
      <c r="AY107" s="2"/>
      <c r="AZ107" s="2">
        <v>1</v>
      </c>
      <c r="BA107" s="2">
        <v>1</v>
      </c>
      <c r="BB107" s="2">
        <v>1</v>
      </c>
      <c r="BC107" s="2">
        <v>1</v>
      </c>
      <c r="BD107" s="2" t="s">
        <v>3</v>
      </c>
      <c r="BE107" s="2" t="s">
        <v>3</v>
      </c>
      <c r="BF107" s="2" t="s">
        <v>3</v>
      </c>
      <c r="BG107" s="2" t="s">
        <v>3</v>
      </c>
      <c r="BH107" s="2">
        <v>3</v>
      </c>
      <c r="BI107" s="2">
        <v>3</v>
      </c>
      <c r="BJ107" s="2" t="s">
        <v>168</v>
      </c>
      <c r="BK107" s="2"/>
      <c r="BL107" s="2"/>
      <c r="BM107" s="2">
        <v>400007</v>
      </c>
      <c r="BN107" s="2">
        <v>0</v>
      </c>
      <c r="BO107" s="2" t="s">
        <v>3</v>
      </c>
      <c r="BP107" s="2">
        <v>0</v>
      </c>
      <c r="BQ107" s="2">
        <v>214</v>
      </c>
      <c r="BR107" s="2">
        <v>0</v>
      </c>
      <c r="BS107" s="2">
        <v>1</v>
      </c>
      <c r="BT107" s="2">
        <v>1</v>
      </c>
      <c r="BU107" s="2">
        <v>1</v>
      </c>
      <c r="BV107" s="2">
        <v>1</v>
      </c>
      <c r="BW107" s="2">
        <v>1</v>
      </c>
      <c r="BX107" s="2">
        <v>1</v>
      </c>
      <c r="BY107" s="2" t="s">
        <v>3</v>
      </c>
      <c r="BZ107" s="2">
        <v>90</v>
      </c>
      <c r="CA107" s="2">
        <v>46</v>
      </c>
      <c r="CB107" s="2" t="s">
        <v>3</v>
      </c>
      <c r="CC107" s="2"/>
      <c r="CD107" s="2"/>
      <c r="CE107" s="2">
        <v>1566</v>
      </c>
      <c r="CF107" s="2">
        <v>0</v>
      </c>
      <c r="CG107" s="2">
        <v>0</v>
      </c>
      <c r="CH107" s="2"/>
      <c r="CI107" s="2"/>
      <c r="CJ107" s="2"/>
      <c r="CK107" s="2"/>
      <c r="CL107" s="2"/>
      <c r="CM107" s="2">
        <v>0</v>
      </c>
      <c r="CN107" s="2" t="s">
        <v>423</v>
      </c>
      <c r="CO107" s="2">
        <v>0</v>
      </c>
      <c r="CP107" s="2">
        <f t="shared" si="83"/>
        <v>23307.200000000001</v>
      </c>
      <c r="CQ107" s="2">
        <f t="shared" si="103"/>
        <v>665.92</v>
      </c>
      <c r="CR107" s="2">
        <f>(ROUND((ROUND(((ET107)*AV107*1),2)*BB107),2)+ROUND((ROUND(((AE107-(EU107))*AV107*1),2)*BS107),2))</f>
        <v>0</v>
      </c>
      <c r="CS107" s="2">
        <f>(ROUND((ROUND(((EU107)*AV107*1),2)*BS107),2)+ROUND((ROUND(((AE107-(EU107))*AV107*1),2)*BS107),2))</f>
        <v>0</v>
      </c>
      <c r="CT107" s="2">
        <f t="shared" si="85"/>
        <v>0</v>
      </c>
      <c r="CU107" s="2">
        <f t="shared" si="86"/>
        <v>0</v>
      </c>
      <c r="CV107" s="2">
        <f t="shared" si="87"/>
        <v>0</v>
      </c>
      <c r="CW107" s="2">
        <f t="shared" si="88"/>
        <v>0</v>
      </c>
      <c r="CX107" s="2">
        <f t="shared" si="89"/>
        <v>0</v>
      </c>
      <c r="CY107" s="2">
        <f>(ROUND((((S107+ROUND((ROUND(((EU107)*AV107*1),2)*BS107),2))*AT107)/100),2)+ROUND(((ROUND((ROUND(((AE107-(EU107))*AV107*1),2)*BS107),2)*AT107)/100),2))</f>
        <v>0</v>
      </c>
      <c r="CZ107" s="2">
        <f>(ROUND((((S107+ROUND((ROUND(((EU107)*AV107*1),2)*BS107),2))*AU107)/100),2)+ROUND(((ROUND((ROUND(((AE107-(EU107))*AV107*1),2)*BS107),2)*AU107)/100),2))</f>
        <v>0</v>
      </c>
      <c r="DA107" s="2"/>
      <c r="DB107" s="2"/>
      <c r="DC107" s="2" t="s">
        <v>3</v>
      </c>
      <c r="DD107" s="2" t="s">
        <v>3</v>
      </c>
      <c r="DE107" s="2" t="s">
        <v>3</v>
      </c>
      <c r="DF107" s="2" t="s">
        <v>3</v>
      </c>
      <c r="DG107" s="2" t="s">
        <v>3</v>
      </c>
      <c r="DH107" s="2" t="s">
        <v>3</v>
      </c>
      <c r="DI107" s="2" t="s">
        <v>3</v>
      </c>
      <c r="DJ107" s="2" t="s">
        <v>3</v>
      </c>
      <c r="DK107" s="2" t="s">
        <v>3</v>
      </c>
      <c r="DL107" s="2" t="s">
        <v>3</v>
      </c>
      <c r="DM107" s="2" t="s">
        <v>3</v>
      </c>
      <c r="DN107" s="2">
        <v>0</v>
      </c>
      <c r="DO107" s="2">
        <v>0</v>
      </c>
      <c r="DP107" s="2">
        <v>1</v>
      </c>
      <c r="DQ107" s="2">
        <v>1</v>
      </c>
      <c r="DR107" s="2"/>
      <c r="DS107" s="2"/>
      <c r="DT107" s="2"/>
      <c r="DU107" s="2">
        <v>1013</v>
      </c>
      <c r="DV107" s="2" t="s">
        <v>144</v>
      </c>
      <c r="DW107" s="2" t="s">
        <v>144</v>
      </c>
      <c r="DX107" s="2">
        <v>1</v>
      </c>
      <c r="DY107" s="2"/>
      <c r="DZ107" s="2" t="s">
        <v>3</v>
      </c>
      <c r="EA107" s="2" t="s">
        <v>3</v>
      </c>
      <c r="EB107" s="2" t="s">
        <v>3</v>
      </c>
      <c r="EC107" s="2" t="s">
        <v>3</v>
      </c>
      <c r="ED107" s="2"/>
      <c r="EE107" s="2">
        <v>55393630</v>
      </c>
      <c r="EF107" s="2">
        <v>214</v>
      </c>
      <c r="EG107" s="2" t="s">
        <v>145</v>
      </c>
      <c r="EH107" s="2">
        <v>0</v>
      </c>
      <c r="EI107" s="2" t="s">
        <v>3</v>
      </c>
      <c r="EJ107" s="2">
        <v>3</v>
      </c>
      <c r="EK107" s="2">
        <v>400007</v>
      </c>
      <c r="EL107" s="2" t="s">
        <v>145</v>
      </c>
      <c r="EM107" s="2" t="s">
        <v>146</v>
      </c>
      <c r="EN107" s="2"/>
      <c r="EO107" s="2" t="s">
        <v>67</v>
      </c>
      <c r="EP107" s="2"/>
      <c r="EQ107" s="2">
        <v>16</v>
      </c>
      <c r="ER107" s="2">
        <v>0</v>
      </c>
      <c r="ES107" s="2">
        <v>665.92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>
        <v>0</v>
      </c>
      <c r="FR107" s="2">
        <f>P107</f>
        <v>23307.200000000001</v>
      </c>
      <c r="FS107" s="2">
        <v>0</v>
      </c>
      <c r="FT107" s="2"/>
      <c r="FU107" s="2"/>
      <c r="FV107" s="2"/>
      <c r="FW107" s="2"/>
      <c r="FX107" s="2">
        <v>90</v>
      </c>
      <c r="FY107" s="2">
        <v>46</v>
      </c>
      <c r="FZ107" s="2"/>
      <c r="GA107" s="2" t="s">
        <v>170</v>
      </c>
      <c r="GB107" s="2"/>
      <c r="GC107" s="2"/>
      <c r="GD107" s="2">
        <v>1</v>
      </c>
      <c r="GE107" s="2"/>
      <c r="GF107" s="2">
        <v>-1644340662</v>
      </c>
      <c r="GG107" s="2">
        <v>2</v>
      </c>
      <c r="GH107" s="2">
        <v>4</v>
      </c>
      <c r="GI107" s="2">
        <v>-2</v>
      </c>
      <c r="GJ107" s="2">
        <v>0</v>
      </c>
      <c r="GK107" s="2">
        <v>0</v>
      </c>
      <c r="GL107" s="2">
        <f t="shared" si="90"/>
        <v>0</v>
      </c>
      <c r="GM107" s="2">
        <f t="shared" si="91"/>
        <v>23307.200000000001</v>
      </c>
      <c r="GN107" s="2">
        <f t="shared" si="92"/>
        <v>0</v>
      </c>
      <c r="GO107" s="2">
        <f t="shared" si="93"/>
        <v>0</v>
      </c>
      <c r="GP107" s="2">
        <f t="shared" si="94"/>
        <v>0</v>
      </c>
      <c r="GQ107" s="2"/>
      <c r="GR107" s="2">
        <v>1</v>
      </c>
      <c r="GS107" s="2">
        <v>2</v>
      </c>
      <c r="GT107" s="2">
        <v>0</v>
      </c>
      <c r="GU107" s="2" t="s">
        <v>3</v>
      </c>
      <c r="GV107" s="2">
        <f t="shared" si="95"/>
        <v>0</v>
      </c>
      <c r="GW107" s="2">
        <v>1</v>
      </c>
      <c r="GX107" s="2">
        <f t="shared" si="96"/>
        <v>0</v>
      </c>
      <c r="GY107" s="2"/>
      <c r="GZ107" s="2"/>
      <c r="HA107" s="2">
        <v>0</v>
      </c>
      <c r="HB107" s="2">
        <v>0</v>
      </c>
      <c r="HC107" s="2">
        <f t="shared" si="97"/>
        <v>0</v>
      </c>
      <c r="HD107" s="2"/>
      <c r="HE107" s="2" t="s">
        <v>35</v>
      </c>
      <c r="HF107" s="2" t="s">
        <v>148</v>
      </c>
      <c r="HG107" s="2"/>
      <c r="HH107" s="2"/>
      <c r="HI107" s="2"/>
      <c r="HJ107" s="2"/>
      <c r="HK107" s="2"/>
      <c r="HL107" s="2"/>
      <c r="HM107" s="2" t="s">
        <v>3</v>
      </c>
      <c r="HN107" s="2" t="s">
        <v>3</v>
      </c>
      <c r="HO107" s="2" t="s">
        <v>3</v>
      </c>
      <c r="HP107" s="2" t="s">
        <v>3</v>
      </c>
      <c r="HQ107" s="2" t="s">
        <v>3</v>
      </c>
      <c r="HR107" s="2"/>
      <c r="HS107" s="2">
        <v>0</v>
      </c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>
        <v>0</v>
      </c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x14ac:dyDescent="0.25">
      <c r="A108" s="3">
        <v>18</v>
      </c>
      <c r="B108" s="3">
        <v>1</v>
      </c>
      <c r="C108" s="3">
        <v>136</v>
      </c>
      <c r="E108" s="3" t="s">
        <v>167</v>
      </c>
      <c r="F108" s="3" t="s">
        <v>168</v>
      </c>
      <c r="G108" s="3" t="s">
        <v>169</v>
      </c>
      <c r="H108" s="3" t="s">
        <v>144</v>
      </c>
      <c r="I108" s="3">
        <f>I106*J108</f>
        <v>35</v>
      </c>
      <c r="J108" s="3">
        <v>10</v>
      </c>
      <c r="K108" s="3">
        <v>10</v>
      </c>
      <c r="O108" s="3">
        <f t="shared" si="73"/>
        <v>176435.5</v>
      </c>
      <c r="P108" s="3">
        <f t="shared" si="102"/>
        <v>176435.5</v>
      </c>
      <c r="Q108" s="3">
        <f>(ROUND((ROUND(((ET108)*AV108*I108),2)*BB108),2)+ROUND((ROUND(((AE108-(EU108))*AV108*I108),2)*BS108),2))</f>
        <v>0</v>
      </c>
      <c r="R108" s="3">
        <f>(ROUND((ROUND(((EU108)*AV108*I108),2)*BS108),2)+ROUND((ROUND(((AE108-(EU108))*AV108*I108),2)*BS108),2))</f>
        <v>0</v>
      </c>
      <c r="S108" s="3">
        <f t="shared" si="75"/>
        <v>0</v>
      </c>
      <c r="T108" s="3">
        <f t="shared" si="76"/>
        <v>0</v>
      </c>
      <c r="U108" s="3">
        <f t="shared" si="77"/>
        <v>0</v>
      </c>
      <c r="V108" s="3">
        <f t="shared" si="78"/>
        <v>0</v>
      </c>
      <c r="W108" s="3">
        <f t="shared" si="79"/>
        <v>0</v>
      </c>
      <c r="X108" s="3">
        <f>(ROUND((((S108+ROUND((ROUND(((EU108)*AV108*I108),2)*BS108),2))*AT108)/100),2)+ROUND(((ROUND((ROUND(((AE108-(EU108))*AV108*I108),2)*BS108),2)*AT108)/100),2))</f>
        <v>0</v>
      </c>
      <c r="Y108" s="3">
        <f>(ROUND((((S108+ROUND((ROUND(((EU108)*AV108*I108),2)*BS108),2))*AU108)/100),2)+ROUND(((ROUND((ROUND(((AE108-(EU108))*AV108*I108),2)*BS108),2)*AU108)/100),2))</f>
        <v>0</v>
      </c>
      <c r="AA108" s="3">
        <v>55936048</v>
      </c>
      <c r="AB108" s="3">
        <f t="shared" si="80"/>
        <v>665.92</v>
      </c>
      <c r="AC108" s="3">
        <f>ROUND((ES108),6)</f>
        <v>665.92</v>
      </c>
      <c r="AD108" s="3">
        <f>ROUND((((ET108)-(EU108))+AE108),6)</f>
        <v>0</v>
      </c>
      <c r="AE108" s="3">
        <f>ROUND((EU108),6)</f>
        <v>0</v>
      </c>
      <c r="AF108" s="3">
        <f>ROUND((EV108),6)</f>
        <v>0</v>
      </c>
      <c r="AG108" s="3">
        <f t="shared" si="81"/>
        <v>0</v>
      </c>
      <c r="AH108" s="3">
        <f>(EW108)</f>
        <v>0</v>
      </c>
      <c r="AI108" s="3">
        <f>(EX108)</f>
        <v>0</v>
      </c>
      <c r="AJ108" s="3">
        <f t="shared" si="82"/>
        <v>0</v>
      </c>
      <c r="AK108" s="3">
        <v>665.92</v>
      </c>
      <c r="AL108" s="3">
        <v>665.92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1</v>
      </c>
      <c r="AW108" s="3">
        <v>1</v>
      </c>
      <c r="AZ108" s="3">
        <v>1</v>
      </c>
      <c r="BA108" s="3">
        <v>1</v>
      </c>
      <c r="BB108" s="3">
        <v>1</v>
      </c>
      <c r="BC108" s="3">
        <v>7.57</v>
      </c>
      <c r="BD108" s="3" t="s">
        <v>3</v>
      </c>
      <c r="BE108" s="3" t="s">
        <v>3</v>
      </c>
      <c r="BF108" s="3" t="s">
        <v>3</v>
      </c>
      <c r="BG108" s="3" t="s">
        <v>3</v>
      </c>
      <c r="BH108" s="3">
        <v>3</v>
      </c>
      <c r="BI108" s="3">
        <v>3</v>
      </c>
      <c r="BJ108" s="3" t="s">
        <v>168</v>
      </c>
      <c r="BM108" s="3">
        <v>400007</v>
      </c>
      <c r="BN108" s="3">
        <v>0</v>
      </c>
      <c r="BO108" s="3" t="s">
        <v>3</v>
      </c>
      <c r="BP108" s="3">
        <v>0</v>
      </c>
      <c r="BQ108" s="3">
        <v>214</v>
      </c>
      <c r="BR108" s="3">
        <v>0</v>
      </c>
      <c r="BS108" s="3">
        <v>1</v>
      </c>
      <c r="BT108" s="3">
        <v>1</v>
      </c>
      <c r="BU108" s="3">
        <v>1</v>
      </c>
      <c r="BV108" s="3">
        <v>1</v>
      </c>
      <c r="BW108" s="3">
        <v>1</v>
      </c>
      <c r="BX108" s="3">
        <v>1</v>
      </c>
      <c r="BY108" s="3" t="s">
        <v>3</v>
      </c>
      <c r="BZ108" s="3">
        <v>90</v>
      </c>
      <c r="CA108" s="3">
        <v>46</v>
      </c>
      <c r="CB108" s="3" t="s">
        <v>3</v>
      </c>
      <c r="CE108" s="3">
        <v>1566</v>
      </c>
      <c r="CF108" s="3">
        <v>0</v>
      </c>
      <c r="CG108" s="3">
        <v>0</v>
      </c>
      <c r="CM108" s="3">
        <v>0</v>
      </c>
      <c r="CN108" s="3" t="s">
        <v>423</v>
      </c>
      <c r="CO108" s="3">
        <v>0</v>
      </c>
      <c r="CP108" s="3">
        <f t="shared" si="83"/>
        <v>176435.5</v>
      </c>
      <c r="CQ108" s="3">
        <f t="shared" si="103"/>
        <v>5041.01</v>
      </c>
      <c r="CR108" s="3">
        <f>(ROUND((ROUND(((ET108)*AV108*1),2)*BB108),2)+ROUND((ROUND(((AE108-(EU108))*AV108*1),2)*BS108),2))</f>
        <v>0</v>
      </c>
      <c r="CS108" s="3">
        <f>(ROUND((ROUND(((EU108)*AV108*1),2)*BS108),2)+ROUND((ROUND(((AE108-(EU108))*AV108*1),2)*BS108),2))</f>
        <v>0</v>
      </c>
      <c r="CT108" s="3">
        <f t="shared" si="85"/>
        <v>0</v>
      </c>
      <c r="CU108" s="3">
        <f t="shared" si="86"/>
        <v>0</v>
      </c>
      <c r="CV108" s="3">
        <f t="shared" si="87"/>
        <v>0</v>
      </c>
      <c r="CW108" s="3">
        <f t="shared" si="88"/>
        <v>0</v>
      </c>
      <c r="CX108" s="3">
        <f t="shared" si="89"/>
        <v>0</v>
      </c>
      <c r="CY108" s="3">
        <f>(ROUND((((S108+ROUND((ROUND(((EU108)*AV108*1),2)*BS108),2))*AT108)/100),2)+ROUND(((ROUND((ROUND(((AE108-(EU108))*AV108*1),2)*BS108),2)*AT108)/100),2))</f>
        <v>0</v>
      </c>
      <c r="CZ108" s="3">
        <f>(ROUND((((S108+ROUND((ROUND(((EU108)*AV108*1),2)*BS108),2))*AU108)/100),2)+ROUND(((ROUND((ROUND(((AE108-(EU108))*AV108*1),2)*BS108),2)*AU108)/100),2))</f>
        <v>0</v>
      </c>
      <c r="DC108" s="3" t="s">
        <v>3</v>
      </c>
      <c r="DD108" s="3" t="s">
        <v>3</v>
      </c>
      <c r="DE108" s="3" t="s">
        <v>3</v>
      </c>
      <c r="DF108" s="3" t="s">
        <v>3</v>
      </c>
      <c r="DG108" s="3" t="s">
        <v>3</v>
      </c>
      <c r="DH108" s="3" t="s">
        <v>3</v>
      </c>
      <c r="DI108" s="3" t="s">
        <v>3</v>
      </c>
      <c r="DJ108" s="3" t="s">
        <v>3</v>
      </c>
      <c r="DK108" s="3" t="s">
        <v>3</v>
      </c>
      <c r="DL108" s="3" t="s">
        <v>3</v>
      </c>
      <c r="DM108" s="3" t="s">
        <v>3</v>
      </c>
      <c r="DN108" s="3">
        <v>0</v>
      </c>
      <c r="DO108" s="3">
        <v>0</v>
      </c>
      <c r="DP108" s="3">
        <v>1</v>
      </c>
      <c r="DQ108" s="3">
        <v>1</v>
      </c>
      <c r="DU108" s="3">
        <v>1013</v>
      </c>
      <c r="DV108" s="3" t="s">
        <v>144</v>
      </c>
      <c r="DW108" s="3" t="s">
        <v>144</v>
      </c>
      <c r="DX108" s="3">
        <v>1</v>
      </c>
      <c r="DZ108" s="3" t="s">
        <v>3</v>
      </c>
      <c r="EA108" s="3" t="s">
        <v>3</v>
      </c>
      <c r="EB108" s="3" t="s">
        <v>3</v>
      </c>
      <c r="EC108" s="3" t="s">
        <v>3</v>
      </c>
      <c r="EE108" s="3">
        <v>55393630</v>
      </c>
      <c r="EF108" s="3">
        <v>214</v>
      </c>
      <c r="EG108" s="3" t="s">
        <v>145</v>
      </c>
      <c r="EH108" s="3">
        <v>0</v>
      </c>
      <c r="EI108" s="3" t="s">
        <v>3</v>
      </c>
      <c r="EJ108" s="3">
        <v>3</v>
      </c>
      <c r="EK108" s="3">
        <v>400007</v>
      </c>
      <c r="EL108" s="3" t="s">
        <v>145</v>
      </c>
      <c r="EM108" s="3" t="s">
        <v>146</v>
      </c>
      <c r="EO108" s="3" t="s">
        <v>67</v>
      </c>
      <c r="EQ108" s="3">
        <v>16</v>
      </c>
      <c r="ER108" s="3">
        <v>0</v>
      </c>
      <c r="ES108" s="3">
        <v>665.92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Z108" s="3">
        <v>5</v>
      </c>
      <c r="FC108" s="3">
        <v>1</v>
      </c>
      <c r="FD108" s="3">
        <v>18</v>
      </c>
      <c r="FF108" s="3">
        <v>5900</v>
      </c>
      <c r="FQ108" s="3">
        <v>0</v>
      </c>
      <c r="FR108" s="3">
        <f>P108</f>
        <v>176435.5</v>
      </c>
      <c r="FS108" s="3">
        <v>0</v>
      </c>
      <c r="FX108" s="3">
        <v>90</v>
      </c>
      <c r="FY108" s="3">
        <v>46</v>
      </c>
      <c r="GA108" s="3" t="s">
        <v>170</v>
      </c>
      <c r="GD108" s="3">
        <v>1</v>
      </c>
      <c r="GF108" s="3">
        <v>-1644340662</v>
      </c>
      <c r="GG108" s="3">
        <v>2</v>
      </c>
      <c r="GH108" s="3">
        <v>3</v>
      </c>
      <c r="GI108" s="3">
        <v>5</v>
      </c>
      <c r="GJ108" s="3">
        <v>0</v>
      </c>
      <c r="GK108" s="3">
        <v>0</v>
      </c>
      <c r="GL108" s="3">
        <f t="shared" si="90"/>
        <v>0</v>
      </c>
      <c r="GM108" s="3">
        <f t="shared" si="91"/>
        <v>176435.5</v>
      </c>
      <c r="GN108" s="3">
        <f t="shared" si="92"/>
        <v>0</v>
      </c>
      <c r="GO108" s="3">
        <f t="shared" si="93"/>
        <v>0</v>
      </c>
      <c r="GP108" s="3">
        <f t="shared" si="94"/>
        <v>0</v>
      </c>
      <c r="GR108" s="3">
        <v>1</v>
      </c>
      <c r="GS108" s="3">
        <v>1</v>
      </c>
      <c r="GT108" s="3">
        <v>0</v>
      </c>
      <c r="GU108" s="3" t="s">
        <v>3</v>
      </c>
      <c r="GV108" s="3">
        <f t="shared" si="95"/>
        <v>0</v>
      </c>
      <c r="GW108" s="3">
        <v>1</v>
      </c>
      <c r="GX108" s="3">
        <f t="shared" si="96"/>
        <v>0</v>
      </c>
      <c r="HA108" s="3">
        <v>0</v>
      </c>
      <c r="HB108" s="3">
        <v>0</v>
      </c>
      <c r="HC108" s="3">
        <f t="shared" si="97"/>
        <v>0</v>
      </c>
      <c r="HE108" s="3" t="s">
        <v>35</v>
      </c>
      <c r="HF108" s="3" t="s">
        <v>148</v>
      </c>
      <c r="HM108" s="3" t="s">
        <v>3</v>
      </c>
      <c r="HN108" s="3" t="s">
        <v>3</v>
      </c>
      <c r="HO108" s="3" t="s">
        <v>3</v>
      </c>
      <c r="HP108" s="3" t="s">
        <v>3</v>
      </c>
      <c r="HQ108" s="3" t="s">
        <v>3</v>
      </c>
      <c r="HS108" s="3">
        <v>0</v>
      </c>
      <c r="IK108" s="3">
        <v>0</v>
      </c>
    </row>
    <row r="109" spans="1:255" x14ac:dyDescent="0.25">
      <c r="A109" s="2">
        <v>17</v>
      </c>
      <c r="B109" s="2">
        <v>1</v>
      </c>
      <c r="C109" s="2">
        <f>ROW(SmtRes!A140)</f>
        <v>140</v>
      </c>
      <c r="D109" s="2">
        <f>ROW(EtalonRes!A166)</f>
        <v>166</v>
      </c>
      <c r="E109" s="2" t="s">
        <v>171</v>
      </c>
      <c r="F109" s="2" t="s">
        <v>44</v>
      </c>
      <c r="G109" s="2" t="s">
        <v>150</v>
      </c>
      <c r="H109" s="2" t="s">
        <v>33</v>
      </c>
      <c r="I109" s="2">
        <v>7</v>
      </c>
      <c r="J109" s="2">
        <v>0</v>
      </c>
      <c r="K109" s="2">
        <v>7</v>
      </c>
      <c r="L109" s="2"/>
      <c r="M109" s="2"/>
      <c r="N109" s="2"/>
      <c r="O109" s="2">
        <f t="shared" si="73"/>
        <v>116.26</v>
      </c>
      <c r="P109" s="2">
        <f t="shared" si="102"/>
        <v>11.69</v>
      </c>
      <c r="Q109" s="2">
        <f>(ROUND((ROUND((((ET109*1.2))*AV109*I109),2)*BB109),2)+ROUND((ROUND(((AE109-((EU109*1.2)))*AV109*I109),2)*BS109),2))</f>
        <v>0</v>
      </c>
      <c r="R109" s="2">
        <f>(ROUND((ROUND((((EU109*1.2))*AV109*I109),2)*BS109),2)+ROUND((ROUND(((AE109-((EU109*1.2)))*AV109*I109),2)*BS109),2))</f>
        <v>0</v>
      </c>
      <c r="S109" s="2">
        <f t="shared" si="75"/>
        <v>104.57</v>
      </c>
      <c r="T109" s="2">
        <f t="shared" si="76"/>
        <v>0</v>
      </c>
      <c r="U109" s="2">
        <f t="shared" si="77"/>
        <v>8.7948000000000004</v>
      </c>
      <c r="V109" s="2">
        <f t="shared" si="78"/>
        <v>0</v>
      </c>
      <c r="W109" s="2">
        <f t="shared" si="79"/>
        <v>0</v>
      </c>
      <c r="X109" s="2">
        <f>(ROUND((((S109+ROUND((ROUND((((EU109*1.2))*AV109*I109),2)*BS109),2))*AT109)/100),2)+ROUND(((ROUND((ROUND(((AE109-((EU109*1.2)))*AV109*I109),2)*BS109),2)*AT109)/100),2))</f>
        <v>99.34</v>
      </c>
      <c r="Y109" s="2">
        <f>(ROUND((((S109+ROUND((ROUND((((EU109*1.2))*AV109*I109),2)*BS109),2))*AU109)/100),2)+ROUND(((ROUND((ROUND(((AE109-((EU109*1.2)))*AV109*I109),2)*BS109),2)*AU109)/100),2))</f>
        <v>55.42</v>
      </c>
      <c r="Z109" s="2"/>
      <c r="AA109" s="2">
        <v>55936046</v>
      </c>
      <c r="AB109" s="2">
        <f t="shared" si="80"/>
        <v>15.938000000000001</v>
      </c>
      <c r="AC109" s="2">
        <f>ROUND(((ES109*1)),6)</f>
        <v>1.67</v>
      </c>
      <c r="AD109" s="2">
        <f>ROUND(((((ET109*1.2))-((EU109*1.2)))+AE109),6)</f>
        <v>0</v>
      </c>
      <c r="AE109" s="2">
        <f>ROUND(((EU109*1.2)),6)</f>
        <v>0</v>
      </c>
      <c r="AF109" s="2">
        <f>ROUND(((EV109*1.2)),6)</f>
        <v>14.268000000000001</v>
      </c>
      <c r="AG109" s="2">
        <f t="shared" si="81"/>
        <v>0</v>
      </c>
      <c r="AH109" s="2">
        <f>((EW109*1.2))</f>
        <v>1.2</v>
      </c>
      <c r="AI109" s="2">
        <f>((EX109*1.2))</f>
        <v>0</v>
      </c>
      <c r="AJ109" s="2">
        <f t="shared" si="82"/>
        <v>0</v>
      </c>
      <c r="AK109" s="2">
        <v>13.56</v>
      </c>
      <c r="AL109" s="2">
        <v>1.67</v>
      </c>
      <c r="AM109" s="2">
        <v>0</v>
      </c>
      <c r="AN109" s="2">
        <v>0</v>
      </c>
      <c r="AO109" s="2">
        <v>11.89</v>
      </c>
      <c r="AP109" s="2">
        <v>0</v>
      </c>
      <c r="AQ109" s="2">
        <v>1</v>
      </c>
      <c r="AR109" s="2">
        <v>0</v>
      </c>
      <c r="AS109" s="2">
        <v>0</v>
      </c>
      <c r="AT109" s="2">
        <v>95</v>
      </c>
      <c r="AU109" s="2">
        <v>53</v>
      </c>
      <c r="AV109" s="2">
        <v>1.0469999999999999</v>
      </c>
      <c r="AW109" s="2">
        <v>1</v>
      </c>
      <c r="AX109" s="2"/>
      <c r="AY109" s="2"/>
      <c r="AZ109" s="2">
        <v>1</v>
      </c>
      <c r="BA109" s="2">
        <v>1</v>
      </c>
      <c r="BB109" s="2">
        <v>1</v>
      </c>
      <c r="BC109" s="2">
        <v>1</v>
      </c>
      <c r="BD109" s="2" t="s">
        <v>3</v>
      </c>
      <c r="BE109" s="2" t="s">
        <v>3</v>
      </c>
      <c r="BF109" s="2" t="s">
        <v>3</v>
      </c>
      <c r="BG109" s="2" t="s">
        <v>3</v>
      </c>
      <c r="BH109" s="2">
        <v>0</v>
      </c>
      <c r="BI109" s="2">
        <v>2</v>
      </c>
      <c r="BJ109" s="2" t="s">
        <v>46</v>
      </c>
      <c r="BK109" s="2"/>
      <c r="BL109" s="2"/>
      <c r="BM109" s="2">
        <v>69</v>
      </c>
      <c r="BN109" s="2">
        <v>0</v>
      </c>
      <c r="BO109" s="2" t="s">
        <v>44</v>
      </c>
      <c r="BP109" s="2">
        <v>1</v>
      </c>
      <c r="BQ109" s="2">
        <v>40</v>
      </c>
      <c r="BR109" s="2">
        <v>0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 t="s">
        <v>3</v>
      </c>
      <c r="BZ109" s="2">
        <v>95</v>
      </c>
      <c r="CA109" s="2">
        <v>53</v>
      </c>
      <c r="CB109" s="2" t="s">
        <v>3</v>
      </c>
      <c r="CC109" s="2"/>
      <c r="CD109" s="2"/>
      <c r="CE109" s="2">
        <v>1566</v>
      </c>
      <c r="CF109" s="2">
        <v>0</v>
      </c>
      <c r="CG109" s="2">
        <v>0</v>
      </c>
      <c r="CH109" s="2"/>
      <c r="CI109" s="2"/>
      <c r="CJ109" s="2"/>
      <c r="CK109" s="2"/>
      <c r="CL109" s="2"/>
      <c r="CM109" s="2">
        <v>0</v>
      </c>
      <c r="CN109" s="2" t="s">
        <v>422</v>
      </c>
      <c r="CO109" s="2">
        <v>0</v>
      </c>
      <c r="CP109" s="2">
        <f t="shared" si="83"/>
        <v>116.25999999999999</v>
      </c>
      <c r="CQ109" s="2">
        <f t="shared" si="103"/>
        <v>1.67</v>
      </c>
      <c r="CR109" s="2">
        <f>(ROUND((ROUND((((ET109*1.2))*AV109*1),2)*BB109),2)+ROUND((ROUND(((AE109-((EU109*1.2)))*AV109*1),2)*BS109),2))</f>
        <v>0</v>
      </c>
      <c r="CS109" s="2">
        <f>(ROUND((ROUND((((EU109*1.2))*AV109*1),2)*BS109),2)+ROUND((ROUND(((AE109-((EU109*1.2)))*AV109*1),2)*BS109),2))</f>
        <v>0</v>
      </c>
      <c r="CT109" s="2">
        <f t="shared" si="85"/>
        <v>14.94</v>
      </c>
      <c r="CU109" s="2">
        <f t="shared" si="86"/>
        <v>0</v>
      </c>
      <c r="CV109" s="2">
        <f t="shared" si="87"/>
        <v>1.2564</v>
      </c>
      <c r="CW109" s="2">
        <f t="shared" si="88"/>
        <v>0</v>
      </c>
      <c r="CX109" s="2">
        <f t="shared" si="89"/>
        <v>0</v>
      </c>
      <c r="CY109" s="2">
        <f>(ROUND((((S109+ROUND((ROUND((((EU109*1.2))*AV109*1),2)*BS109),2))*AT109)/100),2)+ROUND(((ROUND((ROUND(((AE109-((EU109*1.2)))*AV109*1),2)*BS109),2)*AT109)/100),2))</f>
        <v>99.34</v>
      </c>
      <c r="CZ109" s="2">
        <f>(ROUND((((S109+ROUND((ROUND((((EU109*1.2))*AV109*1),2)*BS109),2))*AU109)/100),2)+ROUND(((ROUND((ROUND(((AE109-((EU109*1.2)))*AV109*1),2)*BS109),2)*AU109)/100),2))</f>
        <v>55.42</v>
      </c>
      <c r="DA109" s="2"/>
      <c r="DB109" s="2">
        <v>57</v>
      </c>
      <c r="DC109" s="2" t="s">
        <v>3</v>
      </c>
      <c r="DD109" s="2" t="s">
        <v>62</v>
      </c>
      <c r="DE109" s="2" t="s">
        <v>63</v>
      </c>
      <c r="DF109" s="2" t="s">
        <v>63</v>
      </c>
      <c r="DG109" s="2" t="s">
        <v>63</v>
      </c>
      <c r="DH109" s="2" t="s">
        <v>3</v>
      </c>
      <c r="DI109" s="2" t="s">
        <v>63</v>
      </c>
      <c r="DJ109" s="2" t="s">
        <v>63</v>
      </c>
      <c r="DK109" s="2" t="s">
        <v>3</v>
      </c>
      <c r="DL109" s="2" t="s">
        <v>3</v>
      </c>
      <c r="DM109" s="2" t="s">
        <v>3</v>
      </c>
      <c r="DN109" s="2">
        <v>0</v>
      </c>
      <c r="DO109" s="2">
        <v>0</v>
      </c>
      <c r="DP109" s="2">
        <v>1</v>
      </c>
      <c r="DQ109" s="2">
        <v>1</v>
      </c>
      <c r="DR109" s="2"/>
      <c r="DS109" s="2"/>
      <c r="DT109" s="2"/>
      <c r="DU109" s="2">
        <v>1013</v>
      </c>
      <c r="DV109" s="2" t="s">
        <v>33</v>
      </c>
      <c r="DW109" s="2" t="s">
        <v>33</v>
      </c>
      <c r="DX109" s="2">
        <v>1</v>
      </c>
      <c r="DY109" s="2"/>
      <c r="DZ109" s="2" t="s">
        <v>3</v>
      </c>
      <c r="EA109" s="2" t="s">
        <v>3</v>
      </c>
      <c r="EB109" s="2" t="s">
        <v>3</v>
      </c>
      <c r="EC109" s="2" t="s">
        <v>3</v>
      </c>
      <c r="ED109" s="2"/>
      <c r="EE109" s="2">
        <v>55393701</v>
      </c>
      <c r="EF109" s="2">
        <v>40</v>
      </c>
      <c r="EG109" s="2" t="s">
        <v>26</v>
      </c>
      <c r="EH109" s="2">
        <v>0</v>
      </c>
      <c r="EI109" s="2" t="s">
        <v>3</v>
      </c>
      <c r="EJ109" s="2">
        <v>2</v>
      </c>
      <c r="EK109" s="2">
        <v>69</v>
      </c>
      <c r="EL109" s="2" t="s">
        <v>47</v>
      </c>
      <c r="EM109" s="2" t="s">
        <v>48</v>
      </c>
      <c r="EN109" s="2"/>
      <c r="EO109" s="2" t="s">
        <v>67</v>
      </c>
      <c r="EP109" s="2"/>
      <c r="EQ109" s="2">
        <v>0</v>
      </c>
      <c r="ER109" s="2">
        <v>13.56</v>
      </c>
      <c r="ES109" s="2">
        <v>1.67</v>
      </c>
      <c r="ET109" s="2">
        <v>0</v>
      </c>
      <c r="EU109" s="2">
        <v>0</v>
      </c>
      <c r="EV109" s="2">
        <v>11.89</v>
      </c>
      <c r="EW109" s="2">
        <v>1</v>
      </c>
      <c r="EX109" s="2">
        <v>0</v>
      </c>
      <c r="EY109" s="2">
        <v>0</v>
      </c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>
        <v>0</v>
      </c>
      <c r="FR109" s="2">
        <v>0</v>
      </c>
      <c r="FS109" s="2">
        <v>0</v>
      </c>
      <c r="FT109" s="2"/>
      <c r="FU109" s="2"/>
      <c r="FV109" s="2"/>
      <c r="FW109" s="2"/>
      <c r="FX109" s="2">
        <v>95</v>
      </c>
      <c r="FY109" s="2">
        <v>53</v>
      </c>
      <c r="FZ109" s="2"/>
      <c r="GA109" s="2" t="s">
        <v>3</v>
      </c>
      <c r="GB109" s="2"/>
      <c r="GC109" s="2"/>
      <c r="GD109" s="2">
        <v>1</v>
      </c>
      <c r="GE109" s="2"/>
      <c r="GF109" s="2">
        <v>205901832</v>
      </c>
      <c r="GG109" s="2">
        <v>2</v>
      </c>
      <c r="GH109" s="2">
        <v>1</v>
      </c>
      <c r="GI109" s="2">
        <v>2</v>
      </c>
      <c r="GJ109" s="2">
        <v>0</v>
      </c>
      <c r="GK109" s="2">
        <v>0</v>
      </c>
      <c r="GL109" s="2">
        <f t="shared" si="90"/>
        <v>0</v>
      </c>
      <c r="GM109" s="2">
        <f t="shared" si="91"/>
        <v>271.02</v>
      </c>
      <c r="GN109" s="2">
        <f t="shared" si="92"/>
        <v>0</v>
      </c>
      <c r="GO109" s="2">
        <f t="shared" si="93"/>
        <v>271.02</v>
      </c>
      <c r="GP109" s="2">
        <f t="shared" si="94"/>
        <v>0</v>
      </c>
      <c r="GQ109" s="2"/>
      <c r="GR109" s="2">
        <v>0</v>
      </c>
      <c r="GS109" s="2">
        <v>3</v>
      </c>
      <c r="GT109" s="2">
        <v>0</v>
      </c>
      <c r="GU109" s="2" t="s">
        <v>3</v>
      </c>
      <c r="GV109" s="2">
        <f t="shared" si="95"/>
        <v>0</v>
      </c>
      <c r="GW109" s="2">
        <v>1</v>
      </c>
      <c r="GX109" s="2">
        <f t="shared" si="96"/>
        <v>0</v>
      </c>
      <c r="GY109" s="2"/>
      <c r="GZ109" s="2"/>
      <c r="HA109" s="2">
        <v>0</v>
      </c>
      <c r="HB109" s="2">
        <v>0</v>
      </c>
      <c r="HC109" s="2">
        <f t="shared" si="97"/>
        <v>0</v>
      </c>
      <c r="HD109" s="2"/>
      <c r="HE109" s="2" t="s">
        <v>3</v>
      </c>
      <c r="HF109" s="2" t="s">
        <v>3</v>
      </c>
      <c r="HG109" s="2"/>
      <c r="HH109" s="2"/>
      <c r="HI109" s="2"/>
      <c r="HJ109" s="2"/>
      <c r="HK109" s="2"/>
      <c r="HL109" s="2"/>
      <c r="HM109" s="2" t="s">
        <v>3</v>
      </c>
      <c r="HN109" s="2" t="s">
        <v>3</v>
      </c>
      <c r="HO109" s="2" t="s">
        <v>3</v>
      </c>
      <c r="HP109" s="2" t="s">
        <v>3</v>
      </c>
      <c r="HQ109" s="2" t="s">
        <v>3</v>
      </c>
      <c r="HR109" s="2"/>
      <c r="HS109" s="2">
        <v>0</v>
      </c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>
        <v>0</v>
      </c>
      <c r="IL109" s="2"/>
      <c r="IM109" s="2"/>
      <c r="IN109" s="2"/>
      <c r="IO109" s="2"/>
      <c r="IP109" s="2"/>
      <c r="IQ109" s="2"/>
      <c r="IR109" s="2"/>
      <c r="IS109" s="2"/>
      <c r="IT109" s="2"/>
      <c r="IU109" s="2"/>
    </row>
    <row r="110" spans="1:255" x14ac:dyDescent="0.25">
      <c r="A110" s="3">
        <v>17</v>
      </c>
      <c r="B110" s="3">
        <v>1</v>
      </c>
      <c r="C110" s="3">
        <f>ROW(SmtRes!A144)</f>
        <v>144</v>
      </c>
      <c r="D110" s="3">
        <f>ROW(EtalonRes!A170)</f>
        <v>170</v>
      </c>
      <c r="E110" s="3" t="s">
        <v>171</v>
      </c>
      <c r="F110" s="3" t="s">
        <v>44</v>
      </c>
      <c r="G110" s="3" t="s">
        <v>150</v>
      </c>
      <c r="H110" s="3" t="s">
        <v>33</v>
      </c>
      <c r="I110" s="3">
        <v>7</v>
      </c>
      <c r="J110" s="3">
        <v>0</v>
      </c>
      <c r="K110" s="3">
        <v>7</v>
      </c>
      <c r="O110" s="3">
        <f t="shared" si="73"/>
        <v>6101.42</v>
      </c>
      <c r="P110" s="3">
        <f t="shared" si="102"/>
        <v>208.9</v>
      </c>
      <c r="Q110" s="3">
        <f>(ROUND((ROUND((((ET110*1.2))*AV110*I110),2)*BB110),2)+ROUND((ROUND(((AE110-((EU110*1.2)))*AV110*I110),2)*BS110),2))</f>
        <v>0</v>
      </c>
      <c r="R110" s="3">
        <f>(ROUND((ROUND((((EU110*1.2))*AV110*I110),2)*BS110),2)+ROUND((ROUND(((AE110-((EU110*1.2)))*AV110*I110),2)*BS110),2))</f>
        <v>0</v>
      </c>
      <c r="S110" s="3">
        <f t="shared" si="75"/>
        <v>5892.52</v>
      </c>
      <c r="T110" s="3">
        <f t="shared" si="76"/>
        <v>0</v>
      </c>
      <c r="U110" s="3">
        <f t="shared" si="77"/>
        <v>8.7948000000000004</v>
      </c>
      <c r="V110" s="3">
        <f t="shared" si="78"/>
        <v>0</v>
      </c>
      <c r="W110" s="3">
        <f t="shared" si="79"/>
        <v>0</v>
      </c>
      <c r="X110" s="3">
        <f>(ROUND((((S110+ROUND((ROUND((((EU110*1.2))*AV110*I110),2)*BS110),2))*AT110)/100),2)+ROUND(((ROUND((ROUND(((AE110-((EU110*1.2)))*AV110*I110),2)*BS110),2)*AT110)/100),2))</f>
        <v>5597.89</v>
      </c>
      <c r="Y110" s="3">
        <f>(ROUND((((S110+ROUND((ROUND((((EU110*1.2))*AV110*I110),2)*BS110),2))*AU110)/100),2)+ROUND(((ROUND((ROUND(((AE110-((EU110*1.2)))*AV110*I110),2)*BS110),2)*AU110)/100),2))</f>
        <v>3123.04</v>
      </c>
      <c r="AA110" s="3">
        <v>55936048</v>
      </c>
      <c r="AB110" s="3">
        <f t="shared" si="80"/>
        <v>15.938000000000001</v>
      </c>
      <c r="AC110" s="3">
        <f>ROUND(((ES110*1)),6)</f>
        <v>1.67</v>
      </c>
      <c r="AD110" s="3">
        <f>ROUND(((((ET110*1.2))-((EU110*1.2)))+AE110),6)</f>
        <v>0</v>
      </c>
      <c r="AE110" s="3">
        <f>ROUND(((EU110*1.2)),6)</f>
        <v>0</v>
      </c>
      <c r="AF110" s="3">
        <f>ROUND(((EV110*1.2)),6)</f>
        <v>14.268000000000001</v>
      </c>
      <c r="AG110" s="3">
        <f t="shared" si="81"/>
        <v>0</v>
      </c>
      <c r="AH110" s="3">
        <f>((EW110*1.2))</f>
        <v>1.2</v>
      </c>
      <c r="AI110" s="3">
        <f>((EX110*1.2))</f>
        <v>0</v>
      </c>
      <c r="AJ110" s="3">
        <f t="shared" si="82"/>
        <v>0</v>
      </c>
      <c r="AK110" s="3">
        <v>13.56</v>
      </c>
      <c r="AL110" s="3">
        <v>1.67</v>
      </c>
      <c r="AM110" s="3">
        <v>0</v>
      </c>
      <c r="AN110" s="3">
        <v>0</v>
      </c>
      <c r="AO110" s="3">
        <v>11.89</v>
      </c>
      <c r="AP110" s="3">
        <v>0</v>
      </c>
      <c r="AQ110" s="3">
        <v>1</v>
      </c>
      <c r="AR110" s="3">
        <v>0</v>
      </c>
      <c r="AS110" s="3">
        <v>0</v>
      </c>
      <c r="AT110" s="3">
        <v>95</v>
      </c>
      <c r="AU110" s="3">
        <v>53</v>
      </c>
      <c r="AV110" s="3">
        <v>1.0469999999999999</v>
      </c>
      <c r="AW110" s="3">
        <v>1</v>
      </c>
      <c r="AZ110" s="3">
        <v>1</v>
      </c>
      <c r="BA110" s="3">
        <v>56.35</v>
      </c>
      <c r="BB110" s="3">
        <v>1</v>
      </c>
      <c r="BC110" s="3">
        <v>17.87</v>
      </c>
      <c r="BD110" s="3" t="s">
        <v>3</v>
      </c>
      <c r="BE110" s="3" t="s">
        <v>3</v>
      </c>
      <c r="BF110" s="3" t="s">
        <v>3</v>
      </c>
      <c r="BG110" s="3" t="s">
        <v>3</v>
      </c>
      <c r="BH110" s="3">
        <v>0</v>
      </c>
      <c r="BI110" s="3">
        <v>2</v>
      </c>
      <c r="BJ110" s="3" t="s">
        <v>46</v>
      </c>
      <c r="BM110" s="3">
        <v>69</v>
      </c>
      <c r="BN110" s="3">
        <v>0</v>
      </c>
      <c r="BO110" s="3" t="s">
        <v>44</v>
      </c>
      <c r="BP110" s="3">
        <v>1</v>
      </c>
      <c r="BQ110" s="3">
        <v>40</v>
      </c>
      <c r="BR110" s="3">
        <v>0</v>
      </c>
      <c r="BS110" s="3">
        <v>56.35</v>
      </c>
      <c r="BT110" s="3">
        <v>1</v>
      </c>
      <c r="BU110" s="3">
        <v>1</v>
      </c>
      <c r="BV110" s="3">
        <v>1</v>
      </c>
      <c r="BW110" s="3">
        <v>1</v>
      </c>
      <c r="BX110" s="3">
        <v>1</v>
      </c>
      <c r="BY110" s="3" t="s">
        <v>3</v>
      </c>
      <c r="BZ110" s="3">
        <v>95</v>
      </c>
      <c r="CA110" s="3">
        <v>53</v>
      </c>
      <c r="CB110" s="3" t="s">
        <v>3</v>
      </c>
      <c r="CE110" s="3">
        <v>1566</v>
      </c>
      <c r="CF110" s="3">
        <v>0</v>
      </c>
      <c r="CG110" s="3">
        <v>0</v>
      </c>
      <c r="CM110" s="3">
        <v>0</v>
      </c>
      <c r="CN110" s="3" t="s">
        <v>422</v>
      </c>
      <c r="CO110" s="3">
        <v>0</v>
      </c>
      <c r="CP110" s="3">
        <f t="shared" si="83"/>
        <v>6101.42</v>
      </c>
      <c r="CQ110" s="3">
        <f t="shared" si="103"/>
        <v>29.84</v>
      </c>
      <c r="CR110" s="3">
        <f>(ROUND((ROUND((((ET110*1.2))*AV110*1),2)*BB110),2)+ROUND((ROUND(((AE110-((EU110*1.2)))*AV110*1),2)*BS110),2))</f>
        <v>0</v>
      </c>
      <c r="CS110" s="3">
        <f>(ROUND((ROUND((((EU110*1.2))*AV110*1),2)*BS110),2)+ROUND((ROUND(((AE110-((EU110*1.2)))*AV110*1),2)*BS110),2))</f>
        <v>0</v>
      </c>
      <c r="CT110" s="3">
        <f t="shared" si="85"/>
        <v>841.87</v>
      </c>
      <c r="CU110" s="3">
        <f t="shared" si="86"/>
        <v>0</v>
      </c>
      <c r="CV110" s="3">
        <f t="shared" si="87"/>
        <v>1.2564</v>
      </c>
      <c r="CW110" s="3">
        <f t="shared" si="88"/>
        <v>0</v>
      </c>
      <c r="CX110" s="3">
        <f t="shared" si="89"/>
        <v>0</v>
      </c>
      <c r="CY110" s="3">
        <f>(ROUND((((S110+ROUND((ROUND((((EU110*1.2))*AV110*1),2)*BS110),2))*AT110)/100),2)+ROUND(((ROUND((ROUND(((AE110-((EU110*1.2)))*AV110*1),2)*BS110),2)*AT110)/100),2))</f>
        <v>5597.89</v>
      </c>
      <c r="CZ110" s="3">
        <f>(ROUND((((S110+ROUND((ROUND((((EU110*1.2))*AV110*1),2)*BS110),2))*AU110)/100),2)+ROUND(((ROUND((ROUND(((AE110-((EU110*1.2)))*AV110*1),2)*BS110),2)*AU110)/100),2))</f>
        <v>3123.04</v>
      </c>
      <c r="DB110" s="3">
        <v>58</v>
      </c>
      <c r="DC110" s="3" t="s">
        <v>3</v>
      </c>
      <c r="DD110" s="3" t="s">
        <v>62</v>
      </c>
      <c r="DE110" s="3" t="s">
        <v>63</v>
      </c>
      <c r="DF110" s="3" t="s">
        <v>63</v>
      </c>
      <c r="DG110" s="3" t="s">
        <v>63</v>
      </c>
      <c r="DH110" s="3" t="s">
        <v>3</v>
      </c>
      <c r="DI110" s="3" t="s">
        <v>63</v>
      </c>
      <c r="DJ110" s="3" t="s">
        <v>63</v>
      </c>
      <c r="DK110" s="3" t="s">
        <v>3</v>
      </c>
      <c r="DL110" s="3" t="s">
        <v>3</v>
      </c>
      <c r="DM110" s="3" t="s">
        <v>3</v>
      </c>
      <c r="DN110" s="3">
        <v>0</v>
      </c>
      <c r="DO110" s="3">
        <v>0</v>
      </c>
      <c r="DP110" s="3">
        <v>1</v>
      </c>
      <c r="DQ110" s="3">
        <v>1</v>
      </c>
      <c r="DU110" s="3">
        <v>1013</v>
      </c>
      <c r="DV110" s="3" t="s">
        <v>33</v>
      </c>
      <c r="DW110" s="3" t="s">
        <v>33</v>
      </c>
      <c r="DX110" s="3">
        <v>1</v>
      </c>
      <c r="DZ110" s="3" t="s">
        <v>3</v>
      </c>
      <c r="EA110" s="3" t="s">
        <v>3</v>
      </c>
      <c r="EB110" s="3" t="s">
        <v>3</v>
      </c>
      <c r="EC110" s="3" t="s">
        <v>3</v>
      </c>
      <c r="EE110" s="3">
        <v>55393701</v>
      </c>
      <c r="EF110" s="3">
        <v>40</v>
      </c>
      <c r="EG110" s="3" t="s">
        <v>26</v>
      </c>
      <c r="EH110" s="3">
        <v>0</v>
      </c>
      <c r="EI110" s="3" t="s">
        <v>3</v>
      </c>
      <c r="EJ110" s="3">
        <v>2</v>
      </c>
      <c r="EK110" s="3">
        <v>69</v>
      </c>
      <c r="EL110" s="3" t="s">
        <v>47</v>
      </c>
      <c r="EM110" s="3" t="s">
        <v>48</v>
      </c>
      <c r="EO110" s="3" t="s">
        <v>67</v>
      </c>
      <c r="EQ110" s="3">
        <v>0</v>
      </c>
      <c r="ER110" s="3">
        <v>13.56</v>
      </c>
      <c r="ES110" s="3">
        <v>1.67</v>
      </c>
      <c r="ET110" s="3">
        <v>0</v>
      </c>
      <c r="EU110" s="3">
        <v>0</v>
      </c>
      <c r="EV110" s="3">
        <v>11.89</v>
      </c>
      <c r="EW110" s="3">
        <v>1</v>
      </c>
      <c r="EX110" s="3">
        <v>0</v>
      </c>
      <c r="EY110" s="3">
        <v>0</v>
      </c>
      <c r="FQ110" s="3">
        <v>0</v>
      </c>
      <c r="FR110" s="3">
        <v>0</v>
      </c>
      <c r="FS110" s="3">
        <v>0</v>
      </c>
      <c r="FX110" s="3">
        <v>95</v>
      </c>
      <c r="FY110" s="3">
        <v>53</v>
      </c>
      <c r="GA110" s="3" t="s">
        <v>3</v>
      </c>
      <c r="GD110" s="3">
        <v>1</v>
      </c>
      <c r="GF110" s="3">
        <v>205901832</v>
      </c>
      <c r="GG110" s="3">
        <v>2</v>
      </c>
      <c r="GH110" s="3">
        <v>1</v>
      </c>
      <c r="GI110" s="3">
        <v>2</v>
      </c>
      <c r="GJ110" s="3">
        <v>0</v>
      </c>
      <c r="GK110" s="3">
        <v>0</v>
      </c>
      <c r="GL110" s="3">
        <f t="shared" si="90"/>
        <v>0</v>
      </c>
      <c r="GM110" s="3">
        <f t="shared" si="91"/>
        <v>14822.35</v>
      </c>
      <c r="GN110" s="3">
        <f t="shared" si="92"/>
        <v>0</v>
      </c>
      <c r="GO110" s="3">
        <f t="shared" si="93"/>
        <v>14822.35</v>
      </c>
      <c r="GP110" s="3">
        <f t="shared" si="94"/>
        <v>0</v>
      </c>
      <c r="GR110" s="3">
        <v>0</v>
      </c>
      <c r="GS110" s="3">
        <v>3</v>
      </c>
      <c r="GT110" s="3">
        <v>0</v>
      </c>
      <c r="GU110" s="3" t="s">
        <v>3</v>
      </c>
      <c r="GV110" s="3">
        <f t="shared" si="95"/>
        <v>0</v>
      </c>
      <c r="GW110" s="3">
        <v>1</v>
      </c>
      <c r="GX110" s="3">
        <f t="shared" si="96"/>
        <v>0</v>
      </c>
      <c r="HA110" s="3">
        <v>0</v>
      </c>
      <c r="HB110" s="3">
        <v>0</v>
      </c>
      <c r="HC110" s="3">
        <f t="shared" si="97"/>
        <v>0</v>
      </c>
      <c r="HE110" s="3" t="s">
        <v>3</v>
      </c>
      <c r="HF110" s="3" t="s">
        <v>3</v>
      </c>
      <c r="HM110" s="3" t="s">
        <v>3</v>
      </c>
      <c r="HN110" s="3" t="s">
        <v>3</v>
      </c>
      <c r="HO110" s="3" t="s">
        <v>3</v>
      </c>
      <c r="HP110" s="3" t="s">
        <v>3</v>
      </c>
      <c r="HQ110" s="3" t="s">
        <v>3</v>
      </c>
      <c r="HS110" s="3">
        <v>0</v>
      </c>
      <c r="IK110" s="3">
        <v>0</v>
      </c>
    </row>
    <row r="111" spans="1:255" x14ac:dyDescent="0.25">
      <c r="A111" s="2">
        <v>18</v>
      </c>
      <c r="B111" s="2">
        <v>1</v>
      </c>
      <c r="C111" s="2">
        <v>140</v>
      </c>
      <c r="D111" s="2"/>
      <c r="E111" s="2" t="s">
        <v>172</v>
      </c>
      <c r="F111" s="2" t="s">
        <v>173</v>
      </c>
      <c r="G111" s="2" t="s">
        <v>174</v>
      </c>
      <c r="H111" s="2" t="s">
        <v>144</v>
      </c>
      <c r="I111" s="2">
        <f>I109*J111</f>
        <v>7</v>
      </c>
      <c r="J111" s="2">
        <v>1</v>
      </c>
      <c r="K111" s="2">
        <v>1</v>
      </c>
      <c r="L111" s="2"/>
      <c r="M111" s="2"/>
      <c r="N111" s="2"/>
      <c r="O111" s="2">
        <f t="shared" si="73"/>
        <v>387.17</v>
      </c>
      <c r="P111" s="2">
        <f t="shared" si="102"/>
        <v>387.17</v>
      </c>
      <c r="Q111" s="2">
        <f>(ROUND((ROUND(((ET111)*AV111*I111),2)*BB111),2)+ROUND((ROUND(((AE111-(EU111))*AV111*I111),2)*BS111),2))</f>
        <v>0</v>
      </c>
      <c r="R111" s="2">
        <f>(ROUND((ROUND(((EU111)*AV111*I111),2)*BS111),2)+ROUND((ROUND(((AE111-(EU111))*AV111*I111),2)*BS111),2))</f>
        <v>0</v>
      </c>
      <c r="S111" s="2">
        <f t="shared" si="75"/>
        <v>0</v>
      </c>
      <c r="T111" s="2">
        <f t="shared" si="76"/>
        <v>0</v>
      </c>
      <c r="U111" s="2">
        <f t="shared" si="77"/>
        <v>0</v>
      </c>
      <c r="V111" s="2">
        <f t="shared" si="78"/>
        <v>0</v>
      </c>
      <c r="W111" s="2">
        <f t="shared" si="79"/>
        <v>0</v>
      </c>
      <c r="X111" s="2">
        <f>(ROUND((((S111+ROUND((ROUND(((EU111)*AV111*I111),2)*BS111),2))*AT111)/100),2)+ROUND(((ROUND((ROUND(((AE111-(EU111))*AV111*I111),2)*BS111),2)*AT111)/100),2))</f>
        <v>0</v>
      </c>
      <c r="Y111" s="2">
        <f>(ROUND((((S111+ROUND((ROUND(((EU111)*AV111*I111),2)*BS111),2))*AU111)/100),2)+ROUND(((ROUND((ROUND(((AE111-(EU111))*AV111*I111),2)*BS111),2)*AU111)/100),2))</f>
        <v>0</v>
      </c>
      <c r="Z111" s="2"/>
      <c r="AA111" s="2">
        <v>55936046</v>
      </c>
      <c r="AB111" s="2">
        <f t="shared" si="80"/>
        <v>55.31</v>
      </c>
      <c r="AC111" s="2">
        <f>ROUND((ES111),6)</f>
        <v>55.31</v>
      </c>
      <c r="AD111" s="2">
        <f>ROUND((((ET111)-(EU111))+AE111),6)</f>
        <v>0</v>
      </c>
      <c r="AE111" s="2">
        <f>ROUND((EU111),6)</f>
        <v>0</v>
      </c>
      <c r="AF111" s="2">
        <f>ROUND((EV111),6)</f>
        <v>0</v>
      </c>
      <c r="AG111" s="2">
        <f t="shared" si="81"/>
        <v>0</v>
      </c>
      <c r="AH111" s="2">
        <f>(EW111)</f>
        <v>0</v>
      </c>
      <c r="AI111" s="2">
        <f>(EX111)</f>
        <v>0</v>
      </c>
      <c r="AJ111" s="2">
        <f t="shared" si="82"/>
        <v>0</v>
      </c>
      <c r="AK111" s="2">
        <v>55.31</v>
      </c>
      <c r="AL111" s="2">
        <v>55.31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1</v>
      </c>
      <c r="AW111" s="2">
        <v>1</v>
      </c>
      <c r="AX111" s="2"/>
      <c r="AY111" s="2"/>
      <c r="AZ111" s="2">
        <v>1</v>
      </c>
      <c r="BA111" s="2">
        <v>1</v>
      </c>
      <c r="BB111" s="2">
        <v>1</v>
      </c>
      <c r="BC111" s="2">
        <v>1</v>
      </c>
      <c r="BD111" s="2" t="s">
        <v>3</v>
      </c>
      <c r="BE111" s="2" t="s">
        <v>3</v>
      </c>
      <c r="BF111" s="2" t="s">
        <v>3</v>
      </c>
      <c r="BG111" s="2" t="s">
        <v>3</v>
      </c>
      <c r="BH111" s="2">
        <v>3</v>
      </c>
      <c r="BI111" s="2">
        <v>3</v>
      </c>
      <c r="BJ111" s="2" t="s">
        <v>173</v>
      </c>
      <c r="BK111" s="2"/>
      <c r="BL111" s="2"/>
      <c r="BM111" s="2">
        <v>400007</v>
      </c>
      <c r="BN111" s="2">
        <v>0</v>
      </c>
      <c r="BO111" s="2" t="s">
        <v>3</v>
      </c>
      <c r="BP111" s="2">
        <v>0</v>
      </c>
      <c r="BQ111" s="2">
        <v>214</v>
      </c>
      <c r="BR111" s="2">
        <v>0</v>
      </c>
      <c r="BS111" s="2">
        <v>1</v>
      </c>
      <c r="BT111" s="2">
        <v>1</v>
      </c>
      <c r="BU111" s="2">
        <v>1</v>
      </c>
      <c r="BV111" s="2">
        <v>1</v>
      </c>
      <c r="BW111" s="2">
        <v>1</v>
      </c>
      <c r="BX111" s="2">
        <v>1</v>
      </c>
      <c r="BY111" s="2" t="s">
        <v>3</v>
      </c>
      <c r="BZ111" s="2">
        <v>95</v>
      </c>
      <c r="CA111" s="2">
        <v>53</v>
      </c>
      <c r="CB111" s="2" t="s">
        <v>3</v>
      </c>
      <c r="CC111" s="2"/>
      <c r="CD111" s="2"/>
      <c r="CE111" s="2">
        <v>1566</v>
      </c>
      <c r="CF111" s="2">
        <v>0</v>
      </c>
      <c r="CG111" s="2">
        <v>0</v>
      </c>
      <c r="CH111" s="2"/>
      <c r="CI111" s="2"/>
      <c r="CJ111" s="2"/>
      <c r="CK111" s="2"/>
      <c r="CL111" s="2"/>
      <c r="CM111" s="2">
        <v>0</v>
      </c>
      <c r="CN111" s="2" t="s">
        <v>423</v>
      </c>
      <c r="CO111" s="2">
        <v>0</v>
      </c>
      <c r="CP111" s="2">
        <f t="shared" si="83"/>
        <v>387.17</v>
      </c>
      <c r="CQ111" s="2">
        <f t="shared" si="103"/>
        <v>55.31</v>
      </c>
      <c r="CR111" s="2">
        <f>(ROUND((ROUND(((ET111)*AV111*1),2)*BB111),2)+ROUND((ROUND(((AE111-(EU111))*AV111*1),2)*BS111),2))</f>
        <v>0</v>
      </c>
      <c r="CS111" s="2">
        <f>(ROUND((ROUND(((EU111)*AV111*1),2)*BS111),2)+ROUND((ROUND(((AE111-(EU111))*AV111*1),2)*BS111),2))</f>
        <v>0</v>
      </c>
      <c r="CT111" s="2">
        <f t="shared" si="85"/>
        <v>0</v>
      </c>
      <c r="CU111" s="2">
        <f t="shared" si="86"/>
        <v>0</v>
      </c>
      <c r="CV111" s="2">
        <f t="shared" si="87"/>
        <v>0</v>
      </c>
      <c r="CW111" s="2">
        <f t="shared" si="88"/>
        <v>0</v>
      </c>
      <c r="CX111" s="2">
        <f t="shared" si="89"/>
        <v>0</v>
      </c>
      <c r="CY111" s="2">
        <f>(ROUND((((S111+ROUND((ROUND(((EU111)*AV111*1),2)*BS111),2))*AT111)/100),2)+ROUND(((ROUND((ROUND(((AE111-(EU111))*AV111*1),2)*BS111),2)*AT111)/100),2))</f>
        <v>0</v>
      </c>
      <c r="CZ111" s="2">
        <f>(ROUND((((S111+ROUND((ROUND(((EU111)*AV111*1),2)*BS111),2))*AU111)/100),2)+ROUND(((ROUND((ROUND(((AE111-(EU111))*AV111*1),2)*BS111),2)*AU111)/100),2))</f>
        <v>0</v>
      </c>
      <c r="DA111" s="2"/>
      <c r="DB111" s="2"/>
      <c r="DC111" s="2" t="s">
        <v>3</v>
      </c>
      <c r="DD111" s="2" t="s">
        <v>3</v>
      </c>
      <c r="DE111" s="2" t="s">
        <v>3</v>
      </c>
      <c r="DF111" s="2" t="s">
        <v>3</v>
      </c>
      <c r="DG111" s="2" t="s">
        <v>3</v>
      </c>
      <c r="DH111" s="2" t="s">
        <v>3</v>
      </c>
      <c r="DI111" s="2" t="s">
        <v>3</v>
      </c>
      <c r="DJ111" s="2" t="s">
        <v>3</v>
      </c>
      <c r="DK111" s="2" t="s">
        <v>3</v>
      </c>
      <c r="DL111" s="2" t="s">
        <v>3</v>
      </c>
      <c r="DM111" s="2" t="s">
        <v>3</v>
      </c>
      <c r="DN111" s="2">
        <v>0</v>
      </c>
      <c r="DO111" s="2">
        <v>0</v>
      </c>
      <c r="DP111" s="2">
        <v>1</v>
      </c>
      <c r="DQ111" s="2">
        <v>1</v>
      </c>
      <c r="DR111" s="2"/>
      <c r="DS111" s="2"/>
      <c r="DT111" s="2"/>
      <c r="DU111" s="2">
        <v>1013</v>
      </c>
      <c r="DV111" s="2" t="s">
        <v>144</v>
      </c>
      <c r="DW111" s="2" t="s">
        <v>144</v>
      </c>
      <c r="DX111" s="2">
        <v>1</v>
      </c>
      <c r="DY111" s="2"/>
      <c r="DZ111" s="2" t="s">
        <v>3</v>
      </c>
      <c r="EA111" s="2" t="s">
        <v>3</v>
      </c>
      <c r="EB111" s="2" t="s">
        <v>3</v>
      </c>
      <c r="EC111" s="2" t="s">
        <v>3</v>
      </c>
      <c r="ED111" s="2"/>
      <c r="EE111" s="2">
        <v>55393630</v>
      </c>
      <c r="EF111" s="2">
        <v>214</v>
      </c>
      <c r="EG111" s="2" t="s">
        <v>145</v>
      </c>
      <c r="EH111" s="2">
        <v>0</v>
      </c>
      <c r="EI111" s="2" t="s">
        <v>3</v>
      </c>
      <c r="EJ111" s="2">
        <v>3</v>
      </c>
      <c r="EK111" s="2">
        <v>400007</v>
      </c>
      <c r="EL111" s="2" t="s">
        <v>145</v>
      </c>
      <c r="EM111" s="2" t="s">
        <v>146</v>
      </c>
      <c r="EN111" s="2"/>
      <c r="EO111" s="2" t="s">
        <v>67</v>
      </c>
      <c r="EP111" s="2"/>
      <c r="EQ111" s="2">
        <v>16</v>
      </c>
      <c r="ER111" s="2">
        <v>0</v>
      </c>
      <c r="ES111" s="2">
        <v>55.31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>
        <v>0</v>
      </c>
      <c r="FR111" s="2">
        <f>P111</f>
        <v>387.17</v>
      </c>
      <c r="FS111" s="2">
        <v>0</v>
      </c>
      <c r="FT111" s="2"/>
      <c r="FU111" s="2"/>
      <c r="FV111" s="2"/>
      <c r="FW111" s="2"/>
      <c r="FX111" s="2">
        <v>95</v>
      </c>
      <c r="FY111" s="2">
        <v>53</v>
      </c>
      <c r="FZ111" s="2"/>
      <c r="GA111" s="2" t="s">
        <v>175</v>
      </c>
      <c r="GB111" s="2"/>
      <c r="GC111" s="2"/>
      <c r="GD111" s="2">
        <v>1</v>
      </c>
      <c r="GE111" s="2"/>
      <c r="GF111" s="2">
        <v>1481805577</v>
      </c>
      <c r="GG111" s="2">
        <v>2</v>
      </c>
      <c r="GH111" s="2">
        <v>4</v>
      </c>
      <c r="GI111" s="2">
        <v>-2</v>
      </c>
      <c r="GJ111" s="2">
        <v>0</v>
      </c>
      <c r="GK111" s="2">
        <v>0</v>
      </c>
      <c r="GL111" s="2">
        <f t="shared" si="90"/>
        <v>0</v>
      </c>
      <c r="GM111" s="2">
        <f t="shared" si="91"/>
        <v>387.17</v>
      </c>
      <c r="GN111" s="2">
        <f t="shared" si="92"/>
        <v>0</v>
      </c>
      <c r="GO111" s="2">
        <f t="shared" si="93"/>
        <v>0</v>
      </c>
      <c r="GP111" s="2">
        <f t="shared" si="94"/>
        <v>0</v>
      </c>
      <c r="GQ111" s="2"/>
      <c r="GR111" s="2">
        <v>1</v>
      </c>
      <c r="GS111" s="2">
        <v>2</v>
      </c>
      <c r="GT111" s="2">
        <v>0</v>
      </c>
      <c r="GU111" s="2" t="s">
        <v>3</v>
      </c>
      <c r="GV111" s="2">
        <f t="shared" si="95"/>
        <v>0</v>
      </c>
      <c r="GW111" s="2">
        <v>1</v>
      </c>
      <c r="GX111" s="2">
        <f t="shared" si="96"/>
        <v>0</v>
      </c>
      <c r="GY111" s="2"/>
      <c r="GZ111" s="2"/>
      <c r="HA111" s="2">
        <v>0</v>
      </c>
      <c r="HB111" s="2">
        <v>0</v>
      </c>
      <c r="HC111" s="2">
        <f t="shared" si="97"/>
        <v>0</v>
      </c>
      <c r="HD111" s="2"/>
      <c r="HE111" s="2" t="s">
        <v>35</v>
      </c>
      <c r="HF111" s="2" t="s">
        <v>148</v>
      </c>
      <c r="HG111" s="2"/>
      <c r="HH111" s="2"/>
      <c r="HI111" s="2"/>
      <c r="HJ111" s="2"/>
      <c r="HK111" s="2"/>
      <c r="HL111" s="2"/>
      <c r="HM111" s="2" t="s">
        <v>62</v>
      </c>
      <c r="HN111" s="2" t="s">
        <v>3</v>
      </c>
      <c r="HO111" s="2" t="s">
        <v>3</v>
      </c>
      <c r="HP111" s="2" t="s">
        <v>3</v>
      </c>
      <c r="HQ111" s="2" t="s">
        <v>3</v>
      </c>
      <c r="HR111" s="2"/>
      <c r="HS111" s="2">
        <v>0</v>
      </c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>
        <v>0</v>
      </c>
      <c r="IL111" s="2"/>
      <c r="IM111" s="2"/>
      <c r="IN111" s="2"/>
      <c r="IO111" s="2"/>
      <c r="IP111" s="2"/>
      <c r="IQ111" s="2"/>
      <c r="IR111" s="2"/>
      <c r="IS111" s="2"/>
      <c r="IT111" s="2"/>
      <c r="IU111" s="2"/>
    </row>
    <row r="112" spans="1:255" x14ac:dyDescent="0.25">
      <c r="A112" s="3">
        <v>18</v>
      </c>
      <c r="B112" s="3">
        <v>1</v>
      </c>
      <c r="C112" s="3">
        <v>144</v>
      </c>
      <c r="E112" s="3" t="s">
        <v>172</v>
      </c>
      <c r="F112" s="3" t="s">
        <v>173</v>
      </c>
      <c r="G112" s="3" t="s">
        <v>174</v>
      </c>
      <c r="H112" s="3" t="s">
        <v>144</v>
      </c>
      <c r="I112" s="3">
        <f>I110*J112</f>
        <v>7</v>
      </c>
      <c r="J112" s="3">
        <v>1</v>
      </c>
      <c r="K112" s="3">
        <v>1</v>
      </c>
      <c r="O112" s="3">
        <f t="shared" si="73"/>
        <v>2930.88</v>
      </c>
      <c r="P112" s="3">
        <f t="shared" si="102"/>
        <v>2930.88</v>
      </c>
      <c r="Q112" s="3">
        <f>(ROUND((ROUND(((ET112)*AV112*I112),2)*BB112),2)+ROUND((ROUND(((AE112-(EU112))*AV112*I112),2)*BS112),2))</f>
        <v>0</v>
      </c>
      <c r="R112" s="3">
        <f>(ROUND((ROUND(((EU112)*AV112*I112),2)*BS112),2)+ROUND((ROUND(((AE112-(EU112))*AV112*I112),2)*BS112),2))</f>
        <v>0</v>
      </c>
      <c r="S112" s="3">
        <f t="shared" si="75"/>
        <v>0</v>
      </c>
      <c r="T112" s="3">
        <f t="shared" si="76"/>
        <v>0</v>
      </c>
      <c r="U112" s="3">
        <f t="shared" si="77"/>
        <v>0</v>
      </c>
      <c r="V112" s="3">
        <f t="shared" si="78"/>
        <v>0</v>
      </c>
      <c r="W112" s="3">
        <f t="shared" si="79"/>
        <v>0</v>
      </c>
      <c r="X112" s="3">
        <f>(ROUND((((S112+ROUND((ROUND(((EU112)*AV112*I112),2)*BS112),2))*AT112)/100),2)+ROUND(((ROUND((ROUND(((AE112-(EU112))*AV112*I112),2)*BS112),2)*AT112)/100),2))</f>
        <v>0</v>
      </c>
      <c r="Y112" s="3">
        <f>(ROUND((((S112+ROUND((ROUND(((EU112)*AV112*I112),2)*BS112),2))*AU112)/100),2)+ROUND(((ROUND((ROUND(((AE112-(EU112))*AV112*I112),2)*BS112),2)*AU112)/100),2))</f>
        <v>0</v>
      </c>
      <c r="AA112" s="3">
        <v>55936048</v>
      </c>
      <c r="AB112" s="3">
        <f t="shared" si="80"/>
        <v>55.31</v>
      </c>
      <c r="AC112" s="3">
        <f>ROUND((ES112),6)</f>
        <v>55.31</v>
      </c>
      <c r="AD112" s="3">
        <f>ROUND((((ET112)-(EU112))+AE112),6)</f>
        <v>0</v>
      </c>
      <c r="AE112" s="3">
        <f>ROUND((EU112),6)</f>
        <v>0</v>
      </c>
      <c r="AF112" s="3">
        <f>ROUND((EV112),6)</f>
        <v>0</v>
      </c>
      <c r="AG112" s="3">
        <f t="shared" si="81"/>
        <v>0</v>
      </c>
      <c r="AH112" s="3">
        <f>(EW112)</f>
        <v>0</v>
      </c>
      <c r="AI112" s="3">
        <f>(EX112)</f>
        <v>0</v>
      </c>
      <c r="AJ112" s="3">
        <f t="shared" si="82"/>
        <v>0</v>
      </c>
      <c r="AK112" s="3">
        <v>55.31</v>
      </c>
      <c r="AL112" s="3">
        <v>55.31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1</v>
      </c>
      <c r="AW112" s="3">
        <v>1</v>
      </c>
      <c r="AZ112" s="3">
        <v>1</v>
      </c>
      <c r="BA112" s="3">
        <v>1</v>
      </c>
      <c r="BB112" s="3">
        <v>1</v>
      </c>
      <c r="BC112" s="3">
        <v>7.57</v>
      </c>
      <c r="BD112" s="3" t="s">
        <v>3</v>
      </c>
      <c r="BE112" s="3" t="s">
        <v>3</v>
      </c>
      <c r="BF112" s="3" t="s">
        <v>3</v>
      </c>
      <c r="BG112" s="3" t="s">
        <v>3</v>
      </c>
      <c r="BH112" s="3">
        <v>3</v>
      </c>
      <c r="BI112" s="3">
        <v>3</v>
      </c>
      <c r="BJ112" s="3" t="s">
        <v>173</v>
      </c>
      <c r="BM112" s="3">
        <v>400007</v>
      </c>
      <c r="BN112" s="3">
        <v>0</v>
      </c>
      <c r="BO112" s="3" t="s">
        <v>3</v>
      </c>
      <c r="BP112" s="3">
        <v>0</v>
      </c>
      <c r="BQ112" s="3">
        <v>214</v>
      </c>
      <c r="BR112" s="3">
        <v>0</v>
      </c>
      <c r="BS112" s="3">
        <v>1</v>
      </c>
      <c r="BT112" s="3">
        <v>1</v>
      </c>
      <c r="BU112" s="3">
        <v>1</v>
      </c>
      <c r="BV112" s="3">
        <v>1</v>
      </c>
      <c r="BW112" s="3">
        <v>1</v>
      </c>
      <c r="BX112" s="3">
        <v>1</v>
      </c>
      <c r="BY112" s="3" t="s">
        <v>3</v>
      </c>
      <c r="BZ112" s="3">
        <v>95</v>
      </c>
      <c r="CA112" s="3">
        <v>53</v>
      </c>
      <c r="CB112" s="3" t="s">
        <v>3</v>
      </c>
      <c r="CE112" s="3">
        <v>1566</v>
      </c>
      <c r="CF112" s="3">
        <v>0</v>
      </c>
      <c r="CG112" s="3">
        <v>0</v>
      </c>
      <c r="CM112" s="3">
        <v>0</v>
      </c>
      <c r="CN112" s="3" t="s">
        <v>423</v>
      </c>
      <c r="CO112" s="3">
        <v>0</v>
      </c>
      <c r="CP112" s="3">
        <f t="shared" si="83"/>
        <v>2930.88</v>
      </c>
      <c r="CQ112" s="3">
        <f t="shared" si="103"/>
        <v>418.7</v>
      </c>
      <c r="CR112" s="3">
        <f>(ROUND((ROUND(((ET112)*AV112*1),2)*BB112),2)+ROUND((ROUND(((AE112-(EU112))*AV112*1),2)*BS112),2))</f>
        <v>0</v>
      </c>
      <c r="CS112" s="3">
        <f>(ROUND((ROUND(((EU112)*AV112*1),2)*BS112),2)+ROUND((ROUND(((AE112-(EU112))*AV112*1),2)*BS112),2))</f>
        <v>0</v>
      </c>
      <c r="CT112" s="3">
        <f t="shared" si="85"/>
        <v>0</v>
      </c>
      <c r="CU112" s="3">
        <f t="shared" si="86"/>
        <v>0</v>
      </c>
      <c r="CV112" s="3">
        <f t="shared" si="87"/>
        <v>0</v>
      </c>
      <c r="CW112" s="3">
        <f t="shared" si="88"/>
        <v>0</v>
      </c>
      <c r="CX112" s="3">
        <f t="shared" si="89"/>
        <v>0</v>
      </c>
      <c r="CY112" s="3">
        <f>(ROUND((((S112+ROUND((ROUND(((EU112)*AV112*1),2)*BS112),2))*AT112)/100),2)+ROUND(((ROUND((ROUND(((AE112-(EU112))*AV112*1),2)*BS112),2)*AT112)/100),2))</f>
        <v>0</v>
      </c>
      <c r="CZ112" s="3">
        <f>(ROUND((((S112+ROUND((ROUND(((EU112)*AV112*1),2)*BS112),2))*AU112)/100),2)+ROUND(((ROUND((ROUND(((AE112-(EU112))*AV112*1),2)*BS112),2)*AU112)/100),2))</f>
        <v>0</v>
      </c>
      <c r="DC112" s="3" t="s">
        <v>3</v>
      </c>
      <c r="DD112" s="3" t="s">
        <v>3</v>
      </c>
      <c r="DE112" s="3" t="s">
        <v>3</v>
      </c>
      <c r="DF112" s="3" t="s">
        <v>3</v>
      </c>
      <c r="DG112" s="3" t="s">
        <v>3</v>
      </c>
      <c r="DH112" s="3" t="s">
        <v>3</v>
      </c>
      <c r="DI112" s="3" t="s">
        <v>3</v>
      </c>
      <c r="DJ112" s="3" t="s">
        <v>3</v>
      </c>
      <c r="DK112" s="3" t="s">
        <v>3</v>
      </c>
      <c r="DL112" s="3" t="s">
        <v>3</v>
      </c>
      <c r="DM112" s="3" t="s">
        <v>3</v>
      </c>
      <c r="DN112" s="3">
        <v>0</v>
      </c>
      <c r="DO112" s="3">
        <v>0</v>
      </c>
      <c r="DP112" s="3">
        <v>1</v>
      </c>
      <c r="DQ112" s="3">
        <v>1</v>
      </c>
      <c r="DU112" s="3">
        <v>1013</v>
      </c>
      <c r="DV112" s="3" t="s">
        <v>144</v>
      </c>
      <c r="DW112" s="3" t="s">
        <v>144</v>
      </c>
      <c r="DX112" s="3">
        <v>1</v>
      </c>
      <c r="DZ112" s="3" t="s">
        <v>3</v>
      </c>
      <c r="EA112" s="3" t="s">
        <v>3</v>
      </c>
      <c r="EB112" s="3" t="s">
        <v>3</v>
      </c>
      <c r="EC112" s="3" t="s">
        <v>3</v>
      </c>
      <c r="EE112" s="3">
        <v>55393630</v>
      </c>
      <c r="EF112" s="3">
        <v>214</v>
      </c>
      <c r="EG112" s="3" t="s">
        <v>145</v>
      </c>
      <c r="EH112" s="3">
        <v>0</v>
      </c>
      <c r="EI112" s="3" t="s">
        <v>3</v>
      </c>
      <c r="EJ112" s="3">
        <v>3</v>
      </c>
      <c r="EK112" s="3">
        <v>400007</v>
      </c>
      <c r="EL112" s="3" t="s">
        <v>145</v>
      </c>
      <c r="EM112" s="3" t="s">
        <v>146</v>
      </c>
      <c r="EO112" s="3" t="s">
        <v>67</v>
      </c>
      <c r="EQ112" s="3">
        <v>16</v>
      </c>
      <c r="ER112" s="3">
        <v>0</v>
      </c>
      <c r="ES112" s="3">
        <v>55.31</v>
      </c>
      <c r="ET112" s="3">
        <v>0</v>
      </c>
      <c r="EU112" s="3">
        <v>0</v>
      </c>
      <c r="EV112" s="3">
        <v>0</v>
      </c>
      <c r="EW112" s="3">
        <v>0</v>
      </c>
      <c r="EX112" s="3">
        <v>0</v>
      </c>
      <c r="EZ112" s="3">
        <v>5</v>
      </c>
      <c r="FC112" s="3">
        <v>1</v>
      </c>
      <c r="FD112" s="3">
        <v>18</v>
      </c>
      <c r="FF112" s="3">
        <v>490</v>
      </c>
      <c r="FQ112" s="3">
        <v>0</v>
      </c>
      <c r="FR112" s="3">
        <f>P112</f>
        <v>2930.88</v>
      </c>
      <c r="FS112" s="3">
        <v>0</v>
      </c>
      <c r="FX112" s="3">
        <v>95</v>
      </c>
      <c r="FY112" s="3">
        <v>53</v>
      </c>
      <c r="GA112" s="3" t="s">
        <v>175</v>
      </c>
      <c r="GD112" s="3">
        <v>1</v>
      </c>
      <c r="GF112" s="3">
        <v>1481805577</v>
      </c>
      <c r="GG112" s="3">
        <v>2</v>
      </c>
      <c r="GH112" s="3">
        <v>3</v>
      </c>
      <c r="GI112" s="3">
        <v>5</v>
      </c>
      <c r="GJ112" s="3">
        <v>0</v>
      </c>
      <c r="GK112" s="3">
        <v>0</v>
      </c>
      <c r="GL112" s="3">
        <f t="shared" si="90"/>
        <v>0</v>
      </c>
      <c r="GM112" s="3">
        <f t="shared" si="91"/>
        <v>2930.88</v>
      </c>
      <c r="GN112" s="3">
        <f t="shared" si="92"/>
        <v>0</v>
      </c>
      <c r="GO112" s="3">
        <f t="shared" si="93"/>
        <v>0</v>
      </c>
      <c r="GP112" s="3">
        <f t="shared" si="94"/>
        <v>0</v>
      </c>
      <c r="GR112" s="3">
        <v>1</v>
      </c>
      <c r="GS112" s="3">
        <v>1</v>
      </c>
      <c r="GT112" s="3">
        <v>0</v>
      </c>
      <c r="GU112" s="3" t="s">
        <v>3</v>
      </c>
      <c r="GV112" s="3">
        <f t="shared" si="95"/>
        <v>0</v>
      </c>
      <c r="GW112" s="3">
        <v>1</v>
      </c>
      <c r="GX112" s="3">
        <f t="shared" si="96"/>
        <v>0</v>
      </c>
      <c r="HA112" s="3">
        <v>0</v>
      </c>
      <c r="HB112" s="3">
        <v>0</v>
      </c>
      <c r="HC112" s="3">
        <f t="shared" si="97"/>
        <v>0</v>
      </c>
      <c r="HE112" s="3" t="s">
        <v>35</v>
      </c>
      <c r="HF112" s="3" t="s">
        <v>148</v>
      </c>
      <c r="HM112" s="3" t="s">
        <v>62</v>
      </c>
      <c r="HN112" s="3" t="s">
        <v>3</v>
      </c>
      <c r="HO112" s="3" t="s">
        <v>3</v>
      </c>
      <c r="HP112" s="3" t="s">
        <v>3</v>
      </c>
      <c r="HQ112" s="3" t="s">
        <v>3</v>
      </c>
      <c r="HS112" s="3">
        <v>0</v>
      </c>
      <c r="IK112" s="3">
        <v>0</v>
      </c>
    </row>
    <row r="113" spans="1:255" x14ac:dyDescent="0.25">
      <c r="A113" s="2">
        <v>17</v>
      </c>
      <c r="B113" s="2">
        <v>1</v>
      </c>
      <c r="C113" s="2">
        <f>ROW(SmtRes!A150)</f>
        <v>150</v>
      </c>
      <c r="D113" s="2">
        <f>ROW(EtalonRes!A176)</f>
        <v>176</v>
      </c>
      <c r="E113" s="2" t="s">
        <v>176</v>
      </c>
      <c r="F113" s="2" t="s">
        <v>40</v>
      </c>
      <c r="G113" s="2" t="s">
        <v>166</v>
      </c>
      <c r="H113" s="2" t="s">
        <v>22</v>
      </c>
      <c r="I113" s="2">
        <f>ROUND(3/10,9)</f>
        <v>0.3</v>
      </c>
      <c r="J113" s="2">
        <v>0</v>
      </c>
      <c r="K113" s="2">
        <f>ROUND(3/10,9)</f>
        <v>0.3</v>
      </c>
      <c r="L113" s="2"/>
      <c r="M113" s="2"/>
      <c r="N113" s="2"/>
      <c r="O113" s="2">
        <f t="shared" si="73"/>
        <v>88.75</v>
      </c>
      <c r="P113" s="2">
        <f t="shared" si="102"/>
        <v>0.73</v>
      </c>
      <c r="Q113" s="2">
        <f>(ROUND((ROUND((((ET113*1.2))*AV113*I113),2)*BB113),2)+ROUND((ROUND(((AE113-((EU113*1.2)))*AV113*I113),2)*BS113),2))</f>
        <v>2.29</v>
      </c>
      <c r="R113" s="2">
        <f>(ROUND((ROUND((((EU113*1.2))*AV113*I113),2)*BS113),2)+ROUND((ROUND(((AE113-((EU113*1.2)))*AV113*I113),2)*BS113),2))</f>
        <v>0.28999999999999998</v>
      </c>
      <c r="S113" s="2">
        <f t="shared" si="75"/>
        <v>85.73</v>
      </c>
      <c r="T113" s="2">
        <f t="shared" si="76"/>
        <v>0</v>
      </c>
      <c r="U113" s="2">
        <f t="shared" si="77"/>
        <v>5.5181087999999994</v>
      </c>
      <c r="V113" s="2">
        <f t="shared" si="78"/>
        <v>0</v>
      </c>
      <c r="W113" s="2">
        <f t="shared" si="79"/>
        <v>0</v>
      </c>
      <c r="X113" s="2">
        <f>(ROUND((((S113+ROUND((ROUND((((EU113*1.2))*AV113*I113),2)*BS113),2))*AT113)/100),2)+ROUND(((ROUND((ROUND(((AE113-((EU113*1.2)))*AV113*I113),2)*BS113),2)*AT113)/100),2))</f>
        <v>77.42</v>
      </c>
      <c r="Y113" s="2">
        <f>(ROUND((((S113+ROUND((ROUND((((EU113*1.2))*AV113*I113),2)*BS113),2))*AU113)/100),2)+ROUND(((ROUND((ROUND(((AE113-((EU113*1.2)))*AV113*I113),2)*BS113),2)*AU113)/100),2))</f>
        <v>39.57</v>
      </c>
      <c r="Z113" s="2"/>
      <c r="AA113" s="2">
        <v>55936046</v>
      </c>
      <c r="AB113" s="2">
        <f t="shared" si="80"/>
        <v>282.65199999999999</v>
      </c>
      <c r="AC113" s="2">
        <f>ROUND(((ES113*1)),6)</f>
        <v>2.44</v>
      </c>
      <c r="AD113" s="2">
        <f>ROUND(((((ET113*1.2))-((EU113*1.2)))+AE113),6)</f>
        <v>7.2839999999999998</v>
      </c>
      <c r="AE113" s="2">
        <f>ROUND(((EU113*1.2)),6)</f>
        <v>0.91200000000000003</v>
      </c>
      <c r="AF113" s="2">
        <f>ROUND(((EV113*1.2)),6)</f>
        <v>272.928</v>
      </c>
      <c r="AG113" s="2">
        <f t="shared" si="81"/>
        <v>0</v>
      </c>
      <c r="AH113" s="2">
        <f>((EW113*1.2))</f>
        <v>17.568000000000001</v>
      </c>
      <c r="AI113" s="2">
        <f>((EX113*1.2))</f>
        <v>0</v>
      </c>
      <c r="AJ113" s="2">
        <f t="shared" si="82"/>
        <v>0</v>
      </c>
      <c r="AK113" s="2">
        <v>235.95</v>
      </c>
      <c r="AL113" s="2">
        <v>2.44</v>
      </c>
      <c r="AM113" s="2">
        <v>6.07</v>
      </c>
      <c r="AN113" s="2">
        <v>0.76</v>
      </c>
      <c r="AO113" s="2">
        <v>227.44</v>
      </c>
      <c r="AP113" s="2">
        <v>0</v>
      </c>
      <c r="AQ113" s="2">
        <v>14.64</v>
      </c>
      <c r="AR113" s="2">
        <v>0</v>
      </c>
      <c r="AS113" s="2">
        <v>0</v>
      </c>
      <c r="AT113" s="2">
        <v>90</v>
      </c>
      <c r="AU113" s="2">
        <v>46</v>
      </c>
      <c r="AV113" s="2">
        <v>1.0469999999999999</v>
      </c>
      <c r="AW113" s="2">
        <v>1</v>
      </c>
      <c r="AX113" s="2"/>
      <c r="AY113" s="2"/>
      <c r="AZ113" s="2">
        <v>1</v>
      </c>
      <c r="BA113" s="2">
        <v>1</v>
      </c>
      <c r="BB113" s="2">
        <v>1</v>
      </c>
      <c r="BC113" s="2">
        <v>1</v>
      </c>
      <c r="BD113" s="2" t="s">
        <v>3</v>
      </c>
      <c r="BE113" s="2" t="s">
        <v>3</v>
      </c>
      <c r="BF113" s="2" t="s">
        <v>3</v>
      </c>
      <c r="BG113" s="2" t="s">
        <v>3</v>
      </c>
      <c r="BH113" s="2">
        <v>0</v>
      </c>
      <c r="BI113" s="2">
        <v>2</v>
      </c>
      <c r="BJ113" s="2" t="s">
        <v>42</v>
      </c>
      <c r="BK113" s="2"/>
      <c r="BL113" s="2"/>
      <c r="BM113" s="2">
        <v>68</v>
      </c>
      <c r="BN113" s="2">
        <v>0</v>
      </c>
      <c r="BO113" s="2" t="s">
        <v>40</v>
      </c>
      <c r="BP113" s="2">
        <v>1</v>
      </c>
      <c r="BQ113" s="2">
        <v>40</v>
      </c>
      <c r="BR113" s="2">
        <v>0</v>
      </c>
      <c r="BS113" s="2">
        <v>1</v>
      </c>
      <c r="BT113" s="2">
        <v>1</v>
      </c>
      <c r="BU113" s="2">
        <v>1</v>
      </c>
      <c r="BV113" s="2">
        <v>1</v>
      </c>
      <c r="BW113" s="2">
        <v>1</v>
      </c>
      <c r="BX113" s="2">
        <v>1</v>
      </c>
      <c r="BY113" s="2" t="s">
        <v>3</v>
      </c>
      <c r="BZ113" s="2">
        <v>90</v>
      </c>
      <c r="CA113" s="2">
        <v>46</v>
      </c>
      <c r="CB113" s="2" t="s">
        <v>3</v>
      </c>
      <c r="CC113" s="2"/>
      <c r="CD113" s="2"/>
      <c r="CE113" s="2">
        <v>1566</v>
      </c>
      <c r="CF113" s="2">
        <v>0</v>
      </c>
      <c r="CG113" s="2">
        <v>0</v>
      </c>
      <c r="CH113" s="2"/>
      <c r="CI113" s="2"/>
      <c r="CJ113" s="2"/>
      <c r="CK113" s="2"/>
      <c r="CL113" s="2"/>
      <c r="CM113" s="2">
        <v>0</v>
      </c>
      <c r="CN113" s="2" t="s">
        <v>422</v>
      </c>
      <c r="CO113" s="2">
        <v>0</v>
      </c>
      <c r="CP113" s="2">
        <f t="shared" si="83"/>
        <v>88.75</v>
      </c>
      <c r="CQ113" s="2">
        <f t="shared" si="103"/>
        <v>2.44</v>
      </c>
      <c r="CR113" s="2">
        <f>(ROUND((ROUND((((ET113*1.2))*AV113*1),2)*BB113),2)+ROUND((ROUND(((AE113-((EU113*1.2)))*AV113*1),2)*BS113),2))</f>
        <v>7.63</v>
      </c>
      <c r="CS113" s="2">
        <f>(ROUND((ROUND((((EU113*1.2))*AV113*1),2)*BS113),2)+ROUND((ROUND(((AE113-((EU113*1.2)))*AV113*1),2)*BS113),2))</f>
        <v>0.95</v>
      </c>
      <c r="CT113" s="2">
        <f t="shared" si="85"/>
        <v>285.76</v>
      </c>
      <c r="CU113" s="2">
        <f t="shared" si="86"/>
        <v>0</v>
      </c>
      <c r="CV113" s="2">
        <f t="shared" si="87"/>
        <v>18.393695999999998</v>
      </c>
      <c r="CW113" s="2">
        <f t="shared" si="88"/>
        <v>0</v>
      </c>
      <c r="CX113" s="2">
        <f t="shared" si="89"/>
        <v>0</v>
      </c>
      <c r="CY113" s="2">
        <f>(ROUND((((S113+ROUND((ROUND((((EU113*1.2))*AV113*1),2)*BS113),2))*AT113)/100),2)+ROUND(((ROUND((ROUND(((AE113-((EU113*1.2)))*AV113*1),2)*BS113),2)*AT113)/100),2))</f>
        <v>78.010000000000005</v>
      </c>
      <c r="CZ113" s="2">
        <f>(ROUND((((S113+ROUND((ROUND((((EU113*1.2))*AV113*1),2)*BS113),2))*AU113)/100),2)+ROUND(((ROUND((ROUND(((AE113-((EU113*1.2)))*AV113*1),2)*BS113),2)*AU113)/100),2))</f>
        <v>39.869999999999997</v>
      </c>
      <c r="DA113" s="2"/>
      <c r="DB113" s="2">
        <v>59</v>
      </c>
      <c r="DC113" s="2" t="s">
        <v>3</v>
      </c>
      <c r="DD113" s="2" t="s">
        <v>62</v>
      </c>
      <c r="DE113" s="2" t="s">
        <v>63</v>
      </c>
      <c r="DF113" s="2" t="s">
        <v>63</v>
      </c>
      <c r="DG113" s="2" t="s">
        <v>63</v>
      </c>
      <c r="DH113" s="2" t="s">
        <v>3</v>
      </c>
      <c r="DI113" s="2" t="s">
        <v>63</v>
      </c>
      <c r="DJ113" s="2" t="s">
        <v>63</v>
      </c>
      <c r="DK113" s="2" t="s">
        <v>3</v>
      </c>
      <c r="DL113" s="2" t="s">
        <v>3</v>
      </c>
      <c r="DM113" s="2" t="s">
        <v>3</v>
      </c>
      <c r="DN113" s="2">
        <v>0</v>
      </c>
      <c r="DO113" s="2">
        <v>0</v>
      </c>
      <c r="DP113" s="2">
        <v>1</v>
      </c>
      <c r="DQ113" s="2">
        <v>1</v>
      </c>
      <c r="DR113" s="2"/>
      <c r="DS113" s="2"/>
      <c r="DT113" s="2"/>
      <c r="DU113" s="2">
        <v>1010</v>
      </c>
      <c r="DV113" s="2" t="s">
        <v>22</v>
      </c>
      <c r="DW113" s="2" t="s">
        <v>22</v>
      </c>
      <c r="DX113" s="2">
        <v>10</v>
      </c>
      <c r="DY113" s="2"/>
      <c r="DZ113" s="2" t="s">
        <v>3</v>
      </c>
      <c r="EA113" s="2" t="s">
        <v>3</v>
      </c>
      <c r="EB113" s="2" t="s">
        <v>3</v>
      </c>
      <c r="EC113" s="2" t="s">
        <v>3</v>
      </c>
      <c r="ED113" s="2"/>
      <c r="EE113" s="2">
        <v>55393700</v>
      </c>
      <c r="EF113" s="2">
        <v>40</v>
      </c>
      <c r="EG113" s="2" t="s">
        <v>26</v>
      </c>
      <c r="EH113" s="2">
        <v>0</v>
      </c>
      <c r="EI113" s="2" t="s">
        <v>3</v>
      </c>
      <c r="EJ113" s="2">
        <v>2</v>
      </c>
      <c r="EK113" s="2">
        <v>68</v>
      </c>
      <c r="EL113" s="2" t="s">
        <v>27</v>
      </c>
      <c r="EM113" s="2" t="s">
        <v>28</v>
      </c>
      <c r="EN113" s="2"/>
      <c r="EO113" s="2" t="s">
        <v>67</v>
      </c>
      <c r="EP113" s="2"/>
      <c r="EQ113" s="2">
        <v>0</v>
      </c>
      <c r="ER113" s="2">
        <v>235.95</v>
      </c>
      <c r="ES113" s="2">
        <v>2.44</v>
      </c>
      <c r="ET113" s="2">
        <v>6.07</v>
      </c>
      <c r="EU113" s="2">
        <v>0.76</v>
      </c>
      <c r="EV113" s="2">
        <v>227.44</v>
      </c>
      <c r="EW113" s="2">
        <v>14.64</v>
      </c>
      <c r="EX113" s="2">
        <v>0</v>
      </c>
      <c r="EY113" s="2">
        <v>0</v>
      </c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>
        <v>0</v>
      </c>
      <c r="FR113" s="2">
        <v>0</v>
      </c>
      <c r="FS113" s="2">
        <v>0</v>
      </c>
      <c r="FT113" s="2"/>
      <c r="FU113" s="2"/>
      <c r="FV113" s="2"/>
      <c r="FW113" s="2"/>
      <c r="FX113" s="2">
        <v>90</v>
      </c>
      <c r="FY113" s="2">
        <v>46</v>
      </c>
      <c r="FZ113" s="2"/>
      <c r="GA113" s="2" t="s">
        <v>3</v>
      </c>
      <c r="GB113" s="2"/>
      <c r="GC113" s="2"/>
      <c r="GD113" s="2">
        <v>1</v>
      </c>
      <c r="GE113" s="2"/>
      <c r="GF113" s="2">
        <v>-1267474206</v>
      </c>
      <c r="GG113" s="2">
        <v>2</v>
      </c>
      <c r="GH113" s="2">
        <v>1</v>
      </c>
      <c r="GI113" s="2">
        <v>2</v>
      </c>
      <c r="GJ113" s="2">
        <v>0</v>
      </c>
      <c r="GK113" s="2">
        <v>0</v>
      </c>
      <c r="GL113" s="2">
        <f t="shared" si="90"/>
        <v>0</v>
      </c>
      <c r="GM113" s="2">
        <f t="shared" si="91"/>
        <v>205.74</v>
      </c>
      <c r="GN113" s="2">
        <f t="shared" si="92"/>
        <v>0</v>
      </c>
      <c r="GO113" s="2">
        <f t="shared" si="93"/>
        <v>205.74</v>
      </c>
      <c r="GP113" s="2">
        <f t="shared" si="94"/>
        <v>0</v>
      </c>
      <c r="GQ113" s="2"/>
      <c r="GR113" s="2">
        <v>0</v>
      </c>
      <c r="GS113" s="2">
        <v>3</v>
      </c>
      <c r="GT113" s="2">
        <v>0</v>
      </c>
      <c r="GU113" s="2" t="s">
        <v>3</v>
      </c>
      <c r="GV113" s="2">
        <f t="shared" si="95"/>
        <v>0</v>
      </c>
      <c r="GW113" s="2">
        <v>1</v>
      </c>
      <c r="GX113" s="2">
        <f t="shared" si="96"/>
        <v>0</v>
      </c>
      <c r="GY113" s="2"/>
      <c r="GZ113" s="2"/>
      <c r="HA113" s="2">
        <v>0</v>
      </c>
      <c r="HB113" s="2">
        <v>0</v>
      </c>
      <c r="HC113" s="2">
        <f t="shared" si="97"/>
        <v>0</v>
      </c>
      <c r="HD113" s="2"/>
      <c r="HE113" s="2" t="s">
        <v>3</v>
      </c>
      <c r="HF113" s="2" t="s">
        <v>3</v>
      </c>
      <c r="HG113" s="2"/>
      <c r="HH113" s="2"/>
      <c r="HI113" s="2"/>
      <c r="HJ113" s="2"/>
      <c r="HK113" s="2"/>
      <c r="HL113" s="2"/>
      <c r="HM113" s="2" t="s">
        <v>3</v>
      </c>
      <c r="HN113" s="2" t="s">
        <v>3</v>
      </c>
      <c r="HO113" s="2" t="s">
        <v>3</v>
      </c>
      <c r="HP113" s="2" t="s">
        <v>3</v>
      </c>
      <c r="HQ113" s="2" t="s">
        <v>3</v>
      </c>
      <c r="HR113" s="2"/>
      <c r="HS113" s="2">
        <v>0</v>
      </c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>
        <v>0</v>
      </c>
      <c r="IL113" s="2"/>
      <c r="IM113" s="2"/>
      <c r="IN113" s="2"/>
      <c r="IO113" s="2"/>
      <c r="IP113" s="2"/>
      <c r="IQ113" s="2"/>
      <c r="IR113" s="2"/>
      <c r="IS113" s="2"/>
      <c r="IT113" s="2"/>
      <c r="IU113" s="2"/>
    </row>
    <row r="114" spans="1:255" x14ac:dyDescent="0.25">
      <c r="A114" s="3">
        <v>17</v>
      </c>
      <c r="B114" s="3">
        <v>1</v>
      </c>
      <c r="C114" s="3">
        <f>ROW(SmtRes!A156)</f>
        <v>156</v>
      </c>
      <c r="D114" s="3">
        <f>ROW(EtalonRes!A182)</f>
        <v>182</v>
      </c>
      <c r="E114" s="3" t="s">
        <v>176</v>
      </c>
      <c r="F114" s="3" t="s">
        <v>40</v>
      </c>
      <c r="G114" s="3" t="s">
        <v>166</v>
      </c>
      <c r="H114" s="3" t="s">
        <v>22</v>
      </c>
      <c r="I114" s="3">
        <f>ROUND(3/10,9)</f>
        <v>0.3</v>
      </c>
      <c r="J114" s="3">
        <v>0</v>
      </c>
      <c r="K114" s="3">
        <f>ROUND(3/10,9)</f>
        <v>0.3</v>
      </c>
      <c r="O114" s="3">
        <f t="shared" si="73"/>
        <v>4872.47</v>
      </c>
      <c r="P114" s="3">
        <f t="shared" si="102"/>
        <v>5.56</v>
      </c>
      <c r="Q114" s="3">
        <f>(ROUND((ROUND((((ET114*1.2))*AV114*I114),2)*BB114),2)+ROUND((ROUND(((AE114-((EU114*1.2)))*AV114*I114),2)*BS114),2))</f>
        <v>36.020000000000003</v>
      </c>
      <c r="R114" s="3">
        <f>(ROUND((ROUND((((EU114*1.2))*AV114*I114),2)*BS114),2)+ROUND((ROUND(((AE114-((EU114*1.2)))*AV114*I114),2)*BS114),2))</f>
        <v>16.34</v>
      </c>
      <c r="S114" s="3">
        <f t="shared" si="75"/>
        <v>4830.8900000000003</v>
      </c>
      <c r="T114" s="3">
        <f t="shared" si="76"/>
        <v>0</v>
      </c>
      <c r="U114" s="3">
        <f t="shared" si="77"/>
        <v>5.5181087999999994</v>
      </c>
      <c r="V114" s="3">
        <f t="shared" si="78"/>
        <v>0</v>
      </c>
      <c r="W114" s="3">
        <f t="shared" si="79"/>
        <v>0</v>
      </c>
      <c r="X114" s="3">
        <f>(ROUND((((S114+ROUND((ROUND((((EU114*1.2))*AV114*I114),2)*BS114),2))*AT114)/100),2)+ROUND(((ROUND((ROUND(((AE114-((EU114*1.2)))*AV114*I114),2)*BS114),2)*AT114)/100),2))</f>
        <v>4362.51</v>
      </c>
      <c r="Y114" s="3">
        <f>(ROUND((((S114+ROUND((ROUND((((EU114*1.2))*AV114*I114),2)*BS114),2))*AU114)/100),2)+ROUND(((ROUND((ROUND(((AE114-((EU114*1.2)))*AV114*I114),2)*BS114),2)*AU114)/100),2))</f>
        <v>2229.73</v>
      </c>
      <c r="AA114" s="3">
        <v>55936048</v>
      </c>
      <c r="AB114" s="3">
        <f t="shared" si="80"/>
        <v>282.65199999999999</v>
      </c>
      <c r="AC114" s="3">
        <f>ROUND(((ES114*1)),6)</f>
        <v>2.44</v>
      </c>
      <c r="AD114" s="3">
        <f>ROUND(((((ET114*1.2))-((EU114*1.2)))+AE114),6)</f>
        <v>7.2839999999999998</v>
      </c>
      <c r="AE114" s="3">
        <f>ROUND(((EU114*1.2)),6)</f>
        <v>0.91200000000000003</v>
      </c>
      <c r="AF114" s="3">
        <f>ROUND(((EV114*1.2)),6)</f>
        <v>272.928</v>
      </c>
      <c r="AG114" s="3">
        <f t="shared" si="81"/>
        <v>0</v>
      </c>
      <c r="AH114" s="3">
        <f>((EW114*1.2))</f>
        <v>17.568000000000001</v>
      </c>
      <c r="AI114" s="3">
        <f>((EX114*1.2))</f>
        <v>0</v>
      </c>
      <c r="AJ114" s="3">
        <f t="shared" si="82"/>
        <v>0</v>
      </c>
      <c r="AK114" s="3">
        <v>235.95</v>
      </c>
      <c r="AL114" s="3">
        <v>2.44</v>
      </c>
      <c r="AM114" s="3">
        <v>6.07</v>
      </c>
      <c r="AN114" s="3">
        <v>0.76</v>
      </c>
      <c r="AO114" s="3">
        <v>227.44</v>
      </c>
      <c r="AP114" s="3">
        <v>0</v>
      </c>
      <c r="AQ114" s="3">
        <v>14.64</v>
      </c>
      <c r="AR114" s="3">
        <v>0</v>
      </c>
      <c r="AS114" s="3">
        <v>0</v>
      </c>
      <c r="AT114" s="3">
        <v>90</v>
      </c>
      <c r="AU114" s="3">
        <v>46</v>
      </c>
      <c r="AV114" s="3">
        <v>1.0469999999999999</v>
      </c>
      <c r="AW114" s="3">
        <v>1</v>
      </c>
      <c r="AZ114" s="3">
        <v>1</v>
      </c>
      <c r="BA114" s="3">
        <v>56.35</v>
      </c>
      <c r="BB114" s="3">
        <v>15.73</v>
      </c>
      <c r="BC114" s="3">
        <v>7.61</v>
      </c>
      <c r="BD114" s="3" t="s">
        <v>3</v>
      </c>
      <c r="BE114" s="3" t="s">
        <v>3</v>
      </c>
      <c r="BF114" s="3" t="s">
        <v>3</v>
      </c>
      <c r="BG114" s="3" t="s">
        <v>3</v>
      </c>
      <c r="BH114" s="3">
        <v>0</v>
      </c>
      <c r="BI114" s="3">
        <v>2</v>
      </c>
      <c r="BJ114" s="3" t="s">
        <v>42</v>
      </c>
      <c r="BM114" s="3">
        <v>68</v>
      </c>
      <c r="BN114" s="3">
        <v>0</v>
      </c>
      <c r="BO114" s="3" t="s">
        <v>40</v>
      </c>
      <c r="BP114" s="3">
        <v>1</v>
      </c>
      <c r="BQ114" s="3">
        <v>40</v>
      </c>
      <c r="BR114" s="3">
        <v>0</v>
      </c>
      <c r="BS114" s="3">
        <v>56.35</v>
      </c>
      <c r="BT114" s="3">
        <v>1</v>
      </c>
      <c r="BU114" s="3">
        <v>1</v>
      </c>
      <c r="BV114" s="3">
        <v>1</v>
      </c>
      <c r="BW114" s="3">
        <v>1</v>
      </c>
      <c r="BX114" s="3">
        <v>1</v>
      </c>
      <c r="BY114" s="3" t="s">
        <v>3</v>
      </c>
      <c r="BZ114" s="3">
        <v>90</v>
      </c>
      <c r="CA114" s="3">
        <v>46</v>
      </c>
      <c r="CB114" s="3" t="s">
        <v>3</v>
      </c>
      <c r="CE114" s="3">
        <v>1566</v>
      </c>
      <c r="CF114" s="3">
        <v>0</v>
      </c>
      <c r="CG114" s="3">
        <v>0</v>
      </c>
      <c r="CM114" s="3">
        <v>0</v>
      </c>
      <c r="CN114" s="3" t="s">
        <v>422</v>
      </c>
      <c r="CO114" s="3">
        <v>0</v>
      </c>
      <c r="CP114" s="3">
        <f t="shared" si="83"/>
        <v>4872.47</v>
      </c>
      <c r="CQ114" s="3">
        <f t="shared" si="103"/>
        <v>18.57</v>
      </c>
      <c r="CR114" s="3">
        <f>(ROUND((ROUND((((ET114*1.2))*AV114*1),2)*BB114),2)+ROUND((ROUND(((AE114-((EU114*1.2)))*AV114*1),2)*BS114),2))</f>
        <v>120.02</v>
      </c>
      <c r="CS114" s="3">
        <f>(ROUND((ROUND((((EU114*1.2))*AV114*1),2)*BS114),2)+ROUND((ROUND(((AE114-((EU114*1.2)))*AV114*1),2)*BS114),2))</f>
        <v>53.53</v>
      </c>
      <c r="CT114" s="3">
        <f t="shared" si="85"/>
        <v>16102.58</v>
      </c>
      <c r="CU114" s="3">
        <f t="shared" si="86"/>
        <v>0</v>
      </c>
      <c r="CV114" s="3">
        <f t="shared" si="87"/>
        <v>18.393695999999998</v>
      </c>
      <c r="CW114" s="3">
        <f t="shared" si="88"/>
        <v>0</v>
      </c>
      <c r="CX114" s="3">
        <f t="shared" si="89"/>
        <v>0</v>
      </c>
      <c r="CY114" s="3">
        <f>(ROUND((((S114+ROUND((ROUND((((EU114*1.2))*AV114*1),2)*BS114),2))*AT114)/100),2)+ROUND(((ROUND((ROUND(((AE114-((EU114*1.2)))*AV114*1),2)*BS114),2)*AT114)/100),2))</f>
        <v>4395.9799999999996</v>
      </c>
      <c r="CZ114" s="3">
        <f>(ROUND((((S114+ROUND((ROUND((((EU114*1.2))*AV114*1),2)*BS114),2))*AU114)/100),2)+ROUND(((ROUND((ROUND(((AE114-((EU114*1.2)))*AV114*1),2)*BS114),2)*AU114)/100),2))</f>
        <v>2246.83</v>
      </c>
      <c r="DB114" s="3">
        <v>60</v>
      </c>
      <c r="DC114" s="3" t="s">
        <v>3</v>
      </c>
      <c r="DD114" s="3" t="s">
        <v>62</v>
      </c>
      <c r="DE114" s="3" t="s">
        <v>63</v>
      </c>
      <c r="DF114" s="3" t="s">
        <v>63</v>
      </c>
      <c r="DG114" s="3" t="s">
        <v>63</v>
      </c>
      <c r="DH114" s="3" t="s">
        <v>3</v>
      </c>
      <c r="DI114" s="3" t="s">
        <v>63</v>
      </c>
      <c r="DJ114" s="3" t="s">
        <v>63</v>
      </c>
      <c r="DK114" s="3" t="s">
        <v>3</v>
      </c>
      <c r="DL114" s="3" t="s">
        <v>3</v>
      </c>
      <c r="DM114" s="3" t="s">
        <v>3</v>
      </c>
      <c r="DN114" s="3">
        <v>0</v>
      </c>
      <c r="DO114" s="3">
        <v>0</v>
      </c>
      <c r="DP114" s="3">
        <v>1</v>
      </c>
      <c r="DQ114" s="3">
        <v>1</v>
      </c>
      <c r="DU114" s="3">
        <v>1010</v>
      </c>
      <c r="DV114" s="3" t="s">
        <v>22</v>
      </c>
      <c r="DW114" s="3" t="s">
        <v>22</v>
      </c>
      <c r="DX114" s="3">
        <v>10</v>
      </c>
      <c r="DZ114" s="3" t="s">
        <v>3</v>
      </c>
      <c r="EA114" s="3" t="s">
        <v>3</v>
      </c>
      <c r="EB114" s="3" t="s">
        <v>3</v>
      </c>
      <c r="EC114" s="3" t="s">
        <v>3</v>
      </c>
      <c r="EE114" s="3">
        <v>55393700</v>
      </c>
      <c r="EF114" s="3">
        <v>40</v>
      </c>
      <c r="EG114" s="3" t="s">
        <v>26</v>
      </c>
      <c r="EH114" s="3">
        <v>0</v>
      </c>
      <c r="EI114" s="3" t="s">
        <v>3</v>
      </c>
      <c r="EJ114" s="3">
        <v>2</v>
      </c>
      <c r="EK114" s="3">
        <v>68</v>
      </c>
      <c r="EL114" s="3" t="s">
        <v>27</v>
      </c>
      <c r="EM114" s="3" t="s">
        <v>28</v>
      </c>
      <c r="EO114" s="3" t="s">
        <v>67</v>
      </c>
      <c r="EQ114" s="3">
        <v>0</v>
      </c>
      <c r="ER114" s="3">
        <v>235.95</v>
      </c>
      <c r="ES114" s="3">
        <v>2.44</v>
      </c>
      <c r="ET114" s="3">
        <v>6.07</v>
      </c>
      <c r="EU114" s="3">
        <v>0.76</v>
      </c>
      <c r="EV114" s="3">
        <v>227.44</v>
      </c>
      <c r="EW114" s="3">
        <v>14.64</v>
      </c>
      <c r="EX114" s="3">
        <v>0</v>
      </c>
      <c r="EY114" s="3">
        <v>0</v>
      </c>
      <c r="FQ114" s="3">
        <v>0</v>
      </c>
      <c r="FR114" s="3">
        <v>0</v>
      </c>
      <c r="FS114" s="3">
        <v>0</v>
      </c>
      <c r="FX114" s="3">
        <v>90</v>
      </c>
      <c r="FY114" s="3">
        <v>46</v>
      </c>
      <c r="GA114" s="3" t="s">
        <v>3</v>
      </c>
      <c r="GD114" s="3">
        <v>1</v>
      </c>
      <c r="GF114" s="3">
        <v>-1267474206</v>
      </c>
      <c r="GG114" s="3">
        <v>2</v>
      </c>
      <c r="GH114" s="3">
        <v>1</v>
      </c>
      <c r="GI114" s="3">
        <v>2</v>
      </c>
      <c r="GJ114" s="3">
        <v>0</v>
      </c>
      <c r="GK114" s="3">
        <v>0</v>
      </c>
      <c r="GL114" s="3">
        <f t="shared" si="90"/>
        <v>0</v>
      </c>
      <c r="GM114" s="3">
        <f t="shared" si="91"/>
        <v>11464.71</v>
      </c>
      <c r="GN114" s="3">
        <f t="shared" si="92"/>
        <v>0</v>
      </c>
      <c r="GO114" s="3">
        <f t="shared" si="93"/>
        <v>11464.71</v>
      </c>
      <c r="GP114" s="3">
        <f t="shared" si="94"/>
        <v>0</v>
      </c>
      <c r="GR114" s="3">
        <v>0</v>
      </c>
      <c r="GS114" s="3">
        <v>3</v>
      </c>
      <c r="GT114" s="3">
        <v>0</v>
      </c>
      <c r="GU114" s="3" t="s">
        <v>3</v>
      </c>
      <c r="GV114" s="3">
        <f t="shared" si="95"/>
        <v>0</v>
      </c>
      <c r="GW114" s="3">
        <v>1</v>
      </c>
      <c r="GX114" s="3">
        <f t="shared" si="96"/>
        <v>0</v>
      </c>
      <c r="HA114" s="3">
        <v>0</v>
      </c>
      <c r="HB114" s="3">
        <v>0</v>
      </c>
      <c r="HC114" s="3">
        <f t="shared" si="97"/>
        <v>0</v>
      </c>
      <c r="HE114" s="3" t="s">
        <v>3</v>
      </c>
      <c r="HF114" s="3" t="s">
        <v>3</v>
      </c>
      <c r="HM114" s="3" t="s">
        <v>3</v>
      </c>
      <c r="HN114" s="3" t="s">
        <v>3</v>
      </c>
      <c r="HO114" s="3" t="s">
        <v>3</v>
      </c>
      <c r="HP114" s="3" t="s">
        <v>3</v>
      </c>
      <c r="HQ114" s="3" t="s">
        <v>3</v>
      </c>
      <c r="HS114" s="3">
        <v>0</v>
      </c>
      <c r="IK114" s="3">
        <v>0</v>
      </c>
    </row>
    <row r="115" spans="1:255" x14ac:dyDescent="0.25">
      <c r="A115" s="2">
        <v>18</v>
      </c>
      <c r="B115" s="2">
        <v>1</v>
      </c>
      <c r="C115" s="2">
        <v>150</v>
      </c>
      <c r="D115" s="2"/>
      <c r="E115" s="2" t="s">
        <v>177</v>
      </c>
      <c r="F115" s="2" t="s">
        <v>178</v>
      </c>
      <c r="G115" s="2" t="s">
        <v>179</v>
      </c>
      <c r="H115" s="2" t="s">
        <v>144</v>
      </c>
      <c r="I115" s="2">
        <f>I113*J115</f>
        <v>3</v>
      </c>
      <c r="J115" s="2">
        <v>10</v>
      </c>
      <c r="K115" s="2">
        <v>10</v>
      </c>
      <c r="L115" s="2"/>
      <c r="M115" s="2"/>
      <c r="N115" s="2"/>
      <c r="O115" s="2">
        <f t="shared" si="73"/>
        <v>7719.99</v>
      </c>
      <c r="P115" s="2">
        <f t="shared" si="102"/>
        <v>7719.99</v>
      </c>
      <c r="Q115" s="2">
        <f>(ROUND((ROUND(((ET115)*AV115*I115),2)*BB115),2)+ROUND((ROUND(((AE115-(EU115))*AV115*I115),2)*BS115),2))</f>
        <v>0</v>
      </c>
      <c r="R115" s="2">
        <f>(ROUND((ROUND(((EU115)*AV115*I115),2)*BS115),2)+ROUND((ROUND(((AE115-(EU115))*AV115*I115),2)*BS115),2))</f>
        <v>0</v>
      </c>
      <c r="S115" s="2">
        <f t="shared" si="75"/>
        <v>0</v>
      </c>
      <c r="T115" s="2">
        <f t="shared" si="76"/>
        <v>0</v>
      </c>
      <c r="U115" s="2">
        <f t="shared" si="77"/>
        <v>0</v>
      </c>
      <c r="V115" s="2">
        <f t="shared" si="78"/>
        <v>0</v>
      </c>
      <c r="W115" s="2">
        <f t="shared" si="79"/>
        <v>0</v>
      </c>
      <c r="X115" s="2">
        <f>(ROUND((((S115+ROUND((ROUND(((EU115)*AV115*I115),2)*BS115),2))*AT115)/100),2)+ROUND(((ROUND((ROUND(((AE115-(EU115))*AV115*I115),2)*BS115),2)*AT115)/100),2))</f>
        <v>0</v>
      </c>
      <c r="Y115" s="2">
        <f>(ROUND((((S115+ROUND((ROUND(((EU115)*AV115*I115),2)*BS115),2))*AU115)/100),2)+ROUND(((ROUND((ROUND(((AE115-(EU115))*AV115*I115),2)*BS115),2)*AU115)/100),2))</f>
        <v>0</v>
      </c>
      <c r="Z115" s="2"/>
      <c r="AA115" s="2">
        <v>55936046</v>
      </c>
      <c r="AB115" s="2">
        <f t="shared" si="80"/>
        <v>2573.33</v>
      </c>
      <c r="AC115" s="2">
        <f>ROUND((ES115),6)</f>
        <v>2573.33</v>
      </c>
      <c r="AD115" s="2">
        <f>ROUND((((ET115)-(EU115))+AE115),6)</f>
        <v>0</v>
      </c>
      <c r="AE115" s="2">
        <f>ROUND((EU115),6)</f>
        <v>0</v>
      </c>
      <c r="AF115" s="2">
        <f>ROUND((EV115),6)</f>
        <v>0</v>
      </c>
      <c r="AG115" s="2">
        <f t="shared" si="81"/>
        <v>0</v>
      </c>
      <c r="AH115" s="2">
        <f>(EW115)</f>
        <v>0</v>
      </c>
      <c r="AI115" s="2">
        <f>(EX115)</f>
        <v>0</v>
      </c>
      <c r="AJ115" s="2">
        <f t="shared" si="82"/>
        <v>0</v>
      </c>
      <c r="AK115" s="2">
        <v>2573.3300000000004</v>
      </c>
      <c r="AL115" s="2">
        <v>2573.3300000000004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1</v>
      </c>
      <c r="AW115" s="2">
        <v>1</v>
      </c>
      <c r="AX115" s="2"/>
      <c r="AY115" s="2"/>
      <c r="AZ115" s="2">
        <v>1</v>
      </c>
      <c r="BA115" s="2">
        <v>1</v>
      </c>
      <c r="BB115" s="2">
        <v>1</v>
      </c>
      <c r="BC115" s="2">
        <v>1</v>
      </c>
      <c r="BD115" s="2" t="s">
        <v>3</v>
      </c>
      <c r="BE115" s="2" t="s">
        <v>3</v>
      </c>
      <c r="BF115" s="2" t="s">
        <v>3</v>
      </c>
      <c r="BG115" s="2" t="s">
        <v>3</v>
      </c>
      <c r="BH115" s="2">
        <v>3</v>
      </c>
      <c r="BI115" s="2">
        <v>3</v>
      </c>
      <c r="BJ115" s="2" t="s">
        <v>178</v>
      </c>
      <c r="BK115" s="2"/>
      <c r="BL115" s="2"/>
      <c r="BM115" s="2">
        <v>400007</v>
      </c>
      <c r="BN115" s="2">
        <v>0</v>
      </c>
      <c r="BO115" s="2" t="s">
        <v>3</v>
      </c>
      <c r="BP115" s="2">
        <v>0</v>
      </c>
      <c r="BQ115" s="2">
        <v>214</v>
      </c>
      <c r="BR115" s="2">
        <v>0</v>
      </c>
      <c r="BS115" s="2">
        <v>1</v>
      </c>
      <c r="BT115" s="2">
        <v>1</v>
      </c>
      <c r="BU115" s="2">
        <v>1</v>
      </c>
      <c r="BV115" s="2">
        <v>1</v>
      </c>
      <c r="BW115" s="2">
        <v>1</v>
      </c>
      <c r="BX115" s="2">
        <v>1</v>
      </c>
      <c r="BY115" s="2" t="s">
        <v>3</v>
      </c>
      <c r="BZ115" s="2">
        <v>90</v>
      </c>
      <c r="CA115" s="2">
        <v>46</v>
      </c>
      <c r="CB115" s="2" t="s">
        <v>3</v>
      </c>
      <c r="CC115" s="2"/>
      <c r="CD115" s="2"/>
      <c r="CE115" s="2">
        <v>1566</v>
      </c>
      <c r="CF115" s="2">
        <v>0</v>
      </c>
      <c r="CG115" s="2">
        <v>0</v>
      </c>
      <c r="CH115" s="2"/>
      <c r="CI115" s="2"/>
      <c r="CJ115" s="2"/>
      <c r="CK115" s="2"/>
      <c r="CL115" s="2"/>
      <c r="CM115" s="2">
        <v>0</v>
      </c>
      <c r="CN115" s="2" t="s">
        <v>423</v>
      </c>
      <c r="CO115" s="2">
        <v>0</v>
      </c>
      <c r="CP115" s="2">
        <f t="shared" si="83"/>
        <v>7719.99</v>
      </c>
      <c r="CQ115" s="2">
        <f t="shared" si="103"/>
        <v>2573.33</v>
      </c>
      <c r="CR115" s="2">
        <f>(ROUND((ROUND(((ET115)*AV115*1),2)*BB115),2)+ROUND((ROUND(((AE115-(EU115))*AV115*1),2)*BS115),2))</f>
        <v>0</v>
      </c>
      <c r="CS115" s="2">
        <f>(ROUND((ROUND(((EU115)*AV115*1),2)*BS115),2)+ROUND((ROUND(((AE115-(EU115))*AV115*1),2)*BS115),2))</f>
        <v>0</v>
      </c>
      <c r="CT115" s="2">
        <f t="shared" si="85"/>
        <v>0</v>
      </c>
      <c r="CU115" s="2">
        <f t="shared" si="86"/>
        <v>0</v>
      </c>
      <c r="CV115" s="2">
        <f t="shared" si="87"/>
        <v>0</v>
      </c>
      <c r="CW115" s="2">
        <f t="shared" si="88"/>
        <v>0</v>
      </c>
      <c r="CX115" s="2">
        <f t="shared" si="89"/>
        <v>0</v>
      </c>
      <c r="CY115" s="2">
        <f>(ROUND((((S115+ROUND((ROUND(((EU115)*AV115*1),2)*BS115),2))*AT115)/100),2)+ROUND(((ROUND((ROUND(((AE115-(EU115))*AV115*1),2)*BS115),2)*AT115)/100),2))</f>
        <v>0</v>
      </c>
      <c r="CZ115" s="2">
        <f>(ROUND((((S115+ROUND((ROUND(((EU115)*AV115*1),2)*BS115),2))*AU115)/100),2)+ROUND(((ROUND((ROUND(((AE115-(EU115))*AV115*1),2)*BS115),2)*AU115)/100),2))</f>
        <v>0</v>
      </c>
      <c r="DA115" s="2"/>
      <c r="DB115" s="2"/>
      <c r="DC115" s="2" t="s">
        <v>3</v>
      </c>
      <c r="DD115" s="2" t="s">
        <v>3</v>
      </c>
      <c r="DE115" s="2" t="s">
        <v>3</v>
      </c>
      <c r="DF115" s="2" t="s">
        <v>3</v>
      </c>
      <c r="DG115" s="2" t="s">
        <v>3</v>
      </c>
      <c r="DH115" s="2" t="s">
        <v>3</v>
      </c>
      <c r="DI115" s="2" t="s">
        <v>3</v>
      </c>
      <c r="DJ115" s="2" t="s">
        <v>3</v>
      </c>
      <c r="DK115" s="2" t="s">
        <v>3</v>
      </c>
      <c r="DL115" s="2" t="s">
        <v>3</v>
      </c>
      <c r="DM115" s="2" t="s">
        <v>3</v>
      </c>
      <c r="DN115" s="2">
        <v>0</v>
      </c>
      <c r="DO115" s="2">
        <v>0</v>
      </c>
      <c r="DP115" s="2">
        <v>1</v>
      </c>
      <c r="DQ115" s="2">
        <v>1</v>
      </c>
      <c r="DR115" s="2"/>
      <c r="DS115" s="2"/>
      <c r="DT115" s="2"/>
      <c r="DU115" s="2">
        <v>1013</v>
      </c>
      <c r="DV115" s="2" t="s">
        <v>144</v>
      </c>
      <c r="DW115" s="2" t="s">
        <v>144</v>
      </c>
      <c r="DX115" s="2">
        <v>1</v>
      </c>
      <c r="DY115" s="2"/>
      <c r="DZ115" s="2" t="s">
        <v>3</v>
      </c>
      <c r="EA115" s="2" t="s">
        <v>3</v>
      </c>
      <c r="EB115" s="2" t="s">
        <v>3</v>
      </c>
      <c r="EC115" s="2" t="s">
        <v>3</v>
      </c>
      <c r="ED115" s="2"/>
      <c r="EE115" s="2">
        <v>55393630</v>
      </c>
      <c r="EF115" s="2">
        <v>214</v>
      </c>
      <c r="EG115" s="2" t="s">
        <v>145</v>
      </c>
      <c r="EH115" s="2">
        <v>0</v>
      </c>
      <c r="EI115" s="2" t="s">
        <v>3</v>
      </c>
      <c r="EJ115" s="2">
        <v>3</v>
      </c>
      <c r="EK115" s="2">
        <v>400007</v>
      </c>
      <c r="EL115" s="2" t="s">
        <v>145</v>
      </c>
      <c r="EM115" s="2" t="s">
        <v>146</v>
      </c>
      <c r="EN115" s="2"/>
      <c r="EO115" s="2" t="s">
        <v>67</v>
      </c>
      <c r="EP115" s="2"/>
      <c r="EQ115" s="2">
        <v>16</v>
      </c>
      <c r="ER115" s="2">
        <v>0</v>
      </c>
      <c r="ES115" s="2">
        <v>2573.3300000000004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>
        <v>0</v>
      </c>
      <c r="FR115" s="2">
        <f>P115</f>
        <v>7719.99</v>
      </c>
      <c r="FS115" s="2">
        <v>0</v>
      </c>
      <c r="FT115" s="2"/>
      <c r="FU115" s="2"/>
      <c r="FV115" s="2"/>
      <c r="FW115" s="2"/>
      <c r="FX115" s="2">
        <v>90</v>
      </c>
      <c r="FY115" s="2">
        <v>46</v>
      </c>
      <c r="FZ115" s="2"/>
      <c r="GA115" s="2" t="s">
        <v>180</v>
      </c>
      <c r="GB115" s="2"/>
      <c r="GC115" s="2"/>
      <c r="GD115" s="2">
        <v>1</v>
      </c>
      <c r="GE115" s="2"/>
      <c r="GF115" s="2">
        <v>50695492</v>
      </c>
      <c r="GG115" s="2">
        <v>2</v>
      </c>
      <c r="GH115" s="2">
        <v>4</v>
      </c>
      <c r="GI115" s="2">
        <v>-2</v>
      </c>
      <c r="GJ115" s="2">
        <v>0</v>
      </c>
      <c r="GK115" s="2">
        <v>0</v>
      </c>
      <c r="GL115" s="2">
        <f t="shared" si="90"/>
        <v>0</v>
      </c>
      <c r="GM115" s="2">
        <f t="shared" si="91"/>
        <v>7719.99</v>
      </c>
      <c r="GN115" s="2">
        <f t="shared" si="92"/>
        <v>0</v>
      </c>
      <c r="GO115" s="2">
        <f t="shared" si="93"/>
        <v>0</v>
      </c>
      <c r="GP115" s="2">
        <f t="shared" si="94"/>
        <v>0</v>
      </c>
      <c r="GQ115" s="2"/>
      <c r="GR115" s="2">
        <v>1</v>
      </c>
      <c r="GS115" s="2">
        <v>2</v>
      </c>
      <c r="GT115" s="2">
        <v>0</v>
      </c>
      <c r="GU115" s="2" t="s">
        <v>3</v>
      </c>
      <c r="GV115" s="2">
        <f t="shared" si="95"/>
        <v>0</v>
      </c>
      <c r="GW115" s="2">
        <v>1</v>
      </c>
      <c r="GX115" s="2">
        <f t="shared" si="96"/>
        <v>0</v>
      </c>
      <c r="GY115" s="2"/>
      <c r="GZ115" s="2"/>
      <c r="HA115" s="2">
        <v>0</v>
      </c>
      <c r="HB115" s="2">
        <v>0</v>
      </c>
      <c r="HC115" s="2">
        <f t="shared" si="97"/>
        <v>0</v>
      </c>
      <c r="HD115" s="2"/>
      <c r="HE115" s="2" t="s">
        <v>35</v>
      </c>
      <c r="HF115" s="2" t="s">
        <v>148</v>
      </c>
      <c r="HG115" s="2"/>
      <c r="HH115" s="2"/>
      <c r="HI115" s="2"/>
      <c r="HJ115" s="2"/>
      <c r="HK115" s="2"/>
      <c r="HL115" s="2"/>
      <c r="HM115" s="2" t="s">
        <v>3</v>
      </c>
      <c r="HN115" s="2" t="s">
        <v>3</v>
      </c>
      <c r="HO115" s="2" t="s">
        <v>3</v>
      </c>
      <c r="HP115" s="2" t="s">
        <v>3</v>
      </c>
      <c r="HQ115" s="2" t="s">
        <v>3</v>
      </c>
      <c r="HR115" s="2"/>
      <c r="HS115" s="2">
        <v>0</v>
      </c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>
        <v>0</v>
      </c>
      <c r="IL115" s="2"/>
      <c r="IM115" s="2"/>
      <c r="IN115" s="2"/>
      <c r="IO115" s="2"/>
      <c r="IP115" s="2"/>
      <c r="IQ115" s="2"/>
      <c r="IR115" s="2"/>
      <c r="IS115" s="2"/>
      <c r="IT115" s="2"/>
      <c r="IU115" s="2"/>
    </row>
    <row r="116" spans="1:255" x14ac:dyDescent="0.25">
      <c r="A116" s="3">
        <v>18</v>
      </c>
      <c r="B116" s="3">
        <v>1</v>
      </c>
      <c r="C116" s="3">
        <v>156</v>
      </c>
      <c r="E116" s="3" t="s">
        <v>177</v>
      </c>
      <c r="F116" s="3" t="s">
        <v>178</v>
      </c>
      <c r="G116" s="3" t="s">
        <v>179</v>
      </c>
      <c r="H116" s="3" t="s">
        <v>144</v>
      </c>
      <c r="I116" s="3">
        <f>I114*J116</f>
        <v>3</v>
      </c>
      <c r="J116" s="3">
        <v>10</v>
      </c>
      <c r="K116" s="3">
        <v>10</v>
      </c>
      <c r="O116" s="3">
        <f t="shared" si="73"/>
        <v>58440.32</v>
      </c>
      <c r="P116" s="3">
        <f t="shared" si="102"/>
        <v>58440.32</v>
      </c>
      <c r="Q116" s="3">
        <f>(ROUND((ROUND(((ET116)*AV116*I116),2)*BB116),2)+ROUND((ROUND(((AE116-(EU116))*AV116*I116),2)*BS116),2))</f>
        <v>0</v>
      </c>
      <c r="R116" s="3">
        <f>(ROUND((ROUND(((EU116)*AV116*I116),2)*BS116),2)+ROUND((ROUND(((AE116-(EU116))*AV116*I116),2)*BS116),2))</f>
        <v>0</v>
      </c>
      <c r="S116" s="3">
        <f t="shared" si="75"/>
        <v>0</v>
      </c>
      <c r="T116" s="3">
        <f t="shared" si="76"/>
        <v>0</v>
      </c>
      <c r="U116" s="3">
        <f t="shared" si="77"/>
        <v>0</v>
      </c>
      <c r="V116" s="3">
        <f t="shared" si="78"/>
        <v>0</v>
      </c>
      <c r="W116" s="3">
        <f t="shared" si="79"/>
        <v>0</v>
      </c>
      <c r="X116" s="3">
        <f>(ROUND((((S116+ROUND((ROUND(((EU116)*AV116*I116),2)*BS116),2))*AT116)/100),2)+ROUND(((ROUND((ROUND(((AE116-(EU116))*AV116*I116),2)*BS116),2)*AT116)/100),2))</f>
        <v>0</v>
      </c>
      <c r="Y116" s="3">
        <f>(ROUND((((S116+ROUND((ROUND(((EU116)*AV116*I116),2)*BS116),2))*AU116)/100),2)+ROUND(((ROUND((ROUND(((AE116-(EU116))*AV116*I116),2)*BS116),2)*AU116)/100),2))</f>
        <v>0</v>
      </c>
      <c r="AA116" s="3">
        <v>55936048</v>
      </c>
      <c r="AB116" s="3">
        <f t="shared" si="80"/>
        <v>2573.33</v>
      </c>
      <c r="AC116" s="3">
        <f>ROUND((ES116),6)</f>
        <v>2573.33</v>
      </c>
      <c r="AD116" s="3">
        <f>ROUND((((ET116)-(EU116))+AE116),6)</f>
        <v>0</v>
      </c>
      <c r="AE116" s="3">
        <f>ROUND((EU116),6)</f>
        <v>0</v>
      </c>
      <c r="AF116" s="3">
        <f>ROUND((EV116),6)</f>
        <v>0</v>
      </c>
      <c r="AG116" s="3">
        <f t="shared" si="81"/>
        <v>0</v>
      </c>
      <c r="AH116" s="3">
        <f>(EW116)</f>
        <v>0</v>
      </c>
      <c r="AI116" s="3">
        <f>(EX116)</f>
        <v>0</v>
      </c>
      <c r="AJ116" s="3">
        <f t="shared" si="82"/>
        <v>0</v>
      </c>
      <c r="AK116" s="3">
        <v>2573.3300000000004</v>
      </c>
      <c r="AL116" s="3">
        <v>2573.3300000000004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1</v>
      </c>
      <c r="AW116" s="3">
        <v>1</v>
      </c>
      <c r="AZ116" s="3">
        <v>1</v>
      </c>
      <c r="BA116" s="3">
        <v>1</v>
      </c>
      <c r="BB116" s="3">
        <v>1</v>
      </c>
      <c r="BC116" s="3">
        <v>7.57</v>
      </c>
      <c r="BD116" s="3" t="s">
        <v>3</v>
      </c>
      <c r="BE116" s="3" t="s">
        <v>3</v>
      </c>
      <c r="BF116" s="3" t="s">
        <v>3</v>
      </c>
      <c r="BG116" s="3" t="s">
        <v>3</v>
      </c>
      <c r="BH116" s="3">
        <v>3</v>
      </c>
      <c r="BI116" s="3">
        <v>3</v>
      </c>
      <c r="BJ116" s="3" t="s">
        <v>178</v>
      </c>
      <c r="BM116" s="3">
        <v>400007</v>
      </c>
      <c r="BN116" s="3">
        <v>0</v>
      </c>
      <c r="BO116" s="3" t="s">
        <v>3</v>
      </c>
      <c r="BP116" s="3">
        <v>0</v>
      </c>
      <c r="BQ116" s="3">
        <v>214</v>
      </c>
      <c r="BR116" s="3">
        <v>0</v>
      </c>
      <c r="BS116" s="3">
        <v>1</v>
      </c>
      <c r="BT116" s="3">
        <v>1</v>
      </c>
      <c r="BU116" s="3">
        <v>1</v>
      </c>
      <c r="BV116" s="3">
        <v>1</v>
      </c>
      <c r="BW116" s="3">
        <v>1</v>
      </c>
      <c r="BX116" s="3">
        <v>1</v>
      </c>
      <c r="BY116" s="3" t="s">
        <v>3</v>
      </c>
      <c r="BZ116" s="3">
        <v>90</v>
      </c>
      <c r="CA116" s="3">
        <v>46</v>
      </c>
      <c r="CB116" s="3" t="s">
        <v>3</v>
      </c>
      <c r="CE116" s="3">
        <v>1566</v>
      </c>
      <c r="CF116" s="3">
        <v>0</v>
      </c>
      <c r="CG116" s="3">
        <v>0</v>
      </c>
      <c r="CM116" s="3">
        <v>0</v>
      </c>
      <c r="CN116" s="3" t="s">
        <v>423</v>
      </c>
      <c r="CO116" s="3">
        <v>0</v>
      </c>
      <c r="CP116" s="3">
        <f t="shared" si="83"/>
        <v>58440.32</v>
      </c>
      <c r="CQ116" s="3">
        <f t="shared" si="103"/>
        <v>19480.11</v>
      </c>
      <c r="CR116" s="3">
        <f>(ROUND((ROUND(((ET116)*AV116*1),2)*BB116),2)+ROUND((ROUND(((AE116-(EU116))*AV116*1),2)*BS116),2))</f>
        <v>0</v>
      </c>
      <c r="CS116" s="3">
        <f>(ROUND((ROUND(((EU116)*AV116*1),2)*BS116),2)+ROUND((ROUND(((AE116-(EU116))*AV116*1),2)*BS116),2))</f>
        <v>0</v>
      </c>
      <c r="CT116" s="3">
        <f t="shared" si="85"/>
        <v>0</v>
      </c>
      <c r="CU116" s="3">
        <f t="shared" si="86"/>
        <v>0</v>
      </c>
      <c r="CV116" s="3">
        <f t="shared" si="87"/>
        <v>0</v>
      </c>
      <c r="CW116" s="3">
        <f t="shared" si="88"/>
        <v>0</v>
      </c>
      <c r="CX116" s="3">
        <f t="shared" si="89"/>
        <v>0</v>
      </c>
      <c r="CY116" s="3">
        <f>(ROUND((((S116+ROUND((ROUND(((EU116)*AV116*1),2)*BS116),2))*AT116)/100),2)+ROUND(((ROUND((ROUND(((AE116-(EU116))*AV116*1),2)*BS116),2)*AT116)/100),2))</f>
        <v>0</v>
      </c>
      <c r="CZ116" s="3">
        <f>(ROUND((((S116+ROUND((ROUND(((EU116)*AV116*1),2)*BS116),2))*AU116)/100),2)+ROUND(((ROUND((ROUND(((AE116-(EU116))*AV116*1),2)*BS116),2)*AU116)/100),2))</f>
        <v>0</v>
      </c>
      <c r="DC116" s="3" t="s">
        <v>3</v>
      </c>
      <c r="DD116" s="3" t="s">
        <v>3</v>
      </c>
      <c r="DE116" s="3" t="s">
        <v>3</v>
      </c>
      <c r="DF116" s="3" t="s">
        <v>3</v>
      </c>
      <c r="DG116" s="3" t="s">
        <v>3</v>
      </c>
      <c r="DH116" s="3" t="s">
        <v>3</v>
      </c>
      <c r="DI116" s="3" t="s">
        <v>3</v>
      </c>
      <c r="DJ116" s="3" t="s">
        <v>3</v>
      </c>
      <c r="DK116" s="3" t="s">
        <v>3</v>
      </c>
      <c r="DL116" s="3" t="s">
        <v>3</v>
      </c>
      <c r="DM116" s="3" t="s">
        <v>3</v>
      </c>
      <c r="DN116" s="3">
        <v>0</v>
      </c>
      <c r="DO116" s="3">
        <v>0</v>
      </c>
      <c r="DP116" s="3">
        <v>1</v>
      </c>
      <c r="DQ116" s="3">
        <v>1</v>
      </c>
      <c r="DU116" s="3">
        <v>1013</v>
      </c>
      <c r="DV116" s="3" t="s">
        <v>144</v>
      </c>
      <c r="DW116" s="3" t="s">
        <v>144</v>
      </c>
      <c r="DX116" s="3">
        <v>1</v>
      </c>
      <c r="DZ116" s="3" t="s">
        <v>3</v>
      </c>
      <c r="EA116" s="3" t="s">
        <v>3</v>
      </c>
      <c r="EB116" s="3" t="s">
        <v>3</v>
      </c>
      <c r="EC116" s="3" t="s">
        <v>3</v>
      </c>
      <c r="EE116" s="3">
        <v>55393630</v>
      </c>
      <c r="EF116" s="3">
        <v>214</v>
      </c>
      <c r="EG116" s="3" t="s">
        <v>145</v>
      </c>
      <c r="EH116" s="3">
        <v>0</v>
      </c>
      <c r="EI116" s="3" t="s">
        <v>3</v>
      </c>
      <c r="EJ116" s="3">
        <v>3</v>
      </c>
      <c r="EK116" s="3">
        <v>400007</v>
      </c>
      <c r="EL116" s="3" t="s">
        <v>145</v>
      </c>
      <c r="EM116" s="3" t="s">
        <v>146</v>
      </c>
      <c r="EO116" s="3" t="s">
        <v>67</v>
      </c>
      <c r="EQ116" s="3">
        <v>16</v>
      </c>
      <c r="ER116" s="3">
        <v>0</v>
      </c>
      <c r="ES116" s="3">
        <v>2573.3300000000004</v>
      </c>
      <c r="ET116" s="3">
        <v>0</v>
      </c>
      <c r="EU116" s="3">
        <v>0</v>
      </c>
      <c r="EV116" s="3">
        <v>0</v>
      </c>
      <c r="EW116" s="3">
        <v>0</v>
      </c>
      <c r="EX116" s="3">
        <v>0</v>
      </c>
      <c r="EZ116" s="3">
        <v>5</v>
      </c>
      <c r="FC116" s="3">
        <v>1</v>
      </c>
      <c r="FD116" s="3">
        <v>18</v>
      </c>
      <c r="FF116" s="3">
        <v>22800</v>
      </c>
      <c r="FQ116" s="3">
        <v>0</v>
      </c>
      <c r="FR116" s="3">
        <f>P116</f>
        <v>58440.32</v>
      </c>
      <c r="FS116" s="3">
        <v>0</v>
      </c>
      <c r="FX116" s="3">
        <v>90</v>
      </c>
      <c r="FY116" s="3">
        <v>46</v>
      </c>
      <c r="GA116" s="3" t="s">
        <v>180</v>
      </c>
      <c r="GD116" s="3">
        <v>1</v>
      </c>
      <c r="GF116" s="3">
        <v>50695492</v>
      </c>
      <c r="GG116" s="3">
        <v>2</v>
      </c>
      <c r="GH116" s="3">
        <v>3</v>
      </c>
      <c r="GI116" s="3">
        <v>5</v>
      </c>
      <c r="GJ116" s="3">
        <v>0</v>
      </c>
      <c r="GK116" s="3">
        <v>0</v>
      </c>
      <c r="GL116" s="3">
        <f t="shared" si="90"/>
        <v>0</v>
      </c>
      <c r="GM116" s="3">
        <f t="shared" si="91"/>
        <v>58440.32</v>
      </c>
      <c r="GN116" s="3">
        <f t="shared" si="92"/>
        <v>0</v>
      </c>
      <c r="GO116" s="3">
        <f t="shared" si="93"/>
        <v>0</v>
      </c>
      <c r="GP116" s="3">
        <f t="shared" si="94"/>
        <v>0</v>
      </c>
      <c r="GR116" s="3">
        <v>1</v>
      </c>
      <c r="GS116" s="3">
        <v>1</v>
      </c>
      <c r="GT116" s="3">
        <v>0</v>
      </c>
      <c r="GU116" s="3" t="s">
        <v>3</v>
      </c>
      <c r="GV116" s="3">
        <f t="shared" si="95"/>
        <v>0</v>
      </c>
      <c r="GW116" s="3">
        <v>1</v>
      </c>
      <c r="GX116" s="3">
        <f t="shared" si="96"/>
        <v>0</v>
      </c>
      <c r="HA116" s="3">
        <v>0</v>
      </c>
      <c r="HB116" s="3">
        <v>0</v>
      </c>
      <c r="HC116" s="3">
        <f t="shared" si="97"/>
        <v>0</v>
      </c>
      <c r="HE116" s="3" t="s">
        <v>35</v>
      </c>
      <c r="HF116" s="3" t="s">
        <v>148</v>
      </c>
      <c r="HM116" s="3" t="s">
        <v>3</v>
      </c>
      <c r="HN116" s="3" t="s">
        <v>3</v>
      </c>
      <c r="HO116" s="3" t="s">
        <v>3</v>
      </c>
      <c r="HP116" s="3" t="s">
        <v>3</v>
      </c>
      <c r="HQ116" s="3" t="s">
        <v>3</v>
      </c>
      <c r="HS116" s="3">
        <v>0</v>
      </c>
      <c r="IK116" s="3">
        <v>0</v>
      </c>
    </row>
    <row r="117" spans="1:255" x14ac:dyDescent="0.25">
      <c r="A117" s="2">
        <v>17</v>
      </c>
      <c r="B117" s="2">
        <v>1</v>
      </c>
      <c r="C117" s="2">
        <f>ROW(SmtRes!A162)</f>
        <v>162</v>
      </c>
      <c r="D117" s="2">
        <f>ROW(EtalonRes!A188)</f>
        <v>188</v>
      </c>
      <c r="E117" s="2" t="s">
        <v>181</v>
      </c>
      <c r="F117" s="2" t="s">
        <v>40</v>
      </c>
      <c r="G117" s="2" t="s">
        <v>166</v>
      </c>
      <c r="H117" s="2" t="s">
        <v>22</v>
      </c>
      <c r="I117" s="2">
        <f>ROUND(1/10,9)</f>
        <v>0.1</v>
      </c>
      <c r="J117" s="2">
        <v>0</v>
      </c>
      <c r="K117" s="2">
        <f>ROUND(1/10,9)</f>
        <v>0.1</v>
      </c>
      <c r="L117" s="2"/>
      <c r="M117" s="2"/>
      <c r="N117" s="2"/>
      <c r="O117" s="2">
        <f t="shared" si="73"/>
        <v>29.58</v>
      </c>
      <c r="P117" s="2">
        <f t="shared" si="102"/>
        <v>0.24</v>
      </c>
      <c r="Q117" s="2">
        <f>(ROUND((ROUND((((ET117*1.2))*AV117*I117),2)*BB117),2)+ROUND((ROUND(((AE117-((EU117*1.2)))*AV117*I117),2)*BS117),2))</f>
        <v>0.76</v>
      </c>
      <c r="R117" s="2">
        <f>(ROUND((ROUND((((EU117*1.2))*AV117*I117),2)*BS117),2)+ROUND((ROUND(((AE117-((EU117*1.2)))*AV117*I117),2)*BS117),2))</f>
        <v>0.1</v>
      </c>
      <c r="S117" s="2">
        <f t="shared" si="75"/>
        <v>28.58</v>
      </c>
      <c r="T117" s="2">
        <f t="shared" si="76"/>
        <v>0</v>
      </c>
      <c r="U117" s="2">
        <f t="shared" si="77"/>
        <v>1.8393695999999999</v>
      </c>
      <c r="V117" s="2">
        <f t="shared" si="78"/>
        <v>0</v>
      </c>
      <c r="W117" s="2">
        <f t="shared" si="79"/>
        <v>0</v>
      </c>
      <c r="X117" s="2">
        <f>(ROUND((((S117+ROUND((ROUND((((EU117*1.2))*AV117*I117),2)*BS117),2))*AT117)/100),2)+ROUND(((ROUND((ROUND(((AE117-((EU117*1.2)))*AV117*I117),2)*BS117),2)*AT117)/100),2))</f>
        <v>25.81</v>
      </c>
      <c r="Y117" s="2">
        <f>(ROUND((((S117+ROUND((ROUND((((EU117*1.2))*AV117*I117),2)*BS117),2))*AU117)/100),2)+ROUND(((ROUND((ROUND(((AE117-((EU117*1.2)))*AV117*I117),2)*BS117),2)*AU117)/100),2))</f>
        <v>13.19</v>
      </c>
      <c r="Z117" s="2"/>
      <c r="AA117" s="2">
        <v>55936046</v>
      </c>
      <c r="AB117" s="2">
        <f t="shared" si="80"/>
        <v>282.65199999999999</v>
      </c>
      <c r="AC117" s="2">
        <f>ROUND(((ES117*1)),6)</f>
        <v>2.44</v>
      </c>
      <c r="AD117" s="2">
        <f>ROUND(((((ET117*1.2))-((EU117*1.2)))+AE117),6)</f>
        <v>7.2839999999999998</v>
      </c>
      <c r="AE117" s="2">
        <f>ROUND(((EU117*1.2)),6)</f>
        <v>0.91200000000000003</v>
      </c>
      <c r="AF117" s="2">
        <f>ROUND(((EV117*1.2)),6)</f>
        <v>272.928</v>
      </c>
      <c r="AG117" s="2">
        <f t="shared" si="81"/>
        <v>0</v>
      </c>
      <c r="AH117" s="2">
        <f>((EW117*1.2))</f>
        <v>17.568000000000001</v>
      </c>
      <c r="AI117" s="2">
        <f>((EX117*1.2))</f>
        <v>0</v>
      </c>
      <c r="AJ117" s="2">
        <f t="shared" si="82"/>
        <v>0</v>
      </c>
      <c r="AK117" s="2">
        <v>235.95</v>
      </c>
      <c r="AL117" s="2">
        <v>2.44</v>
      </c>
      <c r="AM117" s="2">
        <v>6.07</v>
      </c>
      <c r="AN117" s="2">
        <v>0.76</v>
      </c>
      <c r="AO117" s="2">
        <v>227.44</v>
      </c>
      <c r="AP117" s="2">
        <v>0</v>
      </c>
      <c r="AQ117" s="2">
        <v>14.64</v>
      </c>
      <c r="AR117" s="2">
        <v>0</v>
      </c>
      <c r="AS117" s="2">
        <v>0</v>
      </c>
      <c r="AT117" s="2">
        <v>90</v>
      </c>
      <c r="AU117" s="2">
        <v>46</v>
      </c>
      <c r="AV117" s="2">
        <v>1.0469999999999999</v>
      </c>
      <c r="AW117" s="2">
        <v>1</v>
      </c>
      <c r="AX117" s="2"/>
      <c r="AY117" s="2"/>
      <c r="AZ117" s="2">
        <v>1</v>
      </c>
      <c r="BA117" s="2">
        <v>1</v>
      </c>
      <c r="BB117" s="2">
        <v>1</v>
      </c>
      <c r="BC117" s="2">
        <v>1</v>
      </c>
      <c r="BD117" s="2" t="s">
        <v>3</v>
      </c>
      <c r="BE117" s="2" t="s">
        <v>3</v>
      </c>
      <c r="BF117" s="2" t="s">
        <v>3</v>
      </c>
      <c r="BG117" s="2" t="s">
        <v>3</v>
      </c>
      <c r="BH117" s="2">
        <v>0</v>
      </c>
      <c r="BI117" s="2">
        <v>2</v>
      </c>
      <c r="BJ117" s="2" t="s">
        <v>42</v>
      </c>
      <c r="BK117" s="2"/>
      <c r="BL117" s="2"/>
      <c r="BM117" s="2">
        <v>68</v>
      </c>
      <c r="BN117" s="2">
        <v>0</v>
      </c>
      <c r="BO117" s="2" t="s">
        <v>40</v>
      </c>
      <c r="BP117" s="2">
        <v>1</v>
      </c>
      <c r="BQ117" s="2">
        <v>40</v>
      </c>
      <c r="BR117" s="2">
        <v>0</v>
      </c>
      <c r="BS117" s="2">
        <v>1</v>
      </c>
      <c r="BT117" s="2">
        <v>1</v>
      </c>
      <c r="BU117" s="2">
        <v>1</v>
      </c>
      <c r="BV117" s="2">
        <v>1</v>
      </c>
      <c r="BW117" s="2">
        <v>1</v>
      </c>
      <c r="BX117" s="2">
        <v>1</v>
      </c>
      <c r="BY117" s="2" t="s">
        <v>3</v>
      </c>
      <c r="BZ117" s="2">
        <v>90</v>
      </c>
      <c r="CA117" s="2">
        <v>46</v>
      </c>
      <c r="CB117" s="2" t="s">
        <v>3</v>
      </c>
      <c r="CC117" s="2"/>
      <c r="CD117" s="2"/>
      <c r="CE117" s="2">
        <v>1566</v>
      </c>
      <c r="CF117" s="2">
        <v>0</v>
      </c>
      <c r="CG117" s="2">
        <v>0</v>
      </c>
      <c r="CH117" s="2"/>
      <c r="CI117" s="2"/>
      <c r="CJ117" s="2"/>
      <c r="CK117" s="2"/>
      <c r="CL117" s="2"/>
      <c r="CM117" s="2">
        <v>0</v>
      </c>
      <c r="CN117" s="2" t="s">
        <v>422</v>
      </c>
      <c r="CO117" s="2">
        <v>0</v>
      </c>
      <c r="CP117" s="2">
        <f t="shared" si="83"/>
        <v>29.58</v>
      </c>
      <c r="CQ117" s="2">
        <f t="shared" si="103"/>
        <v>2.44</v>
      </c>
      <c r="CR117" s="2">
        <f>(ROUND((ROUND((((ET117*1.2))*AV117*1),2)*BB117),2)+ROUND((ROUND(((AE117-((EU117*1.2)))*AV117*1),2)*BS117),2))</f>
        <v>7.63</v>
      </c>
      <c r="CS117" s="2">
        <f>(ROUND((ROUND((((EU117*1.2))*AV117*1),2)*BS117),2)+ROUND((ROUND(((AE117-((EU117*1.2)))*AV117*1),2)*BS117),2))</f>
        <v>0.95</v>
      </c>
      <c r="CT117" s="2">
        <f t="shared" si="85"/>
        <v>285.76</v>
      </c>
      <c r="CU117" s="2">
        <f t="shared" si="86"/>
        <v>0</v>
      </c>
      <c r="CV117" s="2">
        <f t="shared" si="87"/>
        <v>18.393695999999998</v>
      </c>
      <c r="CW117" s="2">
        <f t="shared" si="88"/>
        <v>0</v>
      </c>
      <c r="CX117" s="2">
        <f t="shared" si="89"/>
        <v>0</v>
      </c>
      <c r="CY117" s="2">
        <f>(ROUND((((S117+ROUND((ROUND((((EU117*1.2))*AV117*1),2)*BS117),2))*AT117)/100),2)+ROUND(((ROUND((ROUND(((AE117-((EU117*1.2)))*AV117*1),2)*BS117),2)*AT117)/100),2))</f>
        <v>26.58</v>
      </c>
      <c r="CZ117" s="2">
        <f>(ROUND((((S117+ROUND((ROUND((((EU117*1.2))*AV117*1),2)*BS117),2))*AU117)/100),2)+ROUND(((ROUND((ROUND(((AE117-((EU117*1.2)))*AV117*1),2)*BS117),2)*AU117)/100),2))</f>
        <v>13.58</v>
      </c>
      <c r="DA117" s="2"/>
      <c r="DB117" s="2">
        <v>61</v>
      </c>
      <c r="DC117" s="2" t="s">
        <v>3</v>
      </c>
      <c r="DD117" s="2" t="s">
        <v>62</v>
      </c>
      <c r="DE117" s="2" t="s">
        <v>63</v>
      </c>
      <c r="DF117" s="2" t="s">
        <v>63</v>
      </c>
      <c r="DG117" s="2" t="s">
        <v>63</v>
      </c>
      <c r="DH117" s="2" t="s">
        <v>3</v>
      </c>
      <c r="DI117" s="2" t="s">
        <v>63</v>
      </c>
      <c r="DJ117" s="2" t="s">
        <v>63</v>
      </c>
      <c r="DK117" s="2" t="s">
        <v>3</v>
      </c>
      <c r="DL117" s="2" t="s">
        <v>3</v>
      </c>
      <c r="DM117" s="2" t="s">
        <v>3</v>
      </c>
      <c r="DN117" s="2">
        <v>0</v>
      </c>
      <c r="DO117" s="2">
        <v>0</v>
      </c>
      <c r="DP117" s="2">
        <v>1</v>
      </c>
      <c r="DQ117" s="2">
        <v>1</v>
      </c>
      <c r="DR117" s="2"/>
      <c r="DS117" s="2"/>
      <c r="DT117" s="2"/>
      <c r="DU117" s="2">
        <v>1010</v>
      </c>
      <c r="DV117" s="2" t="s">
        <v>22</v>
      </c>
      <c r="DW117" s="2" t="s">
        <v>22</v>
      </c>
      <c r="DX117" s="2">
        <v>10</v>
      </c>
      <c r="DY117" s="2"/>
      <c r="DZ117" s="2" t="s">
        <v>3</v>
      </c>
      <c r="EA117" s="2" t="s">
        <v>3</v>
      </c>
      <c r="EB117" s="2" t="s">
        <v>3</v>
      </c>
      <c r="EC117" s="2" t="s">
        <v>3</v>
      </c>
      <c r="ED117" s="2"/>
      <c r="EE117" s="2">
        <v>55393700</v>
      </c>
      <c r="EF117" s="2">
        <v>40</v>
      </c>
      <c r="EG117" s="2" t="s">
        <v>26</v>
      </c>
      <c r="EH117" s="2">
        <v>0</v>
      </c>
      <c r="EI117" s="2" t="s">
        <v>3</v>
      </c>
      <c r="EJ117" s="2">
        <v>2</v>
      </c>
      <c r="EK117" s="2">
        <v>68</v>
      </c>
      <c r="EL117" s="2" t="s">
        <v>27</v>
      </c>
      <c r="EM117" s="2" t="s">
        <v>28</v>
      </c>
      <c r="EN117" s="2"/>
      <c r="EO117" s="2" t="s">
        <v>67</v>
      </c>
      <c r="EP117" s="2"/>
      <c r="EQ117" s="2">
        <v>0</v>
      </c>
      <c r="ER117" s="2">
        <v>235.95</v>
      </c>
      <c r="ES117" s="2">
        <v>2.44</v>
      </c>
      <c r="ET117" s="2">
        <v>6.07</v>
      </c>
      <c r="EU117" s="2">
        <v>0.76</v>
      </c>
      <c r="EV117" s="2">
        <v>227.44</v>
      </c>
      <c r="EW117" s="2">
        <v>14.64</v>
      </c>
      <c r="EX117" s="2">
        <v>0</v>
      </c>
      <c r="EY117" s="2">
        <v>0</v>
      </c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>
        <v>0</v>
      </c>
      <c r="FR117" s="2">
        <v>0</v>
      </c>
      <c r="FS117" s="2">
        <v>0</v>
      </c>
      <c r="FT117" s="2"/>
      <c r="FU117" s="2"/>
      <c r="FV117" s="2"/>
      <c r="FW117" s="2"/>
      <c r="FX117" s="2">
        <v>90</v>
      </c>
      <c r="FY117" s="2">
        <v>46</v>
      </c>
      <c r="FZ117" s="2"/>
      <c r="GA117" s="2" t="s">
        <v>3</v>
      </c>
      <c r="GB117" s="2"/>
      <c r="GC117" s="2"/>
      <c r="GD117" s="2">
        <v>1</v>
      </c>
      <c r="GE117" s="2"/>
      <c r="GF117" s="2">
        <v>-1267474206</v>
      </c>
      <c r="GG117" s="2">
        <v>2</v>
      </c>
      <c r="GH117" s="2">
        <v>1</v>
      </c>
      <c r="GI117" s="2">
        <v>2</v>
      </c>
      <c r="GJ117" s="2">
        <v>0</v>
      </c>
      <c r="GK117" s="2">
        <v>0</v>
      </c>
      <c r="GL117" s="2">
        <f t="shared" si="90"/>
        <v>0</v>
      </c>
      <c r="GM117" s="2">
        <f t="shared" si="91"/>
        <v>68.58</v>
      </c>
      <c r="GN117" s="2">
        <f t="shared" si="92"/>
        <v>0</v>
      </c>
      <c r="GO117" s="2">
        <f t="shared" si="93"/>
        <v>68.58</v>
      </c>
      <c r="GP117" s="2">
        <f t="shared" si="94"/>
        <v>0</v>
      </c>
      <c r="GQ117" s="2"/>
      <c r="GR117" s="2">
        <v>0</v>
      </c>
      <c r="GS117" s="2">
        <v>3</v>
      </c>
      <c r="GT117" s="2">
        <v>0</v>
      </c>
      <c r="GU117" s="2" t="s">
        <v>3</v>
      </c>
      <c r="GV117" s="2">
        <f t="shared" si="95"/>
        <v>0</v>
      </c>
      <c r="GW117" s="2">
        <v>1</v>
      </c>
      <c r="GX117" s="2">
        <f t="shared" si="96"/>
        <v>0</v>
      </c>
      <c r="GY117" s="2"/>
      <c r="GZ117" s="2"/>
      <c r="HA117" s="2">
        <v>0</v>
      </c>
      <c r="HB117" s="2">
        <v>0</v>
      </c>
      <c r="HC117" s="2">
        <f t="shared" si="97"/>
        <v>0</v>
      </c>
      <c r="HD117" s="2"/>
      <c r="HE117" s="2" t="s">
        <v>3</v>
      </c>
      <c r="HF117" s="2" t="s">
        <v>3</v>
      </c>
      <c r="HG117" s="2"/>
      <c r="HH117" s="2"/>
      <c r="HI117" s="2"/>
      <c r="HJ117" s="2"/>
      <c r="HK117" s="2"/>
      <c r="HL117" s="2"/>
      <c r="HM117" s="2" t="s">
        <v>3</v>
      </c>
      <c r="HN117" s="2" t="s">
        <v>3</v>
      </c>
      <c r="HO117" s="2" t="s">
        <v>3</v>
      </c>
      <c r="HP117" s="2" t="s">
        <v>3</v>
      </c>
      <c r="HQ117" s="2" t="s">
        <v>3</v>
      </c>
      <c r="HR117" s="2"/>
      <c r="HS117" s="2">
        <v>0</v>
      </c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>
        <v>0</v>
      </c>
      <c r="IL117" s="2"/>
      <c r="IM117" s="2"/>
      <c r="IN117" s="2"/>
      <c r="IO117" s="2"/>
      <c r="IP117" s="2"/>
      <c r="IQ117" s="2"/>
      <c r="IR117" s="2"/>
      <c r="IS117" s="2"/>
      <c r="IT117" s="2"/>
      <c r="IU117" s="2"/>
    </row>
    <row r="118" spans="1:255" x14ac:dyDescent="0.25">
      <c r="A118" s="3">
        <v>17</v>
      </c>
      <c r="B118" s="3">
        <v>1</v>
      </c>
      <c r="C118" s="3">
        <f>ROW(SmtRes!A168)</f>
        <v>168</v>
      </c>
      <c r="D118" s="3">
        <f>ROW(EtalonRes!A194)</f>
        <v>194</v>
      </c>
      <c r="E118" s="3" t="s">
        <v>181</v>
      </c>
      <c r="F118" s="3" t="s">
        <v>40</v>
      </c>
      <c r="G118" s="3" t="s">
        <v>166</v>
      </c>
      <c r="H118" s="3" t="s">
        <v>22</v>
      </c>
      <c r="I118" s="3">
        <f>ROUND(1/10,9)</f>
        <v>0.1</v>
      </c>
      <c r="J118" s="3">
        <v>0</v>
      </c>
      <c r="K118" s="3">
        <f>ROUND(1/10,9)</f>
        <v>0.1</v>
      </c>
      <c r="O118" s="3">
        <f t="shared" si="73"/>
        <v>1624.26</v>
      </c>
      <c r="P118" s="3">
        <f t="shared" si="102"/>
        <v>1.83</v>
      </c>
      <c r="Q118" s="3">
        <f>(ROUND((ROUND((((ET118*1.2))*AV118*I118),2)*BB118),2)+ROUND((ROUND(((AE118-((EU118*1.2)))*AV118*I118),2)*BS118),2))</f>
        <v>11.95</v>
      </c>
      <c r="R118" s="3">
        <f>(ROUND((ROUND((((EU118*1.2))*AV118*I118),2)*BS118),2)+ROUND((ROUND(((AE118-((EU118*1.2)))*AV118*I118),2)*BS118),2))</f>
        <v>5.64</v>
      </c>
      <c r="S118" s="3">
        <f t="shared" si="75"/>
        <v>1610.48</v>
      </c>
      <c r="T118" s="3">
        <f t="shared" si="76"/>
        <v>0</v>
      </c>
      <c r="U118" s="3">
        <f t="shared" si="77"/>
        <v>1.8393695999999999</v>
      </c>
      <c r="V118" s="3">
        <f t="shared" si="78"/>
        <v>0</v>
      </c>
      <c r="W118" s="3">
        <f t="shared" si="79"/>
        <v>0</v>
      </c>
      <c r="X118" s="3">
        <f>(ROUND((((S118+ROUND((ROUND((((EU118*1.2))*AV118*I118),2)*BS118),2))*AT118)/100),2)+ROUND(((ROUND((ROUND(((AE118-((EU118*1.2)))*AV118*I118),2)*BS118),2)*AT118)/100),2))</f>
        <v>1454.51</v>
      </c>
      <c r="Y118" s="3">
        <f>(ROUND((((S118+ROUND((ROUND((((EU118*1.2))*AV118*I118),2)*BS118),2))*AU118)/100),2)+ROUND(((ROUND((ROUND(((AE118-((EU118*1.2)))*AV118*I118),2)*BS118),2)*AU118)/100),2))</f>
        <v>743.42</v>
      </c>
      <c r="AA118" s="3">
        <v>55936048</v>
      </c>
      <c r="AB118" s="3">
        <f t="shared" si="80"/>
        <v>282.65199999999999</v>
      </c>
      <c r="AC118" s="3">
        <f>ROUND(((ES118*1)),6)</f>
        <v>2.44</v>
      </c>
      <c r="AD118" s="3">
        <f>ROUND(((((ET118*1.2))-((EU118*1.2)))+AE118),6)</f>
        <v>7.2839999999999998</v>
      </c>
      <c r="AE118" s="3">
        <f>ROUND(((EU118*1.2)),6)</f>
        <v>0.91200000000000003</v>
      </c>
      <c r="AF118" s="3">
        <f>ROUND(((EV118*1.2)),6)</f>
        <v>272.928</v>
      </c>
      <c r="AG118" s="3">
        <f t="shared" si="81"/>
        <v>0</v>
      </c>
      <c r="AH118" s="3">
        <f>((EW118*1.2))</f>
        <v>17.568000000000001</v>
      </c>
      <c r="AI118" s="3">
        <f>((EX118*1.2))</f>
        <v>0</v>
      </c>
      <c r="AJ118" s="3">
        <f t="shared" si="82"/>
        <v>0</v>
      </c>
      <c r="AK118" s="3">
        <v>235.95</v>
      </c>
      <c r="AL118" s="3">
        <v>2.44</v>
      </c>
      <c r="AM118" s="3">
        <v>6.07</v>
      </c>
      <c r="AN118" s="3">
        <v>0.76</v>
      </c>
      <c r="AO118" s="3">
        <v>227.44</v>
      </c>
      <c r="AP118" s="3">
        <v>0</v>
      </c>
      <c r="AQ118" s="3">
        <v>14.64</v>
      </c>
      <c r="AR118" s="3">
        <v>0</v>
      </c>
      <c r="AS118" s="3">
        <v>0</v>
      </c>
      <c r="AT118" s="3">
        <v>90</v>
      </c>
      <c r="AU118" s="3">
        <v>46</v>
      </c>
      <c r="AV118" s="3">
        <v>1.0469999999999999</v>
      </c>
      <c r="AW118" s="3">
        <v>1</v>
      </c>
      <c r="AZ118" s="3">
        <v>1</v>
      </c>
      <c r="BA118" s="3">
        <v>56.35</v>
      </c>
      <c r="BB118" s="3">
        <v>15.73</v>
      </c>
      <c r="BC118" s="3">
        <v>7.61</v>
      </c>
      <c r="BD118" s="3" t="s">
        <v>3</v>
      </c>
      <c r="BE118" s="3" t="s">
        <v>3</v>
      </c>
      <c r="BF118" s="3" t="s">
        <v>3</v>
      </c>
      <c r="BG118" s="3" t="s">
        <v>3</v>
      </c>
      <c r="BH118" s="3">
        <v>0</v>
      </c>
      <c r="BI118" s="3">
        <v>2</v>
      </c>
      <c r="BJ118" s="3" t="s">
        <v>42</v>
      </c>
      <c r="BM118" s="3">
        <v>68</v>
      </c>
      <c r="BN118" s="3">
        <v>0</v>
      </c>
      <c r="BO118" s="3" t="s">
        <v>40</v>
      </c>
      <c r="BP118" s="3">
        <v>1</v>
      </c>
      <c r="BQ118" s="3">
        <v>40</v>
      </c>
      <c r="BR118" s="3">
        <v>0</v>
      </c>
      <c r="BS118" s="3">
        <v>56.35</v>
      </c>
      <c r="BT118" s="3">
        <v>1</v>
      </c>
      <c r="BU118" s="3">
        <v>1</v>
      </c>
      <c r="BV118" s="3">
        <v>1</v>
      </c>
      <c r="BW118" s="3">
        <v>1</v>
      </c>
      <c r="BX118" s="3">
        <v>1</v>
      </c>
      <c r="BY118" s="3" t="s">
        <v>3</v>
      </c>
      <c r="BZ118" s="3">
        <v>90</v>
      </c>
      <c r="CA118" s="3">
        <v>46</v>
      </c>
      <c r="CB118" s="3" t="s">
        <v>3</v>
      </c>
      <c r="CE118" s="3">
        <v>1566</v>
      </c>
      <c r="CF118" s="3">
        <v>0</v>
      </c>
      <c r="CG118" s="3">
        <v>0</v>
      </c>
      <c r="CM118" s="3">
        <v>0</v>
      </c>
      <c r="CN118" s="3" t="s">
        <v>422</v>
      </c>
      <c r="CO118" s="3">
        <v>0</v>
      </c>
      <c r="CP118" s="3">
        <f t="shared" si="83"/>
        <v>1624.26</v>
      </c>
      <c r="CQ118" s="3">
        <f t="shared" si="103"/>
        <v>18.57</v>
      </c>
      <c r="CR118" s="3">
        <f>(ROUND((ROUND((((ET118*1.2))*AV118*1),2)*BB118),2)+ROUND((ROUND(((AE118-((EU118*1.2)))*AV118*1),2)*BS118),2))</f>
        <v>120.02</v>
      </c>
      <c r="CS118" s="3">
        <f>(ROUND((ROUND((((EU118*1.2))*AV118*1),2)*BS118),2)+ROUND((ROUND(((AE118-((EU118*1.2)))*AV118*1),2)*BS118),2))</f>
        <v>53.53</v>
      </c>
      <c r="CT118" s="3">
        <f t="shared" si="85"/>
        <v>16102.58</v>
      </c>
      <c r="CU118" s="3">
        <f t="shared" si="86"/>
        <v>0</v>
      </c>
      <c r="CV118" s="3">
        <f t="shared" si="87"/>
        <v>18.393695999999998</v>
      </c>
      <c r="CW118" s="3">
        <f t="shared" si="88"/>
        <v>0</v>
      </c>
      <c r="CX118" s="3">
        <f t="shared" si="89"/>
        <v>0</v>
      </c>
      <c r="CY118" s="3">
        <f>(ROUND((((S118+ROUND((ROUND((((EU118*1.2))*AV118*1),2)*BS118),2))*AT118)/100),2)+ROUND(((ROUND((ROUND(((AE118-((EU118*1.2)))*AV118*1),2)*BS118),2)*AT118)/100),2))</f>
        <v>1497.61</v>
      </c>
      <c r="CZ118" s="3">
        <f>(ROUND((((S118+ROUND((ROUND((((EU118*1.2))*AV118*1),2)*BS118),2))*AU118)/100),2)+ROUND(((ROUND((ROUND(((AE118-((EU118*1.2)))*AV118*1),2)*BS118),2)*AU118)/100),2))</f>
        <v>765.44</v>
      </c>
      <c r="DB118" s="3">
        <v>62</v>
      </c>
      <c r="DC118" s="3" t="s">
        <v>3</v>
      </c>
      <c r="DD118" s="3" t="s">
        <v>62</v>
      </c>
      <c r="DE118" s="3" t="s">
        <v>63</v>
      </c>
      <c r="DF118" s="3" t="s">
        <v>63</v>
      </c>
      <c r="DG118" s="3" t="s">
        <v>63</v>
      </c>
      <c r="DH118" s="3" t="s">
        <v>3</v>
      </c>
      <c r="DI118" s="3" t="s">
        <v>63</v>
      </c>
      <c r="DJ118" s="3" t="s">
        <v>63</v>
      </c>
      <c r="DK118" s="3" t="s">
        <v>3</v>
      </c>
      <c r="DL118" s="3" t="s">
        <v>3</v>
      </c>
      <c r="DM118" s="3" t="s">
        <v>3</v>
      </c>
      <c r="DN118" s="3">
        <v>0</v>
      </c>
      <c r="DO118" s="3">
        <v>0</v>
      </c>
      <c r="DP118" s="3">
        <v>1</v>
      </c>
      <c r="DQ118" s="3">
        <v>1</v>
      </c>
      <c r="DU118" s="3">
        <v>1010</v>
      </c>
      <c r="DV118" s="3" t="s">
        <v>22</v>
      </c>
      <c r="DW118" s="3" t="s">
        <v>22</v>
      </c>
      <c r="DX118" s="3">
        <v>10</v>
      </c>
      <c r="DZ118" s="3" t="s">
        <v>3</v>
      </c>
      <c r="EA118" s="3" t="s">
        <v>3</v>
      </c>
      <c r="EB118" s="3" t="s">
        <v>3</v>
      </c>
      <c r="EC118" s="3" t="s">
        <v>3</v>
      </c>
      <c r="EE118" s="3">
        <v>55393700</v>
      </c>
      <c r="EF118" s="3">
        <v>40</v>
      </c>
      <c r="EG118" s="3" t="s">
        <v>26</v>
      </c>
      <c r="EH118" s="3">
        <v>0</v>
      </c>
      <c r="EI118" s="3" t="s">
        <v>3</v>
      </c>
      <c r="EJ118" s="3">
        <v>2</v>
      </c>
      <c r="EK118" s="3">
        <v>68</v>
      </c>
      <c r="EL118" s="3" t="s">
        <v>27</v>
      </c>
      <c r="EM118" s="3" t="s">
        <v>28</v>
      </c>
      <c r="EO118" s="3" t="s">
        <v>67</v>
      </c>
      <c r="EQ118" s="3">
        <v>0</v>
      </c>
      <c r="ER118" s="3">
        <v>235.95</v>
      </c>
      <c r="ES118" s="3">
        <v>2.44</v>
      </c>
      <c r="ET118" s="3">
        <v>6.07</v>
      </c>
      <c r="EU118" s="3">
        <v>0.76</v>
      </c>
      <c r="EV118" s="3">
        <v>227.44</v>
      </c>
      <c r="EW118" s="3">
        <v>14.64</v>
      </c>
      <c r="EX118" s="3">
        <v>0</v>
      </c>
      <c r="EY118" s="3">
        <v>0</v>
      </c>
      <c r="FQ118" s="3">
        <v>0</v>
      </c>
      <c r="FR118" s="3">
        <v>0</v>
      </c>
      <c r="FS118" s="3">
        <v>0</v>
      </c>
      <c r="FX118" s="3">
        <v>90</v>
      </c>
      <c r="FY118" s="3">
        <v>46</v>
      </c>
      <c r="GA118" s="3" t="s">
        <v>3</v>
      </c>
      <c r="GD118" s="3">
        <v>1</v>
      </c>
      <c r="GF118" s="3">
        <v>-1267474206</v>
      </c>
      <c r="GG118" s="3">
        <v>2</v>
      </c>
      <c r="GH118" s="3">
        <v>1</v>
      </c>
      <c r="GI118" s="3">
        <v>2</v>
      </c>
      <c r="GJ118" s="3">
        <v>0</v>
      </c>
      <c r="GK118" s="3">
        <v>0</v>
      </c>
      <c r="GL118" s="3">
        <f t="shared" si="90"/>
        <v>0</v>
      </c>
      <c r="GM118" s="3">
        <f t="shared" si="91"/>
        <v>3822.19</v>
      </c>
      <c r="GN118" s="3">
        <f t="shared" si="92"/>
        <v>0</v>
      </c>
      <c r="GO118" s="3">
        <f t="shared" si="93"/>
        <v>3822.19</v>
      </c>
      <c r="GP118" s="3">
        <f t="shared" si="94"/>
        <v>0</v>
      </c>
      <c r="GR118" s="3">
        <v>0</v>
      </c>
      <c r="GS118" s="3">
        <v>3</v>
      </c>
      <c r="GT118" s="3">
        <v>0</v>
      </c>
      <c r="GU118" s="3" t="s">
        <v>3</v>
      </c>
      <c r="GV118" s="3">
        <f t="shared" si="95"/>
        <v>0</v>
      </c>
      <c r="GW118" s="3">
        <v>1</v>
      </c>
      <c r="GX118" s="3">
        <f t="shared" si="96"/>
        <v>0</v>
      </c>
      <c r="HA118" s="3">
        <v>0</v>
      </c>
      <c r="HB118" s="3">
        <v>0</v>
      </c>
      <c r="HC118" s="3">
        <f t="shared" si="97"/>
        <v>0</v>
      </c>
      <c r="HE118" s="3" t="s">
        <v>3</v>
      </c>
      <c r="HF118" s="3" t="s">
        <v>3</v>
      </c>
      <c r="HM118" s="3" t="s">
        <v>3</v>
      </c>
      <c r="HN118" s="3" t="s">
        <v>3</v>
      </c>
      <c r="HO118" s="3" t="s">
        <v>3</v>
      </c>
      <c r="HP118" s="3" t="s">
        <v>3</v>
      </c>
      <c r="HQ118" s="3" t="s">
        <v>3</v>
      </c>
      <c r="HS118" s="3">
        <v>0</v>
      </c>
      <c r="IK118" s="3">
        <v>0</v>
      </c>
    </row>
    <row r="119" spans="1:255" x14ac:dyDescent="0.25">
      <c r="A119" s="2">
        <v>18</v>
      </c>
      <c r="B119" s="2">
        <v>1</v>
      </c>
      <c r="C119" s="2">
        <v>162</v>
      </c>
      <c r="D119" s="2"/>
      <c r="E119" s="2" t="s">
        <v>182</v>
      </c>
      <c r="F119" s="2" t="s">
        <v>183</v>
      </c>
      <c r="G119" s="2" t="s">
        <v>184</v>
      </c>
      <c r="H119" s="2" t="s">
        <v>144</v>
      </c>
      <c r="I119" s="2">
        <f>I117*J119</f>
        <v>1</v>
      </c>
      <c r="J119" s="2">
        <v>10</v>
      </c>
      <c r="K119" s="2">
        <v>10</v>
      </c>
      <c r="L119" s="2"/>
      <c r="M119" s="2"/>
      <c r="N119" s="2"/>
      <c r="O119" s="2">
        <f t="shared" si="73"/>
        <v>914.21</v>
      </c>
      <c r="P119" s="2">
        <f t="shared" si="102"/>
        <v>914.21</v>
      </c>
      <c r="Q119" s="2">
        <f>(ROUND((ROUND(((ET119)*AV119*I119),2)*BB119),2)+ROUND((ROUND(((AE119-(EU119))*AV119*I119),2)*BS119),2))</f>
        <v>0</v>
      </c>
      <c r="R119" s="2">
        <f>(ROUND((ROUND(((EU119)*AV119*I119),2)*BS119),2)+ROUND((ROUND(((AE119-(EU119))*AV119*I119),2)*BS119),2))</f>
        <v>0</v>
      </c>
      <c r="S119" s="2">
        <f t="shared" si="75"/>
        <v>0</v>
      </c>
      <c r="T119" s="2">
        <f t="shared" si="76"/>
        <v>0</v>
      </c>
      <c r="U119" s="2">
        <f t="shared" si="77"/>
        <v>0</v>
      </c>
      <c r="V119" s="2">
        <f t="shared" si="78"/>
        <v>0</v>
      </c>
      <c r="W119" s="2">
        <f t="shared" si="79"/>
        <v>0</v>
      </c>
      <c r="X119" s="2">
        <f>(ROUND((((S119+ROUND((ROUND(((EU119)*AV119*I119),2)*BS119),2))*AT119)/100),2)+ROUND(((ROUND((ROUND(((AE119-(EU119))*AV119*I119),2)*BS119),2)*AT119)/100),2))</f>
        <v>0</v>
      </c>
      <c r="Y119" s="2">
        <f>(ROUND((((S119+ROUND((ROUND(((EU119)*AV119*I119),2)*BS119),2))*AU119)/100),2)+ROUND(((ROUND((ROUND(((AE119-(EU119))*AV119*I119),2)*BS119),2)*AU119)/100),2))</f>
        <v>0</v>
      </c>
      <c r="Z119" s="2"/>
      <c r="AA119" s="2">
        <v>55936046</v>
      </c>
      <c r="AB119" s="2">
        <f t="shared" si="80"/>
        <v>914.21</v>
      </c>
      <c r="AC119" s="2">
        <f>ROUND((ES119),6)</f>
        <v>914.21</v>
      </c>
      <c r="AD119" s="2">
        <f>ROUND((((ET119)-(EU119))+AE119),6)</f>
        <v>0</v>
      </c>
      <c r="AE119" s="2">
        <f>ROUND((EU119),6)</f>
        <v>0</v>
      </c>
      <c r="AF119" s="2">
        <f>ROUND((EV119),6)</f>
        <v>0</v>
      </c>
      <c r="AG119" s="2">
        <f t="shared" si="81"/>
        <v>0</v>
      </c>
      <c r="AH119" s="2">
        <f>(EW119)</f>
        <v>0</v>
      </c>
      <c r="AI119" s="2">
        <f>(EX119)</f>
        <v>0</v>
      </c>
      <c r="AJ119" s="2">
        <f t="shared" si="82"/>
        <v>0</v>
      </c>
      <c r="AK119" s="2">
        <v>914.20999999999992</v>
      </c>
      <c r="AL119" s="2">
        <v>914.20999999999992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1</v>
      </c>
      <c r="AW119" s="2">
        <v>1</v>
      </c>
      <c r="AX119" s="2"/>
      <c r="AY119" s="2"/>
      <c r="AZ119" s="2">
        <v>1</v>
      </c>
      <c r="BA119" s="2">
        <v>1</v>
      </c>
      <c r="BB119" s="2">
        <v>1</v>
      </c>
      <c r="BC119" s="2">
        <v>1</v>
      </c>
      <c r="BD119" s="2" t="s">
        <v>3</v>
      </c>
      <c r="BE119" s="2" t="s">
        <v>3</v>
      </c>
      <c r="BF119" s="2" t="s">
        <v>3</v>
      </c>
      <c r="BG119" s="2" t="s">
        <v>3</v>
      </c>
      <c r="BH119" s="2">
        <v>3</v>
      </c>
      <c r="BI119" s="2">
        <v>3</v>
      </c>
      <c r="BJ119" s="2" t="s">
        <v>183</v>
      </c>
      <c r="BK119" s="2"/>
      <c r="BL119" s="2"/>
      <c r="BM119" s="2">
        <v>400007</v>
      </c>
      <c r="BN119" s="2">
        <v>0</v>
      </c>
      <c r="BO119" s="2" t="s">
        <v>3</v>
      </c>
      <c r="BP119" s="2">
        <v>0</v>
      </c>
      <c r="BQ119" s="2">
        <v>214</v>
      </c>
      <c r="BR119" s="2">
        <v>0</v>
      </c>
      <c r="BS119" s="2">
        <v>1</v>
      </c>
      <c r="BT119" s="2">
        <v>1</v>
      </c>
      <c r="BU119" s="2">
        <v>1</v>
      </c>
      <c r="BV119" s="2">
        <v>1</v>
      </c>
      <c r="BW119" s="2">
        <v>1</v>
      </c>
      <c r="BX119" s="2">
        <v>1</v>
      </c>
      <c r="BY119" s="2" t="s">
        <v>3</v>
      </c>
      <c r="BZ119" s="2">
        <v>90</v>
      </c>
      <c r="CA119" s="2">
        <v>46</v>
      </c>
      <c r="CB119" s="2" t="s">
        <v>3</v>
      </c>
      <c r="CC119" s="2"/>
      <c r="CD119" s="2"/>
      <c r="CE119" s="2">
        <v>1566</v>
      </c>
      <c r="CF119" s="2">
        <v>0</v>
      </c>
      <c r="CG119" s="2">
        <v>0</v>
      </c>
      <c r="CH119" s="2"/>
      <c r="CI119" s="2"/>
      <c r="CJ119" s="2"/>
      <c r="CK119" s="2"/>
      <c r="CL119" s="2"/>
      <c r="CM119" s="2">
        <v>0</v>
      </c>
      <c r="CN119" s="2" t="s">
        <v>423</v>
      </c>
      <c r="CO119" s="2">
        <v>0</v>
      </c>
      <c r="CP119" s="2">
        <f t="shared" si="83"/>
        <v>914.21</v>
      </c>
      <c r="CQ119" s="2">
        <f t="shared" si="103"/>
        <v>914.21</v>
      </c>
      <c r="CR119" s="2">
        <f>(ROUND((ROUND(((ET119)*AV119*1),2)*BB119),2)+ROUND((ROUND(((AE119-(EU119))*AV119*1),2)*BS119),2))</f>
        <v>0</v>
      </c>
      <c r="CS119" s="2">
        <f>(ROUND((ROUND(((EU119)*AV119*1),2)*BS119),2)+ROUND((ROUND(((AE119-(EU119))*AV119*1),2)*BS119),2))</f>
        <v>0</v>
      </c>
      <c r="CT119" s="2">
        <f t="shared" si="85"/>
        <v>0</v>
      </c>
      <c r="CU119" s="2">
        <f t="shared" si="86"/>
        <v>0</v>
      </c>
      <c r="CV119" s="2">
        <f t="shared" si="87"/>
        <v>0</v>
      </c>
      <c r="CW119" s="2">
        <f t="shared" si="88"/>
        <v>0</v>
      </c>
      <c r="CX119" s="2">
        <f t="shared" si="89"/>
        <v>0</v>
      </c>
      <c r="CY119" s="2">
        <f>(ROUND((((S119+ROUND((ROUND(((EU119)*AV119*1),2)*BS119),2))*AT119)/100),2)+ROUND(((ROUND((ROUND(((AE119-(EU119))*AV119*1),2)*BS119),2)*AT119)/100),2))</f>
        <v>0</v>
      </c>
      <c r="CZ119" s="2">
        <f>(ROUND((((S119+ROUND((ROUND(((EU119)*AV119*1),2)*BS119),2))*AU119)/100),2)+ROUND(((ROUND((ROUND(((AE119-(EU119))*AV119*1),2)*BS119),2)*AU119)/100),2))</f>
        <v>0</v>
      </c>
      <c r="DA119" s="2"/>
      <c r="DB119" s="2"/>
      <c r="DC119" s="2" t="s">
        <v>3</v>
      </c>
      <c r="DD119" s="2" t="s">
        <v>3</v>
      </c>
      <c r="DE119" s="2" t="s">
        <v>3</v>
      </c>
      <c r="DF119" s="2" t="s">
        <v>3</v>
      </c>
      <c r="DG119" s="2" t="s">
        <v>3</v>
      </c>
      <c r="DH119" s="2" t="s">
        <v>3</v>
      </c>
      <c r="DI119" s="2" t="s">
        <v>3</v>
      </c>
      <c r="DJ119" s="2" t="s">
        <v>3</v>
      </c>
      <c r="DK119" s="2" t="s">
        <v>3</v>
      </c>
      <c r="DL119" s="2" t="s">
        <v>3</v>
      </c>
      <c r="DM119" s="2" t="s">
        <v>3</v>
      </c>
      <c r="DN119" s="2">
        <v>0</v>
      </c>
      <c r="DO119" s="2">
        <v>0</v>
      </c>
      <c r="DP119" s="2">
        <v>1</v>
      </c>
      <c r="DQ119" s="2">
        <v>1</v>
      </c>
      <c r="DR119" s="2"/>
      <c r="DS119" s="2"/>
      <c r="DT119" s="2"/>
      <c r="DU119" s="2">
        <v>1013</v>
      </c>
      <c r="DV119" s="2" t="s">
        <v>144</v>
      </c>
      <c r="DW119" s="2" t="s">
        <v>144</v>
      </c>
      <c r="DX119" s="2">
        <v>1</v>
      </c>
      <c r="DY119" s="2"/>
      <c r="DZ119" s="2" t="s">
        <v>3</v>
      </c>
      <c r="EA119" s="2" t="s">
        <v>3</v>
      </c>
      <c r="EB119" s="2" t="s">
        <v>3</v>
      </c>
      <c r="EC119" s="2" t="s">
        <v>3</v>
      </c>
      <c r="ED119" s="2"/>
      <c r="EE119" s="2">
        <v>55393630</v>
      </c>
      <c r="EF119" s="2">
        <v>214</v>
      </c>
      <c r="EG119" s="2" t="s">
        <v>145</v>
      </c>
      <c r="EH119" s="2">
        <v>0</v>
      </c>
      <c r="EI119" s="2" t="s">
        <v>3</v>
      </c>
      <c r="EJ119" s="2">
        <v>3</v>
      </c>
      <c r="EK119" s="2">
        <v>400007</v>
      </c>
      <c r="EL119" s="2" t="s">
        <v>145</v>
      </c>
      <c r="EM119" s="2" t="s">
        <v>146</v>
      </c>
      <c r="EN119" s="2"/>
      <c r="EO119" s="2" t="s">
        <v>67</v>
      </c>
      <c r="EP119" s="2"/>
      <c r="EQ119" s="2">
        <v>16</v>
      </c>
      <c r="ER119" s="2">
        <v>0</v>
      </c>
      <c r="ES119" s="2">
        <v>914.20999999999992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>
        <v>0</v>
      </c>
      <c r="FR119" s="2">
        <f>P119</f>
        <v>914.21</v>
      </c>
      <c r="FS119" s="2">
        <v>0</v>
      </c>
      <c r="FT119" s="2"/>
      <c r="FU119" s="2"/>
      <c r="FV119" s="2"/>
      <c r="FW119" s="2"/>
      <c r="FX119" s="2">
        <v>90</v>
      </c>
      <c r="FY119" s="2">
        <v>46</v>
      </c>
      <c r="FZ119" s="2"/>
      <c r="GA119" s="2" t="s">
        <v>185</v>
      </c>
      <c r="GB119" s="2"/>
      <c r="GC119" s="2"/>
      <c r="GD119" s="2">
        <v>1</v>
      </c>
      <c r="GE119" s="2"/>
      <c r="GF119" s="2">
        <v>-920573063</v>
      </c>
      <c r="GG119" s="2">
        <v>2</v>
      </c>
      <c r="GH119" s="2">
        <v>4</v>
      </c>
      <c r="GI119" s="2">
        <v>-2</v>
      </c>
      <c r="GJ119" s="2">
        <v>0</v>
      </c>
      <c r="GK119" s="2">
        <v>0</v>
      </c>
      <c r="GL119" s="2">
        <f t="shared" si="90"/>
        <v>0</v>
      </c>
      <c r="GM119" s="2">
        <f t="shared" si="91"/>
        <v>914.21</v>
      </c>
      <c r="GN119" s="2">
        <f t="shared" si="92"/>
        <v>0</v>
      </c>
      <c r="GO119" s="2">
        <f t="shared" si="93"/>
        <v>0</v>
      </c>
      <c r="GP119" s="2">
        <f t="shared" si="94"/>
        <v>0</v>
      </c>
      <c r="GQ119" s="2"/>
      <c r="GR119" s="2">
        <v>1</v>
      </c>
      <c r="GS119" s="2">
        <v>2</v>
      </c>
      <c r="GT119" s="2">
        <v>0</v>
      </c>
      <c r="GU119" s="2" t="s">
        <v>3</v>
      </c>
      <c r="GV119" s="2">
        <f t="shared" si="95"/>
        <v>0</v>
      </c>
      <c r="GW119" s="2">
        <v>1</v>
      </c>
      <c r="GX119" s="2">
        <f t="shared" si="96"/>
        <v>0</v>
      </c>
      <c r="GY119" s="2"/>
      <c r="GZ119" s="2"/>
      <c r="HA119" s="2">
        <v>0</v>
      </c>
      <c r="HB119" s="2">
        <v>0</v>
      </c>
      <c r="HC119" s="2">
        <f t="shared" si="97"/>
        <v>0</v>
      </c>
      <c r="HD119" s="2"/>
      <c r="HE119" s="2" t="s">
        <v>35</v>
      </c>
      <c r="HF119" s="2" t="s">
        <v>148</v>
      </c>
      <c r="HG119" s="2"/>
      <c r="HH119" s="2"/>
      <c r="HI119" s="2"/>
      <c r="HJ119" s="2"/>
      <c r="HK119" s="2"/>
      <c r="HL119" s="2"/>
      <c r="HM119" s="2" t="s">
        <v>3</v>
      </c>
      <c r="HN119" s="2" t="s">
        <v>3</v>
      </c>
      <c r="HO119" s="2" t="s">
        <v>3</v>
      </c>
      <c r="HP119" s="2" t="s">
        <v>3</v>
      </c>
      <c r="HQ119" s="2" t="s">
        <v>3</v>
      </c>
      <c r="HR119" s="2"/>
      <c r="HS119" s="2">
        <v>0</v>
      </c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>
        <v>0</v>
      </c>
      <c r="IL119" s="2"/>
      <c r="IM119" s="2"/>
      <c r="IN119" s="2"/>
      <c r="IO119" s="2"/>
      <c r="IP119" s="2"/>
      <c r="IQ119" s="2"/>
      <c r="IR119" s="2"/>
      <c r="IS119" s="2"/>
      <c r="IT119" s="2"/>
      <c r="IU119" s="2"/>
    </row>
    <row r="120" spans="1:255" x14ac:dyDescent="0.25">
      <c r="A120" s="3">
        <v>18</v>
      </c>
      <c r="B120" s="3">
        <v>1</v>
      </c>
      <c r="C120" s="3">
        <v>168</v>
      </c>
      <c r="E120" s="3" t="s">
        <v>182</v>
      </c>
      <c r="F120" s="3" t="s">
        <v>183</v>
      </c>
      <c r="G120" s="3" t="s">
        <v>184</v>
      </c>
      <c r="H120" s="3" t="s">
        <v>144</v>
      </c>
      <c r="I120" s="3">
        <f>I118*J120</f>
        <v>1</v>
      </c>
      <c r="J120" s="3">
        <v>10</v>
      </c>
      <c r="K120" s="3">
        <v>10</v>
      </c>
      <c r="O120" s="3">
        <f t="shared" si="73"/>
        <v>6920.57</v>
      </c>
      <c r="P120" s="3">
        <f t="shared" si="102"/>
        <v>6920.57</v>
      </c>
      <c r="Q120" s="3">
        <f>(ROUND((ROUND(((ET120)*AV120*I120),2)*BB120),2)+ROUND((ROUND(((AE120-(EU120))*AV120*I120),2)*BS120),2))</f>
        <v>0</v>
      </c>
      <c r="R120" s="3">
        <f>(ROUND((ROUND(((EU120)*AV120*I120),2)*BS120),2)+ROUND((ROUND(((AE120-(EU120))*AV120*I120),2)*BS120),2))</f>
        <v>0</v>
      </c>
      <c r="S120" s="3">
        <f t="shared" si="75"/>
        <v>0</v>
      </c>
      <c r="T120" s="3">
        <f t="shared" si="76"/>
        <v>0</v>
      </c>
      <c r="U120" s="3">
        <f t="shared" si="77"/>
        <v>0</v>
      </c>
      <c r="V120" s="3">
        <f t="shared" si="78"/>
        <v>0</v>
      </c>
      <c r="W120" s="3">
        <f t="shared" si="79"/>
        <v>0</v>
      </c>
      <c r="X120" s="3">
        <f>(ROUND((((S120+ROUND((ROUND(((EU120)*AV120*I120),2)*BS120),2))*AT120)/100),2)+ROUND(((ROUND((ROUND(((AE120-(EU120))*AV120*I120),2)*BS120),2)*AT120)/100),2))</f>
        <v>0</v>
      </c>
      <c r="Y120" s="3">
        <f>(ROUND((((S120+ROUND((ROUND(((EU120)*AV120*I120),2)*BS120),2))*AU120)/100),2)+ROUND(((ROUND((ROUND(((AE120-(EU120))*AV120*I120),2)*BS120),2)*AU120)/100),2))</f>
        <v>0</v>
      </c>
      <c r="AA120" s="3">
        <v>55936048</v>
      </c>
      <c r="AB120" s="3">
        <f t="shared" si="80"/>
        <v>914.21</v>
      </c>
      <c r="AC120" s="3">
        <f>ROUND((ES120),6)</f>
        <v>914.21</v>
      </c>
      <c r="AD120" s="3">
        <f>ROUND((((ET120)-(EU120))+AE120),6)</f>
        <v>0</v>
      </c>
      <c r="AE120" s="3">
        <f>ROUND((EU120),6)</f>
        <v>0</v>
      </c>
      <c r="AF120" s="3">
        <f>ROUND((EV120),6)</f>
        <v>0</v>
      </c>
      <c r="AG120" s="3">
        <f t="shared" si="81"/>
        <v>0</v>
      </c>
      <c r="AH120" s="3">
        <f>(EW120)</f>
        <v>0</v>
      </c>
      <c r="AI120" s="3">
        <f>(EX120)</f>
        <v>0</v>
      </c>
      <c r="AJ120" s="3">
        <f t="shared" si="82"/>
        <v>0</v>
      </c>
      <c r="AK120" s="3">
        <v>914.20999999999992</v>
      </c>
      <c r="AL120" s="3">
        <v>914.20999999999992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1</v>
      </c>
      <c r="AW120" s="3">
        <v>1</v>
      </c>
      <c r="AZ120" s="3">
        <v>1</v>
      </c>
      <c r="BA120" s="3">
        <v>1</v>
      </c>
      <c r="BB120" s="3">
        <v>1</v>
      </c>
      <c r="BC120" s="3">
        <v>7.57</v>
      </c>
      <c r="BD120" s="3" t="s">
        <v>3</v>
      </c>
      <c r="BE120" s="3" t="s">
        <v>3</v>
      </c>
      <c r="BF120" s="3" t="s">
        <v>3</v>
      </c>
      <c r="BG120" s="3" t="s">
        <v>3</v>
      </c>
      <c r="BH120" s="3">
        <v>3</v>
      </c>
      <c r="BI120" s="3">
        <v>3</v>
      </c>
      <c r="BJ120" s="3" t="s">
        <v>183</v>
      </c>
      <c r="BM120" s="3">
        <v>400007</v>
      </c>
      <c r="BN120" s="3">
        <v>0</v>
      </c>
      <c r="BO120" s="3" t="s">
        <v>3</v>
      </c>
      <c r="BP120" s="3">
        <v>0</v>
      </c>
      <c r="BQ120" s="3">
        <v>214</v>
      </c>
      <c r="BR120" s="3">
        <v>0</v>
      </c>
      <c r="BS120" s="3">
        <v>1</v>
      </c>
      <c r="BT120" s="3">
        <v>1</v>
      </c>
      <c r="BU120" s="3">
        <v>1</v>
      </c>
      <c r="BV120" s="3">
        <v>1</v>
      </c>
      <c r="BW120" s="3">
        <v>1</v>
      </c>
      <c r="BX120" s="3">
        <v>1</v>
      </c>
      <c r="BY120" s="3" t="s">
        <v>3</v>
      </c>
      <c r="BZ120" s="3">
        <v>90</v>
      </c>
      <c r="CA120" s="3">
        <v>46</v>
      </c>
      <c r="CB120" s="3" t="s">
        <v>3</v>
      </c>
      <c r="CE120" s="3">
        <v>1566</v>
      </c>
      <c r="CF120" s="3">
        <v>0</v>
      </c>
      <c r="CG120" s="3">
        <v>0</v>
      </c>
      <c r="CM120" s="3">
        <v>0</v>
      </c>
      <c r="CN120" s="3" t="s">
        <v>423</v>
      </c>
      <c r="CO120" s="3">
        <v>0</v>
      </c>
      <c r="CP120" s="3">
        <f t="shared" si="83"/>
        <v>6920.57</v>
      </c>
      <c r="CQ120" s="3">
        <f t="shared" si="103"/>
        <v>6920.57</v>
      </c>
      <c r="CR120" s="3">
        <f>(ROUND((ROUND(((ET120)*AV120*1),2)*BB120),2)+ROUND((ROUND(((AE120-(EU120))*AV120*1),2)*BS120),2))</f>
        <v>0</v>
      </c>
      <c r="CS120" s="3">
        <f>(ROUND((ROUND(((EU120)*AV120*1),2)*BS120),2)+ROUND((ROUND(((AE120-(EU120))*AV120*1),2)*BS120),2))</f>
        <v>0</v>
      </c>
      <c r="CT120" s="3">
        <f t="shared" si="85"/>
        <v>0</v>
      </c>
      <c r="CU120" s="3">
        <f t="shared" si="86"/>
        <v>0</v>
      </c>
      <c r="CV120" s="3">
        <f t="shared" si="87"/>
        <v>0</v>
      </c>
      <c r="CW120" s="3">
        <f t="shared" si="88"/>
        <v>0</v>
      </c>
      <c r="CX120" s="3">
        <f t="shared" si="89"/>
        <v>0</v>
      </c>
      <c r="CY120" s="3">
        <f>(ROUND((((S120+ROUND((ROUND(((EU120)*AV120*1),2)*BS120),2))*AT120)/100),2)+ROUND(((ROUND((ROUND(((AE120-(EU120))*AV120*1),2)*BS120),2)*AT120)/100),2))</f>
        <v>0</v>
      </c>
      <c r="CZ120" s="3">
        <f>(ROUND((((S120+ROUND((ROUND(((EU120)*AV120*1),2)*BS120),2))*AU120)/100),2)+ROUND(((ROUND((ROUND(((AE120-(EU120))*AV120*1),2)*BS120),2)*AU120)/100),2))</f>
        <v>0</v>
      </c>
      <c r="DC120" s="3" t="s">
        <v>3</v>
      </c>
      <c r="DD120" s="3" t="s">
        <v>3</v>
      </c>
      <c r="DE120" s="3" t="s">
        <v>3</v>
      </c>
      <c r="DF120" s="3" t="s">
        <v>3</v>
      </c>
      <c r="DG120" s="3" t="s">
        <v>3</v>
      </c>
      <c r="DH120" s="3" t="s">
        <v>3</v>
      </c>
      <c r="DI120" s="3" t="s">
        <v>3</v>
      </c>
      <c r="DJ120" s="3" t="s">
        <v>3</v>
      </c>
      <c r="DK120" s="3" t="s">
        <v>3</v>
      </c>
      <c r="DL120" s="3" t="s">
        <v>3</v>
      </c>
      <c r="DM120" s="3" t="s">
        <v>3</v>
      </c>
      <c r="DN120" s="3">
        <v>0</v>
      </c>
      <c r="DO120" s="3">
        <v>0</v>
      </c>
      <c r="DP120" s="3">
        <v>1</v>
      </c>
      <c r="DQ120" s="3">
        <v>1</v>
      </c>
      <c r="DU120" s="3">
        <v>1013</v>
      </c>
      <c r="DV120" s="3" t="s">
        <v>144</v>
      </c>
      <c r="DW120" s="3" t="s">
        <v>144</v>
      </c>
      <c r="DX120" s="3">
        <v>1</v>
      </c>
      <c r="DZ120" s="3" t="s">
        <v>3</v>
      </c>
      <c r="EA120" s="3" t="s">
        <v>3</v>
      </c>
      <c r="EB120" s="3" t="s">
        <v>3</v>
      </c>
      <c r="EC120" s="3" t="s">
        <v>3</v>
      </c>
      <c r="EE120" s="3">
        <v>55393630</v>
      </c>
      <c r="EF120" s="3">
        <v>214</v>
      </c>
      <c r="EG120" s="3" t="s">
        <v>145</v>
      </c>
      <c r="EH120" s="3">
        <v>0</v>
      </c>
      <c r="EI120" s="3" t="s">
        <v>3</v>
      </c>
      <c r="EJ120" s="3">
        <v>3</v>
      </c>
      <c r="EK120" s="3">
        <v>400007</v>
      </c>
      <c r="EL120" s="3" t="s">
        <v>145</v>
      </c>
      <c r="EM120" s="3" t="s">
        <v>146</v>
      </c>
      <c r="EO120" s="3" t="s">
        <v>67</v>
      </c>
      <c r="EQ120" s="3">
        <v>16</v>
      </c>
      <c r="ER120" s="3">
        <v>0</v>
      </c>
      <c r="ES120" s="3">
        <v>914.20999999999992</v>
      </c>
      <c r="ET120" s="3">
        <v>0</v>
      </c>
      <c r="EU120" s="3">
        <v>0</v>
      </c>
      <c r="EV120" s="3">
        <v>0</v>
      </c>
      <c r="EW120" s="3">
        <v>0</v>
      </c>
      <c r="EX120" s="3">
        <v>0</v>
      </c>
      <c r="EZ120" s="3">
        <v>5</v>
      </c>
      <c r="FC120" s="3">
        <v>1</v>
      </c>
      <c r="FD120" s="3">
        <v>18</v>
      </c>
      <c r="FF120" s="3">
        <v>8100</v>
      </c>
      <c r="FQ120" s="3">
        <v>0</v>
      </c>
      <c r="FR120" s="3">
        <f>P120</f>
        <v>6920.57</v>
      </c>
      <c r="FS120" s="3">
        <v>0</v>
      </c>
      <c r="FX120" s="3">
        <v>90</v>
      </c>
      <c r="FY120" s="3">
        <v>46</v>
      </c>
      <c r="GA120" s="3" t="s">
        <v>185</v>
      </c>
      <c r="GD120" s="3">
        <v>1</v>
      </c>
      <c r="GF120" s="3">
        <v>-920573063</v>
      </c>
      <c r="GG120" s="3">
        <v>2</v>
      </c>
      <c r="GH120" s="3">
        <v>3</v>
      </c>
      <c r="GI120" s="3">
        <v>5</v>
      </c>
      <c r="GJ120" s="3">
        <v>0</v>
      </c>
      <c r="GK120" s="3">
        <v>0</v>
      </c>
      <c r="GL120" s="3">
        <f t="shared" si="90"/>
        <v>0</v>
      </c>
      <c r="GM120" s="3">
        <f t="shared" si="91"/>
        <v>6920.57</v>
      </c>
      <c r="GN120" s="3">
        <f t="shared" si="92"/>
        <v>0</v>
      </c>
      <c r="GO120" s="3">
        <f t="shared" si="93"/>
        <v>0</v>
      </c>
      <c r="GP120" s="3">
        <f t="shared" si="94"/>
        <v>0</v>
      </c>
      <c r="GR120" s="3">
        <v>1</v>
      </c>
      <c r="GS120" s="3">
        <v>1</v>
      </c>
      <c r="GT120" s="3">
        <v>0</v>
      </c>
      <c r="GU120" s="3" t="s">
        <v>3</v>
      </c>
      <c r="GV120" s="3">
        <f t="shared" si="95"/>
        <v>0</v>
      </c>
      <c r="GW120" s="3">
        <v>1</v>
      </c>
      <c r="GX120" s="3">
        <f t="shared" si="96"/>
        <v>0</v>
      </c>
      <c r="HA120" s="3">
        <v>0</v>
      </c>
      <c r="HB120" s="3">
        <v>0</v>
      </c>
      <c r="HC120" s="3">
        <f t="shared" si="97"/>
        <v>0</v>
      </c>
      <c r="HE120" s="3" t="s">
        <v>35</v>
      </c>
      <c r="HF120" s="3" t="s">
        <v>148</v>
      </c>
      <c r="HM120" s="3" t="s">
        <v>3</v>
      </c>
      <c r="HN120" s="3" t="s">
        <v>3</v>
      </c>
      <c r="HO120" s="3" t="s">
        <v>3</v>
      </c>
      <c r="HP120" s="3" t="s">
        <v>3</v>
      </c>
      <c r="HQ120" s="3" t="s">
        <v>3</v>
      </c>
      <c r="HS120" s="3">
        <v>0</v>
      </c>
      <c r="IK120" s="3">
        <v>0</v>
      </c>
    </row>
    <row r="121" spans="1:255" x14ac:dyDescent="0.25">
      <c r="A121" s="2">
        <v>17</v>
      </c>
      <c r="B121" s="2">
        <v>1</v>
      </c>
      <c r="C121" s="2">
        <f>ROW(SmtRes!A174)</f>
        <v>174</v>
      </c>
      <c r="D121" s="2">
        <f>ROW(EtalonRes!A200)</f>
        <v>200</v>
      </c>
      <c r="E121" s="2" t="s">
        <v>186</v>
      </c>
      <c r="F121" s="2" t="s">
        <v>54</v>
      </c>
      <c r="G121" s="2" t="s">
        <v>187</v>
      </c>
      <c r="H121" s="2" t="s">
        <v>33</v>
      </c>
      <c r="I121" s="2">
        <v>1</v>
      </c>
      <c r="J121" s="2">
        <v>0</v>
      </c>
      <c r="K121" s="2">
        <v>1</v>
      </c>
      <c r="L121" s="2"/>
      <c r="M121" s="2"/>
      <c r="N121" s="2"/>
      <c r="O121" s="2">
        <f t="shared" si="73"/>
        <v>28.28</v>
      </c>
      <c r="P121" s="2">
        <f t="shared" si="102"/>
        <v>1.22</v>
      </c>
      <c r="Q121" s="2">
        <f>(ROUND((ROUND((((ET121*1.2))*AV121*I121),2)*BB121),2)+ROUND((ROUND(((AE121-((EU121*1.2)))*AV121*I121),2)*BS121),2))</f>
        <v>1.1399999999999999</v>
      </c>
      <c r="R121" s="2">
        <f>(ROUND((ROUND((((EU121*1.2))*AV121*I121),2)*BS121),2)+ROUND((ROUND(((AE121-((EU121*1.2)))*AV121*I121),2)*BS121),2))</f>
        <v>0.16</v>
      </c>
      <c r="S121" s="2">
        <f t="shared" si="75"/>
        <v>25.92</v>
      </c>
      <c r="T121" s="2">
        <f t="shared" si="76"/>
        <v>0</v>
      </c>
      <c r="U121" s="2">
        <f t="shared" si="77"/>
        <v>1.69614</v>
      </c>
      <c r="V121" s="2">
        <f t="shared" si="78"/>
        <v>0</v>
      </c>
      <c r="W121" s="2">
        <f t="shared" si="79"/>
        <v>0</v>
      </c>
      <c r="X121" s="2">
        <f>(ROUND((((S121+ROUND((ROUND((((EU121*1.2))*AV121*I121),2)*BS121),2))*AT121)/100),2)+ROUND(((ROUND((ROUND(((AE121-((EU121*1.2)))*AV121*I121),2)*BS121),2)*AT121)/100),2))</f>
        <v>23.47</v>
      </c>
      <c r="Y121" s="2">
        <f>(ROUND((((S121+ROUND((ROUND((((EU121*1.2))*AV121*I121),2)*BS121),2))*AU121)/100),2)+ROUND(((ROUND((ROUND(((AE121-((EU121*1.2)))*AV121*I121),2)*BS121),2)*AU121)/100),2))</f>
        <v>12</v>
      </c>
      <c r="Z121" s="2"/>
      <c r="AA121" s="2">
        <v>55936046</v>
      </c>
      <c r="AB121" s="2">
        <f t="shared" si="80"/>
        <v>27.068000000000001</v>
      </c>
      <c r="AC121" s="2">
        <f>ROUND(((ES121*1)),6)</f>
        <v>1.22</v>
      </c>
      <c r="AD121" s="2">
        <f>ROUND(((((ET121*1.2))-((EU121*1.2)))+AE121),6)</f>
        <v>1.0920000000000001</v>
      </c>
      <c r="AE121" s="2">
        <f>ROUND(((EU121*1.2)),6)</f>
        <v>0.156</v>
      </c>
      <c r="AF121" s="2">
        <f>ROUND(((EV121*1.2)),6)</f>
        <v>24.756</v>
      </c>
      <c r="AG121" s="2">
        <f t="shared" si="81"/>
        <v>0</v>
      </c>
      <c r="AH121" s="2">
        <f>((EW121*1.2))</f>
        <v>1.62</v>
      </c>
      <c r="AI121" s="2">
        <f>((EX121*1.2))</f>
        <v>0</v>
      </c>
      <c r="AJ121" s="2">
        <f t="shared" si="82"/>
        <v>0</v>
      </c>
      <c r="AK121" s="2">
        <v>22.76</v>
      </c>
      <c r="AL121" s="2">
        <v>1.22</v>
      </c>
      <c r="AM121" s="2">
        <v>0.91</v>
      </c>
      <c r="AN121" s="2">
        <v>0.13</v>
      </c>
      <c r="AO121" s="2">
        <v>20.63</v>
      </c>
      <c r="AP121" s="2">
        <v>0</v>
      </c>
      <c r="AQ121" s="2">
        <v>1.35</v>
      </c>
      <c r="AR121" s="2">
        <v>0</v>
      </c>
      <c r="AS121" s="2">
        <v>0</v>
      </c>
      <c r="AT121" s="2">
        <v>90</v>
      </c>
      <c r="AU121" s="2">
        <v>46</v>
      </c>
      <c r="AV121" s="2">
        <v>1.0469999999999999</v>
      </c>
      <c r="AW121" s="2">
        <v>1</v>
      </c>
      <c r="AX121" s="2"/>
      <c r="AY121" s="2"/>
      <c r="AZ121" s="2">
        <v>1</v>
      </c>
      <c r="BA121" s="2">
        <v>1</v>
      </c>
      <c r="BB121" s="2">
        <v>1</v>
      </c>
      <c r="BC121" s="2">
        <v>1</v>
      </c>
      <c r="BD121" s="2" t="s">
        <v>3</v>
      </c>
      <c r="BE121" s="2" t="s">
        <v>3</v>
      </c>
      <c r="BF121" s="2" t="s">
        <v>3</v>
      </c>
      <c r="BG121" s="2" t="s">
        <v>3</v>
      </c>
      <c r="BH121" s="2">
        <v>0</v>
      </c>
      <c r="BI121" s="2">
        <v>2</v>
      </c>
      <c r="BJ121" s="2" t="s">
        <v>56</v>
      </c>
      <c r="BK121" s="2"/>
      <c r="BL121" s="2"/>
      <c r="BM121" s="2">
        <v>68</v>
      </c>
      <c r="BN121" s="2">
        <v>0</v>
      </c>
      <c r="BO121" s="2" t="s">
        <v>54</v>
      </c>
      <c r="BP121" s="2">
        <v>1</v>
      </c>
      <c r="BQ121" s="2">
        <v>40</v>
      </c>
      <c r="BR121" s="2">
        <v>0</v>
      </c>
      <c r="BS121" s="2">
        <v>1</v>
      </c>
      <c r="BT121" s="2">
        <v>1</v>
      </c>
      <c r="BU121" s="2">
        <v>1</v>
      </c>
      <c r="BV121" s="2">
        <v>1</v>
      </c>
      <c r="BW121" s="2">
        <v>1</v>
      </c>
      <c r="BX121" s="2">
        <v>1</v>
      </c>
      <c r="BY121" s="2" t="s">
        <v>3</v>
      </c>
      <c r="BZ121" s="2">
        <v>90</v>
      </c>
      <c r="CA121" s="2">
        <v>46</v>
      </c>
      <c r="CB121" s="2" t="s">
        <v>3</v>
      </c>
      <c r="CC121" s="2"/>
      <c r="CD121" s="2"/>
      <c r="CE121" s="2">
        <v>1566</v>
      </c>
      <c r="CF121" s="2">
        <v>0</v>
      </c>
      <c r="CG121" s="2">
        <v>0</v>
      </c>
      <c r="CH121" s="2"/>
      <c r="CI121" s="2"/>
      <c r="CJ121" s="2"/>
      <c r="CK121" s="2"/>
      <c r="CL121" s="2"/>
      <c r="CM121" s="2">
        <v>0</v>
      </c>
      <c r="CN121" s="2" t="s">
        <v>422</v>
      </c>
      <c r="CO121" s="2">
        <v>0</v>
      </c>
      <c r="CP121" s="2">
        <f t="shared" si="83"/>
        <v>28.28</v>
      </c>
      <c r="CQ121" s="2">
        <f t="shared" si="103"/>
        <v>1.22</v>
      </c>
      <c r="CR121" s="2">
        <f>(ROUND((ROUND((((ET121*1.2))*AV121*1),2)*BB121),2)+ROUND((ROUND(((AE121-((EU121*1.2)))*AV121*1),2)*BS121),2))</f>
        <v>1.1399999999999999</v>
      </c>
      <c r="CS121" s="2">
        <f>(ROUND((ROUND((((EU121*1.2))*AV121*1),2)*BS121),2)+ROUND((ROUND(((AE121-((EU121*1.2)))*AV121*1),2)*BS121),2))</f>
        <v>0.16</v>
      </c>
      <c r="CT121" s="2">
        <f t="shared" si="85"/>
        <v>25.92</v>
      </c>
      <c r="CU121" s="2">
        <f t="shared" si="86"/>
        <v>0</v>
      </c>
      <c r="CV121" s="2">
        <f t="shared" si="87"/>
        <v>1.69614</v>
      </c>
      <c r="CW121" s="2">
        <f t="shared" si="88"/>
        <v>0</v>
      </c>
      <c r="CX121" s="2">
        <f t="shared" si="89"/>
        <v>0</v>
      </c>
      <c r="CY121" s="2">
        <f>(ROUND((((S121+ROUND((ROUND((((EU121*1.2))*AV121*1),2)*BS121),2))*AT121)/100),2)+ROUND(((ROUND((ROUND(((AE121-((EU121*1.2)))*AV121*1),2)*BS121),2)*AT121)/100),2))</f>
        <v>23.47</v>
      </c>
      <c r="CZ121" s="2">
        <f>(ROUND((((S121+ROUND((ROUND((((EU121*1.2))*AV121*1),2)*BS121),2))*AU121)/100),2)+ROUND(((ROUND((ROUND(((AE121-((EU121*1.2)))*AV121*1),2)*BS121),2)*AU121)/100),2))</f>
        <v>12</v>
      </c>
      <c r="DA121" s="2"/>
      <c r="DB121" s="2">
        <v>63</v>
      </c>
      <c r="DC121" s="2" t="s">
        <v>3</v>
      </c>
      <c r="DD121" s="2" t="s">
        <v>62</v>
      </c>
      <c r="DE121" s="2" t="s">
        <v>63</v>
      </c>
      <c r="DF121" s="2" t="s">
        <v>63</v>
      </c>
      <c r="DG121" s="2" t="s">
        <v>63</v>
      </c>
      <c r="DH121" s="2" t="s">
        <v>3</v>
      </c>
      <c r="DI121" s="2" t="s">
        <v>63</v>
      </c>
      <c r="DJ121" s="2" t="s">
        <v>63</v>
      </c>
      <c r="DK121" s="2" t="s">
        <v>3</v>
      </c>
      <c r="DL121" s="2" t="s">
        <v>3</v>
      </c>
      <c r="DM121" s="2" t="s">
        <v>3</v>
      </c>
      <c r="DN121" s="2">
        <v>0</v>
      </c>
      <c r="DO121" s="2">
        <v>0</v>
      </c>
      <c r="DP121" s="2">
        <v>1</v>
      </c>
      <c r="DQ121" s="2">
        <v>1</v>
      </c>
      <c r="DR121" s="2"/>
      <c r="DS121" s="2"/>
      <c r="DT121" s="2"/>
      <c r="DU121" s="2">
        <v>1013</v>
      </c>
      <c r="DV121" s="2" t="s">
        <v>33</v>
      </c>
      <c r="DW121" s="2" t="s">
        <v>33</v>
      </c>
      <c r="DX121" s="2">
        <v>1</v>
      </c>
      <c r="DY121" s="2"/>
      <c r="DZ121" s="2" t="s">
        <v>3</v>
      </c>
      <c r="EA121" s="2" t="s">
        <v>3</v>
      </c>
      <c r="EB121" s="2" t="s">
        <v>3</v>
      </c>
      <c r="EC121" s="2" t="s">
        <v>3</v>
      </c>
      <c r="ED121" s="2"/>
      <c r="EE121" s="2">
        <v>55393700</v>
      </c>
      <c r="EF121" s="2">
        <v>40</v>
      </c>
      <c r="EG121" s="2" t="s">
        <v>26</v>
      </c>
      <c r="EH121" s="2">
        <v>0</v>
      </c>
      <c r="EI121" s="2" t="s">
        <v>3</v>
      </c>
      <c r="EJ121" s="2">
        <v>2</v>
      </c>
      <c r="EK121" s="2">
        <v>68</v>
      </c>
      <c r="EL121" s="2" t="s">
        <v>27</v>
      </c>
      <c r="EM121" s="2" t="s">
        <v>28</v>
      </c>
      <c r="EN121" s="2"/>
      <c r="EO121" s="2" t="s">
        <v>67</v>
      </c>
      <c r="EP121" s="2"/>
      <c r="EQ121" s="2">
        <v>0</v>
      </c>
      <c r="ER121" s="2">
        <v>22.76</v>
      </c>
      <c r="ES121" s="2">
        <v>1.22</v>
      </c>
      <c r="ET121" s="2">
        <v>0.91</v>
      </c>
      <c r="EU121" s="2">
        <v>0.13</v>
      </c>
      <c r="EV121" s="2">
        <v>20.63</v>
      </c>
      <c r="EW121" s="2">
        <v>1.35</v>
      </c>
      <c r="EX121" s="2">
        <v>0</v>
      </c>
      <c r="EY121" s="2">
        <v>0</v>
      </c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>
        <v>0</v>
      </c>
      <c r="FR121" s="2">
        <v>0</v>
      </c>
      <c r="FS121" s="2">
        <v>0</v>
      </c>
      <c r="FT121" s="2"/>
      <c r="FU121" s="2"/>
      <c r="FV121" s="2"/>
      <c r="FW121" s="2"/>
      <c r="FX121" s="2">
        <v>90</v>
      </c>
      <c r="FY121" s="2">
        <v>46</v>
      </c>
      <c r="FZ121" s="2"/>
      <c r="GA121" s="2" t="s">
        <v>3</v>
      </c>
      <c r="GB121" s="2"/>
      <c r="GC121" s="2"/>
      <c r="GD121" s="2">
        <v>1</v>
      </c>
      <c r="GE121" s="2"/>
      <c r="GF121" s="2">
        <v>728692521</v>
      </c>
      <c r="GG121" s="2">
        <v>2</v>
      </c>
      <c r="GH121" s="2">
        <v>1</v>
      </c>
      <c r="GI121" s="2">
        <v>2</v>
      </c>
      <c r="GJ121" s="2">
        <v>0</v>
      </c>
      <c r="GK121" s="2">
        <v>0</v>
      </c>
      <c r="GL121" s="2">
        <f t="shared" si="90"/>
        <v>0</v>
      </c>
      <c r="GM121" s="2">
        <f t="shared" si="91"/>
        <v>63.75</v>
      </c>
      <c r="GN121" s="2">
        <f t="shared" si="92"/>
        <v>0</v>
      </c>
      <c r="GO121" s="2">
        <f t="shared" si="93"/>
        <v>63.75</v>
      </c>
      <c r="GP121" s="2">
        <f t="shared" si="94"/>
        <v>0</v>
      </c>
      <c r="GQ121" s="2"/>
      <c r="GR121" s="2">
        <v>0</v>
      </c>
      <c r="GS121" s="2">
        <v>3</v>
      </c>
      <c r="GT121" s="2">
        <v>0</v>
      </c>
      <c r="GU121" s="2" t="s">
        <v>3</v>
      </c>
      <c r="GV121" s="2">
        <f t="shared" si="95"/>
        <v>0</v>
      </c>
      <c r="GW121" s="2">
        <v>1</v>
      </c>
      <c r="GX121" s="2">
        <f t="shared" si="96"/>
        <v>0</v>
      </c>
      <c r="GY121" s="2"/>
      <c r="GZ121" s="2"/>
      <c r="HA121" s="2">
        <v>0</v>
      </c>
      <c r="HB121" s="2">
        <v>0</v>
      </c>
      <c r="HC121" s="2">
        <f t="shared" si="97"/>
        <v>0</v>
      </c>
      <c r="HD121" s="2"/>
      <c r="HE121" s="2" t="s">
        <v>3</v>
      </c>
      <c r="HF121" s="2" t="s">
        <v>3</v>
      </c>
      <c r="HG121" s="2"/>
      <c r="HH121" s="2"/>
      <c r="HI121" s="2"/>
      <c r="HJ121" s="2"/>
      <c r="HK121" s="2"/>
      <c r="HL121" s="2"/>
      <c r="HM121" s="2" t="s">
        <v>3</v>
      </c>
      <c r="HN121" s="2" t="s">
        <v>3</v>
      </c>
      <c r="HO121" s="2" t="s">
        <v>3</v>
      </c>
      <c r="HP121" s="2" t="s">
        <v>3</v>
      </c>
      <c r="HQ121" s="2" t="s">
        <v>3</v>
      </c>
      <c r="HR121" s="2"/>
      <c r="HS121" s="2">
        <v>0</v>
      </c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>
        <v>0</v>
      </c>
      <c r="IL121" s="2"/>
      <c r="IM121" s="2"/>
      <c r="IN121" s="2"/>
      <c r="IO121" s="2"/>
      <c r="IP121" s="2"/>
      <c r="IQ121" s="2"/>
      <c r="IR121" s="2"/>
      <c r="IS121" s="2"/>
      <c r="IT121" s="2"/>
      <c r="IU121" s="2"/>
    </row>
    <row r="122" spans="1:255" x14ac:dyDescent="0.25">
      <c r="A122" s="3">
        <v>17</v>
      </c>
      <c r="B122" s="3">
        <v>1</v>
      </c>
      <c r="C122" s="3">
        <f>ROW(SmtRes!A180)</f>
        <v>180</v>
      </c>
      <c r="D122" s="3">
        <f>ROW(EtalonRes!A206)</f>
        <v>206</v>
      </c>
      <c r="E122" s="3" t="s">
        <v>186</v>
      </c>
      <c r="F122" s="3" t="s">
        <v>54</v>
      </c>
      <c r="G122" s="3" t="s">
        <v>187</v>
      </c>
      <c r="H122" s="3" t="s">
        <v>33</v>
      </c>
      <c r="I122" s="3">
        <v>1</v>
      </c>
      <c r="J122" s="3">
        <v>0</v>
      </c>
      <c r="K122" s="3">
        <v>1</v>
      </c>
      <c r="O122" s="3">
        <f t="shared" si="73"/>
        <v>1510.64</v>
      </c>
      <c r="P122" s="3">
        <f t="shared" si="102"/>
        <v>31.31</v>
      </c>
      <c r="Q122" s="3">
        <f>(ROUND((ROUND((((ET122*1.2))*AV122*I122),2)*BB122),2)+ROUND((ROUND(((AE122-((EU122*1.2)))*AV122*I122),2)*BS122),2))</f>
        <v>18.739999999999998</v>
      </c>
      <c r="R122" s="3">
        <f>(ROUND((ROUND((((EU122*1.2))*AV122*I122),2)*BS122),2)+ROUND((ROUND(((AE122-((EU122*1.2)))*AV122*I122),2)*BS122),2))</f>
        <v>9.02</v>
      </c>
      <c r="S122" s="3">
        <f t="shared" si="75"/>
        <v>1460.59</v>
      </c>
      <c r="T122" s="3">
        <f t="shared" si="76"/>
        <v>0</v>
      </c>
      <c r="U122" s="3">
        <f t="shared" si="77"/>
        <v>1.69614</v>
      </c>
      <c r="V122" s="3">
        <f t="shared" si="78"/>
        <v>0</v>
      </c>
      <c r="W122" s="3">
        <f t="shared" si="79"/>
        <v>0</v>
      </c>
      <c r="X122" s="3">
        <f>(ROUND((((S122+ROUND((ROUND((((EU122*1.2))*AV122*I122),2)*BS122),2))*AT122)/100),2)+ROUND(((ROUND((ROUND(((AE122-((EU122*1.2)))*AV122*I122),2)*BS122),2)*AT122)/100),2))</f>
        <v>1322.65</v>
      </c>
      <c r="Y122" s="3">
        <f>(ROUND((((S122+ROUND((ROUND((((EU122*1.2))*AV122*I122),2)*BS122),2))*AU122)/100),2)+ROUND(((ROUND((ROUND(((AE122-((EU122*1.2)))*AV122*I122),2)*BS122),2)*AU122)/100),2))</f>
        <v>676.02</v>
      </c>
      <c r="AA122" s="3">
        <v>55936048</v>
      </c>
      <c r="AB122" s="3">
        <f t="shared" si="80"/>
        <v>27.068000000000001</v>
      </c>
      <c r="AC122" s="3">
        <f>ROUND(((ES122*1)),6)</f>
        <v>1.22</v>
      </c>
      <c r="AD122" s="3">
        <f>ROUND(((((ET122*1.2))-((EU122*1.2)))+AE122),6)</f>
        <v>1.0920000000000001</v>
      </c>
      <c r="AE122" s="3">
        <f>ROUND(((EU122*1.2)),6)</f>
        <v>0.156</v>
      </c>
      <c r="AF122" s="3">
        <f>ROUND(((EV122*1.2)),6)</f>
        <v>24.756</v>
      </c>
      <c r="AG122" s="3">
        <f t="shared" si="81"/>
        <v>0</v>
      </c>
      <c r="AH122" s="3">
        <f>((EW122*1.2))</f>
        <v>1.62</v>
      </c>
      <c r="AI122" s="3">
        <f>((EX122*1.2))</f>
        <v>0</v>
      </c>
      <c r="AJ122" s="3">
        <f t="shared" si="82"/>
        <v>0</v>
      </c>
      <c r="AK122" s="3">
        <v>22.76</v>
      </c>
      <c r="AL122" s="3">
        <v>1.22</v>
      </c>
      <c r="AM122" s="3">
        <v>0.91</v>
      </c>
      <c r="AN122" s="3">
        <v>0.13</v>
      </c>
      <c r="AO122" s="3">
        <v>20.63</v>
      </c>
      <c r="AP122" s="3">
        <v>0</v>
      </c>
      <c r="AQ122" s="3">
        <v>1.35</v>
      </c>
      <c r="AR122" s="3">
        <v>0</v>
      </c>
      <c r="AS122" s="3">
        <v>0</v>
      </c>
      <c r="AT122" s="3">
        <v>90</v>
      </c>
      <c r="AU122" s="3">
        <v>46</v>
      </c>
      <c r="AV122" s="3">
        <v>1.0469999999999999</v>
      </c>
      <c r="AW122" s="3">
        <v>1</v>
      </c>
      <c r="AZ122" s="3">
        <v>1</v>
      </c>
      <c r="BA122" s="3">
        <v>56.35</v>
      </c>
      <c r="BB122" s="3">
        <v>16.440000000000001</v>
      </c>
      <c r="BC122" s="3">
        <v>25.66</v>
      </c>
      <c r="BD122" s="3" t="s">
        <v>3</v>
      </c>
      <c r="BE122" s="3" t="s">
        <v>3</v>
      </c>
      <c r="BF122" s="3" t="s">
        <v>3</v>
      </c>
      <c r="BG122" s="3" t="s">
        <v>3</v>
      </c>
      <c r="BH122" s="3">
        <v>0</v>
      </c>
      <c r="BI122" s="3">
        <v>2</v>
      </c>
      <c r="BJ122" s="3" t="s">
        <v>56</v>
      </c>
      <c r="BM122" s="3">
        <v>68</v>
      </c>
      <c r="BN122" s="3">
        <v>0</v>
      </c>
      <c r="BO122" s="3" t="s">
        <v>54</v>
      </c>
      <c r="BP122" s="3">
        <v>1</v>
      </c>
      <c r="BQ122" s="3">
        <v>40</v>
      </c>
      <c r="BR122" s="3">
        <v>0</v>
      </c>
      <c r="BS122" s="3">
        <v>56.35</v>
      </c>
      <c r="BT122" s="3">
        <v>1</v>
      </c>
      <c r="BU122" s="3">
        <v>1</v>
      </c>
      <c r="BV122" s="3">
        <v>1</v>
      </c>
      <c r="BW122" s="3">
        <v>1</v>
      </c>
      <c r="BX122" s="3">
        <v>1</v>
      </c>
      <c r="BY122" s="3" t="s">
        <v>3</v>
      </c>
      <c r="BZ122" s="3">
        <v>90</v>
      </c>
      <c r="CA122" s="3">
        <v>46</v>
      </c>
      <c r="CB122" s="3" t="s">
        <v>3</v>
      </c>
      <c r="CE122" s="3">
        <v>1566</v>
      </c>
      <c r="CF122" s="3">
        <v>0</v>
      </c>
      <c r="CG122" s="3">
        <v>0</v>
      </c>
      <c r="CM122" s="3">
        <v>0</v>
      </c>
      <c r="CN122" s="3" t="s">
        <v>422</v>
      </c>
      <c r="CO122" s="3">
        <v>0</v>
      </c>
      <c r="CP122" s="3">
        <f t="shared" si="83"/>
        <v>1510.6399999999999</v>
      </c>
      <c r="CQ122" s="3">
        <f t="shared" si="103"/>
        <v>31.31</v>
      </c>
      <c r="CR122" s="3">
        <f>(ROUND((ROUND((((ET122*1.2))*AV122*1),2)*BB122),2)+ROUND((ROUND(((AE122-((EU122*1.2)))*AV122*1),2)*BS122),2))</f>
        <v>18.739999999999998</v>
      </c>
      <c r="CS122" s="3">
        <f>(ROUND((ROUND((((EU122*1.2))*AV122*1),2)*BS122),2)+ROUND((ROUND(((AE122-((EU122*1.2)))*AV122*1),2)*BS122),2))</f>
        <v>9.02</v>
      </c>
      <c r="CT122" s="3">
        <f t="shared" si="85"/>
        <v>1460.59</v>
      </c>
      <c r="CU122" s="3">
        <f t="shared" si="86"/>
        <v>0</v>
      </c>
      <c r="CV122" s="3">
        <f t="shared" si="87"/>
        <v>1.69614</v>
      </c>
      <c r="CW122" s="3">
        <f t="shared" si="88"/>
        <v>0</v>
      </c>
      <c r="CX122" s="3">
        <f t="shared" si="89"/>
        <v>0</v>
      </c>
      <c r="CY122" s="3">
        <f>(ROUND((((S122+ROUND((ROUND((((EU122*1.2))*AV122*1),2)*BS122),2))*AT122)/100),2)+ROUND(((ROUND((ROUND(((AE122-((EU122*1.2)))*AV122*1),2)*BS122),2)*AT122)/100),2))</f>
        <v>1322.65</v>
      </c>
      <c r="CZ122" s="3">
        <f>(ROUND((((S122+ROUND((ROUND((((EU122*1.2))*AV122*1),2)*BS122),2))*AU122)/100),2)+ROUND(((ROUND((ROUND(((AE122-((EU122*1.2)))*AV122*1),2)*BS122),2)*AU122)/100),2))</f>
        <v>676.02</v>
      </c>
      <c r="DB122" s="3">
        <v>64</v>
      </c>
      <c r="DC122" s="3" t="s">
        <v>3</v>
      </c>
      <c r="DD122" s="3" t="s">
        <v>62</v>
      </c>
      <c r="DE122" s="3" t="s">
        <v>63</v>
      </c>
      <c r="DF122" s="3" t="s">
        <v>63</v>
      </c>
      <c r="DG122" s="3" t="s">
        <v>63</v>
      </c>
      <c r="DH122" s="3" t="s">
        <v>3</v>
      </c>
      <c r="DI122" s="3" t="s">
        <v>63</v>
      </c>
      <c r="DJ122" s="3" t="s">
        <v>63</v>
      </c>
      <c r="DK122" s="3" t="s">
        <v>3</v>
      </c>
      <c r="DL122" s="3" t="s">
        <v>3</v>
      </c>
      <c r="DM122" s="3" t="s">
        <v>3</v>
      </c>
      <c r="DN122" s="3">
        <v>0</v>
      </c>
      <c r="DO122" s="3">
        <v>0</v>
      </c>
      <c r="DP122" s="3">
        <v>1</v>
      </c>
      <c r="DQ122" s="3">
        <v>1</v>
      </c>
      <c r="DU122" s="3">
        <v>1013</v>
      </c>
      <c r="DV122" s="3" t="s">
        <v>33</v>
      </c>
      <c r="DW122" s="3" t="s">
        <v>33</v>
      </c>
      <c r="DX122" s="3">
        <v>1</v>
      </c>
      <c r="DZ122" s="3" t="s">
        <v>3</v>
      </c>
      <c r="EA122" s="3" t="s">
        <v>3</v>
      </c>
      <c r="EB122" s="3" t="s">
        <v>3</v>
      </c>
      <c r="EC122" s="3" t="s">
        <v>3</v>
      </c>
      <c r="EE122" s="3">
        <v>55393700</v>
      </c>
      <c r="EF122" s="3">
        <v>40</v>
      </c>
      <c r="EG122" s="3" t="s">
        <v>26</v>
      </c>
      <c r="EH122" s="3">
        <v>0</v>
      </c>
      <c r="EI122" s="3" t="s">
        <v>3</v>
      </c>
      <c r="EJ122" s="3">
        <v>2</v>
      </c>
      <c r="EK122" s="3">
        <v>68</v>
      </c>
      <c r="EL122" s="3" t="s">
        <v>27</v>
      </c>
      <c r="EM122" s="3" t="s">
        <v>28</v>
      </c>
      <c r="EO122" s="3" t="s">
        <v>67</v>
      </c>
      <c r="EQ122" s="3">
        <v>0</v>
      </c>
      <c r="ER122" s="3">
        <v>22.76</v>
      </c>
      <c r="ES122" s="3">
        <v>1.22</v>
      </c>
      <c r="ET122" s="3">
        <v>0.91</v>
      </c>
      <c r="EU122" s="3">
        <v>0.13</v>
      </c>
      <c r="EV122" s="3">
        <v>20.63</v>
      </c>
      <c r="EW122" s="3">
        <v>1.35</v>
      </c>
      <c r="EX122" s="3">
        <v>0</v>
      </c>
      <c r="EY122" s="3">
        <v>0</v>
      </c>
      <c r="FQ122" s="3">
        <v>0</v>
      </c>
      <c r="FR122" s="3">
        <v>0</v>
      </c>
      <c r="FS122" s="3">
        <v>0</v>
      </c>
      <c r="FX122" s="3">
        <v>90</v>
      </c>
      <c r="FY122" s="3">
        <v>46</v>
      </c>
      <c r="GA122" s="3" t="s">
        <v>3</v>
      </c>
      <c r="GD122" s="3">
        <v>1</v>
      </c>
      <c r="GF122" s="3">
        <v>728692521</v>
      </c>
      <c r="GG122" s="3">
        <v>2</v>
      </c>
      <c r="GH122" s="3">
        <v>1</v>
      </c>
      <c r="GI122" s="3">
        <v>2</v>
      </c>
      <c r="GJ122" s="3">
        <v>0</v>
      </c>
      <c r="GK122" s="3">
        <v>0</v>
      </c>
      <c r="GL122" s="3">
        <f t="shared" si="90"/>
        <v>0</v>
      </c>
      <c r="GM122" s="3">
        <f t="shared" si="91"/>
        <v>3509.31</v>
      </c>
      <c r="GN122" s="3">
        <f t="shared" si="92"/>
        <v>0</v>
      </c>
      <c r="GO122" s="3">
        <f t="shared" si="93"/>
        <v>3509.31</v>
      </c>
      <c r="GP122" s="3">
        <f t="shared" si="94"/>
        <v>0</v>
      </c>
      <c r="GR122" s="3">
        <v>0</v>
      </c>
      <c r="GS122" s="3">
        <v>3</v>
      </c>
      <c r="GT122" s="3">
        <v>0</v>
      </c>
      <c r="GU122" s="3" t="s">
        <v>3</v>
      </c>
      <c r="GV122" s="3">
        <f t="shared" si="95"/>
        <v>0</v>
      </c>
      <c r="GW122" s="3">
        <v>1</v>
      </c>
      <c r="GX122" s="3">
        <f t="shared" si="96"/>
        <v>0</v>
      </c>
      <c r="HA122" s="3">
        <v>0</v>
      </c>
      <c r="HB122" s="3">
        <v>0</v>
      </c>
      <c r="HC122" s="3">
        <f t="shared" si="97"/>
        <v>0</v>
      </c>
      <c r="HE122" s="3" t="s">
        <v>3</v>
      </c>
      <c r="HF122" s="3" t="s">
        <v>3</v>
      </c>
      <c r="HM122" s="3" t="s">
        <v>3</v>
      </c>
      <c r="HN122" s="3" t="s">
        <v>3</v>
      </c>
      <c r="HO122" s="3" t="s">
        <v>3</v>
      </c>
      <c r="HP122" s="3" t="s">
        <v>3</v>
      </c>
      <c r="HQ122" s="3" t="s">
        <v>3</v>
      </c>
      <c r="HS122" s="3">
        <v>0</v>
      </c>
      <c r="IK122" s="3">
        <v>0</v>
      </c>
    </row>
    <row r="123" spans="1:255" x14ac:dyDescent="0.25">
      <c r="A123" s="2">
        <v>18</v>
      </c>
      <c r="B123" s="2">
        <v>1</v>
      </c>
      <c r="C123" s="2">
        <v>174</v>
      </c>
      <c r="D123" s="2"/>
      <c r="E123" s="2" t="s">
        <v>188</v>
      </c>
      <c r="F123" s="2" t="s">
        <v>189</v>
      </c>
      <c r="G123" s="2" t="s">
        <v>190</v>
      </c>
      <c r="H123" s="2" t="s">
        <v>144</v>
      </c>
      <c r="I123" s="2">
        <f>I121*J123</f>
        <v>1</v>
      </c>
      <c r="J123" s="2">
        <v>1</v>
      </c>
      <c r="K123" s="2">
        <v>1</v>
      </c>
      <c r="L123" s="2"/>
      <c r="M123" s="2"/>
      <c r="N123" s="2"/>
      <c r="O123" s="2">
        <f t="shared" si="73"/>
        <v>1726.85</v>
      </c>
      <c r="P123" s="2">
        <f t="shared" si="102"/>
        <v>1726.85</v>
      </c>
      <c r="Q123" s="2">
        <f>(ROUND((ROUND(((ET123)*AV123*I123),2)*BB123),2)+ROUND((ROUND(((AE123-(EU123))*AV123*I123),2)*BS123),2))</f>
        <v>0</v>
      </c>
      <c r="R123" s="2">
        <f>(ROUND((ROUND(((EU123)*AV123*I123),2)*BS123),2)+ROUND((ROUND(((AE123-(EU123))*AV123*I123),2)*BS123),2))</f>
        <v>0</v>
      </c>
      <c r="S123" s="2">
        <f t="shared" si="75"/>
        <v>0</v>
      </c>
      <c r="T123" s="2">
        <f t="shared" si="76"/>
        <v>0</v>
      </c>
      <c r="U123" s="2">
        <f t="shared" si="77"/>
        <v>0</v>
      </c>
      <c r="V123" s="2">
        <f t="shared" si="78"/>
        <v>0</v>
      </c>
      <c r="W123" s="2">
        <f t="shared" si="79"/>
        <v>0</v>
      </c>
      <c r="X123" s="2">
        <f>(ROUND((((S123+ROUND((ROUND(((EU123)*AV123*I123),2)*BS123),2))*AT123)/100),2)+ROUND(((ROUND((ROUND(((AE123-(EU123))*AV123*I123),2)*BS123),2)*AT123)/100),2))</f>
        <v>0</v>
      </c>
      <c r="Y123" s="2">
        <f>(ROUND((((S123+ROUND((ROUND(((EU123)*AV123*I123),2)*BS123),2))*AU123)/100),2)+ROUND(((ROUND((ROUND(((AE123-(EU123))*AV123*I123),2)*BS123),2)*AU123)/100),2))</f>
        <v>0</v>
      </c>
      <c r="Z123" s="2"/>
      <c r="AA123" s="2">
        <v>55936046</v>
      </c>
      <c r="AB123" s="2">
        <f t="shared" si="80"/>
        <v>1726.85</v>
      </c>
      <c r="AC123" s="2">
        <f>ROUND((ES123),6)</f>
        <v>1726.85</v>
      </c>
      <c r="AD123" s="2">
        <f>ROUND((((ET123)-(EU123))+AE123),6)</f>
        <v>0</v>
      </c>
      <c r="AE123" s="2">
        <f>ROUND((EU123),6)</f>
        <v>0</v>
      </c>
      <c r="AF123" s="2">
        <f>ROUND((EV123),6)</f>
        <v>0</v>
      </c>
      <c r="AG123" s="2">
        <f t="shared" si="81"/>
        <v>0</v>
      </c>
      <c r="AH123" s="2">
        <f>(EW123)</f>
        <v>0</v>
      </c>
      <c r="AI123" s="2">
        <f>(EX123)</f>
        <v>0</v>
      </c>
      <c r="AJ123" s="2">
        <f t="shared" si="82"/>
        <v>0</v>
      </c>
      <c r="AK123" s="2">
        <v>1726.8500000000001</v>
      </c>
      <c r="AL123" s="2">
        <v>1726.8500000000001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1</v>
      </c>
      <c r="AW123" s="2">
        <v>1</v>
      </c>
      <c r="AX123" s="2"/>
      <c r="AY123" s="2"/>
      <c r="AZ123" s="2">
        <v>1</v>
      </c>
      <c r="BA123" s="2">
        <v>1</v>
      </c>
      <c r="BB123" s="2">
        <v>1</v>
      </c>
      <c r="BC123" s="2">
        <v>1</v>
      </c>
      <c r="BD123" s="2" t="s">
        <v>3</v>
      </c>
      <c r="BE123" s="2" t="s">
        <v>3</v>
      </c>
      <c r="BF123" s="2" t="s">
        <v>3</v>
      </c>
      <c r="BG123" s="2" t="s">
        <v>3</v>
      </c>
      <c r="BH123" s="2">
        <v>3</v>
      </c>
      <c r="BI123" s="2">
        <v>3</v>
      </c>
      <c r="BJ123" s="2" t="s">
        <v>189</v>
      </c>
      <c r="BK123" s="2"/>
      <c r="BL123" s="2"/>
      <c r="BM123" s="2">
        <v>400007</v>
      </c>
      <c r="BN123" s="2">
        <v>0</v>
      </c>
      <c r="BO123" s="2" t="s">
        <v>3</v>
      </c>
      <c r="BP123" s="2">
        <v>0</v>
      </c>
      <c r="BQ123" s="2">
        <v>214</v>
      </c>
      <c r="BR123" s="2">
        <v>0</v>
      </c>
      <c r="BS123" s="2">
        <v>1</v>
      </c>
      <c r="BT123" s="2">
        <v>1</v>
      </c>
      <c r="BU123" s="2">
        <v>1</v>
      </c>
      <c r="BV123" s="2">
        <v>1</v>
      </c>
      <c r="BW123" s="2">
        <v>1</v>
      </c>
      <c r="BX123" s="2">
        <v>1</v>
      </c>
      <c r="BY123" s="2" t="s">
        <v>3</v>
      </c>
      <c r="BZ123" s="2">
        <v>90</v>
      </c>
      <c r="CA123" s="2">
        <v>46</v>
      </c>
      <c r="CB123" s="2" t="s">
        <v>3</v>
      </c>
      <c r="CC123" s="2"/>
      <c r="CD123" s="2"/>
      <c r="CE123" s="2">
        <v>1566</v>
      </c>
      <c r="CF123" s="2">
        <v>0</v>
      </c>
      <c r="CG123" s="2">
        <v>0</v>
      </c>
      <c r="CH123" s="2"/>
      <c r="CI123" s="2"/>
      <c r="CJ123" s="2"/>
      <c r="CK123" s="2"/>
      <c r="CL123" s="2"/>
      <c r="CM123" s="2">
        <v>0</v>
      </c>
      <c r="CN123" s="2" t="s">
        <v>423</v>
      </c>
      <c r="CO123" s="2">
        <v>0</v>
      </c>
      <c r="CP123" s="2">
        <f t="shared" si="83"/>
        <v>1726.85</v>
      </c>
      <c r="CQ123" s="2">
        <f t="shared" si="103"/>
        <v>1726.85</v>
      </c>
      <c r="CR123" s="2">
        <f>(ROUND((ROUND(((ET123)*AV123*1),2)*BB123),2)+ROUND((ROUND(((AE123-(EU123))*AV123*1),2)*BS123),2))</f>
        <v>0</v>
      </c>
      <c r="CS123" s="2">
        <f>(ROUND((ROUND(((EU123)*AV123*1),2)*BS123),2)+ROUND((ROUND(((AE123-(EU123))*AV123*1),2)*BS123),2))</f>
        <v>0</v>
      </c>
      <c r="CT123" s="2">
        <f t="shared" si="85"/>
        <v>0</v>
      </c>
      <c r="CU123" s="2">
        <f t="shared" si="86"/>
        <v>0</v>
      </c>
      <c r="CV123" s="2">
        <f t="shared" si="87"/>
        <v>0</v>
      </c>
      <c r="CW123" s="2">
        <f t="shared" si="88"/>
        <v>0</v>
      </c>
      <c r="CX123" s="2">
        <f t="shared" si="89"/>
        <v>0</v>
      </c>
      <c r="CY123" s="2">
        <f>(ROUND((((S123+ROUND((ROUND(((EU123)*AV123*1),2)*BS123),2))*AT123)/100),2)+ROUND(((ROUND((ROUND(((AE123-(EU123))*AV123*1),2)*BS123),2)*AT123)/100),2))</f>
        <v>0</v>
      </c>
      <c r="CZ123" s="2">
        <f>(ROUND((((S123+ROUND((ROUND(((EU123)*AV123*1),2)*BS123),2))*AU123)/100),2)+ROUND(((ROUND((ROUND(((AE123-(EU123))*AV123*1),2)*BS123),2)*AU123)/100),2))</f>
        <v>0</v>
      </c>
      <c r="DA123" s="2"/>
      <c r="DB123" s="2"/>
      <c r="DC123" s="2" t="s">
        <v>3</v>
      </c>
      <c r="DD123" s="2" t="s">
        <v>3</v>
      </c>
      <c r="DE123" s="2" t="s">
        <v>3</v>
      </c>
      <c r="DF123" s="2" t="s">
        <v>3</v>
      </c>
      <c r="DG123" s="2" t="s">
        <v>3</v>
      </c>
      <c r="DH123" s="2" t="s">
        <v>3</v>
      </c>
      <c r="DI123" s="2" t="s">
        <v>3</v>
      </c>
      <c r="DJ123" s="2" t="s">
        <v>3</v>
      </c>
      <c r="DK123" s="2" t="s">
        <v>3</v>
      </c>
      <c r="DL123" s="2" t="s">
        <v>3</v>
      </c>
      <c r="DM123" s="2" t="s">
        <v>3</v>
      </c>
      <c r="DN123" s="2">
        <v>0</v>
      </c>
      <c r="DO123" s="2">
        <v>0</v>
      </c>
      <c r="DP123" s="2">
        <v>1</v>
      </c>
      <c r="DQ123" s="2">
        <v>1</v>
      </c>
      <c r="DR123" s="2"/>
      <c r="DS123" s="2"/>
      <c r="DT123" s="2"/>
      <c r="DU123" s="2">
        <v>1013</v>
      </c>
      <c r="DV123" s="2" t="s">
        <v>144</v>
      </c>
      <c r="DW123" s="2" t="s">
        <v>144</v>
      </c>
      <c r="DX123" s="2">
        <v>1</v>
      </c>
      <c r="DY123" s="2"/>
      <c r="DZ123" s="2" t="s">
        <v>3</v>
      </c>
      <c r="EA123" s="2" t="s">
        <v>3</v>
      </c>
      <c r="EB123" s="2" t="s">
        <v>3</v>
      </c>
      <c r="EC123" s="2" t="s">
        <v>3</v>
      </c>
      <c r="ED123" s="2"/>
      <c r="EE123" s="2">
        <v>55393630</v>
      </c>
      <c r="EF123" s="2">
        <v>214</v>
      </c>
      <c r="EG123" s="2" t="s">
        <v>145</v>
      </c>
      <c r="EH123" s="2">
        <v>0</v>
      </c>
      <c r="EI123" s="2" t="s">
        <v>3</v>
      </c>
      <c r="EJ123" s="2">
        <v>3</v>
      </c>
      <c r="EK123" s="2">
        <v>400007</v>
      </c>
      <c r="EL123" s="2" t="s">
        <v>145</v>
      </c>
      <c r="EM123" s="2" t="s">
        <v>146</v>
      </c>
      <c r="EN123" s="2"/>
      <c r="EO123" s="2" t="s">
        <v>67</v>
      </c>
      <c r="EP123" s="2"/>
      <c r="EQ123" s="2">
        <v>16</v>
      </c>
      <c r="ER123" s="2">
        <v>0</v>
      </c>
      <c r="ES123" s="2">
        <v>1726.8500000000001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>
        <v>0</v>
      </c>
      <c r="FR123" s="2">
        <f>P123</f>
        <v>1726.85</v>
      </c>
      <c r="FS123" s="2">
        <v>0</v>
      </c>
      <c r="FT123" s="2"/>
      <c r="FU123" s="2"/>
      <c r="FV123" s="2"/>
      <c r="FW123" s="2"/>
      <c r="FX123" s="2">
        <v>90</v>
      </c>
      <c r="FY123" s="2">
        <v>46</v>
      </c>
      <c r="FZ123" s="2"/>
      <c r="GA123" s="2" t="s">
        <v>191</v>
      </c>
      <c r="GB123" s="2"/>
      <c r="GC123" s="2"/>
      <c r="GD123" s="2">
        <v>1</v>
      </c>
      <c r="GE123" s="2"/>
      <c r="GF123" s="2">
        <v>-1795676594</v>
      </c>
      <c r="GG123" s="2">
        <v>2</v>
      </c>
      <c r="GH123" s="2">
        <v>4</v>
      </c>
      <c r="GI123" s="2">
        <v>-2</v>
      </c>
      <c r="GJ123" s="2">
        <v>0</v>
      </c>
      <c r="GK123" s="2">
        <v>0</v>
      </c>
      <c r="GL123" s="2">
        <f t="shared" si="90"/>
        <v>0</v>
      </c>
      <c r="GM123" s="2">
        <f t="shared" si="91"/>
        <v>1726.85</v>
      </c>
      <c r="GN123" s="2">
        <f t="shared" si="92"/>
        <v>0</v>
      </c>
      <c r="GO123" s="2">
        <f t="shared" si="93"/>
        <v>0</v>
      </c>
      <c r="GP123" s="2">
        <f t="shared" si="94"/>
        <v>0</v>
      </c>
      <c r="GQ123" s="2"/>
      <c r="GR123" s="2">
        <v>1</v>
      </c>
      <c r="GS123" s="2">
        <v>2</v>
      </c>
      <c r="GT123" s="2">
        <v>0</v>
      </c>
      <c r="GU123" s="2" t="s">
        <v>3</v>
      </c>
      <c r="GV123" s="2">
        <f t="shared" si="95"/>
        <v>0</v>
      </c>
      <c r="GW123" s="2">
        <v>1</v>
      </c>
      <c r="GX123" s="2">
        <f t="shared" si="96"/>
        <v>0</v>
      </c>
      <c r="GY123" s="2"/>
      <c r="GZ123" s="2"/>
      <c r="HA123" s="2">
        <v>0</v>
      </c>
      <c r="HB123" s="2">
        <v>0</v>
      </c>
      <c r="HC123" s="2">
        <f t="shared" si="97"/>
        <v>0</v>
      </c>
      <c r="HD123" s="2"/>
      <c r="HE123" s="2" t="s">
        <v>35</v>
      </c>
      <c r="HF123" s="2" t="s">
        <v>148</v>
      </c>
      <c r="HG123" s="2"/>
      <c r="HH123" s="2"/>
      <c r="HI123" s="2"/>
      <c r="HJ123" s="2"/>
      <c r="HK123" s="2"/>
      <c r="HL123" s="2"/>
      <c r="HM123" s="2" t="s">
        <v>62</v>
      </c>
      <c r="HN123" s="2" t="s">
        <v>3</v>
      </c>
      <c r="HO123" s="2" t="s">
        <v>3</v>
      </c>
      <c r="HP123" s="2" t="s">
        <v>3</v>
      </c>
      <c r="HQ123" s="2" t="s">
        <v>3</v>
      </c>
      <c r="HR123" s="2"/>
      <c r="HS123" s="2">
        <v>0</v>
      </c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>
        <v>0</v>
      </c>
      <c r="IL123" s="2"/>
      <c r="IM123" s="2"/>
      <c r="IN123" s="2"/>
      <c r="IO123" s="2"/>
      <c r="IP123" s="2"/>
      <c r="IQ123" s="2"/>
      <c r="IR123" s="2"/>
      <c r="IS123" s="2"/>
      <c r="IT123" s="2"/>
      <c r="IU123" s="2"/>
    </row>
    <row r="124" spans="1:255" x14ac:dyDescent="0.25">
      <c r="A124" s="3">
        <v>18</v>
      </c>
      <c r="B124" s="3">
        <v>1</v>
      </c>
      <c r="C124" s="3">
        <v>180</v>
      </c>
      <c r="E124" s="3" t="s">
        <v>188</v>
      </c>
      <c r="F124" s="3" t="s">
        <v>189</v>
      </c>
      <c r="G124" s="3" t="s">
        <v>190</v>
      </c>
      <c r="H124" s="3" t="s">
        <v>144</v>
      </c>
      <c r="I124" s="3">
        <f>I122*J124</f>
        <v>1</v>
      </c>
      <c r="J124" s="3">
        <v>1</v>
      </c>
      <c r="K124" s="3">
        <v>1</v>
      </c>
      <c r="O124" s="3">
        <f t="shared" si="73"/>
        <v>13072.25</v>
      </c>
      <c r="P124" s="3">
        <f t="shared" si="102"/>
        <v>13072.25</v>
      </c>
      <c r="Q124" s="3">
        <f>(ROUND((ROUND(((ET124)*AV124*I124),2)*BB124),2)+ROUND((ROUND(((AE124-(EU124))*AV124*I124),2)*BS124),2))</f>
        <v>0</v>
      </c>
      <c r="R124" s="3">
        <f>(ROUND((ROUND(((EU124)*AV124*I124),2)*BS124),2)+ROUND((ROUND(((AE124-(EU124))*AV124*I124),2)*BS124),2))</f>
        <v>0</v>
      </c>
      <c r="S124" s="3">
        <f t="shared" si="75"/>
        <v>0</v>
      </c>
      <c r="T124" s="3">
        <f t="shared" si="76"/>
        <v>0</v>
      </c>
      <c r="U124" s="3">
        <f t="shared" si="77"/>
        <v>0</v>
      </c>
      <c r="V124" s="3">
        <f t="shared" si="78"/>
        <v>0</v>
      </c>
      <c r="W124" s="3">
        <f t="shared" si="79"/>
        <v>0</v>
      </c>
      <c r="X124" s="3">
        <f>(ROUND((((S124+ROUND((ROUND(((EU124)*AV124*I124),2)*BS124),2))*AT124)/100),2)+ROUND(((ROUND((ROUND(((AE124-(EU124))*AV124*I124),2)*BS124),2)*AT124)/100),2))</f>
        <v>0</v>
      </c>
      <c r="Y124" s="3">
        <f>(ROUND((((S124+ROUND((ROUND(((EU124)*AV124*I124),2)*BS124),2))*AU124)/100),2)+ROUND(((ROUND((ROUND(((AE124-(EU124))*AV124*I124),2)*BS124),2)*AU124)/100),2))</f>
        <v>0</v>
      </c>
      <c r="AA124" s="3">
        <v>55936048</v>
      </c>
      <c r="AB124" s="3">
        <f t="shared" si="80"/>
        <v>1726.85</v>
      </c>
      <c r="AC124" s="3">
        <f>ROUND((ES124),6)</f>
        <v>1726.85</v>
      </c>
      <c r="AD124" s="3">
        <f>ROUND((((ET124)-(EU124))+AE124),6)</f>
        <v>0</v>
      </c>
      <c r="AE124" s="3">
        <f>ROUND((EU124),6)</f>
        <v>0</v>
      </c>
      <c r="AF124" s="3">
        <f>ROUND((EV124),6)</f>
        <v>0</v>
      </c>
      <c r="AG124" s="3">
        <f t="shared" si="81"/>
        <v>0</v>
      </c>
      <c r="AH124" s="3">
        <f>(EW124)</f>
        <v>0</v>
      </c>
      <c r="AI124" s="3">
        <f>(EX124)</f>
        <v>0</v>
      </c>
      <c r="AJ124" s="3">
        <f t="shared" si="82"/>
        <v>0</v>
      </c>
      <c r="AK124" s="3">
        <v>1726.8500000000001</v>
      </c>
      <c r="AL124" s="3">
        <v>1726.8500000000001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1</v>
      </c>
      <c r="AW124" s="3">
        <v>1</v>
      </c>
      <c r="AZ124" s="3">
        <v>1</v>
      </c>
      <c r="BA124" s="3">
        <v>1</v>
      </c>
      <c r="BB124" s="3">
        <v>1</v>
      </c>
      <c r="BC124" s="3">
        <v>7.57</v>
      </c>
      <c r="BD124" s="3" t="s">
        <v>3</v>
      </c>
      <c r="BE124" s="3" t="s">
        <v>3</v>
      </c>
      <c r="BF124" s="3" t="s">
        <v>3</v>
      </c>
      <c r="BG124" s="3" t="s">
        <v>3</v>
      </c>
      <c r="BH124" s="3">
        <v>3</v>
      </c>
      <c r="BI124" s="3">
        <v>3</v>
      </c>
      <c r="BJ124" s="3" t="s">
        <v>189</v>
      </c>
      <c r="BM124" s="3">
        <v>400007</v>
      </c>
      <c r="BN124" s="3">
        <v>0</v>
      </c>
      <c r="BO124" s="3" t="s">
        <v>3</v>
      </c>
      <c r="BP124" s="3">
        <v>0</v>
      </c>
      <c r="BQ124" s="3">
        <v>214</v>
      </c>
      <c r="BR124" s="3">
        <v>0</v>
      </c>
      <c r="BS124" s="3">
        <v>1</v>
      </c>
      <c r="BT124" s="3">
        <v>1</v>
      </c>
      <c r="BU124" s="3">
        <v>1</v>
      </c>
      <c r="BV124" s="3">
        <v>1</v>
      </c>
      <c r="BW124" s="3">
        <v>1</v>
      </c>
      <c r="BX124" s="3">
        <v>1</v>
      </c>
      <c r="BY124" s="3" t="s">
        <v>3</v>
      </c>
      <c r="BZ124" s="3">
        <v>90</v>
      </c>
      <c r="CA124" s="3">
        <v>46</v>
      </c>
      <c r="CB124" s="3" t="s">
        <v>3</v>
      </c>
      <c r="CE124" s="3">
        <v>1566</v>
      </c>
      <c r="CF124" s="3">
        <v>0</v>
      </c>
      <c r="CG124" s="3">
        <v>0</v>
      </c>
      <c r="CM124" s="3">
        <v>0</v>
      </c>
      <c r="CN124" s="3" t="s">
        <v>423</v>
      </c>
      <c r="CO124" s="3">
        <v>0</v>
      </c>
      <c r="CP124" s="3">
        <f t="shared" si="83"/>
        <v>13072.25</v>
      </c>
      <c r="CQ124" s="3">
        <f t="shared" si="103"/>
        <v>13072.25</v>
      </c>
      <c r="CR124" s="3">
        <f>(ROUND((ROUND(((ET124)*AV124*1),2)*BB124),2)+ROUND((ROUND(((AE124-(EU124))*AV124*1),2)*BS124),2))</f>
        <v>0</v>
      </c>
      <c r="CS124" s="3">
        <f>(ROUND((ROUND(((EU124)*AV124*1),2)*BS124),2)+ROUND((ROUND(((AE124-(EU124))*AV124*1),2)*BS124),2))</f>
        <v>0</v>
      </c>
      <c r="CT124" s="3">
        <f t="shared" si="85"/>
        <v>0</v>
      </c>
      <c r="CU124" s="3">
        <f t="shared" si="86"/>
        <v>0</v>
      </c>
      <c r="CV124" s="3">
        <f t="shared" si="87"/>
        <v>0</v>
      </c>
      <c r="CW124" s="3">
        <f t="shared" si="88"/>
        <v>0</v>
      </c>
      <c r="CX124" s="3">
        <f t="shared" si="89"/>
        <v>0</v>
      </c>
      <c r="CY124" s="3">
        <f>(ROUND((((S124+ROUND((ROUND(((EU124)*AV124*1),2)*BS124),2))*AT124)/100),2)+ROUND(((ROUND((ROUND(((AE124-(EU124))*AV124*1),2)*BS124),2)*AT124)/100),2))</f>
        <v>0</v>
      </c>
      <c r="CZ124" s="3">
        <f>(ROUND((((S124+ROUND((ROUND(((EU124)*AV124*1),2)*BS124),2))*AU124)/100),2)+ROUND(((ROUND((ROUND(((AE124-(EU124))*AV124*1),2)*BS124),2)*AU124)/100),2))</f>
        <v>0</v>
      </c>
      <c r="DC124" s="3" t="s">
        <v>3</v>
      </c>
      <c r="DD124" s="3" t="s">
        <v>3</v>
      </c>
      <c r="DE124" s="3" t="s">
        <v>3</v>
      </c>
      <c r="DF124" s="3" t="s">
        <v>3</v>
      </c>
      <c r="DG124" s="3" t="s">
        <v>3</v>
      </c>
      <c r="DH124" s="3" t="s">
        <v>3</v>
      </c>
      <c r="DI124" s="3" t="s">
        <v>3</v>
      </c>
      <c r="DJ124" s="3" t="s">
        <v>3</v>
      </c>
      <c r="DK124" s="3" t="s">
        <v>3</v>
      </c>
      <c r="DL124" s="3" t="s">
        <v>3</v>
      </c>
      <c r="DM124" s="3" t="s">
        <v>3</v>
      </c>
      <c r="DN124" s="3">
        <v>0</v>
      </c>
      <c r="DO124" s="3">
        <v>0</v>
      </c>
      <c r="DP124" s="3">
        <v>1</v>
      </c>
      <c r="DQ124" s="3">
        <v>1</v>
      </c>
      <c r="DU124" s="3">
        <v>1013</v>
      </c>
      <c r="DV124" s="3" t="s">
        <v>144</v>
      </c>
      <c r="DW124" s="3" t="s">
        <v>144</v>
      </c>
      <c r="DX124" s="3">
        <v>1</v>
      </c>
      <c r="DZ124" s="3" t="s">
        <v>3</v>
      </c>
      <c r="EA124" s="3" t="s">
        <v>3</v>
      </c>
      <c r="EB124" s="3" t="s">
        <v>3</v>
      </c>
      <c r="EC124" s="3" t="s">
        <v>3</v>
      </c>
      <c r="EE124" s="3">
        <v>55393630</v>
      </c>
      <c r="EF124" s="3">
        <v>214</v>
      </c>
      <c r="EG124" s="3" t="s">
        <v>145</v>
      </c>
      <c r="EH124" s="3">
        <v>0</v>
      </c>
      <c r="EI124" s="3" t="s">
        <v>3</v>
      </c>
      <c r="EJ124" s="3">
        <v>3</v>
      </c>
      <c r="EK124" s="3">
        <v>400007</v>
      </c>
      <c r="EL124" s="3" t="s">
        <v>145</v>
      </c>
      <c r="EM124" s="3" t="s">
        <v>146</v>
      </c>
      <c r="EO124" s="3" t="s">
        <v>67</v>
      </c>
      <c r="EQ124" s="3">
        <v>16</v>
      </c>
      <c r="ER124" s="3">
        <v>0</v>
      </c>
      <c r="ES124" s="3">
        <v>1726.8500000000001</v>
      </c>
      <c r="ET124" s="3">
        <v>0</v>
      </c>
      <c r="EU124" s="3">
        <v>0</v>
      </c>
      <c r="EV124" s="3">
        <v>0</v>
      </c>
      <c r="EW124" s="3">
        <v>0</v>
      </c>
      <c r="EX124" s="3">
        <v>0</v>
      </c>
      <c r="EZ124" s="3">
        <v>5</v>
      </c>
      <c r="FC124" s="3">
        <v>1</v>
      </c>
      <c r="FD124" s="3">
        <v>18</v>
      </c>
      <c r="FF124" s="3">
        <v>15300</v>
      </c>
      <c r="FQ124" s="3">
        <v>0</v>
      </c>
      <c r="FR124" s="3">
        <f>P124</f>
        <v>13072.25</v>
      </c>
      <c r="FS124" s="3">
        <v>0</v>
      </c>
      <c r="FX124" s="3">
        <v>90</v>
      </c>
      <c r="FY124" s="3">
        <v>46</v>
      </c>
      <c r="GA124" s="3" t="s">
        <v>191</v>
      </c>
      <c r="GD124" s="3">
        <v>1</v>
      </c>
      <c r="GF124" s="3">
        <v>-1795676594</v>
      </c>
      <c r="GG124" s="3">
        <v>2</v>
      </c>
      <c r="GH124" s="3">
        <v>3</v>
      </c>
      <c r="GI124" s="3">
        <v>5</v>
      </c>
      <c r="GJ124" s="3">
        <v>0</v>
      </c>
      <c r="GK124" s="3">
        <v>0</v>
      </c>
      <c r="GL124" s="3">
        <f t="shared" si="90"/>
        <v>0</v>
      </c>
      <c r="GM124" s="3">
        <f t="shared" si="91"/>
        <v>13072.25</v>
      </c>
      <c r="GN124" s="3">
        <f t="shared" si="92"/>
        <v>0</v>
      </c>
      <c r="GO124" s="3">
        <f t="shared" si="93"/>
        <v>0</v>
      </c>
      <c r="GP124" s="3">
        <f t="shared" si="94"/>
        <v>0</v>
      </c>
      <c r="GR124" s="3">
        <v>1</v>
      </c>
      <c r="GS124" s="3">
        <v>1</v>
      </c>
      <c r="GT124" s="3">
        <v>0</v>
      </c>
      <c r="GU124" s="3" t="s">
        <v>3</v>
      </c>
      <c r="GV124" s="3">
        <f t="shared" si="95"/>
        <v>0</v>
      </c>
      <c r="GW124" s="3">
        <v>1</v>
      </c>
      <c r="GX124" s="3">
        <f t="shared" si="96"/>
        <v>0</v>
      </c>
      <c r="HA124" s="3">
        <v>0</v>
      </c>
      <c r="HB124" s="3">
        <v>0</v>
      </c>
      <c r="HC124" s="3">
        <f t="shared" si="97"/>
        <v>0</v>
      </c>
      <c r="HE124" s="3" t="s">
        <v>35</v>
      </c>
      <c r="HF124" s="3" t="s">
        <v>148</v>
      </c>
      <c r="HM124" s="3" t="s">
        <v>62</v>
      </c>
      <c r="HN124" s="3" t="s">
        <v>3</v>
      </c>
      <c r="HO124" s="3" t="s">
        <v>3</v>
      </c>
      <c r="HP124" s="3" t="s">
        <v>3</v>
      </c>
      <c r="HQ124" s="3" t="s">
        <v>3</v>
      </c>
      <c r="HS124" s="3">
        <v>0</v>
      </c>
      <c r="IK124" s="3">
        <v>0</v>
      </c>
    </row>
    <row r="126" spans="1:255" ht="13" x14ac:dyDescent="0.3">
      <c r="A126" s="11">
        <v>51</v>
      </c>
      <c r="B126" s="11">
        <f>B85</f>
        <v>1</v>
      </c>
      <c r="C126" s="11">
        <f>A85</f>
        <v>4</v>
      </c>
      <c r="D126" s="11">
        <f>ROW(A85)</f>
        <v>85</v>
      </c>
      <c r="E126" s="11"/>
      <c r="F126" s="11" t="str">
        <f>IF(F85&lt;&gt;"",F85,"")</f>
        <v>1</v>
      </c>
      <c r="G126" s="11" t="str">
        <f>IF(G85&lt;&gt;"",G85,"")</f>
        <v>Оборудование</v>
      </c>
      <c r="H126" s="11">
        <v>0</v>
      </c>
      <c r="I126" s="11"/>
      <c r="J126" s="11"/>
      <c r="K126" s="11"/>
      <c r="L126" s="11"/>
      <c r="M126" s="11"/>
      <c r="N126" s="11"/>
      <c r="O126" s="11">
        <f t="shared" ref="O126:T126" si="104">ROUND(AB126,2)</f>
        <v>434300.84</v>
      </c>
      <c r="P126" s="11">
        <f t="shared" si="104"/>
        <v>431525.17</v>
      </c>
      <c r="Q126" s="11">
        <f t="shared" si="104"/>
        <v>33.64</v>
      </c>
      <c r="R126" s="11">
        <f t="shared" si="104"/>
        <v>4.22</v>
      </c>
      <c r="S126" s="11">
        <f t="shared" si="104"/>
        <v>2742.03</v>
      </c>
      <c r="T126" s="11">
        <f t="shared" si="104"/>
        <v>0</v>
      </c>
      <c r="U126" s="11">
        <f>AH126</f>
        <v>183.8942424</v>
      </c>
      <c r="V126" s="11">
        <f>AI126</f>
        <v>0</v>
      </c>
      <c r="W126" s="11">
        <f>ROUND(AJ126,2)</f>
        <v>0</v>
      </c>
      <c r="X126" s="11">
        <f>ROUND(AK126,2)</f>
        <v>2492.5300000000002</v>
      </c>
      <c r="Y126" s="11">
        <f>ROUND(AL126,2)</f>
        <v>1292.56</v>
      </c>
      <c r="Z126" s="11"/>
      <c r="AA126" s="11"/>
      <c r="AB126" s="11">
        <f>ROUND(SUMIF(AA89:AA124,"=55936046",O89:O124),2)</f>
        <v>434300.84</v>
      </c>
      <c r="AC126" s="11">
        <f>ROUND(SUMIF(AA89:AA124,"=55936046",P89:P124),2)</f>
        <v>431525.17</v>
      </c>
      <c r="AD126" s="11">
        <f>ROUND(SUMIF(AA89:AA124,"=55936046",Q89:Q124),2)</f>
        <v>33.64</v>
      </c>
      <c r="AE126" s="11">
        <f>ROUND(SUMIF(AA89:AA124,"=55936046",R89:R124),2)</f>
        <v>4.22</v>
      </c>
      <c r="AF126" s="11">
        <f>ROUND(SUMIF(AA89:AA124,"=55936046",S89:S124),2)</f>
        <v>2742.03</v>
      </c>
      <c r="AG126" s="11">
        <f>ROUND(SUMIF(AA89:AA124,"=55936046",T89:T124),2)</f>
        <v>0</v>
      </c>
      <c r="AH126" s="11">
        <f>SUMIF(AA89:AA124,"=55936046",U89:U124)</f>
        <v>183.8942424</v>
      </c>
      <c r="AI126" s="11">
        <f>SUMIF(AA89:AA124,"=55936046",V89:V124)</f>
        <v>0</v>
      </c>
      <c r="AJ126" s="11">
        <f>ROUND(SUMIF(AA89:AA124,"=55936046",W89:W124),2)</f>
        <v>0</v>
      </c>
      <c r="AK126" s="11">
        <f>ROUND(SUMIF(AA89:AA124,"=55936046",X89:X124),2)</f>
        <v>2492.5300000000002</v>
      </c>
      <c r="AL126" s="11">
        <f>ROUND(SUMIF(AA89:AA124,"=55936046",Y89:Y124),2)</f>
        <v>1292.56</v>
      </c>
      <c r="AM126" s="11"/>
      <c r="AN126" s="11"/>
      <c r="AO126" s="11">
        <f t="shared" ref="AO126:BD126" si="105">ROUND(BX126,2)</f>
        <v>0</v>
      </c>
      <c r="AP126" s="11">
        <f t="shared" si="105"/>
        <v>431465.1</v>
      </c>
      <c r="AQ126" s="11">
        <f t="shared" si="105"/>
        <v>0</v>
      </c>
      <c r="AR126" s="11">
        <f t="shared" si="105"/>
        <v>438085.93</v>
      </c>
      <c r="AS126" s="11">
        <f t="shared" si="105"/>
        <v>0</v>
      </c>
      <c r="AT126" s="11">
        <f t="shared" si="105"/>
        <v>6620.83</v>
      </c>
      <c r="AU126" s="11">
        <f t="shared" si="105"/>
        <v>0</v>
      </c>
      <c r="AV126" s="11">
        <f t="shared" si="105"/>
        <v>431525.17</v>
      </c>
      <c r="AW126" s="11">
        <f t="shared" si="105"/>
        <v>60.07</v>
      </c>
      <c r="AX126" s="11">
        <f t="shared" si="105"/>
        <v>0</v>
      </c>
      <c r="AY126" s="11">
        <f t="shared" si="105"/>
        <v>60.07</v>
      </c>
      <c r="AZ126" s="11">
        <f t="shared" si="105"/>
        <v>431465.1</v>
      </c>
      <c r="BA126" s="11">
        <f t="shared" si="105"/>
        <v>0</v>
      </c>
      <c r="BB126" s="11">
        <f t="shared" si="105"/>
        <v>0</v>
      </c>
      <c r="BC126" s="11">
        <f t="shared" si="105"/>
        <v>0</v>
      </c>
      <c r="BD126" s="11">
        <f t="shared" si="105"/>
        <v>0</v>
      </c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>
        <f>ROUND(SUMIF(AA89:AA124,"=55936046",FQ89:FQ124),2)</f>
        <v>0</v>
      </c>
      <c r="BY126" s="11">
        <f>ROUND(SUMIF(AA89:AA124,"=55936046",FR89:FR124),2)</f>
        <v>431465.1</v>
      </c>
      <c r="BZ126" s="11">
        <f>ROUND(SUMIF(AA89:AA124,"=55936046",GL89:GL124),2)</f>
        <v>0</v>
      </c>
      <c r="CA126" s="11">
        <f>ROUND(SUMIF(AA89:AA124,"=55936046",GM89:GM124),2)</f>
        <v>438085.93</v>
      </c>
      <c r="CB126" s="11">
        <f>ROUND(SUMIF(AA89:AA124,"=55936046",GN89:GN124),2)</f>
        <v>0</v>
      </c>
      <c r="CC126" s="11">
        <f>ROUND(SUMIF(AA89:AA124,"=55936046",GO89:GO124),2)</f>
        <v>6620.83</v>
      </c>
      <c r="CD126" s="11">
        <f>ROUND(SUMIF(AA89:AA124,"=55936046",GP89:GP124),2)</f>
        <v>0</v>
      </c>
      <c r="CE126" s="11">
        <f>AC126-BX126</f>
        <v>431525.17</v>
      </c>
      <c r="CF126" s="11">
        <f>AC126-BY126</f>
        <v>60.070000000006985</v>
      </c>
      <c r="CG126" s="11">
        <f>BX126-BZ126</f>
        <v>0</v>
      </c>
      <c r="CH126" s="11">
        <f>AC126-BX126-BY126+BZ126</f>
        <v>60.070000000006985</v>
      </c>
      <c r="CI126" s="11">
        <f>BY126-BZ126</f>
        <v>431465.1</v>
      </c>
      <c r="CJ126" s="11">
        <f>ROUND(SUMIF(AA89:AA124,"=55936046",GX89:GX124),2)</f>
        <v>0</v>
      </c>
      <c r="CK126" s="11">
        <f>ROUND(SUMIF(AA89:AA124,"=55936046",GY89:GY124),2)</f>
        <v>0</v>
      </c>
      <c r="CL126" s="11">
        <f>ROUND(SUMIF(AA89:AA124,"=55936046",GZ89:GZ124),2)</f>
        <v>0</v>
      </c>
      <c r="CM126" s="11">
        <f>ROUND(SUMIF(AA89:AA124,"=55936046",HD89:HD124),2)</f>
        <v>0</v>
      </c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2">
        <f t="shared" ref="DG126:DL126" si="106">ROUND(DT126,2)</f>
        <v>3430500.62</v>
      </c>
      <c r="DH126" s="12">
        <f t="shared" si="106"/>
        <v>3275458.49</v>
      </c>
      <c r="DI126" s="12">
        <f t="shared" si="106"/>
        <v>528.74</v>
      </c>
      <c r="DJ126" s="12">
        <f t="shared" si="106"/>
        <v>237.81</v>
      </c>
      <c r="DK126" s="12">
        <f t="shared" si="106"/>
        <v>154513.39000000001</v>
      </c>
      <c r="DL126" s="12">
        <f t="shared" si="106"/>
        <v>0</v>
      </c>
      <c r="DM126" s="12">
        <f>DZ126</f>
        <v>183.8942424</v>
      </c>
      <c r="DN126" s="12">
        <f>EA126</f>
        <v>0</v>
      </c>
      <c r="DO126" s="12">
        <f>ROUND(EB126,2)</f>
        <v>0</v>
      </c>
      <c r="DP126" s="12">
        <f>ROUND(EC126,2)</f>
        <v>140454.57999999999</v>
      </c>
      <c r="DQ126" s="12">
        <f>ROUND(ED126,2)</f>
        <v>72835.48</v>
      </c>
      <c r="DR126" s="12"/>
      <c r="DS126" s="12"/>
      <c r="DT126" s="12">
        <f>ROUND(SUMIF(AA89:AA124,"=55936048",O89:O124),2)</f>
        <v>3430500.62</v>
      </c>
      <c r="DU126" s="12">
        <f>ROUND(SUMIF(AA89:AA124,"=55936048",P89:P124),2)</f>
        <v>3275458.49</v>
      </c>
      <c r="DV126" s="12">
        <f>ROUND(SUMIF(AA89:AA124,"=55936048",Q89:Q124),2)</f>
        <v>528.74</v>
      </c>
      <c r="DW126" s="12">
        <f>ROUND(SUMIF(AA89:AA124,"=55936048",R89:R124),2)</f>
        <v>237.81</v>
      </c>
      <c r="DX126" s="12">
        <f>ROUND(SUMIF(AA89:AA124,"=55936048",S89:S124),2)</f>
        <v>154513.39000000001</v>
      </c>
      <c r="DY126" s="12">
        <f>ROUND(SUMIF(AA89:AA124,"=55936048",T89:T124),2)</f>
        <v>0</v>
      </c>
      <c r="DZ126" s="12">
        <f>SUMIF(AA89:AA124,"=55936048",U89:U124)</f>
        <v>183.8942424</v>
      </c>
      <c r="EA126" s="12">
        <f>SUMIF(AA89:AA124,"=55936048",V89:V124)</f>
        <v>0</v>
      </c>
      <c r="EB126" s="12">
        <f>ROUND(SUMIF(AA89:AA124,"=55936048",W89:W124),2)</f>
        <v>0</v>
      </c>
      <c r="EC126" s="12">
        <f>ROUND(SUMIF(AA89:AA124,"=55936048",X89:X124),2)</f>
        <v>140454.57999999999</v>
      </c>
      <c r="ED126" s="12">
        <f>ROUND(SUMIF(AA89:AA124,"=55936048",Y89:Y124),2)</f>
        <v>72835.48</v>
      </c>
      <c r="EE126" s="12"/>
      <c r="EF126" s="12"/>
      <c r="EG126" s="12">
        <f t="shared" ref="EG126:EV126" si="107">ROUND(FP126,2)</f>
        <v>0</v>
      </c>
      <c r="EH126" s="12">
        <f t="shared" si="107"/>
        <v>3274499.57</v>
      </c>
      <c r="EI126" s="12">
        <f t="shared" si="107"/>
        <v>0</v>
      </c>
      <c r="EJ126" s="12">
        <f t="shared" si="107"/>
        <v>3643790.68</v>
      </c>
      <c r="EK126" s="12">
        <f t="shared" si="107"/>
        <v>0</v>
      </c>
      <c r="EL126" s="12">
        <f t="shared" si="107"/>
        <v>369291.11</v>
      </c>
      <c r="EM126" s="12">
        <f t="shared" si="107"/>
        <v>0</v>
      </c>
      <c r="EN126" s="12">
        <f t="shared" si="107"/>
        <v>3275458.49</v>
      </c>
      <c r="EO126" s="12">
        <f t="shared" si="107"/>
        <v>958.92</v>
      </c>
      <c r="EP126" s="12">
        <f t="shared" si="107"/>
        <v>0</v>
      </c>
      <c r="EQ126" s="12">
        <f t="shared" si="107"/>
        <v>958.92</v>
      </c>
      <c r="ER126" s="12">
        <f t="shared" si="107"/>
        <v>3274499.57</v>
      </c>
      <c r="ES126" s="12">
        <f t="shared" si="107"/>
        <v>0</v>
      </c>
      <c r="ET126" s="12">
        <f t="shared" si="107"/>
        <v>0</v>
      </c>
      <c r="EU126" s="12">
        <f t="shared" si="107"/>
        <v>0</v>
      </c>
      <c r="EV126" s="12">
        <f t="shared" si="107"/>
        <v>0</v>
      </c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>
        <f>ROUND(SUMIF(AA89:AA124,"=55936048",FQ89:FQ124),2)</f>
        <v>0</v>
      </c>
      <c r="FQ126" s="12">
        <f>ROUND(SUMIF(AA89:AA124,"=55936048",FR89:FR124),2)</f>
        <v>3274499.57</v>
      </c>
      <c r="FR126" s="12">
        <f>ROUND(SUMIF(AA89:AA124,"=55936048",GL89:GL124),2)</f>
        <v>0</v>
      </c>
      <c r="FS126" s="12">
        <f>ROUND(SUMIF(AA89:AA124,"=55936048",GM89:GM124),2)</f>
        <v>3643790.68</v>
      </c>
      <c r="FT126" s="12">
        <f>ROUND(SUMIF(AA89:AA124,"=55936048",GN89:GN124),2)</f>
        <v>0</v>
      </c>
      <c r="FU126" s="12">
        <f>ROUND(SUMIF(AA89:AA124,"=55936048",GO89:GO124),2)</f>
        <v>369291.11</v>
      </c>
      <c r="FV126" s="12">
        <f>ROUND(SUMIF(AA89:AA124,"=55936048",GP89:GP124),2)</f>
        <v>0</v>
      </c>
      <c r="FW126" s="12">
        <f>DU126-FP126</f>
        <v>3275458.49</v>
      </c>
      <c r="FX126" s="12">
        <f>DU126-FQ126</f>
        <v>958.92000000039116</v>
      </c>
      <c r="FY126" s="12">
        <f>FP126-FR126</f>
        <v>0</v>
      </c>
      <c r="FZ126" s="12">
        <f>DU126-FP126-FQ126+FR126</f>
        <v>958.92000000039116</v>
      </c>
      <c r="GA126" s="12">
        <f>FQ126-FR126</f>
        <v>3274499.57</v>
      </c>
      <c r="GB126" s="12">
        <f>ROUND(SUMIF(AA89:AA124,"=55936048",GX89:GX124),2)</f>
        <v>0</v>
      </c>
      <c r="GC126" s="12">
        <f>ROUND(SUMIF(AA89:AA124,"=55936048",GY89:GY124),2)</f>
        <v>0</v>
      </c>
      <c r="GD126" s="12">
        <f>ROUND(SUMIF(AA89:AA124,"=55936048",GZ89:GZ124),2)</f>
        <v>0</v>
      </c>
      <c r="GE126" s="12">
        <f>ROUND(SUMIF(AA89:AA124,"=55936048",HD89:HD124),2)</f>
        <v>0</v>
      </c>
      <c r="GF126" s="12"/>
      <c r="GG126" s="12"/>
      <c r="GH126" s="12"/>
      <c r="GI126" s="12"/>
      <c r="GJ126" s="12"/>
      <c r="GK126" s="12"/>
      <c r="GL126" s="12"/>
      <c r="GM126" s="12"/>
      <c r="GN126" s="12"/>
      <c r="GO126" s="12"/>
      <c r="GP126" s="12"/>
      <c r="GQ126" s="12"/>
      <c r="GR126" s="12"/>
      <c r="GS126" s="12"/>
      <c r="GT126" s="12"/>
      <c r="GU126" s="12"/>
      <c r="GV126" s="12"/>
      <c r="GW126" s="12"/>
      <c r="GX126" s="12">
        <v>0</v>
      </c>
    </row>
    <row r="128" spans="1:255" ht="13" x14ac:dyDescent="0.3">
      <c r="A128" s="13">
        <v>50</v>
      </c>
      <c r="B128" s="13">
        <v>0</v>
      </c>
      <c r="C128" s="13">
        <v>0</v>
      </c>
      <c r="D128" s="13">
        <v>1</v>
      </c>
      <c r="E128" s="13">
        <v>201</v>
      </c>
      <c r="F128" s="13">
        <f>ROUND(Source!O126,O128)</f>
        <v>434300.84</v>
      </c>
      <c r="G128" s="13" t="s">
        <v>84</v>
      </c>
      <c r="H128" s="13" t="s">
        <v>85</v>
      </c>
      <c r="I128" s="13"/>
      <c r="J128" s="13"/>
      <c r="K128" s="13">
        <v>201</v>
      </c>
      <c r="L128" s="13">
        <v>1</v>
      </c>
      <c r="M128" s="13">
        <v>3</v>
      </c>
      <c r="N128" s="13" t="s">
        <v>3</v>
      </c>
      <c r="O128" s="13">
        <v>2</v>
      </c>
      <c r="P128" s="13">
        <f>ROUND(Source!DG126,O128)</f>
        <v>3430500.62</v>
      </c>
      <c r="Q128" s="13"/>
      <c r="R128" s="13"/>
      <c r="S128" s="13"/>
      <c r="T128" s="13"/>
      <c r="U128" s="13"/>
      <c r="V128" s="13"/>
      <c r="W128" s="13">
        <v>434300.84</v>
      </c>
      <c r="X128" s="13">
        <v>1</v>
      </c>
      <c r="Y128" s="13">
        <v>434300.84</v>
      </c>
      <c r="Z128" s="13">
        <v>3430500.62</v>
      </c>
      <c r="AA128" s="13">
        <v>1</v>
      </c>
      <c r="AB128" s="13">
        <v>3430500.62</v>
      </c>
    </row>
    <row r="129" spans="1:28" ht="13" x14ac:dyDescent="0.3">
      <c r="A129" s="13">
        <v>50</v>
      </c>
      <c r="B129" s="13">
        <v>0</v>
      </c>
      <c r="C129" s="13">
        <v>0</v>
      </c>
      <c r="D129" s="13">
        <v>1</v>
      </c>
      <c r="E129" s="13">
        <v>202</v>
      </c>
      <c r="F129" s="13">
        <f>ROUND(Source!P126,O129)</f>
        <v>431525.17</v>
      </c>
      <c r="G129" s="13" t="s">
        <v>86</v>
      </c>
      <c r="H129" s="13" t="s">
        <v>87</v>
      </c>
      <c r="I129" s="13"/>
      <c r="J129" s="13"/>
      <c r="K129" s="13">
        <v>202</v>
      </c>
      <c r="L129" s="13">
        <v>2</v>
      </c>
      <c r="M129" s="13">
        <v>3</v>
      </c>
      <c r="N129" s="13" t="s">
        <v>3</v>
      </c>
      <c r="O129" s="13">
        <v>2</v>
      </c>
      <c r="P129" s="13">
        <f>ROUND(Source!DH126,O129)</f>
        <v>3275458.49</v>
      </c>
      <c r="Q129" s="13"/>
      <c r="R129" s="13"/>
      <c r="S129" s="13"/>
      <c r="T129" s="13"/>
      <c r="U129" s="13"/>
      <c r="V129" s="13"/>
      <c r="W129" s="13">
        <v>431525.17</v>
      </c>
      <c r="X129" s="13">
        <v>1</v>
      </c>
      <c r="Y129" s="13">
        <v>431525.17</v>
      </c>
      <c r="Z129" s="13">
        <v>3275458.49</v>
      </c>
      <c r="AA129" s="13">
        <v>1</v>
      </c>
      <c r="AB129" s="13">
        <v>3275458.49</v>
      </c>
    </row>
    <row r="130" spans="1:28" ht="13" x14ac:dyDescent="0.3">
      <c r="A130" s="13">
        <v>50</v>
      </c>
      <c r="B130" s="13">
        <v>0</v>
      </c>
      <c r="C130" s="13">
        <v>0</v>
      </c>
      <c r="D130" s="13">
        <v>1</v>
      </c>
      <c r="E130" s="13">
        <v>222</v>
      </c>
      <c r="F130" s="13">
        <f>ROUND(Source!AO126,O130)</f>
        <v>0</v>
      </c>
      <c r="G130" s="13" t="s">
        <v>88</v>
      </c>
      <c r="H130" s="13" t="s">
        <v>89</v>
      </c>
      <c r="I130" s="13"/>
      <c r="J130" s="13"/>
      <c r="K130" s="13">
        <v>222</v>
      </c>
      <c r="L130" s="13">
        <v>3</v>
      </c>
      <c r="M130" s="13">
        <v>3</v>
      </c>
      <c r="N130" s="13" t="s">
        <v>3</v>
      </c>
      <c r="O130" s="13">
        <v>2</v>
      </c>
      <c r="P130" s="13">
        <f>ROUND(Source!EG126,O130)</f>
        <v>0</v>
      </c>
      <c r="Q130" s="13"/>
      <c r="R130" s="13"/>
      <c r="S130" s="13"/>
      <c r="T130" s="13"/>
      <c r="U130" s="13"/>
      <c r="V130" s="13"/>
      <c r="W130" s="13">
        <v>0</v>
      </c>
      <c r="X130" s="13">
        <v>1</v>
      </c>
      <c r="Y130" s="13">
        <v>0</v>
      </c>
      <c r="Z130" s="13">
        <v>0</v>
      </c>
      <c r="AA130" s="13">
        <v>1</v>
      </c>
      <c r="AB130" s="13">
        <v>0</v>
      </c>
    </row>
    <row r="131" spans="1:28" ht="13" x14ac:dyDescent="0.3">
      <c r="A131" s="13">
        <v>50</v>
      </c>
      <c r="B131" s="13">
        <v>0</v>
      </c>
      <c r="C131" s="13">
        <v>0</v>
      </c>
      <c r="D131" s="13">
        <v>1</v>
      </c>
      <c r="E131" s="13">
        <v>225</v>
      </c>
      <c r="F131" s="13">
        <f>ROUND(Source!AV126,O131)</f>
        <v>431525.17</v>
      </c>
      <c r="G131" s="13" t="s">
        <v>90</v>
      </c>
      <c r="H131" s="13" t="s">
        <v>91</v>
      </c>
      <c r="I131" s="13"/>
      <c r="J131" s="13"/>
      <c r="K131" s="13">
        <v>225</v>
      </c>
      <c r="L131" s="13">
        <v>4</v>
      </c>
      <c r="M131" s="13">
        <v>3</v>
      </c>
      <c r="N131" s="13" t="s">
        <v>3</v>
      </c>
      <c r="O131" s="13">
        <v>2</v>
      </c>
      <c r="P131" s="13">
        <f>ROUND(Source!EN126,O131)</f>
        <v>3275458.49</v>
      </c>
      <c r="Q131" s="13"/>
      <c r="R131" s="13"/>
      <c r="S131" s="13"/>
      <c r="T131" s="13"/>
      <c r="U131" s="13"/>
      <c r="V131" s="13"/>
      <c r="W131" s="13">
        <v>431525.17</v>
      </c>
      <c r="X131" s="13">
        <v>1</v>
      </c>
      <c r="Y131" s="13">
        <v>431525.17</v>
      </c>
      <c r="Z131" s="13">
        <v>3275458.49</v>
      </c>
      <c r="AA131" s="13">
        <v>1</v>
      </c>
      <c r="AB131" s="13">
        <v>3275458.49</v>
      </c>
    </row>
    <row r="132" spans="1:28" ht="13" x14ac:dyDescent="0.3">
      <c r="A132" s="13">
        <v>50</v>
      </c>
      <c r="B132" s="13">
        <v>0</v>
      </c>
      <c r="C132" s="13">
        <v>0</v>
      </c>
      <c r="D132" s="13">
        <v>1</v>
      </c>
      <c r="E132" s="13">
        <v>226</v>
      </c>
      <c r="F132" s="13">
        <f>ROUND(Source!AW126,O132)</f>
        <v>60.07</v>
      </c>
      <c r="G132" s="13" t="s">
        <v>92</v>
      </c>
      <c r="H132" s="13" t="s">
        <v>93</v>
      </c>
      <c r="I132" s="13"/>
      <c r="J132" s="13"/>
      <c r="K132" s="13">
        <v>226</v>
      </c>
      <c r="L132" s="13">
        <v>5</v>
      </c>
      <c r="M132" s="13">
        <v>3</v>
      </c>
      <c r="N132" s="13" t="s">
        <v>3</v>
      </c>
      <c r="O132" s="13">
        <v>2</v>
      </c>
      <c r="P132" s="13">
        <f>ROUND(Source!EO126,O132)</f>
        <v>958.92</v>
      </c>
      <c r="Q132" s="13"/>
      <c r="R132" s="13"/>
      <c r="S132" s="13"/>
      <c r="T132" s="13"/>
      <c r="U132" s="13"/>
      <c r="V132" s="13"/>
      <c r="W132" s="13">
        <v>60.07</v>
      </c>
      <c r="X132" s="13">
        <v>1</v>
      </c>
      <c r="Y132" s="13">
        <v>60.07</v>
      </c>
      <c r="Z132" s="13">
        <v>958.92</v>
      </c>
      <c r="AA132" s="13">
        <v>1</v>
      </c>
      <c r="AB132" s="13">
        <v>958.92</v>
      </c>
    </row>
    <row r="133" spans="1:28" ht="13" x14ac:dyDescent="0.3">
      <c r="A133" s="13">
        <v>50</v>
      </c>
      <c r="B133" s="13">
        <v>0</v>
      </c>
      <c r="C133" s="13">
        <v>0</v>
      </c>
      <c r="D133" s="13">
        <v>1</v>
      </c>
      <c r="E133" s="13">
        <v>227</v>
      </c>
      <c r="F133" s="13">
        <f>ROUND(Source!AX126,O133)</f>
        <v>0</v>
      </c>
      <c r="G133" s="13" t="s">
        <v>94</v>
      </c>
      <c r="H133" s="13" t="s">
        <v>95</v>
      </c>
      <c r="I133" s="13"/>
      <c r="J133" s="13"/>
      <c r="K133" s="13">
        <v>227</v>
      </c>
      <c r="L133" s="13">
        <v>6</v>
      </c>
      <c r="M133" s="13">
        <v>3</v>
      </c>
      <c r="N133" s="13" t="s">
        <v>3</v>
      </c>
      <c r="O133" s="13">
        <v>2</v>
      </c>
      <c r="P133" s="13">
        <f>ROUND(Source!EP126,O133)</f>
        <v>0</v>
      </c>
      <c r="Q133" s="13"/>
      <c r="R133" s="13"/>
      <c r="S133" s="13"/>
      <c r="T133" s="13"/>
      <c r="U133" s="13"/>
      <c r="V133" s="13"/>
      <c r="W133" s="13">
        <v>0</v>
      </c>
      <c r="X133" s="13">
        <v>1</v>
      </c>
      <c r="Y133" s="13">
        <v>0</v>
      </c>
      <c r="Z133" s="13">
        <v>0</v>
      </c>
      <c r="AA133" s="13">
        <v>1</v>
      </c>
      <c r="AB133" s="13">
        <v>0</v>
      </c>
    </row>
    <row r="134" spans="1:28" ht="13" x14ac:dyDescent="0.3">
      <c r="A134" s="13">
        <v>50</v>
      </c>
      <c r="B134" s="13">
        <v>0</v>
      </c>
      <c r="C134" s="13">
        <v>0</v>
      </c>
      <c r="D134" s="13">
        <v>1</v>
      </c>
      <c r="E134" s="13">
        <v>228</v>
      </c>
      <c r="F134" s="13">
        <f>ROUND(Source!AY126,O134)</f>
        <v>60.07</v>
      </c>
      <c r="G134" s="13" t="s">
        <v>96</v>
      </c>
      <c r="H134" s="13" t="s">
        <v>97</v>
      </c>
      <c r="I134" s="13"/>
      <c r="J134" s="13"/>
      <c r="K134" s="13">
        <v>228</v>
      </c>
      <c r="L134" s="13">
        <v>7</v>
      </c>
      <c r="M134" s="13">
        <v>3</v>
      </c>
      <c r="N134" s="13" t="s">
        <v>3</v>
      </c>
      <c r="O134" s="13">
        <v>2</v>
      </c>
      <c r="P134" s="13">
        <f>ROUND(Source!EQ126,O134)</f>
        <v>958.92</v>
      </c>
      <c r="Q134" s="13"/>
      <c r="R134" s="13"/>
      <c r="S134" s="13"/>
      <c r="T134" s="13"/>
      <c r="U134" s="13"/>
      <c r="V134" s="13"/>
      <c r="W134" s="13">
        <v>60.07</v>
      </c>
      <c r="X134" s="13">
        <v>1</v>
      </c>
      <c r="Y134" s="13">
        <v>60.07</v>
      </c>
      <c r="Z134" s="13">
        <v>958.92</v>
      </c>
      <c r="AA134" s="13">
        <v>1</v>
      </c>
      <c r="AB134" s="13">
        <v>958.92</v>
      </c>
    </row>
    <row r="135" spans="1:28" ht="13" x14ac:dyDescent="0.3">
      <c r="A135" s="13">
        <v>50</v>
      </c>
      <c r="B135" s="13">
        <v>0</v>
      </c>
      <c r="C135" s="13">
        <v>0</v>
      </c>
      <c r="D135" s="13">
        <v>1</v>
      </c>
      <c r="E135" s="13">
        <v>216</v>
      </c>
      <c r="F135" s="13">
        <f>ROUND(Source!AP126,O135)</f>
        <v>431465.1</v>
      </c>
      <c r="G135" s="13" t="s">
        <v>98</v>
      </c>
      <c r="H135" s="13" t="s">
        <v>99</v>
      </c>
      <c r="I135" s="13"/>
      <c r="J135" s="13"/>
      <c r="K135" s="13">
        <v>216</v>
      </c>
      <c r="L135" s="13">
        <v>8</v>
      </c>
      <c r="M135" s="13">
        <v>3</v>
      </c>
      <c r="N135" s="13" t="s">
        <v>3</v>
      </c>
      <c r="O135" s="13">
        <v>2</v>
      </c>
      <c r="P135" s="13">
        <f>ROUND(Source!EH126,O135)</f>
        <v>3274499.57</v>
      </c>
      <c r="Q135" s="13"/>
      <c r="R135" s="13"/>
      <c r="S135" s="13"/>
      <c r="T135" s="13"/>
      <c r="U135" s="13"/>
      <c r="V135" s="13"/>
      <c r="W135" s="13">
        <v>431465.1</v>
      </c>
      <c r="X135" s="13">
        <v>1</v>
      </c>
      <c r="Y135" s="13">
        <v>431465.1</v>
      </c>
      <c r="Z135" s="13">
        <v>3274499.57</v>
      </c>
      <c r="AA135" s="13">
        <v>1</v>
      </c>
      <c r="AB135" s="13">
        <v>3274499.57</v>
      </c>
    </row>
    <row r="136" spans="1:28" ht="13" x14ac:dyDescent="0.3">
      <c r="A136" s="13">
        <v>50</v>
      </c>
      <c r="B136" s="13">
        <v>0</v>
      </c>
      <c r="C136" s="13">
        <v>0</v>
      </c>
      <c r="D136" s="13">
        <v>1</v>
      </c>
      <c r="E136" s="13">
        <v>223</v>
      </c>
      <c r="F136" s="13">
        <f>ROUND(Source!AQ126,O136)</f>
        <v>0</v>
      </c>
      <c r="G136" s="13" t="s">
        <v>100</v>
      </c>
      <c r="H136" s="13" t="s">
        <v>101</v>
      </c>
      <c r="I136" s="13"/>
      <c r="J136" s="13"/>
      <c r="K136" s="13">
        <v>223</v>
      </c>
      <c r="L136" s="13">
        <v>9</v>
      </c>
      <c r="M136" s="13">
        <v>3</v>
      </c>
      <c r="N136" s="13" t="s">
        <v>3</v>
      </c>
      <c r="O136" s="13">
        <v>2</v>
      </c>
      <c r="P136" s="13">
        <f>ROUND(Source!EI126,O136)</f>
        <v>0</v>
      </c>
      <c r="Q136" s="13"/>
      <c r="R136" s="13"/>
      <c r="S136" s="13"/>
      <c r="T136" s="13"/>
      <c r="U136" s="13"/>
      <c r="V136" s="13"/>
      <c r="W136" s="13">
        <v>0</v>
      </c>
      <c r="X136" s="13">
        <v>1</v>
      </c>
      <c r="Y136" s="13">
        <v>0</v>
      </c>
      <c r="Z136" s="13">
        <v>0</v>
      </c>
      <c r="AA136" s="13">
        <v>1</v>
      </c>
      <c r="AB136" s="13">
        <v>0</v>
      </c>
    </row>
    <row r="137" spans="1:28" ht="13" x14ac:dyDescent="0.3">
      <c r="A137" s="13">
        <v>50</v>
      </c>
      <c r="B137" s="13">
        <v>0</v>
      </c>
      <c r="C137" s="13">
        <v>0</v>
      </c>
      <c r="D137" s="13">
        <v>1</v>
      </c>
      <c r="E137" s="13">
        <v>229</v>
      </c>
      <c r="F137" s="13">
        <f>ROUND(Source!AZ126,O137)</f>
        <v>431465.1</v>
      </c>
      <c r="G137" s="13" t="s">
        <v>102</v>
      </c>
      <c r="H137" s="13" t="s">
        <v>103</v>
      </c>
      <c r="I137" s="13"/>
      <c r="J137" s="13"/>
      <c r="K137" s="13">
        <v>229</v>
      </c>
      <c r="L137" s="13">
        <v>10</v>
      </c>
      <c r="M137" s="13">
        <v>3</v>
      </c>
      <c r="N137" s="13" t="s">
        <v>3</v>
      </c>
      <c r="O137" s="13">
        <v>2</v>
      </c>
      <c r="P137" s="13">
        <f>ROUND(Source!ER126,O137)</f>
        <v>3274499.57</v>
      </c>
      <c r="Q137" s="13"/>
      <c r="R137" s="13"/>
      <c r="S137" s="13"/>
      <c r="T137" s="13"/>
      <c r="U137" s="13"/>
      <c r="V137" s="13"/>
      <c r="W137" s="13">
        <v>431465.1</v>
      </c>
      <c r="X137" s="13">
        <v>1</v>
      </c>
      <c r="Y137" s="13">
        <v>431465.1</v>
      </c>
      <c r="Z137" s="13">
        <v>3274499.57</v>
      </c>
      <c r="AA137" s="13">
        <v>1</v>
      </c>
      <c r="AB137" s="13">
        <v>3274499.57</v>
      </c>
    </row>
    <row r="138" spans="1:28" ht="13" x14ac:dyDescent="0.3">
      <c r="A138" s="13">
        <v>50</v>
      </c>
      <c r="B138" s="13">
        <v>0</v>
      </c>
      <c r="C138" s="13">
        <v>0</v>
      </c>
      <c r="D138" s="13">
        <v>1</v>
      </c>
      <c r="E138" s="13">
        <v>203</v>
      </c>
      <c r="F138" s="13">
        <f>ROUND(Source!Q126,O138)</f>
        <v>33.64</v>
      </c>
      <c r="G138" s="13" t="s">
        <v>104</v>
      </c>
      <c r="H138" s="13" t="s">
        <v>105</v>
      </c>
      <c r="I138" s="13"/>
      <c r="J138" s="13"/>
      <c r="K138" s="13">
        <v>203</v>
      </c>
      <c r="L138" s="13">
        <v>11</v>
      </c>
      <c r="M138" s="13">
        <v>3</v>
      </c>
      <c r="N138" s="13" t="s">
        <v>3</v>
      </c>
      <c r="O138" s="13">
        <v>2</v>
      </c>
      <c r="P138" s="13">
        <f>ROUND(Source!DI126,O138)</f>
        <v>528.74</v>
      </c>
      <c r="Q138" s="13"/>
      <c r="R138" s="13"/>
      <c r="S138" s="13"/>
      <c r="T138" s="13"/>
      <c r="U138" s="13"/>
      <c r="V138" s="13"/>
      <c r="W138" s="13">
        <v>33.64</v>
      </c>
      <c r="X138" s="13">
        <v>1</v>
      </c>
      <c r="Y138" s="13">
        <v>33.64</v>
      </c>
      <c r="Z138" s="13">
        <v>528.74</v>
      </c>
      <c r="AA138" s="13">
        <v>1</v>
      </c>
      <c r="AB138" s="13">
        <v>528.74</v>
      </c>
    </row>
    <row r="139" spans="1:28" ht="13" x14ac:dyDescent="0.3">
      <c r="A139" s="13">
        <v>50</v>
      </c>
      <c r="B139" s="13">
        <v>0</v>
      </c>
      <c r="C139" s="13">
        <v>0</v>
      </c>
      <c r="D139" s="13">
        <v>1</v>
      </c>
      <c r="E139" s="13">
        <v>231</v>
      </c>
      <c r="F139" s="13">
        <f>ROUND(Source!BB126,O139)</f>
        <v>0</v>
      </c>
      <c r="G139" s="13" t="s">
        <v>106</v>
      </c>
      <c r="H139" s="13" t="s">
        <v>107</v>
      </c>
      <c r="I139" s="13"/>
      <c r="J139" s="13"/>
      <c r="K139" s="13">
        <v>231</v>
      </c>
      <c r="L139" s="13">
        <v>12</v>
      </c>
      <c r="M139" s="13">
        <v>3</v>
      </c>
      <c r="N139" s="13" t="s">
        <v>3</v>
      </c>
      <c r="O139" s="13">
        <v>2</v>
      </c>
      <c r="P139" s="13">
        <f>ROUND(Source!ET126,O139)</f>
        <v>0</v>
      </c>
      <c r="Q139" s="13"/>
      <c r="R139" s="13"/>
      <c r="S139" s="13"/>
      <c r="T139" s="13"/>
      <c r="U139" s="13"/>
      <c r="V139" s="13"/>
      <c r="W139" s="13">
        <v>0</v>
      </c>
      <c r="X139" s="13">
        <v>1</v>
      </c>
      <c r="Y139" s="13">
        <v>0</v>
      </c>
      <c r="Z139" s="13">
        <v>0</v>
      </c>
      <c r="AA139" s="13">
        <v>1</v>
      </c>
      <c r="AB139" s="13">
        <v>0</v>
      </c>
    </row>
    <row r="140" spans="1:28" ht="13" x14ac:dyDescent="0.3">
      <c r="A140" s="13">
        <v>50</v>
      </c>
      <c r="B140" s="13">
        <v>0</v>
      </c>
      <c r="C140" s="13">
        <v>0</v>
      </c>
      <c r="D140" s="13">
        <v>1</v>
      </c>
      <c r="E140" s="13">
        <v>204</v>
      </c>
      <c r="F140" s="13">
        <f>ROUND(Source!R126,O140)</f>
        <v>4.22</v>
      </c>
      <c r="G140" s="13" t="s">
        <v>108</v>
      </c>
      <c r="H140" s="13" t="s">
        <v>109</v>
      </c>
      <c r="I140" s="13"/>
      <c r="J140" s="13"/>
      <c r="K140" s="13">
        <v>204</v>
      </c>
      <c r="L140" s="13">
        <v>13</v>
      </c>
      <c r="M140" s="13">
        <v>3</v>
      </c>
      <c r="N140" s="13" t="s">
        <v>3</v>
      </c>
      <c r="O140" s="13">
        <v>2</v>
      </c>
      <c r="P140" s="13">
        <f>ROUND(Source!DJ126,O140)</f>
        <v>237.81</v>
      </c>
      <c r="Q140" s="13"/>
      <c r="R140" s="13"/>
      <c r="S140" s="13"/>
      <c r="T140" s="13"/>
      <c r="U140" s="13"/>
      <c r="V140" s="13"/>
      <c r="W140" s="13">
        <v>4.22</v>
      </c>
      <c r="X140" s="13">
        <v>1</v>
      </c>
      <c r="Y140" s="13">
        <v>4.22</v>
      </c>
      <c r="Z140" s="13">
        <v>237.81</v>
      </c>
      <c r="AA140" s="13">
        <v>1</v>
      </c>
      <c r="AB140" s="13">
        <v>237.81</v>
      </c>
    </row>
    <row r="141" spans="1:28" ht="13" x14ac:dyDescent="0.3">
      <c r="A141" s="13">
        <v>50</v>
      </c>
      <c r="B141" s="13">
        <v>0</v>
      </c>
      <c r="C141" s="13">
        <v>0</v>
      </c>
      <c r="D141" s="13">
        <v>1</v>
      </c>
      <c r="E141" s="13">
        <v>205</v>
      </c>
      <c r="F141" s="13">
        <f>ROUND(Source!S126,O141)</f>
        <v>2742.03</v>
      </c>
      <c r="G141" s="13" t="s">
        <v>110</v>
      </c>
      <c r="H141" s="13" t="s">
        <v>111</v>
      </c>
      <c r="I141" s="13"/>
      <c r="J141" s="13"/>
      <c r="K141" s="13">
        <v>205</v>
      </c>
      <c r="L141" s="13">
        <v>14</v>
      </c>
      <c r="M141" s="13">
        <v>3</v>
      </c>
      <c r="N141" s="13" t="s">
        <v>3</v>
      </c>
      <c r="O141" s="13">
        <v>2</v>
      </c>
      <c r="P141" s="13">
        <f>ROUND(Source!DK126,O141)</f>
        <v>154513.39000000001</v>
      </c>
      <c r="Q141" s="13"/>
      <c r="R141" s="13"/>
      <c r="S141" s="13"/>
      <c r="T141" s="13"/>
      <c r="U141" s="13"/>
      <c r="V141" s="13"/>
      <c r="W141" s="13">
        <v>2742.03</v>
      </c>
      <c r="X141" s="13">
        <v>1</v>
      </c>
      <c r="Y141" s="13">
        <v>2742.03</v>
      </c>
      <c r="Z141" s="13">
        <v>154513.39000000001</v>
      </c>
      <c r="AA141" s="13">
        <v>1</v>
      </c>
      <c r="AB141" s="13">
        <v>154513.39000000001</v>
      </c>
    </row>
    <row r="142" spans="1:28" ht="13" x14ac:dyDescent="0.3">
      <c r="A142" s="13">
        <v>50</v>
      </c>
      <c r="B142" s="13">
        <v>0</v>
      </c>
      <c r="C142" s="13">
        <v>0</v>
      </c>
      <c r="D142" s="13">
        <v>1</v>
      </c>
      <c r="E142" s="13">
        <v>232</v>
      </c>
      <c r="F142" s="13">
        <f>ROUND(Source!BC126,O142)</f>
        <v>0</v>
      </c>
      <c r="G142" s="13" t="s">
        <v>112</v>
      </c>
      <c r="H142" s="13" t="s">
        <v>113</v>
      </c>
      <c r="I142" s="13"/>
      <c r="J142" s="13"/>
      <c r="K142" s="13">
        <v>232</v>
      </c>
      <c r="L142" s="13">
        <v>15</v>
      </c>
      <c r="M142" s="13">
        <v>3</v>
      </c>
      <c r="N142" s="13" t="s">
        <v>3</v>
      </c>
      <c r="O142" s="13">
        <v>2</v>
      </c>
      <c r="P142" s="13">
        <f>ROUND(Source!EU126,O142)</f>
        <v>0</v>
      </c>
      <c r="Q142" s="13"/>
      <c r="R142" s="13"/>
      <c r="S142" s="13"/>
      <c r="T142" s="13"/>
      <c r="U142" s="13"/>
      <c r="V142" s="13"/>
      <c r="W142" s="13">
        <v>0</v>
      </c>
      <c r="X142" s="13">
        <v>1</v>
      </c>
      <c r="Y142" s="13">
        <v>0</v>
      </c>
      <c r="Z142" s="13">
        <v>0</v>
      </c>
      <c r="AA142" s="13">
        <v>1</v>
      </c>
      <c r="AB142" s="13">
        <v>0</v>
      </c>
    </row>
    <row r="143" spans="1:28" ht="13" x14ac:dyDescent="0.3">
      <c r="A143" s="13">
        <v>50</v>
      </c>
      <c r="B143" s="13">
        <v>0</v>
      </c>
      <c r="C143" s="13">
        <v>0</v>
      </c>
      <c r="D143" s="13">
        <v>1</v>
      </c>
      <c r="E143" s="13">
        <v>214</v>
      </c>
      <c r="F143" s="13">
        <f>ROUND(Source!AS126,O143)</f>
        <v>0</v>
      </c>
      <c r="G143" s="13" t="s">
        <v>114</v>
      </c>
      <c r="H143" s="13" t="s">
        <v>115</v>
      </c>
      <c r="I143" s="13"/>
      <c r="J143" s="13"/>
      <c r="K143" s="13">
        <v>214</v>
      </c>
      <c r="L143" s="13">
        <v>16</v>
      </c>
      <c r="M143" s="13">
        <v>3</v>
      </c>
      <c r="N143" s="13" t="s">
        <v>3</v>
      </c>
      <c r="O143" s="13">
        <v>2</v>
      </c>
      <c r="P143" s="13">
        <f>ROUND(Source!EK126,O143)</f>
        <v>0</v>
      </c>
      <c r="Q143" s="13"/>
      <c r="R143" s="13"/>
      <c r="S143" s="13"/>
      <c r="T143" s="13"/>
      <c r="U143" s="13"/>
      <c r="V143" s="13"/>
      <c r="W143" s="13">
        <v>0</v>
      </c>
      <c r="X143" s="13">
        <v>1</v>
      </c>
      <c r="Y143" s="13">
        <v>0</v>
      </c>
      <c r="Z143" s="13">
        <v>0</v>
      </c>
      <c r="AA143" s="13">
        <v>1</v>
      </c>
      <c r="AB143" s="13">
        <v>0</v>
      </c>
    </row>
    <row r="144" spans="1:28" ht="13" x14ac:dyDescent="0.3">
      <c r="A144" s="13">
        <v>50</v>
      </c>
      <c r="B144" s="13">
        <v>0</v>
      </c>
      <c r="C144" s="13">
        <v>0</v>
      </c>
      <c r="D144" s="13">
        <v>1</v>
      </c>
      <c r="E144" s="13">
        <v>215</v>
      </c>
      <c r="F144" s="13">
        <f>ROUND(Source!AT126,O144)</f>
        <v>6620.83</v>
      </c>
      <c r="G144" s="13" t="s">
        <v>116</v>
      </c>
      <c r="H144" s="13" t="s">
        <v>117</v>
      </c>
      <c r="I144" s="13"/>
      <c r="J144" s="13"/>
      <c r="K144" s="13">
        <v>215</v>
      </c>
      <c r="L144" s="13">
        <v>17</v>
      </c>
      <c r="M144" s="13">
        <v>3</v>
      </c>
      <c r="N144" s="13" t="s">
        <v>3</v>
      </c>
      <c r="O144" s="13">
        <v>2</v>
      </c>
      <c r="P144" s="13">
        <f>ROUND(Source!EL126,O144)</f>
        <v>369291.11</v>
      </c>
      <c r="Q144" s="13"/>
      <c r="R144" s="13"/>
      <c r="S144" s="13"/>
      <c r="T144" s="13"/>
      <c r="U144" s="13"/>
      <c r="V144" s="13"/>
      <c r="W144" s="13">
        <v>6620.83</v>
      </c>
      <c r="X144" s="13">
        <v>1</v>
      </c>
      <c r="Y144" s="13">
        <v>6620.83</v>
      </c>
      <c r="Z144" s="13">
        <v>369291.11</v>
      </c>
      <c r="AA144" s="13">
        <v>1</v>
      </c>
      <c r="AB144" s="13">
        <v>369291.11</v>
      </c>
    </row>
    <row r="145" spans="1:255" ht="13" x14ac:dyDescent="0.3">
      <c r="A145" s="13">
        <v>50</v>
      </c>
      <c r="B145" s="13">
        <v>0</v>
      </c>
      <c r="C145" s="13">
        <v>0</v>
      </c>
      <c r="D145" s="13">
        <v>1</v>
      </c>
      <c r="E145" s="13">
        <v>217</v>
      </c>
      <c r="F145" s="13">
        <f>ROUND(Source!AU126,O145)</f>
        <v>0</v>
      </c>
      <c r="G145" s="13" t="s">
        <v>118</v>
      </c>
      <c r="H145" s="13" t="s">
        <v>119</v>
      </c>
      <c r="I145" s="13"/>
      <c r="J145" s="13"/>
      <c r="K145" s="13">
        <v>217</v>
      </c>
      <c r="L145" s="13">
        <v>18</v>
      </c>
      <c r="M145" s="13">
        <v>3</v>
      </c>
      <c r="N145" s="13" t="s">
        <v>3</v>
      </c>
      <c r="O145" s="13">
        <v>2</v>
      </c>
      <c r="P145" s="13">
        <f>ROUND(Source!EM126,O145)</f>
        <v>0</v>
      </c>
      <c r="Q145" s="13"/>
      <c r="R145" s="13"/>
      <c r="S145" s="13"/>
      <c r="T145" s="13"/>
      <c r="U145" s="13"/>
      <c r="V145" s="13"/>
      <c r="W145" s="13">
        <v>0</v>
      </c>
      <c r="X145" s="13">
        <v>1</v>
      </c>
      <c r="Y145" s="13">
        <v>0</v>
      </c>
      <c r="Z145" s="13">
        <v>0</v>
      </c>
      <c r="AA145" s="13">
        <v>1</v>
      </c>
      <c r="AB145" s="13">
        <v>0</v>
      </c>
    </row>
    <row r="146" spans="1:255" ht="13" x14ac:dyDescent="0.3">
      <c r="A146" s="13">
        <v>50</v>
      </c>
      <c r="B146" s="13">
        <v>0</v>
      </c>
      <c r="C146" s="13">
        <v>0</v>
      </c>
      <c r="D146" s="13">
        <v>1</v>
      </c>
      <c r="E146" s="13">
        <v>230</v>
      </c>
      <c r="F146" s="13">
        <f>ROUND(Source!BA126,O146)</f>
        <v>0</v>
      </c>
      <c r="G146" s="13" t="s">
        <v>120</v>
      </c>
      <c r="H146" s="13" t="s">
        <v>121</v>
      </c>
      <c r="I146" s="13"/>
      <c r="J146" s="13"/>
      <c r="K146" s="13">
        <v>230</v>
      </c>
      <c r="L146" s="13">
        <v>19</v>
      </c>
      <c r="M146" s="13">
        <v>3</v>
      </c>
      <c r="N146" s="13" t="s">
        <v>3</v>
      </c>
      <c r="O146" s="13">
        <v>2</v>
      </c>
      <c r="P146" s="13">
        <f>ROUND(Source!ES126,O146)</f>
        <v>0</v>
      </c>
      <c r="Q146" s="13"/>
      <c r="R146" s="13"/>
      <c r="S146" s="13"/>
      <c r="T146" s="13"/>
      <c r="U146" s="13"/>
      <c r="V146" s="13"/>
      <c r="W146" s="13">
        <v>0</v>
      </c>
      <c r="X146" s="13">
        <v>1</v>
      </c>
      <c r="Y146" s="13">
        <v>0</v>
      </c>
      <c r="Z146" s="13">
        <v>0</v>
      </c>
      <c r="AA146" s="13">
        <v>1</v>
      </c>
      <c r="AB146" s="13">
        <v>0</v>
      </c>
    </row>
    <row r="147" spans="1:255" ht="13" x14ac:dyDescent="0.3">
      <c r="A147" s="13">
        <v>50</v>
      </c>
      <c r="B147" s="13">
        <v>0</v>
      </c>
      <c r="C147" s="13">
        <v>0</v>
      </c>
      <c r="D147" s="13">
        <v>1</v>
      </c>
      <c r="E147" s="13">
        <v>206</v>
      </c>
      <c r="F147" s="13">
        <f>ROUND(Source!T126,O147)</f>
        <v>0</v>
      </c>
      <c r="G147" s="13" t="s">
        <v>122</v>
      </c>
      <c r="H147" s="13" t="s">
        <v>123</v>
      </c>
      <c r="I147" s="13"/>
      <c r="J147" s="13"/>
      <c r="K147" s="13">
        <v>206</v>
      </c>
      <c r="L147" s="13">
        <v>20</v>
      </c>
      <c r="M147" s="13">
        <v>3</v>
      </c>
      <c r="N147" s="13" t="s">
        <v>3</v>
      </c>
      <c r="O147" s="13">
        <v>2</v>
      </c>
      <c r="P147" s="13">
        <f>ROUND(Source!DL126,O147)</f>
        <v>0</v>
      </c>
      <c r="Q147" s="13"/>
      <c r="R147" s="13"/>
      <c r="S147" s="13"/>
      <c r="T147" s="13"/>
      <c r="U147" s="13"/>
      <c r="V147" s="13"/>
      <c r="W147" s="13">
        <v>0</v>
      </c>
      <c r="X147" s="13">
        <v>1</v>
      </c>
      <c r="Y147" s="13">
        <v>0</v>
      </c>
      <c r="Z147" s="13">
        <v>0</v>
      </c>
      <c r="AA147" s="13">
        <v>1</v>
      </c>
      <c r="AB147" s="13">
        <v>0</v>
      </c>
    </row>
    <row r="148" spans="1:255" ht="13" x14ac:dyDescent="0.3">
      <c r="A148" s="13">
        <v>50</v>
      </c>
      <c r="B148" s="13">
        <v>0</v>
      </c>
      <c r="C148" s="13">
        <v>0</v>
      </c>
      <c r="D148" s="13">
        <v>1</v>
      </c>
      <c r="E148" s="13">
        <v>207</v>
      </c>
      <c r="F148" s="13">
        <f>Source!U126</f>
        <v>183.8942424</v>
      </c>
      <c r="G148" s="13" t="s">
        <v>124</v>
      </c>
      <c r="H148" s="13" t="s">
        <v>125</v>
      </c>
      <c r="I148" s="13"/>
      <c r="J148" s="13"/>
      <c r="K148" s="13">
        <v>207</v>
      </c>
      <c r="L148" s="13">
        <v>21</v>
      </c>
      <c r="M148" s="13">
        <v>3</v>
      </c>
      <c r="N148" s="13" t="s">
        <v>3</v>
      </c>
      <c r="O148" s="13">
        <v>-1</v>
      </c>
      <c r="P148" s="13">
        <f>Source!DM126</f>
        <v>183.8942424</v>
      </c>
      <c r="Q148" s="13"/>
      <c r="R148" s="13"/>
      <c r="S148" s="13"/>
      <c r="T148" s="13"/>
      <c r="U148" s="13"/>
      <c r="V148" s="13"/>
      <c r="W148" s="13">
        <v>183.89424240000002</v>
      </c>
      <c r="X148" s="13">
        <v>1</v>
      </c>
      <c r="Y148" s="13">
        <v>183.89424240000002</v>
      </c>
      <c r="Z148" s="13">
        <v>183.89424240000002</v>
      </c>
      <c r="AA148" s="13">
        <v>1</v>
      </c>
      <c r="AB148" s="13">
        <v>183.89424240000002</v>
      </c>
    </row>
    <row r="149" spans="1:255" ht="13" x14ac:dyDescent="0.3">
      <c r="A149" s="13">
        <v>50</v>
      </c>
      <c r="B149" s="13">
        <v>0</v>
      </c>
      <c r="C149" s="13">
        <v>0</v>
      </c>
      <c r="D149" s="13">
        <v>1</v>
      </c>
      <c r="E149" s="13">
        <v>208</v>
      </c>
      <c r="F149" s="13">
        <f>Source!V126</f>
        <v>0</v>
      </c>
      <c r="G149" s="13" t="s">
        <v>126</v>
      </c>
      <c r="H149" s="13" t="s">
        <v>127</v>
      </c>
      <c r="I149" s="13"/>
      <c r="J149" s="13"/>
      <c r="K149" s="13">
        <v>208</v>
      </c>
      <c r="L149" s="13">
        <v>22</v>
      </c>
      <c r="M149" s="13">
        <v>3</v>
      </c>
      <c r="N149" s="13" t="s">
        <v>3</v>
      </c>
      <c r="O149" s="13">
        <v>-1</v>
      </c>
      <c r="P149" s="13">
        <f>Source!DN126</f>
        <v>0</v>
      </c>
      <c r="Q149" s="13"/>
      <c r="R149" s="13"/>
      <c r="S149" s="13"/>
      <c r="T149" s="13"/>
      <c r="U149" s="13"/>
      <c r="V149" s="13"/>
      <c r="W149" s="13">
        <v>0</v>
      </c>
      <c r="X149" s="13">
        <v>1</v>
      </c>
      <c r="Y149" s="13">
        <v>0</v>
      </c>
      <c r="Z149" s="13">
        <v>0</v>
      </c>
      <c r="AA149" s="13">
        <v>1</v>
      </c>
      <c r="AB149" s="13">
        <v>0</v>
      </c>
    </row>
    <row r="150" spans="1:255" ht="13" x14ac:dyDescent="0.3">
      <c r="A150" s="13">
        <v>50</v>
      </c>
      <c r="B150" s="13">
        <v>0</v>
      </c>
      <c r="C150" s="13">
        <v>0</v>
      </c>
      <c r="D150" s="13">
        <v>1</v>
      </c>
      <c r="E150" s="13">
        <v>209</v>
      </c>
      <c r="F150" s="13">
        <f>ROUND(Source!W126,O150)</f>
        <v>0</v>
      </c>
      <c r="G150" s="13" t="s">
        <v>128</v>
      </c>
      <c r="H150" s="13" t="s">
        <v>129</v>
      </c>
      <c r="I150" s="13"/>
      <c r="J150" s="13"/>
      <c r="K150" s="13">
        <v>209</v>
      </c>
      <c r="L150" s="13">
        <v>23</v>
      </c>
      <c r="M150" s="13">
        <v>3</v>
      </c>
      <c r="N150" s="13" t="s">
        <v>3</v>
      </c>
      <c r="O150" s="13">
        <v>2</v>
      </c>
      <c r="P150" s="13">
        <f>ROUND(Source!DO126,O150)</f>
        <v>0</v>
      </c>
      <c r="Q150" s="13"/>
      <c r="R150" s="13"/>
      <c r="S150" s="13"/>
      <c r="T150" s="13"/>
      <c r="U150" s="13"/>
      <c r="V150" s="13"/>
      <c r="W150" s="13">
        <v>0</v>
      </c>
      <c r="X150" s="13">
        <v>1</v>
      </c>
      <c r="Y150" s="13">
        <v>0</v>
      </c>
      <c r="Z150" s="13">
        <v>0</v>
      </c>
      <c r="AA150" s="13">
        <v>1</v>
      </c>
      <c r="AB150" s="13">
        <v>0</v>
      </c>
    </row>
    <row r="151" spans="1:255" ht="13" x14ac:dyDescent="0.3">
      <c r="A151" s="13">
        <v>50</v>
      </c>
      <c r="B151" s="13">
        <v>0</v>
      </c>
      <c r="C151" s="13">
        <v>0</v>
      </c>
      <c r="D151" s="13">
        <v>1</v>
      </c>
      <c r="E151" s="13">
        <v>233</v>
      </c>
      <c r="F151" s="13">
        <f>ROUND(Source!BD126,O151)</f>
        <v>0</v>
      </c>
      <c r="G151" s="13" t="s">
        <v>130</v>
      </c>
      <c r="H151" s="13" t="s">
        <v>131</v>
      </c>
      <c r="I151" s="13"/>
      <c r="J151" s="13"/>
      <c r="K151" s="13">
        <v>233</v>
      </c>
      <c r="L151" s="13">
        <v>24</v>
      </c>
      <c r="M151" s="13">
        <v>3</v>
      </c>
      <c r="N151" s="13" t="s">
        <v>3</v>
      </c>
      <c r="O151" s="13">
        <v>2</v>
      </c>
      <c r="P151" s="13">
        <f>ROUND(Source!EV126,O151)</f>
        <v>0</v>
      </c>
      <c r="Q151" s="13"/>
      <c r="R151" s="13"/>
      <c r="S151" s="13"/>
      <c r="T151" s="13"/>
      <c r="U151" s="13"/>
      <c r="V151" s="13"/>
      <c r="W151" s="13">
        <v>0</v>
      </c>
      <c r="X151" s="13">
        <v>1</v>
      </c>
      <c r="Y151" s="13">
        <v>0</v>
      </c>
      <c r="Z151" s="13">
        <v>0</v>
      </c>
      <c r="AA151" s="13">
        <v>1</v>
      </c>
      <c r="AB151" s="13">
        <v>0</v>
      </c>
    </row>
    <row r="152" spans="1:255" ht="13" x14ac:dyDescent="0.3">
      <c r="A152" s="13">
        <v>50</v>
      </c>
      <c r="B152" s="13">
        <v>0</v>
      </c>
      <c r="C152" s="13">
        <v>0</v>
      </c>
      <c r="D152" s="13">
        <v>1</v>
      </c>
      <c r="E152" s="13">
        <v>210</v>
      </c>
      <c r="F152" s="13">
        <f>ROUND(Source!X126,O152)</f>
        <v>2492.5300000000002</v>
      </c>
      <c r="G152" s="13" t="s">
        <v>132</v>
      </c>
      <c r="H152" s="13" t="s">
        <v>133</v>
      </c>
      <c r="I152" s="13"/>
      <c r="J152" s="13"/>
      <c r="K152" s="13">
        <v>210</v>
      </c>
      <c r="L152" s="13">
        <v>25</v>
      </c>
      <c r="M152" s="13">
        <v>3</v>
      </c>
      <c r="N152" s="13" t="s">
        <v>3</v>
      </c>
      <c r="O152" s="13">
        <v>2</v>
      </c>
      <c r="P152" s="13">
        <f>ROUND(Source!DP126,O152)</f>
        <v>140454.57999999999</v>
      </c>
      <c r="Q152" s="13"/>
      <c r="R152" s="13"/>
      <c r="S152" s="13"/>
      <c r="T152" s="13"/>
      <c r="U152" s="13"/>
      <c r="V152" s="13"/>
      <c r="W152" s="13">
        <v>2492.5300000000002</v>
      </c>
      <c r="X152" s="13">
        <v>1</v>
      </c>
      <c r="Y152" s="13">
        <v>2492.5300000000002</v>
      </c>
      <c r="Z152" s="13">
        <v>140454.57999999999</v>
      </c>
      <c r="AA152" s="13">
        <v>1</v>
      </c>
      <c r="AB152" s="13">
        <v>140454.57999999999</v>
      </c>
    </row>
    <row r="153" spans="1:255" ht="13" x14ac:dyDescent="0.3">
      <c r="A153" s="13">
        <v>50</v>
      </c>
      <c r="B153" s="13">
        <v>0</v>
      </c>
      <c r="C153" s="13">
        <v>0</v>
      </c>
      <c r="D153" s="13">
        <v>1</v>
      </c>
      <c r="E153" s="13">
        <v>211</v>
      </c>
      <c r="F153" s="13">
        <f>ROUND(Source!Y126,O153)</f>
        <v>1292.56</v>
      </c>
      <c r="G153" s="13" t="s">
        <v>134</v>
      </c>
      <c r="H153" s="13" t="s">
        <v>135</v>
      </c>
      <c r="I153" s="13"/>
      <c r="J153" s="13"/>
      <c r="K153" s="13">
        <v>211</v>
      </c>
      <c r="L153" s="13">
        <v>26</v>
      </c>
      <c r="M153" s="13">
        <v>3</v>
      </c>
      <c r="N153" s="13" t="s">
        <v>3</v>
      </c>
      <c r="O153" s="13">
        <v>2</v>
      </c>
      <c r="P153" s="13">
        <f>ROUND(Source!DQ126,O153)</f>
        <v>72835.48</v>
      </c>
      <c r="Q153" s="13"/>
      <c r="R153" s="13"/>
      <c r="S153" s="13"/>
      <c r="T153" s="13"/>
      <c r="U153" s="13"/>
      <c r="V153" s="13"/>
      <c r="W153" s="13">
        <v>1292.56</v>
      </c>
      <c r="X153" s="13">
        <v>1</v>
      </c>
      <c r="Y153" s="13">
        <v>1292.56</v>
      </c>
      <c r="Z153" s="13">
        <v>72835.48</v>
      </c>
      <c r="AA153" s="13">
        <v>1</v>
      </c>
      <c r="AB153" s="13">
        <v>72835.48</v>
      </c>
    </row>
    <row r="154" spans="1:255" ht="13" x14ac:dyDescent="0.3">
      <c r="A154" s="13">
        <v>50</v>
      </c>
      <c r="B154" s="13">
        <v>0</v>
      </c>
      <c r="C154" s="13">
        <v>0</v>
      </c>
      <c r="D154" s="13">
        <v>1</v>
      </c>
      <c r="E154" s="13">
        <v>224</v>
      </c>
      <c r="F154" s="13">
        <f>ROUND(Source!AR126,O154)</f>
        <v>438085.93</v>
      </c>
      <c r="G154" s="13" t="s">
        <v>136</v>
      </c>
      <c r="H154" s="13" t="s">
        <v>137</v>
      </c>
      <c r="I154" s="13"/>
      <c r="J154" s="13"/>
      <c r="K154" s="13">
        <v>224</v>
      </c>
      <c r="L154" s="13">
        <v>27</v>
      </c>
      <c r="M154" s="13">
        <v>3</v>
      </c>
      <c r="N154" s="13" t="s">
        <v>3</v>
      </c>
      <c r="O154" s="13">
        <v>2</v>
      </c>
      <c r="P154" s="13">
        <f>ROUND(Source!EJ126,O154)</f>
        <v>3643790.68</v>
      </c>
      <c r="Q154" s="13"/>
      <c r="R154" s="13"/>
      <c r="S154" s="13"/>
      <c r="T154" s="13"/>
      <c r="U154" s="13"/>
      <c r="V154" s="13"/>
      <c r="W154" s="13">
        <v>438085.93</v>
      </c>
      <c r="X154" s="13">
        <v>1</v>
      </c>
      <c r="Y154" s="13">
        <v>438085.93</v>
      </c>
      <c r="Z154" s="13">
        <v>3643790.68</v>
      </c>
      <c r="AA154" s="13">
        <v>1</v>
      </c>
      <c r="AB154" s="13">
        <v>3643790.68</v>
      </c>
    </row>
    <row r="156" spans="1:255" ht="13" x14ac:dyDescent="0.3">
      <c r="A156" s="10">
        <v>4</v>
      </c>
      <c r="B156" s="10">
        <v>1</v>
      </c>
      <c r="C156" s="10"/>
      <c r="D156" s="10">
        <f>ROW(A177)</f>
        <v>177</v>
      </c>
      <c r="E156" s="10"/>
      <c r="F156" s="10" t="s">
        <v>30</v>
      </c>
      <c r="G156" s="10" t="s">
        <v>192</v>
      </c>
      <c r="H156" s="10" t="s">
        <v>3</v>
      </c>
      <c r="I156" s="10">
        <v>0</v>
      </c>
      <c r="J156" s="10"/>
      <c r="K156" s="10">
        <v>-1</v>
      </c>
      <c r="L156" s="10"/>
      <c r="M156" s="10" t="s">
        <v>3</v>
      </c>
      <c r="N156" s="10"/>
      <c r="O156" s="10"/>
      <c r="P156" s="10"/>
      <c r="Q156" s="10"/>
      <c r="R156" s="10"/>
      <c r="S156" s="10">
        <v>0</v>
      </c>
      <c r="T156" s="10">
        <v>0</v>
      </c>
      <c r="U156" s="10" t="s">
        <v>3</v>
      </c>
      <c r="V156" s="10">
        <v>0</v>
      </c>
      <c r="W156" s="10"/>
      <c r="X156" s="10"/>
      <c r="Y156" s="10"/>
      <c r="Z156" s="10"/>
      <c r="AA156" s="10"/>
      <c r="AB156" s="10" t="s">
        <v>3</v>
      </c>
      <c r="AC156" s="10" t="s">
        <v>3</v>
      </c>
      <c r="AD156" s="10" t="s">
        <v>3</v>
      </c>
      <c r="AE156" s="10" t="s">
        <v>3</v>
      </c>
      <c r="AF156" s="10" t="s">
        <v>3</v>
      </c>
      <c r="AG156" s="10" t="s">
        <v>3</v>
      </c>
      <c r="AH156" s="10"/>
      <c r="AI156" s="10"/>
      <c r="AJ156" s="10"/>
      <c r="AK156" s="10"/>
      <c r="AL156" s="10"/>
      <c r="AM156" s="10"/>
      <c r="AN156" s="10"/>
      <c r="AO156" s="10"/>
      <c r="AP156" s="10" t="s">
        <v>3</v>
      </c>
      <c r="AQ156" s="10" t="s">
        <v>3</v>
      </c>
      <c r="AR156" s="10" t="s">
        <v>3</v>
      </c>
      <c r="AS156" s="10"/>
      <c r="AT156" s="10"/>
      <c r="AU156" s="10"/>
      <c r="AV156" s="10"/>
      <c r="AW156" s="10"/>
      <c r="AX156" s="10"/>
      <c r="AY156" s="10"/>
      <c r="AZ156" s="10" t="s">
        <v>3</v>
      </c>
      <c r="BA156" s="10"/>
      <c r="BB156" s="10" t="s">
        <v>3</v>
      </c>
      <c r="BC156" s="10" t="s">
        <v>3</v>
      </c>
      <c r="BD156" s="10" t="s">
        <v>3</v>
      </c>
      <c r="BE156" s="10" t="s">
        <v>3</v>
      </c>
      <c r="BF156" s="10" t="s">
        <v>3</v>
      </c>
      <c r="BG156" s="10" t="s">
        <v>3</v>
      </c>
      <c r="BH156" s="10" t="s">
        <v>3</v>
      </c>
      <c r="BI156" s="10" t="s">
        <v>3</v>
      </c>
      <c r="BJ156" s="10" t="s">
        <v>3</v>
      </c>
      <c r="BK156" s="10" t="s">
        <v>3</v>
      </c>
      <c r="BL156" s="10" t="s">
        <v>3</v>
      </c>
      <c r="BM156" s="10" t="s">
        <v>3</v>
      </c>
      <c r="BN156" s="10" t="s">
        <v>3</v>
      </c>
      <c r="BO156" s="10" t="s">
        <v>3</v>
      </c>
      <c r="BP156" s="10" t="s">
        <v>3</v>
      </c>
      <c r="BQ156" s="10"/>
      <c r="BR156" s="10"/>
      <c r="BS156" s="10"/>
      <c r="BT156" s="10"/>
      <c r="BU156" s="10"/>
      <c r="BV156" s="10"/>
      <c r="BW156" s="10"/>
      <c r="BX156" s="10">
        <v>0</v>
      </c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>
        <v>0</v>
      </c>
    </row>
    <row r="158" spans="1:255" ht="13" x14ac:dyDescent="0.3">
      <c r="A158" s="11">
        <v>52</v>
      </c>
      <c r="B158" s="11">
        <f t="shared" ref="B158:G158" si="108">B177</f>
        <v>1</v>
      </c>
      <c r="C158" s="11">
        <f t="shared" si="108"/>
        <v>4</v>
      </c>
      <c r="D158" s="11">
        <f t="shared" si="108"/>
        <v>156</v>
      </c>
      <c r="E158" s="11">
        <f t="shared" si="108"/>
        <v>0</v>
      </c>
      <c r="F158" s="11" t="str">
        <f t="shared" si="108"/>
        <v>2</v>
      </c>
      <c r="G158" s="11" t="str">
        <f t="shared" si="108"/>
        <v>Кабельные изделия и кабеленесущие конструкции</v>
      </c>
      <c r="H158" s="11"/>
      <c r="I158" s="11"/>
      <c r="J158" s="11"/>
      <c r="K158" s="11"/>
      <c r="L158" s="11"/>
      <c r="M158" s="11"/>
      <c r="N158" s="11"/>
      <c r="O158" s="11">
        <f t="shared" ref="O158:AT158" si="109">O177</f>
        <v>12820.96</v>
      </c>
      <c r="P158" s="11">
        <f t="shared" si="109"/>
        <v>11913.33</v>
      </c>
      <c r="Q158" s="11">
        <f t="shared" si="109"/>
        <v>7.89</v>
      </c>
      <c r="R158" s="11">
        <f t="shared" si="109"/>
        <v>0</v>
      </c>
      <c r="S158" s="11">
        <f t="shared" si="109"/>
        <v>899.74</v>
      </c>
      <c r="T158" s="11">
        <f t="shared" si="109"/>
        <v>0</v>
      </c>
      <c r="U158" s="11">
        <f t="shared" si="109"/>
        <v>75.708151200000003</v>
      </c>
      <c r="V158" s="11">
        <f t="shared" si="109"/>
        <v>0</v>
      </c>
      <c r="W158" s="11">
        <f t="shared" si="109"/>
        <v>0</v>
      </c>
      <c r="X158" s="11">
        <f t="shared" si="109"/>
        <v>809.77</v>
      </c>
      <c r="Y158" s="11">
        <f t="shared" si="109"/>
        <v>413.88</v>
      </c>
      <c r="Z158" s="11">
        <f t="shared" si="109"/>
        <v>0</v>
      </c>
      <c r="AA158" s="11">
        <f t="shared" si="109"/>
        <v>0</v>
      </c>
      <c r="AB158" s="11">
        <f t="shared" si="109"/>
        <v>12820.96</v>
      </c>
      <c r="AC158" s="11">
        <f t="shared" si="109"/>
        <v>11913.33</v>
      </c>
      <c r="AD158" s="11">
        <f t="shared" si="109"/>
        <v>7.89</v>
      </c>
      <c r="AE158" s="11">
        <f t="shared" si="109"/>
        <v>0</v>
      </c>
      <c r="AF158" s="11">
        <f t="shared" si="109"/>
        <v>899.74</v>
      </c>
      <c r="AG158" s="11">
        <f t="shared" si="109"/>
        <v>0</v>
      </c>
      <c r="AH158" s="11">
        <f t="shared" si="109"/>
        <v>75.708151200000003</v>
      </c>
      <c r="AI158" s="11">
        <f t="shared" si="109"/>
        <v>0</v>
      </c>
      <c r="AJ158" s="11">
        <f t="shared" si="109"/>
        <v>0</v>
      </c>
      <c r="AK158" s="11">
        <f t="shared" si="109"/>
        <v>809.77</v>
      </c>
      <c r="AL158" s="11">
        <f t="shared" si="109"/>
        <v>413.88</v>
      </c>
      <c r="AM158" s="11">
        <f t="shared" si="109"/>
        <v>0</v>
      </c>
      <c r="AN158" s="11">
        <f t="shared" si="109"/>
        <v>0</v>
      </c>
      <c r="AO158" s="11">
        <f t="shared" si="109"/>
        <v>0</v>
      </c>
      <c r="AP158" s="11">
        <f t="shared" si="109"/>
        <v>0</v>
      </c>
      <c r="AQ158" s="11">
        <f t="shared" si="109"/>
        <v>0</v>
      </c>
      <c r="AR158" s="11">
        <f t="shared" si="109"/>
        <v>14044.61</v>
      </c>
      <c r="AS158" s="11">
        <f t="shared" si="109"/>
        <v>0</v>
      </c>
      <c r="AT158" s="11">
        <f t="shared" si="109"/>
        <v>14044.61</v>
      </c>
      <c r="AU158" s="11">
        <f t="shared" ref="AU158:BZ158" si="110">AU177</f>
        <v>0</v>
      </c>
      <c r="AV158" s="11">
        <f t="shared" si="110"/>
        <v>11913.33</v>
      </c>
      <c r="AW158" s="11">
        <f t="shared" si="110"/>
        <v>11913.33</v>
      </c>
      <c r="AX158" s="11">
        <f t="shared" si="110"/>
        <v>0</v>
      </c>
      <c r="AY158" s="11">
        <f t="shared" si="110"/>
        <v>11913.33</v>
      </c>
      <c r="AZ158" s="11">
        <f t="shared" si="110"/>
        <v>0</v>
      </c>
      <c r="BA158" s="11">
        <f t="shared" si="110"/>
        <v>0</v>
      </c>
      <c r="BB158" s="11">
        <f t="shared" si="110"/>
        <v>0</v>
      </c>
      <c r="BC158" s="11">
        <f t="shared" si="110"/>
        <v>0</v>
      </c>
      <c r="BD158" s="11">
        <f t="shared" si="110"/>
        <v>0</v>
      </c>
      <c r="BE158" s="11">
        <f t="shared" si="110"/>
        <v>0</v>
      </c>
      <c r="BF158" s="11">
        <f t="shared" si="110"/>
        <v>0</v>
      </c>
      <c r="BG158" s="11">
        <f t="shared" si="110"/>
        <v>0</v>
      </c>
      <c r="BH158" s="11">
        <f t="shared" si="110"/>
        <v>0</v>
      </c>
      <c r="BI158" s="11">
        <f t="shared" si="110"/>
        <v>0</v>
      </c>
      <c r="BJ158" s="11">
        <f t="shared" si="110"/>
        <v>0</v>
      </c>
      <c r="BK158" s="11">
        <f t="shared" si="110"/>
        <v>0</v>
      </c>
      <c r="BL158" s="11">
        <f t="shared" si="110"/>
        <v>0</v>
      </c>
      <c r="BM158" s="11">
        <f t="shared" si="110"/>
        <v>0</v>
      </c>
      <c r="BN158" s="11">
        <f t="shared" si="110"/>
        <v>0</v>
      </c>
      <c r="BO158" s="11">
        <f t="shared" si="110"/>
        <v>0</v>
      </c>
      <c r="BP158" s="11">
        <f t="shared" si="110"/>
        <v>0</v>
      </c>
      <c r="BQ158" s="11">
        <f t="shared" si="110"/>
        <v>0</v>
      </c>
      <c r="BR158" s="11">
        <f t="shared" si="110"/>
        <v>0</v>
      </c>
      <c r="BS158" s="11">
        <f t="shared" si="110"/>
        <v>0</v>
      </c>
      <c r="BT158" s="11">
        <f t="shared" si="110"/>
        <v>0</v>
      </c>
      <c r="BU158" s="11">
        <f t="shared" si="110"/>
        <v>0</v>
      </c>
      <c r="BV158" s="11">
        <f t="shared" si="110"/>
        <v>0</v>
      </c>
      <c r="BW158" s="11">
        <f t="shared" si="110"/>
        <v>0</v>
      </c>
      <c r="BX158" s="11">
        <f t="shared" si="110"/>
        <v>0</v>
      </c>
      <c r="BY158" s="11">
        <f t="shared" si="110"/>
        <v>0</v>
      </c>
      <c r="BZ158" s="11">
        <f t="shared" si="110"/>
        <v>0</v>
      </c>
      <c r="CA158" s="11">
        <f t="shared" ref="CA158:DF158" si="111">CA177</f>
        <v>14044.61</v>
      </c>
      <c r="CB158" s="11">
        <f t="shared" si="111"/>
        <v>0</v>
      </c>
      <c r="CC158" s="11">
        <f t="shared" si="111"/>
        <v>14044.61</v>
      </c>
      <c r="CD158" s="11">
        <f t="shared" si="111"/>
        <v>0</v>
      </c>
      <c r="CE158" s="11">
        <f t="shared" si="111"/>
        <v>11913.33</v>
      </c>
      <c r="CF158" s="11">
        <f t="shared" si="111"/>
        <v>11913.33</v>
      </c>
      <c r="CG158" s="11">
        <f t="shared" si="111"/>
        <v>0</v>
      </c>
      <c r="CH158" s="11">
        <f t="shared" si="111"/>
        <v>11913.33</v>
      </c>
      <c r="CI158" s="11">
        <f t="shared" si="111"/>
        <v>0</v>
      </c>
      <c r="CJ158" s="11">
        <f t="shared" si="111"/>
        <v>0</v>
      </c>
      <c r="CK158" s="11">
        <f t="shared" si="111"/>
        <v>0</v>
      </c>
      <c r="CL158" s="11">
        <f t="shared" si="111"/>
        <v>0</v>
      </c>
      <c r="CM158" s="11">
        <f t="shared" si="111"/>
        <v>0</v>
      </c>
      <c r="CN158" s="11">
        <f t="shared" si="111"/>
        <v>0</v>
      </c>
      <c r="CO158" s="11">
        <f t="shared" si="111"/>
        <v>0</v>
      </c>
      <c r="CP158" s="11">
        <f t="shared" si="111"/>
        <v>0</v>
      </c>
      <c r="CQ158" s="11">
        <f t="shared" si="111"/>
        <v>0</v>
      </c>
      <c r="CR158" s="11">
        <f t="shared" si="111"/>
        <v>0</v>
      </c>
      <c r="CS158" s="11">
        <f t="shared" si="111"/>
        <v>0</v>
      </c>
      <c r="CT158" s="11">
        <f t="shared" si="111"/>
        <v>0</v>
      </c>
      <c r="CU158" s="11">
        <f t="shared" si="111"/>
        <v>0</v>
      </c>
      <c r="CV158" s="11">
        <f t="shared" si="111"/>
        <v>0</v>
      </c>
      <c r="CW158" s="11">
        <f t="shared" si="111"/>
        <v>0</v>
      </c>
      <c r="CX158" s="11">
        <f t="shared" si="111"/>
        <v>0</v>
      </c>
      <c r="CY158" s="11">
        <f t="shared" si="111"/>
        <v>0</v>
      </c>
      <c r="CZ158" s="11">
        <f t="shared" si="111"/>
        <v>0</v>
      </c>
      <c r="DA158" s="11">
        <f t="shared" si="111"/>
        <v>0</v>
      </c>
      <c r="DB158" s="11">
        <f t="shared" si="111"/>
        <v>0</v>
      </c>
      <c r="DC158" s="11">
        <f t="shared" si="111"/>
        <v>0</v>
      </c>
      <c r="DD158" s="11">
        <f t="shared" si="111"/>
        <v>0</v>
      </c>
      <c r="DE158" s="11">
        <f t="shared" si="111"/>
        <v>0</v>
      </c>
      <c r="DF158" s="11">
        <f t="shared" si="111"/>
        <v>0</v>
      </c>
      <c r="DG158" s="12">
        <f t="shared" ref="DG158:EL158" si="112">DG177</f>
        <v>156198.22</v>
      </c>
      <c r="DH158" s="12">
        <f t="shared" si="112"/>
        <v>105421.97</v>
      </c>
      <c r="DI158" s="12">
        <f t="shared" si="112"/>
        <v>75.900000000000006</v>
      </c>
      <c r="DJ158" s="12">
        <f t="shared" si="112"/>
        <v>0</v>
      </c>
      <c r="DK158" s="12">
        <f t="shared" si="112"/>
        <v>50700.35</v>
      </c>
      <c r="DL158" s="12">
        <f t="shared" si="112"/>
        <v>0</v>
      </c>
      <c r="DM158" s="12">
        <f t="shared" si="112"/>
        <v>75.708151200000003</v>
      </c>
      <c r="DN158" s="12">
        <f t="shared" si="112"/>
        <v>0</v>
      </c>
      <c r="DO158" s="12">
        <f t="shared" si="112"/>
        <v>0</v>
      </c>
      <c r="DP158" s="12">
        <f t="shared" si="112"/>
        <v>45630.32</v>
      </c>
      <c r="DQ158" s="12">
        <f t="shared" si="112"/>
        <v>23322.16</v>
      </c>
      <c r="DR158" s="12">
        <f t="shared" si="112"/>
        <v>0</v>
      </c>
      <c r="DS158" s="12">
        <f t="shared" si="112"/>
        <v>0</v>
      </c>
      <c r="DT158" s="12">
        <f t="shared" si="112"/>
        <v>156198.22</v>
      </c>
      <c r="DU158" s="12">
        <f t="shared" si="112"/>
        <v>105421.97</v>
      </c>
      <c r="DV158" s="12">
        <f t="shared" si="112"/>
        <v>75.900000000000006</v>
      </c>
      <c r="DW158" s="12">
        <f t="shared" si="112"/>
        <v>0</v>
      </c>
      <c r="DX158" s="12">
        <f t="shared" si="112"/>
        <v>50700.35</v>
      </c>
      <c r="DY158" s="12">
        <f t="shared" si="112"/>
        <v>0</v>
      </c>
      <c r="DZ158" s="12">
        <f t="shared" si="112"/>
        <v>75.708151200000003</v>
      </c>
      <c r="EA158" s="12">
        <f t="shared" si="112"/>
        <v>0</v>
      </c>
      <c r="EB158" s="12">
        <f t="shared" si="112"/>
        <v>0</v>
      </c>
      <c r="EC158" s="12">
        <f t="shared" si="112"/>
        <v>45630.32</v>
      </c>
      <c r="ED158" s="12">
        <f t="shared" si="112"/>
        <v>23322.16</v>
      </c>
      <c r="EE158" s="12">
        <f t="shared" si="112"/>
        <v>0</v>
      </c>
      <c r="EF158" s="12">
        <f t="shared" si="112"/>
        <v>0</v>
      </c>
      <c r="EG158" s="12">
        <f t="shared" si="112"/>
        <v>0</v>
      </c>
      <c r="EH158" s="12">
        <f t="shared" si="112"/>
        <v>0</v>
      </c>
      <c r="EI158" s="12">
        <f t="shared" si="112"/>
        <v>0</v>
      </c>
      <c r="EJ158" s="12">
        <f t="shared" si="112"/>
        <v>225150.7</v>
      </c>
      <c r="EK158" s="12">
        <f t="shared" si="112"/>
        <v>0</v>
      </c>
      <c r="EL158" s="12">
        <f t="shared" si="112"/>
        <v>225150.7</v>
      </c>
      <c r="EM158" s="12">
        <f t="shared" ref="EM158:FR158" si="113">EM177</f>
        <v>0</v>
      </c>
      <c r="EN158" s="12">
        <f t="shared" si="113"/>
        <v>105421.97</v>
      </c>
      <c r="EO158" s="12">
        <f t="shared" si="113"/>
        <v>105421.97</v>
      </c>
      <c r="EP158" s="12">
        <f t="shared" si="113"/>
        <v>0</v>
      </c>
      <c r="EQ158" s="12">
        <f t="shared" si="113"/>
        <v>105421.97</v>
      </c>
      <c r="ER158" s="12">
        <f t="shared" si="113"/>
        <v>0</v>
      </c>
      <c r="ES158" s="12">
        <f t="shared" si="113"/>
        <v>0</v>
      </c>
      <c r="ET158" s="12">
        <f t="shared" si="113"/>
        <v>0</v>
      </c>
      <c r="EU158" s="12">
        <f t="shared" si="113"/>
        <v>0</v>
      </c>
      <c r="EV158" s="12">
        <f t="shared" si="113"/>
        <v>0</v>
      </c>
      <c r="EW158" s="12">
        <f t="shared" si="113"/>
        <v>0</v>
      </c>
      <c r="EX158" s="12">
        <f t="shared" si="113"/>
        <v>0</v>
      </c>
      <c r="EY158" s="12">
        <f t="shared" si="113"/>
        <v>0</v>
      </c>
      <c r="EZ158" s="12">
        <f t="shared" si="113"/>
        <v>0</v>
      </c>
      <c r="FA158" s="12">
        <f t="shared" si="113"/>
        <v>0</v>
      </c>
      <c r="FB158" s="12">
        <f t="shared" si="113"/>
        <v>0</v>
      </c>
      <c r="FC158" s="12">
        <f t="shared" si="113"/>
        <v>0</v>
      </c>
      <c r="FD158" s="12">
        <f t="shared" si="113"/>
        <v>0</v>
      </c>
      <c r="FE158" s="12">
        <f t="shared" si="113"/>
        <v>0</v>
      </c>
      <c r="FF158" s="12">
        <f t="shared" si="113"/>
        <v>0</v>
      </c>
      <c r="FG158" s="12">
        <f t="shared" si="113"/>
        <v>0</v>
      </c>
      <c r="FH158" s="12">
        <f t="shared" si="113"/>
        <v>0</v>
      </c>
      <c r="FI158" s="12">
        <f t="shared" si="113"/>
        <v>0</v>
      </c>
      <c r="FJ158" s="12">
        <f t="shared" si="113"/>
        <v>0</v>
      </c>
      <c r="FK158" s="12">
        <f t="shared" si="113"/>
        <v>0</v>
      </c>
      <c r="FL158" s="12">
        <f t="shared" si="113"/>
        <v>0</v>
      </c>
      <c r="FM158" s="12">
        <f t="shared" si="113"/>
        <v>0</v>
      </c>
      <c r="FN158" s="12">
        <f t="shared" si="113"/>
        <v>0</v>
      </c>
      <c r="FO158" s="12">
        <f t="shared" si="113"/>
        <v>0</v>
      </c>
      <c r="FP158" s="12">
        <f t="shared" si="113"/>
        <v>0</v>
      </c>
      <c r="FQ158" s="12">
        <f t="shared" si="113"/>
        <v>0</v>
      </c>
      <c r="FR158" s="12">
        <f t="shared" si="113"/>
        <v>0</v>
      </c>
      <c r="FS158" s="12">
        <f t="shared" ref="FS158:GX158" si="114">FS177</f>
        <v>225150.7</v>
      </c>
      <c r="FT158" s="12">
        <f t="shared" si="114"/>
        <v>0</v>
      </c>
      <c r="FU158" s="12">
        <f t="shared" si="114"/>
        <v>225150.7</v>
      </c>
      <c r="FV158" s="12">
        <f t="shared" si="114"/>
        <v>0</v>
      </c>
      <c r="FW158" s="12">
        <f t="shared" si="114"/>
        <v>105421.97</v>
      </c>
      <c r="FX158" s="12">
        <f t="shared" si="114"/>
        <v>105421.97</v>
      </c>
      <c r="FY158" s="12">
        <f t="shared" si="114"/>
        <v>0</v>
      </c>
      <c r="FZ158" s="12">
        <f t="shared" si="114"/>
        <v>105421.97</v>
      </c>
      <c r="GA158" s="12">
        <f t="shared" si="114"/>
        <v>0</v>
      </c>
      <c r="GB158" s="12">
        <f t="shared" si="114"/>
        <v>0</v>
      </c>
      <c r="GC158" s="12">
        <f t="shared" si="114"/>
        <v>0</v>
      </c>
      <c r="GD158" s="12">
        <f t="shared" si="114"/>
        <v>0</v>
      </c>
      <c r="GE158" s="12">
        <f t="shared" si="114"/>
        <v>0</v>
      </c>
      <c r="GF158" s="12">
        <f t="shared" si="114"/>
        <v>0</v>
      </c>
      <c r="GG158" s="12">
        <f t="shared" si="114"/>
        <v>0</v>
      </c>
      <c r="GH158" s="12">
        <f t="shared" si="114"/>
        <v>0</v>
      </c>
      <c r="GI158" s="12">
        <f t="shared" si="114"/>
        <v>0</v>
      </c>
      <c r="GJ158" s="12">
        <f t="shared" si="114"/>
        <v>0</v>
      </c>
      <c r="GK158" s="12">
        <f t="shared" si="114"/>
        <v>0</v>
      </c>
      <c r="GL158" s="12">
        <f t="shared" si="114"/>
        <v>0</v>
      </c>
      <c r="GM158" s="12">
        <f t="shared" si="114"/>
        <v>0</v>
      </c>
      <c r="GN158" s="12">
        <f t="shared" si="114"/>
        <v>0</v>
      </c>
      <c r="GO158" s="12">
        <f t="shared" si="114"/>
        <v>0</v>
      </c>
      <c r="GP158" s="12">
        <f t="shared" si="114"/>
        <v>0</v>
      </c>
      <c r="GQ158" s="12">
        <f t="shared" si="114"/>
        <v>0</v>
      </c>
      <c r="GR158" s="12">
        <f t="shared" si="114"/>
        <v>0</v>
      </c>
      <c r="GS158" s="12">
        <f t="shared" si="114"/>
        <v>0</v>
      </c>
      <c r="GT158" s="12">
        <f t="shared" si="114"/>
        <v>0</v>
      </c>
      <c r="GU158" s="12">
        <f t="shared" si="114"/>
        <v>0</v>
      </c>
      <c r="GV158" s="12">
        <f t="shared" si="114"/>
        <v>0</v>
      </c>
      <c r="GW158" s="12">
        <f t="shared" si="114"/>
        <v>0</v>
      </c>
      <c r="GX158" s="12">
        <f t="shared" si="114"/>
        <v>0</v>
      </c>
    </row>
    <row r="160" spans="1:255" x14ac:dyDescent="0.25">
      <c r="A160" s="2">
        <v>17</v>
      </c>
      <c r="B160" s="2">
        <v>1</v>
      </c>
      <c r="C160" s="2">
        <f>ROW(SmtRes!A190)</f>
        <v>190</v>
      </c>
      <c r="D160" s="2">
        <f>ROW(EtalonRes!A217)</f>
        <v>217</v>
      </c>
      <c r="E160" s="2" t="s">
        <v>193</v>
      </c>
      <c r="F160" s="2" t="s">
        <v>72</v>
      </c>
      <c r="G160" s="2" t="s">
        <v>73</v>
      </c>
      <c r="H160" s="2" t="s">
        <v>60</v>
      </c>
      <c r="I160" s="2">
        <f>ROUND(363/100,9)</f>
        <v>3.63</v>
      </c>
      <c r="J160" s="2">
        <v>0</v>
      </c>
      <c r="K160" s="2">
        <f>ROUND(363/100,9)</f>
        <v>3.63</v>
      </c>
      <c r="L160" s="2"/>
      <c r="M160" s="2"/>
      <c r="N160" s="2"/>
      <c r="O160" s="2">
        <f t="shared" ref="O160:O175" si="115">ROUND(CP160,2)</f>
        <v>1241.26</v>
      </c>
      <c r="P160" s="2">
        <f t="shared" ref="P160:P175" si="116">ROUND((ROUND((AC160*AW160*I160),2)*BC160),2)</f>
        <v>333.63</v>
      </c>
      <c r="Q160" s="2">
        <f>(ROUND((ROUND((((ET160*1.2))*AV160*I160),2)*BB160),2)+ROUND((ROUND(((AE160-((EU160*1.2)))*AV160*I160),2)*BS160),2))</f>
        <v>7.89</v>
      </c>
      <c r="R160" s="2">
        <f>(ROUND((ROUND((((EU160*1.2))*AV160*I160),2)*BS160),2)+ROUND((ROUND(((AE160-((EU160*1.2)))*AV160*I160),2)*BS160),2))</f>
        <v>0</v>
      </c>
      <c r="S160" s="2">
        <f t="shared" ref="S160:S175" si="117">ROUND((ROUND((AF160*AV160*I160),2)*BA160),2)</f>
        <v>899.74</v>
      </c>
      <c r="T160" s="2">
        <f t="shared" ref="T160:T175" si="118">ROUND(CU160*I160,2)</f>
        <v>0</v>
      </c>
      <c r="U160" s="2">
        <f t="shared" ref="U160:U175" si="119">CV160*I160</f>
        <v>75.708151200000003</v>
      </c>
      <c r="V160" s="2">
        <f t="shared" ref="V160:V175" si="120">CW160*I160</f>
        <v>0</v>
      </c>
      <c r="W160" s="2">
        <f t="shared" ref="W160:W175" si="121">ROUND(CX160*I160,2)</f>
        <v>0</v>
      </c>
      <c r="X160" s="2">
        <f>(ROUND((((S160+ROUND((ROUND((((EU160*1.2))*AV160*I160),2)*BS160),2))*AT160)/100),2)+ROUND(((ROUND((ROUND(((AE160-((EU160*1.2)))*AV160*I160),2)*BS160),2)*AT160)/100),2))</f>
        <v>809.77</v>
      </c>
      <c r="Y160" s="2">
        <f>(ROUND((((S160+ROUND((ROUND((((EU160*1.2))*AV160*I160),2)*BS160),2))*AU160)/100),2)+ROUND(((ROUND((ROUND(((AE160-((EU160*1.2)))*AV160*I160),2)*BS160),2)*AU160)/100),2))</f>
        <v>413.88</v>
      </c>
      <c r="Z160" s="2"/>
      <c r="AA160" s="2">
        <v>55936046</v>
      </c>
      <c r="AB160" s="2">
        <f t="shared" ref="AB160:AB175" si="122">ROUND((AC160+AD160+AF160),6)</f>
        <v>330.72199999999998</v>
      </c>
      <c r="AC160" s="2">
        <f>ROUND(((ES160*1)),6)</f>
        <v>91.91</v>
      </c>
      <c r="AD160" s="2">
        <f>ROUND(((((ET160*1.2))-((EU160*1.2)))+AE160),6)</f>
        <v>2.0760000000000001</v>
      </c>
      <c r="AE160" s="2">
        <f>ROUND(((EU160*1.2)),6)</f>
        <v>0</v>
      </c>
      <c r="AF160" s="2">
        <f>ROUND(((EV160*1.2)),6)</f>
        <v>236.73599999999999</v>
      </c>
      <c r="AG160" s="2">
        <f t="shared" ref="AG160:AG175" si="123">ROUND((AP160),6)</f>
        <v>0</v>
      </c>
      <c r="AH160" s="2">
        <f>((EW160*1.2))</f>
        <v>19.920000000000002</v>
      </c>
      <c r="AI160" s="2">
        <f>((EX160*1.2))</f>
        <v>0</v>
      </c>
      <c r="AJ160" s="2">
        <f t="shared" ref="AJ160:AJ175" si="124">(AS160)</f>
        <v>0</v>
      </c>
      <c r="AK160" s="2">
        <v>290.92</v>
      </c>
      <c r="AL160" s="2">
        <v>91.91</v>
      </c>
      <c r="AM160" s="2">
        <v>1.73</v>
      </c>
      <c r="AN160" s="2">
        <v>0</v>
      </c>
      <c r="AO160" s="2">
        <v>197.28</v>
      </c>
      <c r="AP160" s="2">
        <v>0</v>
      </c>
      <c r="AQ160" s="2">
        <v>16.600000000000001</v>
      </c>
      <c r="AR160" s="2">
        <v>0</v>
      </c>
      <c r="AS160" s="2">
        <v>0</v>
      </c>
      <c r="AT160" s="2">
        <v>90</v>
      </c>
      <c r="AU160" s="2">
        <v>46</v>
      </c>
      <c r="AV160" s="2">
        <v>1.0469999999999999</v>
      </c>
      <c r="AW160" s="2">
        <v>1</v>
      </c>
      <c r="AX160" s="2"/>
      <c r="AY160" s="2"/>
      <c r="AZ160" s="2">
        <v>1</v>
      </c>
      <c r="BA160" s="2">
        <v>1</v>
      </c>
      <c r="BB160" s="2">
        <v>1</v>
      </c>
      <c r="BC160" s="2">
        <v>1</v>
      </c>
      <c r="BD160" s="2" t="s">
        <v>3</v>
      </c>
      <c r="BE160" s="2" t="s">
        <v>3</v>
      </c>
      <c r="BF160" s="2" t="s">
        <v>3</v>
      </c>
      <c r="BG160" s="2" t="s">
        <v>3</v>
      </c>
      <c r="BH160" s="2">
        <v>0</v>
      </c>
      <c r="BI160" s="2">
        <v>2</v>
      </c>
      <c r="BJ160" s="2" t="s">
        <v>74</v>
      </c>
      <c r="BK160" s="2"/>
      <c r="BL160" s="2"/>
      <c r="BM160" s="2">
        <v>68</v>
      </c>
      <c r="BN160" s="2">
        <v>0</v>
      </c>
      <c r="BO160" s="2" t="s">
        <v>72</v>
      </c>
      <c r="BP160" s="2">
        <v>1</v>
      </c>
      <c r="BQ160" s="2">
        <v>40</v>
      </c>
      <c r="BR160" s="2">
        <v>0</v>
      </c>
      <c r="BS160" s="2">
        <v>1</v>
      </c>
      <c r="BT160" s="2">
        <v>1</v>
      </c>
      <c r="BU160" s="2">
        <v>1</v>
      </c>
      <c r="BV160" s="2">
        <v>1</v>
      </c>
      <c r="BW160" s="2">
        <v>1</v>
      </c>
      <c r="BX160" s="2">
        <v>1</v>
      </c>
      <c r="BY160" s="2" t="s">
        <v>3</v>
      </c>
      <c r="BZ160" s="2">
        <v>90</v>
      </c>
      <c r="CA160" s="2">
        <v>46</v>
      </c>
      <c r="CB160" s="2" t="s">
        <v>3</v>
      </c>
      <c r="CC160" s="2"/>
      <c r="CD160" s="2"/>
      <c r="CE160" s="2">
        <v>1566</v>
      </c>
      <c r="CF160" s="2">
        <v>0</v>
      </c>
      <c r="CG160" s="2">
        <v>0</v>
      </c>
      <c r="CH160" s="2"/>
      <c r="CI160" s="2"/>
      <c r="CJ160" s="2"/>
      <c r="CK160" s="2"/>
      <c r="CL160" s="2"/>
      <c r="CM160" s="2">
        <v>0</v>
      </c>
      <c r="CN160" s="2" t="s">
        <v>422</v>
      </c>
      <c r="CO160" s="2">
        <v>0</v>
      </c>
      <c r="CP160" s="2">
        <f t="shared" ref="CP160:CP175" si="125">(P160+Q160+S160)</f>
        <v>1241.26</v>
      </c>
      <c r="CQ160" s="2">
        <f t="shared" ref="CQ160:CQ175" si="126">ROUND((ROUND((AC160*AW160*1),2)*BC160),2)</f>
        <v>91.91</v>
      </c>
      <c r="CR160" s="2">
        <f>(ROUND((ROUND((((ET160*1.2))*AV160*1),2)*BB160),2)+ROUND((ROUND(((AE160-((EU160*1.2)))*AV160*1),2)*BS160),2))</f>
        <v>2.17</v>
      </c>
      <c r="CS160" s="2">
        <f>(ROUND((ROUND((((EU160*1.2))*AV160*1),2)*BS160),2)+ROUND((ROUND(((AE160-((EU160*1.2)))*AV160*1),2)*BS160),2))</f>
        <v>0</v>
      </c>
      <c r="CT160" s="2">
        <f t="shared" ref="CT160:CT175" si="127">ROUND((ROUND((AF160*AV160*1),2)*BA160),2)</f>
        <v>247.86</v>
      </c>
      <c r="CU160" s="2">
        <f t="shared" ref="CU160:CU175" si="128">AG160</f>
        <v>0</v>
      </c>
      <c r="CV160" s="2">
        <f t="shared" ref="CV160:CV175" si="129">(AH160*AV160)</f>
        <v>20.85624</v>
      </c>
      <c r="CW160" s="2">
        <f t="shared" ref="CW160:CW175" si="130">AI160</f>
        <v>0</v>
      </c>
      <c r="CX160" s="2">
        <f t="shared" ref="CX160:CX175" si="131">AJ160</f>
        <v>0</v>
      </c>
      <c r="CY160" s="2">
        <f>(ROUND((((S160+ROUND((ROUND((((EU160*1.2))*AV160*1),2)*BS160),2))*AT160)/100),2)+ROUND(((ROUND((ROUND(((AE160-((EU160*1.2)))*AV160*1),2)*BS160),2)*AT160)/100),2))</f>
        <v>809.77</v>
      </c>
      <c r="CZ160" s="2">
        <f>(ROUND((((S160+ROUND((ROUND((((EU160*1.2))*AV160*1),2)*BS160),2))*AU160)/100),2)+ROUND(((ROUND((ROUND(((AE160-((EU160*1.2)))*AV160*1),2)*BS160),2)*AU160)/100),2))</f>
        <v>413.88</v>
      </c>
      <c r="DA160" s="2"/>
      <c r="DB160" s="2">
        <v>65</v>
      </c>
      <c r="DC160" s="2" t="s">
        <v>3</v>
      </c>
      <c r="DD160" s="2" t="s">
        <v>62</v>
      </c>
      <c r="DE160" s="2" t="s">
        <v>63</v>
      </c>
      <c r="DF160" s="2" t="s">
        <v>63</v>
      </c>
      <c r="DG160" s="2" t="s">
        <v>63</v>
      </c>
      <c r="DH160" s="2" t="s">
        <v>3</v>
      </c>
      <c r="DI160" s="2" t="s">
        <v>63</v>
      </c>
      <c r="DJ160" s="2" t="s">
        <v>63</v>
      </c>
      <c r="DK160" s="2" t="s">
        <v>3</v>
      </c>
      <c r="DL160" s="2" t="s">
        <v>3</v>
      </c>
      <c r="DM160" s="2" t="s">
        <v>3</v>
      </c>
      <c r="DN160" s="2">
        <v>0</v>
      </c>
      <c r="DO160" s="2">
        <v>0</v>
      </c>
      <c r="DP160" s="2">
        <v>1</v>
      </c>
      <c r="DQ160" s="2">
        <v>1</v>
      </c>
      <c r="DR160" s="2"/>
      <c r="DS160" s="2"/>
      <c r="DT160" s="2"/>
      <c r="DU160" s="2">
        <v>1003</v>
      </c>
      <c r="DV160" s="2" t="s">
        <v>60</v>
      </c>
      <c r="DW160" s="2" t="s">
        <v>60</v>
      </c>
      <c r="DX160" s="2">
        <v>100</v>
      </c>
      <c r="DY160" s="2"/>
      <c r="DZ160" s="2" t="s">
        <v>3</v>
      </c>
      <c r="EA160" s="2" t="s">
        <v>3</v>
      </c>
      <c r="EB160" s="2" t="s">
        <v>3</v>
      </c>
      <c r="EC160" s="2" t="s">
        <v>3</v>
      </c>
      <c r="ED160" s="2"/>
      <c r="EE160" s="2">
        <v>55393700</v>
      </c>
      <c r="EF160" s="2">
        <v>40</v>
      </c>
      <c r="EG160" s="2" t="s">
        <v>26</v>
      </c>
      <c r="EH160" s="2">
        <v>0</v>
      </c>
      <c r="EI160" s="2" t="s">
        <v>3</v>
      </c>
      <c r="EJ160" s="2">
        <v>2</v>
      </c>
      <c r="EK160" s="2">
        <v>68</v>
      </c>
      <c r="EL160" s="2" t="s">
        <v>27</v>
      </c>
      <c r="EM160" s="2" t="s">
        <v>28</v>
      </c>
      <c r="EN160" s="2"/>
      <c r="EO160" s="2" t="s">
        <v>67</v>
      </c>
      <c r="EP160" s="2"/>
      <c r="EQ160" s="2">
        <v>0</v>
      </c>
      <c r="ER160" s="2">
        <v>290.92</v>
      </c>
      <c r="ES160" s="2">
        <v>91.91</v>
      </c>
      <c r="ET160" s="2">
        <v>1.73</v>
      </c>
      <c r="EU160" s="2">
        <v>0</v>
      </c>
      <c r="EV160" s="2">
        <v>197.28</v>
      </c>
      <c r="EW160" s="2">
        <v>16.600000000000001</v>
      </c>
      <c r="EX160" s="2">
        <v>0</v>
      </c>
      <c r="EY160" s="2">
        <v>0</v>
      </c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>
        <v>0</v>
      </c>
      <c r="FR160" s="2">
        <v>0</v>
      </c>
      <c r="FS160" s="2">
        <v>0</v>
      </c>
      <c r="FT160" s="2"/>
      <c r="FU160" s="2"/>
      <c r="FV160" s="2"/>
      <c r="FW160" s="2"/>
      <c r="FX160" s="2">
        <v>90</v>
      </c>
      <c r="FY160" s="2">
        <v>46</v>
      </c>
      <c r="FZ160" s="2"/>
      <c r="GA160" s="2" t="s">
        <v>3</v>
      </c>
      <c r="GB160" s="2"/>
      <c r="GC160" s="2"/>
      <c r="GD160" s="2">
        <v>1</v>
      </c>
      <c r="GE160" s="2"/>
      <c r="GF160" s="2">
        <v>-17066464</v>
      </c>
      <c r="GG160" s="2">
        <v>2</v>
      </c>
      <c r="GH160" s="2">
        <v>1</v>
      </c>
      <c r="GI160" s="2">
        <v>2</v>
      </c>
      <c r="GJ160" s="2">
        <v>0</v>
      </c>
      <c r="GK160" s="2">
        <v>0</v>
      </c>
      <c r="GL160" s="2">
        <f t="shared" ref="GL160:GL175" si="132">ROUND(IF(AND(BH160=3,BI160=3,FS160&lt;&gt;0),P160,0),2)</f>
        <v>0</v>
      </c>
      <c r="GM160" s="2">
        <f t="shared" ref="GM160:GM175" si="133">ROUND(O160+X160+Y160,2)+GX160</f>
        <v>2464.91</v>
      </c>
      <c r="GN160" s="2">
        <f t="shared" ref="GN160:GN175" si="134">IF(OR(BI160=0,BI160=1),GM160-GX160,0)</f>
        <v>0</v>
      </c>
      <c r="GO160" s="2">
        <f t="shared" ref="GO160:GO175" si="135">IF(BI160=2,GM160-GX160,0)</f>
        <v>2464.91</v>
      </c>
      <c r="GP160" s="2">
        <f t="shared" ref="GP160:GP175" si="136">IF(BI160=4,GM160-GX160,0)</f>
        <v>0</v>
      </c>
      <c r="GQ160" s="2"/>
      <c r="GR160" s="2">
        <v>0</v>
      </c>
      <c r="GS160" s="2">
        <v>3</v>
      </c>
      <c r="GT160" s="2">
        <v>0</v>
      </c>
      <c r="GU160" s="2" t="s">
        <v>3</v>
      </c>
      <c r="GV160" s="2">
        <f t="shared" ref="GV160:GV175" si="137">ROUND((GT160),6)</f>
        <v>0</v>
      </c>
      <c r="GW160" s="2">
        <v>1</v>
      </c>
      <c r="GX160" s="2">
        <f t="shared" ref="GX160:GX175" si="138">ROUND(HC160*I160,2)</f>
        <v>0</v>
      </c>
      <c r="GY160" s="2"/>
      <c r="GZ160" s="2"/>
      <c r="HA160" s="2">
        <v>0</v>
      </c>
      <c r="HB160" s="2">
        <v>0</v>
      </c>
      <c r="HC160" s="2">
        <f t="shared" ref="HC160:HC175" si="139">GV160*GW160</f>
        <v>0</v>
      </c>
      <c r="HD160" s="2"/>
      <c r="HE160" s="2" t="s">
        <v>3</v>
      </c>
      <c r="HF160" s="2" t="s">
        <v>3</v>
      </c>
      <c r="HG160" s="2"/>
      <c r="HH160" s="2"/>
      <c r="HI160" s="2"/>
      <c r="HJ160" s="2"/>
      <c r="HK160" s="2"/>
      <c r="HL160" s="2"/>
      <c r="HM160" s="2" t="s">
        <v>3</v>
      </c>
      <c r="HN160" s="2" t="s">
        <v>3</v>
      </c>
      <c r="HO160" s="2" t="s">
        <v>3</v>
      </c>
      <c r="HP160" s="2" t="s">
        <v>3</v>
      </c>
      <c r="HQ160" s="2" t="s">
        <v>3</v>
      </c>
      <c r="HR160" s="2"/>
      <c r="HS160" s="2">
        <v>0</v>
      </c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>
        <v>0</v>
      </c>
      <c r="IL160" s="2"/>
      <c r="IM160" s="2"/>
      <c r="IN160" s="2"/>
      <c r="IO160" s="2"/>
      <c r="IP160" s="2"/>
      <c r="IQ160" s="2"/>
      <c r="IR160" s="2"/>
      <c r="IS160" s="2"/>
      <c r="IT160" s="2"/>
      <c r="IU160" s="2"/>
    </row>
    <row r="161" spans="1:255" x14ac:dyDescent="0.25">
      <c r="A161" s="3">
        <v>17</v>
      </c>
      <c r="B161" s="3">
        <v>1</v>
      </c>
      <c r="C161" s="3">
        <f>ROW(SmtRes!A200)</f>
        <v>200</v>
      </c>
      <c r="D161" s="3">
        <f>ROW(EtalonRes!A228)</f>
        <v>228</v>
      </c>
      <c r="E161" s="3" t="s">
        <v>193</v>
      </c>
      <c r="F161" s="3" t="s">
        <v>72</v>
      </c>
      <c r="G161" s="3" t="s">
        <v>73</v>
      </c>
      <c r="H161" s="3" t="s">
        <v>60</v>
      </c>
      <c r="I161" s="3">
        <f>ROUND(363/100,9)</f>
        <v>3.63</v>
      </c>
      <c r="J161" s="3">
        <v>0</v>
      </c>
      <c r="K161" s="3">
        <f>ROUND(363/100,9)</f>
        <v>3.63</v>
      </c>
      <c r="O161" s="3">
        <f t="shared" si="115"/>
        <v>51600.32</v>
      </c>
      <c r="P161" s="3">
        <f t="shared" si="116"/>
        <v>824.07</v>
      </c>
      <c r="Q161" s="3">
        <f>(ROUND((ROUND((((ET161*1.2))*AV161*I161),2)*BB161),2)+ROUND((ROUND(((AE161-((EU161*1.2)))*AV161*I161),2)*BS161),2))</f>
        <v>75.900000000000006</v>
      </c>
      <c r="R161" s="3">
        <f>(ROUND((ROUND((((EU161*1.2))*AV161*I161),2)*BS161),2)+ROUND((ROUND(((AE161-((EU161*1.2)))*AV161*I161),2)*BS161),2))</f>
        <v>0</v>
      </c>
      <c r="S161" s="3">
        <f t="shared" si="117"/>
        <v>50700.35</v>
      </c>
      <c r="T161" s="3">
        <f t="shared" si="118"/>
        <v>0</v>
      </c>
      <c r="U161" s="3">
        <f t="shared" si="119"/>
        <v>75.708151200000003</v>
      </c>
      <c r="V161" s="3">
        <f t="shared" si="120"/>
        <v>0</v>
      </c>
      <c r="W161" s="3">
        <f t="shared" si="121"/>
        <v>0</v>
      </c>
      <c r="X161" s="3">
        <f>(ROUND((((S161+ROUND((ROUND((((EU161*1.2))*AV161*I161),2)*BS161),2))*AT161)/100),2)+ROUND(((ROUND((ROUND(((AE161-((EU161*1.2)))*AV161*I161),2)*BS161),2)*AT161)/100),2))</f>
        <v>45630.32</v>
      </c>
      <c r="Y161" s="3">
        <f>(ROUND((((S161+ROUND((ROUND((((EU161*1.2))*AV161*I161),2)*BS161),2))*AU161)/100),2)+ROUND(((ROUND((ROUND(((AE161-((EU161*1.2)))*AV161*I161),2)*BS161),2)*AU161)/100),2))</f>
        <v>23322.16</v>
      </c>
      <c r="AA161" s="3">
        <v>55936048</v>
      </c>
      <c r="AB161" s="3">
        <f t="shared" si="122"/>
        <v>330.72199999999998</v>
      </c>
      <c r="AC161" s="3">
        <f>ROUND(((ES161*1)),6)</f>
        <v>91.91</v>
      </c>
      <c r="AD161" s="3">
        <f>ROUND(((((ET161*1.2))-((EU161*1.2)))+AE161),6)</f>
        <v>2.0760000000000001</v>
      </c>
      <c r="AE161" s="3">
        <f>ROUND(((EU161*1.2)),6)</f>
        <v>0</v>
      </c>
      <c r="AF161" s="3">
        <f>ROUND(((EV161*1.2)),6)</f>
        <v>236.73599999999999</v>
      </c>
      <c r="AG161" s="3">
        <f t="shared" si="123"/>
        <v>0</v>
      </c>
      <c r="AH161" s="3">
        <f>((EW161*1.2))</f>
        <v>19.920000000000002</v>
      </c>
      <c r="AI161" s="3">
        <f>((EX161*1.2))</f>
        <v>0</v>
      </c>
      <c r="AJ161" s="3">
        <f t="shared" si="124"/>
        <v>0</v>
      </c>
      <c r="AK161" s="3">
        <v>290.92</v>
      </c>
      <c r="AL161" s="3">
        <v>91.91</v>
      </c>
      <c r="AM161" s="3">
        <v>1.73</v>
      </c>
      <c r="AN161" s="3">
        <v>0</v>
      </c>
      <c r="AO161" s="3">
        <v>197.28</v>
      </c>
      <c r="AP161" s="3">
        <v>0</v>
      </c>
      <c r="AQ161" s="3">
        <v>16.600000000000001</v>
      </c>
      <c r="AR161" s="3">
        <v>0</v>
      </c>
      <c r="AS161" s="3">
        <v>0</v>
      </c>
      <c r="AT161" s="3">
        <v>90</v>
      </c>
      <c r="AU161" s="3">
        <v>46</v>
      </c>
      <c r="AV161" s="3">
        <v>1.0469999999999999</v>
      </c>
      <c r="AW161" s="3">
        <v>1</v>
      </c>
      <c r="AZ161" s="3">
        <v>1</v>
      </c>
      <c r="BA161" s="3">
        <v>56.35</v>
      </c>
      <c r="BB161" s="3">
        <v>9.6199999999999992</v>
      </c>
      <c r="BC161" s="3">
        <v>2.4700000000000002</v>
      </c>
      <c r="BD161" s="3" t="s">
        <v>3</v>
      </c>
      <c r="BE161" s="3" t="s">
        <v>3</v>
      </c>
      <c r="BF161" s="3" t="s">
        <v>3</v>
      </c>
      <c r="BG161" s="3" t="s">
        <v>3</v>
      </c>
      <c r="BH161" s="3">
        <v>0</v>
      </c>
      <c r="BI161" s="3">
        <v>2</v>
      </c>
      <c r="BJ161" s="3" t="s">
        <v>74</v>
      </c>
      <c r="BM161" s="3">
        <v>68</v>
      </c>
      <c r="BN161" s="3">
        <v>0</v>
      </c>
      <c r="BO161" s="3" t="s">
        <v>72</v>
      </c>
      <c r="BP161" s="3">
        <v>1</v>
      </c>
      <c r="BQ161" s="3">
        <v>40</v>
      </c>
      <c r="BR161" s="3">
        <v>0</v>
      </c>
      <c r="BS161" s="3">
        <v>56.35</v>
      </c>
      <c r="BT161" s="3">
        <v>1</v>
      </c>
      <c r="BU161" s="3">
        <v>1</v>
      </c>
      <c r="BV161" s="3">
        <v>1</v>
      </c>
      <c r="BW161" s="3">
        <v>1</v>
      </c>
      <c r="BX161" s="3">
        <v>1</v>
      </c>
      <c r="BY161" s="3" t="s">
        <v>3</v>
      </c>
      <c r="BZ161" s="3">
        <v>90</v>
      </c>
      <c r="CA161" s="3">
        <v>46</v>
      </c>
      <c r="CB161" s="3" t="s">
        <v>3</v>
      </c>
      <c r="CE161" s="3">
        <v>1566</v>
      </c>
      <c r="CF161" s="3">
        <v>0</v>
      </c>
      <c r="CG161" s="3">
        <v>0</v>
      </c>
      <c r="CM161" s="3">
        <v>0</v>
      </c>
      <c r="CN161" s="3" t="s">
        <v>422</v>
      </c>
      <c r="CO161" s="3">
        <v>0</v>
      </c>
      <c r="CP161" s="3">
        <f t="shared" si="125"/>
        <v>51600.32</v>
      </c>
      <c r="CQ161" s="3">
        <f t="shared" si="126"/>
        <v>227.02</v>
      </c>
      <c r="CR161" s="3">
        <f>(ROUND((ROUND((((ET161*1.2))*AV161*1),2)*BB161),2)+ROUND((ROUND(((AE161-((EU161*1.2)))*AV161*1),2)*BS161),2))</f>
        <v>20.88</v>
      </c>
      <c r="CS161" s="3">
        <f>(ROUND((ROUND((((EU161*1.2))*AV161*1),2)*BS161),2)+ROUND((ROUND(((AE161-((EU161*1.2)))*AV161*1),2)*BS161),2))</f>
        <v>0</v>
      </c>
      <c r="CT161" s="3">
        <f t="shared" si="127"/>
        <v>13966.91</v>
      </c>
      <c r="CU161" s="3">
        <f t="shared" si="128"/>
        <v>0</v>
      </c>
      <c r="CV161" s="3">
        <f t="shared" si="129"/>
        <v>20.85624</v>
      </c>
      <c r="CW161" s="3">
        <f t="shared" si="130"/>
        <v>0</v>
      </c>
      <c r="CX161" s="3">
        <f t="shared" si="131"/>
        <v>0</v>
      </c>
      <c r="CY161" s="3">
        <f>(ROUND((((S161+ROUND((ROUND((((EU161*1.2))*AV161*1),2)*BS161),2))*AT161)/100),2)+ROUND(((ROUND((ROUND(((AE161-((EU161*1.2)))*AV161*1),2)*BS161),2)*AT161)/100),2))</f>
        <v>45630.32</v>
      </c>
      <c r="CZ161" s="3">
        <f>(ROUND((((S161+ROUND((ROUND((((EU161*1.2))*AV161*1),2)*BS161),2))*AU161)/100),2)+ROUND(((ROUND((ROUND(((AE161-((EU161*1.2)))*AV161*1),2)*BS161),2)*AU161)/100),2))</f>
        <v>23322.16</v>
      </c>
      <c r="DB161" s="3">
        <v>66</v>
      </c>
      <c r="DC161" s="3" t="s">
        <v>3</v>
      </c>
      <c r="DD161" s="3" t="s">
        <v>62</v>
      </c>
      <c r="DE161" s="3" t="s">
        <v>63</v>
      </c>
      <c r="DF161" s="3" t="s">
        <v>63</v>
      </c>
      <c r="DG161" s="3" t="s">
        <v>63</v>
      </c>
      <c r="DH161" s="3" t="s">
        <v>3</v>
      </c>
      <c r="DI161" s="3" t="s">
        <v>63</v>
      </c>
      <c r="DJ161" s="3" t="s">
        <v>63</v>
      </c>
      <c r="DK161" s="3" t="s">
        <v>3</v>
      </c>
      <c r="DL161" s="3" t="s">
        <v>3</v>
      </c>
      <c r="DM161" s="3" t="s">
        <v>3</v>
      </c>
      <c r="DN161" s="3">
        <v>0</v>
      </c>
      <c r="DO161" s="3">
        <v>0</v>
      </c>
      <c r="DP161" s="3">
        <v>1</v>
      </c>
      <c r="DQ161" s="3">
        <v>1</v>
      </c>
      <c r="DU161" s="3">
        <v>1003</v>
      </c>
      <c r="DV161" s="3" t="s">
        <v>60</v>
      </c>
      <c r="DW161" s="3" t="s">
        <v>60</v>
      </c>
      <c r="DX161" s="3">
        <v>100</v>
      </c>
      <c r="DZ161" s="3" t="s">
        <v>3</v>
      </c>
      <c r="EA161" s="3" t="s">
        <v>3</v>
      </c>
      <c r="EB161" s="3" t="s">
        <v>3</v>
      </c>
      <c r="EC161" s="3" t="s">
        <v>3</v>
      </c>
      <c r="EE161" s="3">
        <v>55393700</v>
      </c>
      <c r="EF161" s="3">
        <v>40</v>
      </c>
      <c r="EG161" s="3" t="s">
        <v>26</v>
      </c>
      <c r="EH161" s="3">
        <v>0</v>
      </c>
      <c r="EI161" s="3" t="s">
        <v>3</v>
      </c>
      <c r="EJ161" s="3">
        <v>2</v>
      </c>
      <c r="EK161" s="3">
        <v>68</v>
      </c>
      <c r="EL161" s="3" t="s">
        <v>27</v>
      </c>
      <c r="EM161" s="3" t="s">
        <v>28</v>
      </c>
      <c r="EO161" s="3" t="s">
        <v>67</v>
      </c>
      <c r="EQ161" s="3">
        <v>0</v>
      </c>
      <c r="ER161" s="3">
        <v>290.92</v>
      </c>
      <c r="ES161" s="3">
        <v>91.91</v>
      </c>
      <c r="ET161" s="3">
        <v>1.73</v>
      </c>
      <c r="EU161" s="3">
        <v>0</v>
      </c>
      <c r="EV161" s="3">
        <v>197.28</v>
      </c>
      <c r="EW161" s="3">
        <v>16.600000000000001</v>
      </c>
      <c r="EX161" s="3">
        <v>0</v>
      </c>
      <c r="EY161" s="3">
        <v>0</v>
      </c>
      <c r="FQ161" s="3">
        <v>0</v>
      </c>
      <c r="FR161" s="3">
        <v>0</v>
      </c>
      <c r="FS161" s="3">
        <v>0</v>
      </c>
      <c r="FX161" s="3">
        <v>90</v>
      </c>
      <c r="FY161" s="3">
        <v>46</v>
      </c>
      <c r="GA161" s="3" t="s">
        <v>3</v>
      </c>
      <c r="GD161" s="3">
        <v>1</v>
      </c>
      <c r="GF161" s="3">
        <v>-17066464</v>
      </c>
      <c r="GG161" s="3">
        <v>2</v>
      </c>
      <c r="GH161" s="3">
        <v>1</v>
      </c>
      <c r="GI161" s="3">
        <v>2</v>
      </c>
      <c r="GJ161" s="3">
        <v>0</v>
      </c>
      <c r="GK161" s="3">
        <v>0</v>
      </c>
      <c r="GL161" s="3">
        <f t="shared" si="132"/>
        <v>0</v>
      </c>
      <c r="GM161" s="3">
        <f t="shared" si="133"/>
        <v>120552.8</v>
      </c>
      <c r="GN161" s="3">
        <f t="shared" si="134"/>
        <v>0</v>
      </c>
      <c r="GO161" s="3">
        <f t="shared" si="135"/>
        <v>120552.8</v>
      </c>
      <c r="GP161" s="3">
        <f t="shared" si="136"/>
        <v>0</v>
      </c>
      <c r="GR161" s="3">
        <v>0</v>
      </c>
      <c r="GS161" s="3">
        <v>3</v>
      </c>
      <c r="GT161" s="3">
        <v>0</v>
      </c>
      <c r="GU161" s="3" t="s">
        <v>3</v>
      </c>
      <c r="GV161" s="3">
        <f t="shared" si="137"/>
        <v>0</v>
      </c>
      <c r="GW161" s="3">
        <v>1</v>
      </c>
      <c r="GX161" s="3">
        <f t="shared" si="138"/>
        <v>0</v>
      </c>
      <c r="HA161" s="3">
        <v>0</v>
      </c>
      <c r="HB161" s="3">
        <v>0</v>
      </c>
      <c r="HC161" s="3">
        <f t="shared" si="139"/>
        <v>0</v>
      </c>
      <c r="HE161" s="3" t="s">
        <v>3</v>
      </c>
      <c r="HF161" s="3" t="s">
        <v>3</v>
      </c>
      <c r="HM161" s="3" t="s">
        <v>3</v>
      </c>
      <c r="HN161" s="3" t="s">
        <v>3</v>
      </c>
      <c r="HO161" s="3" t="s">
        <v>3</v>
      </c>
      <c r="HP161" s="3" t="s">
        <v>3</v>
      </c>
      <c r="HQ161" s="3" t="s">
        <v>3</v>
      </c>
      <c r="HS161" s="3">
        <v>0</v>
      </c>
      <c r="IK161" s="3">
        <v>0</v>
      </c>
    </row>
    <row r="162" spans="1:255" x14ac:dyDescent="0.25">
      <c r="A162" s="2">
        <v>18</v>
      </c>
      <c r="B162" s="2">
        <v>1</v>
      </c>
      <c r="C162" s="2">
        <v>190</v>
      </c>
      <c r="D162" s="2"/>
      <c r="E162" s="2" t="s">
        <v>194</v>
      </c>
      <c r="F162" s="2" t="s">
        <v>195</v>
      </c>
      <c r="G162" s="2" t="s">
        <v>196</v>
      </c>
      <c r="H162" s="2" t="s">
        <v>197</v>
      </c>
      <c r="I162" s="2">
        <f>I160*J162</f>
        <v>370.26</v>
      </c>
      <c r="J162" s="2">
        <v>102</v>
      </c>
      <c r="K162" s="2">
        <v>102</v>
      </c>
      <c r="L162" s="2"/>
      <c r="M162" s="2"/>
      <c r="N162" s="2"/>
      <c r="O162" s="2">
        <f t="shared" si="115"/>
        <v>4183.9399999999996</v>
      </c>
      <c r="P162" s="2">
        <f t="shared" si="116"/>
        <v>4183.9399999999996</v>
      </c>
      <c r="Q162" s="2">
        <f t="shared" ref="Q162:Q169" si="140">(ROUND((ROUND(((ET162)*AV162*I162),2)*BB162),2)+ROUND((ROUND(((AE162-(EU162))*AV162*I162),2)*BS162),2))</f>
        <v>0</v>
      </c>
      <c r="R162" s="2">
        <f t="shared" ref="R162:R169" si="141">(ROUND((ROUND(((EU162)*AV162*I162),2)*BS162),2)+ROUND((ROUND(((AE162-(EU162))*AV162*I162),2)*BS162),2))</f>
        <v>0</v>
      </c>
      <c r="S162" s="2">
        <f t="shared" si="117"/>
        <v>0</v>
      </c>
      <c r="T162" s="2">
        <f t="shared" si="118"/>
        <v>0</v>
      </c>
      <c r="U162" s="2">
        <f t="shared" si="119"/>
        <v>0</v>
      </c>
      <c r="V162" s="2">
        <f t="shared" si="120"/>
        <v>0</v>
      </c>
      <c r="W162" s="2">
        <f t="shared" si="121"/>
        <v>0</v>
      </c>
      <c r="X162" s="2">
        <f t="shared" ref="X162:X169" si="142">(ROUND((((S162+ROUND((ROUND(((EU162)*AV162*I162),2)*BS162),2))*AT162)/100),2)+ROUND(((ROUND((ROUND(((AE162-(EU162))*AV162*I162),2)*BS162),2)*AT162)/100),2))</f>
        <v>0</v>
      </c>
      <c r="Y162" s="2">
        <f t="shared" ref="Y162:Y169" si="143">(ROUND((((S162+ROUND((ROUND(((EU162)*AV162*I162),2)*BS162),2))*AU162)/100),2)+ROUND(((ROUND((ROUND(((AE162-(EU162))*AV162*I162),2)*BS162),2)*AU162)/100),2))</f>
        <v>0</v>
      </c>
      <c r="Z162" s="2"/>
      <c r="AA162" s="2">
        <v>55936046</v>
      </c>
      <c r="AB162" s="2">
        <f t="shared" si="122"/>
        <v>11.3</v>
      </c>
      <c r="AC162" s="2">
        <f t="shared" ref="AC162:AC169" si="144">ROUND((ES162),6)</f>
        <v>11.3</v>
      </c>
      <c r="AD162" s="2">
        <f t="shared" ref="AD162:AD169" si="145">ROUND((((ET162)-(EU162))+AE162),6)</f>
        <v>0</v>
      </c>
      <c r="AE162" s="2">
        <f t="shared" ref="AE162:AF169" si="146">ROUND((EU162),6)</f>
        <v>0</v>
      </c>
      <c r="AF162" s="2">
        <f t="shared" si="146"/>
        <v>0</v>
      </c>
      <c r="AG162" s="2">
        <f t="shared" si="123"/>
        <v>0</v>
      </c>
      <c r="AH162" s="2">
        <f t="shared" ref="AH162:AI169" si="147">(EW162)</f>
        <v>0</v>
      </c>
      <c r="AI162" s="2">
        <f t="shared" si="147"/>
        <v>0</v>
      </c>
      <c r="AJ162" s="2">
        <f t="shared" si="124"/>
        <v>0</v>
      </c>
      <c r="AK162" s="2">
        <v>11.3</v>
      </c>
      <c r="AL162" s="2">
        <v>11.3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1</v>
      </c>
      <c r="AW162" s="2">
        <v>1</v>
      </c>
      <c r="AX162" s="2"/>
      <c r="AY162" s="2"/>
      <c r="AZ162" s="2">
        <v>1</v>
      </c>
      <c r="BA162" s="2">
        <v>1</v>
      </c>
      <c r="BB162" s="2">
        <v>1</v>
      </c>
      <c r="BC162" s="2">
        <v>1</v>
      </c>
      <c r="BD162" s="2" t="s">
        <v>3</v>
      </c>
      <c r="BE162" s="2" t="s">
        <v>3</v>
      </c>
      <c r="BF162" s="2" t="s">
        <v>3</v>
      </c>
      <c r="BG162" s="2" t="s">
        <v>3</v>
      </c>
      <c r="BH162" s="2">
        <v>3</v>
      </c>
      <c r="BI162" s="2">
        <v>2</v>
      </c>
      <c r="BJ162" s="2" t="s">
        <v>195</v>
      </c>
      <c r="BK162" s="2"/>
      <c r="BL162" s="2"/>
      <c r="BM162" s="2">
        <v>400005</v>
      </c>
      <c r="BN162" s="2">
        <v>0</v>
      </c>
      <c r="BO162" s="2" t="s">
        <v>3</v>
      </c>
      <c r="BP162" s="2">
        <v>0</v>
      </c>
      <c r="BQ162" s="2">
        <v>213</v>
      </c>
      <c r="BR162" s="2">
        <v>0</v>
      </c>
      <c r="BS162" s="2">
        <v>1</v>
      </c>
      <c r="BT162" s="2">
        <v>1</v>
      </c>
      <c r="BU162" s="2">
        <v>1</v>
      </c>
      <c r="BV162" s="2">
        <v>1</v>
      </c>
      <c r="BW162" s="2">
        <v>1</v>
      </c>
      <c r="BX162" s="2">
        <v>1</v>
      </c>
      <c r="BY162" s="2" t="s">
        <v>3</v>
      </c>
      <c r="BZ162" s="2">
        <v>90</v>
      </c>
      <c r="CA162" s="2">
        <v>46</v>
      </c>
      <c r="CB162" s="2" t="s">
        <v>3</v>
      </c>
      <c r="CC162" s="2"/>
      <c r="CD162" s="2"/>
      <c r="CE162" s="2">
        <v>1566</v>
      </c>
      <c r="CF162" s="2">
        <v>0</v>
      </c>
      <c r="CG162" s="2">
        <v>0</v>
      </c>
      <c r="CH162" s="2"/>
      <c r="CI162" s="2"/>
      <c r="CJ162" s="2"/>
      <c r="CK162" s="2"/>
      <c r="CL162" s="2"/>
      <c r="CM162" s="2">
        <v>0</v>
      </c>
      <c r="CN162" s="2" t="s">
        <v>423</v>
      </c>
      <c r="CO162" s="2">
        <v>0</v>
      </c>
      <c r="CP162" s="2">
        <f t="shared" si="125"/>
        <v>4183.9399999999996</v>
      </c>
      <c r="CQ162" s="2">
        <f t="shared" si="126"/>
        <v>11.3</v>
      </c>
      <c r="CR162" s="2">
        <f t="shared" ref="CR162:CR169" si="148">(ROUND((ROUND(((ET162)*AV162*1),2)*BB162),2)+ROUND((ROUND(((AE162-(EU162))*AV162*1),2)*BS162),2))</f>
        <v>0</v>
      </c>
      <c r="CS162" s="2">
        <f t="shared" ref="CS162:CS169" si="149">(ROUND((ROUND(((EU162)*AV162*1),2)*BS162),2)+ROUND((ROUND(((AE162-(EU162))*AV162*1),2)*BS162),2))</f>
        <v>0</v>
      </c>
      <c r="CT162" s="2">
        <f t="shared" si="127"/>
        <v>0</v>
      </c>
      <c r="CU162" s="2">
        <f t="shared" si="128"/>
        <v>0</v>
      </c>
      <c r="CV162" s="2">
        <f t="shared" si="129"/>
        <v>0</v>
      </c>
      <c r="CW162" s="2">
        <f t="shared" si="130"/>
        <v>0</v>
      </c>
      <c r="CX162" s="2">
        <f t="shared" si="131"/>
        <v>0</v>
      </c>
      <c r="CY162" s="2">
        <f t="shared" ref="CY162:CY169" si="150">(ROUND((((S162+ROUND((ROUND(((EU162)*AV162*1),2)*BS162),2))*AT162)/100),2)+ROUND(((ROUND((ROUND(((AE162-(EU162))*AV162*1),2)*BS162),2)*AT162)/100),2))</f>
        <v>0</v>
      </c>
      <c r="CZ162" s="2">
        <f t="shared" ref="CZ162:CZ169" si="151">(ROUND((((S162+ROUND((ROUND(((EU162)*AV162*1),2)*BS162),2))*AU162)/100),2)+ROUND(((ROUND((ROUND(((AE162-(EU162))*AV162*1),2)*BS162),2)*AU162)/100),2))</f>
        <v>0</v>
      </c>
      <c r="DA162" s="2"/>
      <c r="DB162" s="2"/>
      <c r="DC162" s="2" t="s">
        <v>3</v>
      </c>
      <c r="DD162" s="2" t="s">
        <v>3</v>
      </c>
      <c r="DE162" s="2" t="s">
        <v>3</v>
      </c>
      <c r="DF162" s="2" t="s">
        <v>3</v>
      </c>
      <c r="DG162" s="2" t="s">
        <v>3</v>
      </c>
      <c r="DH162" s="2" t="s">
        <v>3</v>
      </c>
      <c r="DI162" s="2" t="s">
        <v>3</v>
      </c>
      <c r="DJ162" s="2" t="s">
        <v>3</v>
      </c>
      <c r="DK162" s="2" t="s">
        <v>3</v>
      </c>
      <c r="DL162" s="2" t="s">
        <v>3</v>
      </c>
      <c r="DM162" s="2" t="s">
        <v>3</v>
      </c>
      <c r="DN162" s="2">
        <v>0</v>
      </c>
      <c r="DO162" s="2">
        <v>0</v>
      </c>
      <c r="DP162" s="2">
        <v>1</v>
      </c>
      <c r="DQ162" s="2">
        <v>1</v>
      </c>
      <c r="DR162" s="2"/>
      <c r="DS162" s="2"/>
      <c r="DT162" s="2"/>
      <c r="DU162" s="2">
        <v>1003</v>
      </c>
      <c r="DV162" s="2" t="s">
        <v>197</v>
      </c>
      <c r="DW162" s="2" t="s">
        <v>197</v>
      </c>
      <c r="DX162" s="2">
        <v>1</v>
      </c>
      <c r="DY162" s="2"/>
      <c r="DZ162" s="2" t="s">
        <v>3</v>
      </c>
      <c r="EA162" s="2" t="s">
        <v>3</v>
      </c>
      <c r="EB162" s="2" t="s">
        <v>3</v>
      </c>
      <c r="EC162" s="2" t="s">
        <v>3</v>
      </c>
      <c r="ED162" s="2"/>
      <c r="EE162" s="2">
        <v>55393628</v>
      </c>
      <c r="EF162" s="2">
        <v>213</v>
      </c>
      <c r="EG162" s="2" t="s">
        <v>198</v>
      </c>
      <c r="EH162" s="2">
        <v>0</v>
      </c>
      <c r="EI162" s="2" t="s">
        <v>3</v>
      </c>
      <c r="EJ162" s="2">
        <v>1</v>
      </c>
      <c r="EK162" s="2">
        <v>400005</v>
      </c>
      <c r="EL162" s="2" t="s">
        <v>198</v>
      </c>
      <c r="EM162" s="2" t="s">
        <v>199</v>
      </c>
      <c r="EN162" s="2"/>
      <c r="EO162" s="2" t="s">
        <v>67</v>
      </c>
      <c r="EP162" s="2"/>
      <c r="EQ162" s="2">
        <v>16</v>
      </c>
      <c r="ER162" s="2">
        <v>0</v>
      </c>
      <c r="ES162" s="2">
        <v>11.3</v>
      </c>
      <c r="ET162" s="2">
        <v>0</v>
      </c>
      <c r="EU162" s="2">
        <v>0</v>
      </c>
      <c r="EV162" s="2">
        <v>0</v>
      </c>
      <c r="EW162" s="2">
        <v>0</v>
      </c>
      <c r="EX162" s="2">
        <v>0</v>
      </c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>
        <v>0</v>
      </c>
      <c r="FR162" s="2">
        <v>0</v>
      </c>
      <c r="FS162" s="2">
        <v>0</v>
      </c>
      <c r="FT162" s="2"/>
      <c r="FU162" s="2"/>
      <c r="FV162" s="2"/>
      <c r="FW162" s="2"/>
      <c r="FX162" s="2">
        <v>90</v>
      </c>
      <c r="FY162" s="2">
        <v>46</v>
      </c>
      <c r="FZ162" s="2"/>
      <c r="GA162" s="2" t="s">
        <v>200</v>
      </c>
      <c r="GB162" s="2"/>
      <c r="GC162" s="2"/>
      <c r="GD162" s="2">
        <v>1</v>
      </c>
      <c r="GE162" s="2"/>
      <c r="GF162" s="2">
        <v>1668959317</v>
      </c>
      <c r="GG162" s="2">
        <v>2</v>
      </c>
      <c r="GH162" s="2">
        <v>4</v>
      </c>
      <c r="GI162" s="2">
        <v>-2</v>
      </c>
      <c r="GJ162" s="2">
        <v>0</v>
      </c>
      <c r="GK162" s="2">
        <v>0</v>
      </c>
      <c r="GL162" s="2">
        <f t="shared" si="132"/>
        <v>0</v>
      </c>
      <c r="GM162" s="2">
        <f t="shared" si="133"/>
        <v>4183.9399999999996</v>
      </c>
      <c r="GN162" s="2">
        <f t="shared" si="134"/>
        <v>0</v>
      </c>
      <c r="GO162" s="2">
        <f t="shared" si="135"/>
        <v>4183.9399999999996</v>
      </c>
      <c r="GP162" s="2">
        <f t="shared" si="136"/>
        <v>0</v>
      </c>
      <c r="GQ162" s="2"/>
      <c r="GR162" s="2">
        <v>1</v>
      </c>
      <c r="GS162" s="2">
        <v>2</v>
      </c>
      <c r="GT162" s="2">
        <v>0</v>
      </c>
      <c r="GU162" s="2" t="s">
        <v>3</v>
      </c>
      <c r="GV162" s="2">
        <f t="shared" si="137"/>
        <v>0</v>
      </c>
      <c r="GW162" s="2">
        <v>1</v>
      </c>
      <c r="GX162" s="2">
        <f t="shared" si="138"/>
        <v>0</v>
      </c>
      <c r="GY162" s="2"/>
      <c r="GZ162" s="2"/>
      <c r="HA162" s="2">
        <v>0</v>
      </c>
      <c r="HB162" s="2">
        <v>0</v>
      </c>
      <c r="HC162" s="2">
        <f t="shared" si="139"/>
        <v>0</v>
      </c>
      <c r="HD162" s="2"/>
      <c r="HE162" s="2" t="s">
        <v>201</v>
      </c>
      <c r="HF162" s="2" t="s">
        <v>30</v>
      </c>
      <c r="HG162" s="2"/>
      <c r="HH162" s="2"/>
      <c r="HI162" s="2"/>
      <c r="HJ162" s="2"/>
      <c r="HK162" s="2"/>
      <c r="HL162" s="2"/>
      <c r="HM162" s="2" t="s">
        <v>62</v>
      </c>
      <c r="HN162" s="2" t="s">
        <v>3</v>
      </c>
      <c r="HO162" s="2" t="s">
        <v>3</v>
      </c>
      <c r="HP162" s="2" t="s">
        <v>3</v>
      </c>
      <c r="HQ162" s="2" t="s">
        <v>3</v>
      </c>
      <c r="HR162" s="2"/>
      <c r="HS162" s="2">
        <v>0</v>
      </c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>
        <v>0</v>
      </c>
      <c r="IL162" s="2"/>
      <c r="IM162" s="2"/>
      <c r="IN162" s="2"/>
      <c r="IO162" s="2"/>
      <c r="IP162" s="2"/>
      <c r="IQ162" s="2"/>
      <c r="IR162" s="2"/>
      <c r="IS162" s="2"/>
      <c r="IT162" s="2"/>
      <c r="IU162" s="2"/>
    </row>
    <row r="163" spans="1:255" x14ac:dyDescent="0.25">
      <c r="A163" s="3">
        <v>18</v>
      </c>
      <c r="B163" s="3">
        <v>1</v>
      </c>
      <c r="C163" s="3">
        <v>200</v>
      </c>
      <c r="E163" s="3" t="s">
        <v>194</v>
      </c>
      <c r="F163" s="3" t="s">
        <v>195</v>
      </c>
      <c r="G163" s="3" t="s">
        <v>196</v>
      </c>
      <c r="H163" s="3" t="s">
        <v>197</v>
      </c>
      <c r="I163" s="3">
        <f>I161*J163</f>
        <v>370.26</v>
      </c>
      <c r="J163" s="3">
        <v>102</v>
      </c>
      <c r="K163" s="3">
        <v>102</v>
      </c>
      <c r="O163" s="3">
        <f t="shared" si="115"/>
        <v>41169.97</v>
      </c>
      <c r="P163" s="3">
        <f t="shared" si="116"/>
        <v>41169.97</v>
      </c>
      <c r="Q163" s="3">
        <f t="shared" si="140"/>
        <v>0</v>
      </c>
      <c r="R163" s="3">
        <f t="shared" si="141"/>
        <v>0</v>
      </c>
      <c r="S163" s="3">
        <f t="shared" si="117"/>
        <v>0</v>
      </c>
      <c r="T163" s="3">
        <f t="shared" si="118"/>
        <v>0</v>
      </c>
      <c r="U163" s="3">
        <f t="shared" si="119"/>
        <v>0</v>
      </c>
      <c r="V163" s="3">
        <f t="shared" si="120"/>
        <v>0</v>
      </c>
      <c r="W163" s="3">
        <f t="shared" si="121"/>
        <v>0</v>
      </c>
      <c r="X163" s="3">
        <f t="shared" si="142"/>
        <v>0</v>
      </c>
      <c r="Y163" s="3">
        <f t="shared" si="143"/>
        <v>0</v>
      </c>
      <c r="AA163" s="3">
        <v>55936048</v>
      </c>
      <c r="AB163" s="3">
        <f t="shared" si="122"/>
        <v>11.3</v>
      </c>
      <c r="AC163" s="3">
        <f t="shared" si="144"/>
        <v>11.3</v>
      </c>
      <c r="AD163" s="3">
        <f t="shared" si="145"/>
        <v>0</v>
      </c>
      <c r="AE163" s="3">
        <f t="shared" si="146"/>
        <v>0</v>
      </c>
      <c r="AF163" s="3">
        <f t="shared" si="146"/>
        <v>0</v>
      </c>
      <c r="AG163" s="3">
        <f t="shared" si="123"/>
        <v>0</v>
      </c>
      <c r="AH163" s="3">
        <f t="shared" si="147"/>
        <v>0</v>
      </c>
      <c r="AI163" s="3">
        <f t="shared" si="147"/>
        <v>0</v>
      </c>
      <c r="AJ163" s="3">
        <f t="shared" si="124"/>
        <v>0</v>
      </c>
      <c r="AK163" s="3">
        <v>11.3</v>
      </c>
      <c r="AL163" s="3">
        <v>11.3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1</v>
      </c>
      <c r="AW163" s="3">
        <v>1</v>
      </c>
      <c r="AZ163" s="3">
        <v>1</v>
      </c>
      <c r="BA163" s="3">
        <v>1</v>
      </c>
      <c r="BB163" s="3">
        <v>1</v>
      </c>
      <c r="BC163" s="3">
        <v>9.84</v>
      </c>
      <c r="BD163" s="3" t="s">
        <v>3</v>
      </c>
      <c r="BE163" s="3" t="s">
        <v>3</v>
      </c>
      <c r="BF163" s="3" t="s">
        <v>3</v>
      </c>
      <c r="BG163" s="3" t="s">
        <v>3</v>
      </c>
      <c r="BH163" s="3">
        <v>3</v>
      </c>
      <c r="BI163" s="3">
        <v>2</v>
      </c>
      <c r="BJ163" s="3" t="s">
        <v>195</v>
      </c>
      <c r="BM163" s="3">
        <v>400005</v>
      </c>
      <c r="BN163" s="3">
        <v>0</v>
      </c>
      <c r="BO163" s="3" t="s">
        <v>3</v>
      </c>
      <c r="BP163" s="3">
        <v>0</v>
      </c>
      <c r="BQ163" s="3">
        <v>213</v>
      </c>
      <c r="BR163" s="3">
        <v>0</v>
      </c>
      <c r="BS163" s="3">
        <v>1</v>
      </c>
      <c r="BT163" s="3">
        <v>1</v>
      </c>
      <c r="BU163" s="3">
        <v>1</v>
      </c>
      <c r="BV163" s="3">
        <v>1</v>
      </c>
      <c r="BW163" s="3">
        <v>1</v>
      </c>
      <c r="BX163" s="3">
        <v>1</v>
      </c>
      <c r="BY163" s="3" t="s">
        <v>3</v>
      </c>
      <c r="BZ163" s="3">
        <v>90</v>
      </c>
      <c r="CA163" s="3">
        <v>46</v>
      </c>
      <c r="CB163" s="3" t="s">
        <v>3</v>
      </c>
      <c r="CE163" s="3">
        <v>1566</v>
      </c>
      <c r="CF163" s="3">
        <v>0</v>
      </c>
      <c r="CG163" s="3">
        <v>0</v>
      </c>
      <c r="CM163" s="3">
        <v>0</v>
      </c>
      <c r="CN163" s="3" t="s">
        <v>423</v>
      </c>
      <c r="CO163" s="3">
        <v>0</v>
      </c>
      <c r="CP163" s="3">
        <f t="shared" si="125"/>
        <v>41169.97</v>
      </c>
      <c r="CQ163" s="3">
        <f t="shared" si="126"/>
        <v>111.19</v>
      </c>
      <c r="CR163" s="3">
        <f t="shared" si="148"/>
        <v>0</v>
      </c>
      <c r="CS163" s="3">
        <f t="shared" si="149"/>
        <v>0</v>
      </c>
      <c r="CT163" s="3">
        <f t="shared" si="127"/>
        <v>0</v>
      </c>
      <c r="CU163" s="3">
        <f t="shared" si="128"/>
        <v>0</v>
      </c>
      <c r="CV163" s="3">
        <f t="shared" si="129"/>
        <v>0</v>
      </c>
      <c r="CW163" s="3">
        <f t="shared" si="130"/>
        <v>0</v>
      </c>
      <c r="CX163" s="3">
        <f t="shared" si="131"/>
        <v>0</v>
      </c>
      <c r="CY163" s="3">
        <f t="shared" si="150"/>
        <v>0</v>
      </c>
      <c r="CZ163" s="3">
        <f t="shared" si="151"/>
        <v>0</v>
      </c>
      <c r="DC163" s="3" t="s">
        <v>3</v>
      </c>
      <c r="DD163" s="3" t="s">
        <v>3</v>
      </c>
      <c r="DE163" s="3" t="s">
        <v>3</v>
      </c>
      <c r="DF163" s="3" t="s">
        <v>3</v>
      </c>
      <c r="DG163" s="3" t="s">
        <v>3</v>
      </c>
      <c r="DH163" s="3" t="s">
        <v>3</v>
      </c>
      <c r="DI163" s="3" t="s">
        <v>3</v>
      </c>
      <c r="DJ163" s="3" t="s">
        <v>3</v>
      </c>
      <c r="DK163" s="3" t="s">
        <v>3</v>
      </c>
      <c r="DL163" s="3" t="s">
        <v>3</v>
      </c>
      <c r="DM163" s="3" t="s">
        <v>3</v>
      </c>
      <c r="DN163" s="3">
        <v>0</v>
      </c>
      <c r="DO163" s="3">
        <v>0</v>
      </c>
      <c r="DP163" s="3">
        <v>1</v>
      </c>
      <c r="DQ163" s="3">
        <v>1</v>
      </c>
      <c r="DU163" s="3">
        <v>1003</v>
      </c>
      <c r="DV163" s="3" t="s">
        <v>197</v>
      </c>
      <c r="DW163" s="3" t="s">
        <v>197</v>
      </c>
      <c r="DX163" s="3">
        <v>1</v>
      </c>
      <c r="DZ163" s="3" t="s">
        <v>3</v>
      </c>
      <c r="EA163" s="3" t="s">
        <v>3</v>
      </c>
      <c r="EB163" s="3" t="s">
        <v>3</v>
      </c>
      <c r="EC163" s="3" t="s">
        <v>3</v>
      </c>
      <c r="EE163" s="3">
        <v>55393628</v>
      </c>
      <c r="EF163" s="3">
        <v>213</v>
      </c>
      <c r="EG163" s="3" t="s">
        <v>198</v>
      </c>
      <c r="EH163" s="3">
        <v>0</v>
      </c>
      <c r="EI163" s="3" t="s">
        <v>3</v>
      </c>
      <c r="EJ163" s="3">
        <v>1</v>
      </c>
      <c r="EK163" s="3">
        <v>400005</v>
      </c>
      <c r="EL163" s="3" t="s">
        <v>198</v>
      </c>
      <c r="EM163" s="3" t="s">
        <v>199</v>
      </c>
      <c r="EO163" s="3" t="s">
        <v>67</v>
      </c>
      <c r="EQ163" s="3">
        <v>16</v>
      </c>
      <c r="ER163" s="3">
        <v>0</v>
      </c>
      <c r="ES163" s="3">
        <v>11.3</v>
      </c>
      <c r="ET163" s="3">
        <v>0</v>
      </c>
      <c r="EU163" s="3">
        <v>0</v>
      </c>
      <c r="EV163" s="3">
        <v>0</v>
      </c>
      <c r="EW163" s="3">
        <v>0</v>
      </c>
      <c r="EX163" s="3">
        <v>0</v>
      </c>
      <c r="EZ163" s="3">
        <v>5</v>
      </c>
      <c r="FC163" s="3">
        <v>1</v>
      </c>
      <c r="FD163" s="3">
        <v>18</v>
      </c>
      <c r="FF163" s="3">
        <v>133</v>
      </c>
      <c r="FQ163" s="3">
        <v>0</v>
      </c>
      <c r="FR163" s="3">
        <v>0</v>
      </c>
      <c r="FS163" s="3">
        <v>0</v>
      </c>
      <c r="FX163" s="3">
        <v>90</v>
      </c>
      <c r="FY163" s="3">
        <v>46</v>
      </c>
      <c r="GA163" s="3" t="s">
        <v>200</v>
      </c>
      <c r="GD163" s="3">
        <v>1</v>
      </c>
      <c r="GF163" s="3">
        <v>1668959317</v>
      </c>
      <c r="GG163" s="3">
        <v>2</v>
      </c>
      <c r="GH163" s="3">
        <v>3</v>
      </c>
      <c r="GI163" s="3">
        <v>5</v>
      </c>
      <c r="GJ163" s="3">
        <v>0</v>
      </c>
      <c r="GK163" s="3">
        <v>0</v>
      </c>
      <c r="GL163" s="3">
        <f t="shared" si="132"/>
        <v>0</v>
      </c>
      <c r="GM163" s="3">
        <f t="shared" si="133"/>
        <v>41169.97</v>
      </c>
      <c r="GN163" s="3">
        <f t="shared" si="134"/>
        <v>0</v>
      </c>
      <c r="GO163" s="3">
        <f t="shared" si="135"/>
        <v>41169.97</v>
      </c>
      <c r="GP163" s="3">
        <f t="shared" si="136"/>
        <v>0</v>
      </c>
      <c r="GR163" s="3">
        <v>1</v>
      </c>
      <c r="GS163" s="3">
        <v>1</v>
      </c>
      <c r="GT163" s="3">
        <v>0</v>
      </c>
      <c r="GU163" s="3" t="s">
        <v>3</v>
      </c>
      <c r="GV163" s="3">
        <f t="shared" si="137"/>
        <v>0</v>
      </c>
      <c r="GW163" s="3">
        <v>1</v>
      </c>
      <c r="GX163" s="3">
        <f t="shared" si="138"/>
        <v>0</v>
      </c>
      <c r="HA163" s="3">
        <v>0</v>
      </c>
      <c r="HB163" s="3">
        <v>0</v>
      </c>
      <c r="HC163" s="3">
        <f t="shared" si="139"/>
        <v>0</v>
      </c>
      <c r="HE163" s="3" t="s">
        <v>201</v>
      </c>
      <c r="HF163" s="3" t="s">
        <v>30</v>
      </c>
      <c r="HM163" s="3" t="s">
        <v>62</v>
      </c>
      <c r="HN163" s="3" t="s">
        <v>3</v>
      </c>
      <c r="HO163" s="3" t="s">
        <v>3</v>
      </c>
      <c r="HP163" s="3" t="s">
        <v>3</v>
      </c>
      <c r="HQ163" s="3" t="s">
        <v>3</v>
      </c>
      <c r="HS163" s="3">
        <v>0</v>
      </c>
      <c r="IK163" s="3">
        <v>0</v>
      </c>
    </row>
    <row r="164" spans="1:255" x14ac:dyDescent="0.25">
      <c r="A164" s="2">
        <v>18</v>
      </c>
      <c r="B164" s="2">
        <v>1</v>
      </c>
      <c r="C164" s="2">
        <v>186</v>
      </c>
      <c r="D164" s="2"/>
      <c r="E164" s="2" t="s">
        <v>202</v>
      </c>
      <c r="F164" s="2" t="s">
        <v>203</v>
      </c>
      <c r="G164" s="2" t="s">
        <v>204</v>
      </c>
      <c r="H164" s="2" t="s">
        <v>205</v>
      </c>
      <c r="I164" s="2">
        <f>I160*J164</f>
        <v>7.8553199999999999</v>
      </c>
      <c r="J164" s="2">
        <v>2.1640000000000001</v>
      </c>
      <c r="K164" s="2">
        <v>2.1640000000000001</v>
      </c>
      <c r="L164" s="2"/>
      <c r="M164" s="2"/>
      <c r="N164" s="2"/>
      <c r="O164" s="2">
        <f t="shared" si="115"/>
        <v>1153.8699999999999</v>
      </c>
      <c r="P164" s="2">
        <f t="shared" si="116"/>
        <v>1153.8699999999999</v>
      </c>
      <c r="Q164" s="2">
        <f t="shared" si="140"/>
        <v>0</v>
      </c>
      <c r="R164" s="2">
        <f t="shared" si="141"/>
        <v>0</v>
      </c>
      <c r="S164" s="2">
        <f t="shared" si="117"/>
        <v>0</v>
      </c>
      <c r="T164" s="2">
        <f t="shared" si="118"/>
        <v>0</v>
      </c>
      <c r="U164" s="2">
        <f t="shared" si="119"/>
        <v>0</v>
      </c>
      <c r="V164" s="2">
        <f t="shared" si="120"/>
        <v>0</v>
      </c>
      <c r="W164" s="2">
        <f t="shared" si="121"/>
        <v>0</v>
      </c>
      <c r="X164" s="2">
        <f t="shared" si="142"/>
        <v>0</v>
      </c>
      <c r="Y164" s="2">
        <f t="shared" si="143"/>
        <v>0</v>
      </c>
      <c r="Z164" s="2"/>
      <c r="AA164" s="2">
        <v>55936046</v>
      </c>
      <c r="AB164" s="2">
        <f t="shared" si="122"/>
        <v>146.88999999999999</v>
      </c>
      <c r="AC164" s="2">
        <f t="shared" si="144"/>
        <v>146.88999999999999</v>
      </c>
      <c r="AD164" s="2">
        <f t="shared" si="145"/>
        <v>0</v>
      </c>
      <c r="AE164" s="2">
        <f t="shared" si="146"/>
        <v>0</v>
      </c>
      <c r="AF164" s="2">
        <f t="shared" si="146"/>
        <v>0</v>
      </c>
      <c r="AG164" s="2">
        <f t="shared" si="123"/>
        <v>0</v>
      </c>
      <c r="AH164" s="2">
        <f t="shared" si="147"/>
        <v>0</v>
      </c>
      <c r="AI164" s="2">
        <f t="shared" si="147"/>
        <v>0</v>
      </c>
      <c r="AJ164" s="2">
        <f t="shared" si="124"/>
        <v>0</v>
      </c>
      <c r="AK164" s="2">
        <v>146.88999999999999</v>
      </c>
      <c r="AL164" s="2">
        <v>146.88999999999999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90</v>
      </c>
      <c r="AU164" s="2">
        <v>46</v>
      </c>
      <c r="AV164" s="2">
        <v>1</v>
      </c>
      <c r="AW164" s="2">
        <v>1</v>
      </c>
      <c r="AX164" s="2"/>
      <c r="AY164" s="2"/>
      <c r="AZ164" s="2">
        <v>1</v>
      </c>
      <c r="BA164" s="2">
        <v>1</v>
      </c>
      <c r="BB164" s="2">
        <v>1</v>
      </c>
      <c r="BC164" s="2">
        <v>1</v>
      </c>
      <c r="BD164" s="2" t="s">
        <v>3</v>
      </c>
      <c r="BE164" s="2" t="s">
        <v>3</v>
      </c>
      <c r="BF164" s="2" t="s">
        <v>3</v>
      </c>
      <c r="BG164" s="2" t="s">
        <v>3</v>
      </c>
      <c r="BH164" s="2">
        <v>3</v>
      </c>
      <c r="BI164" s="2">
        <v>2</v>
      </c>
      <c r="BJ164" s="2" t="s">
        <v>206</v>
      </c>
      <c r="BK164" s="2"/>
      <c r="BL164" s="2"/>
      <c r="BM164" s="2">
        <v>68</v>
      </c>
      <c r="BN164" s="2">
        <v>0</v>
      </c>
      <c r="BO164" s="2" t="s">
        <v>3</v>
      </c>
      <c r="BP164" s="2">
        <v>0</v>
      </c>
      <c r="BQ164" s="2">
        <v>40</v>
      </c>
      <c r="BR164" s="2">
        <v>0</v>
      </c>
      <c r="BS164" s="2">
        <v>1</v>
      </c>
      <c r="BT164" s="2">
        <v>1</v>
      </c>
      <c r="BU164" s="2">
        <v>1</v>
      </c>
      <c r="BV164" s="2">
        <v>1</v>
      </c>
      <c r="BW164" s="2">
        <v>1</v>
      </c>
      <c r="BX164" s="2">
        <v>1</v>
      </c>
      <c r="BY164" s="2" t="s">
        <v>3</v>
      </c>
      <c r="BZ164" s="2">
        <v>90</v>
      </c>
      <c r="CA164" s="2">
        <v>46</v>
      </c>
      <c r="CB164" s="2" t="s">
        <v>3</v>
      </c>
      <c r="CC164" s="2"/>
      <c r="CD164" s="2"/>
      <c r="CE164" s="2">
        <v>1566</v>
      </c>
      <c r="CF164" s="2">
        <v>0</v>
      </c>
      <c r="CG164" s="2">
        <v>0</v>
      </c>
      <c r="CH164" s="2"/>
      <c r="CI164" s="2"/>
      <c r="CJ164" s="2"/>
      <c r="CK164" s="2"/>
      <c r="CL164" s="2"/>
      <c r="CM164" s="2">
        <v>0</v>
      </c>
      <c r="CN164" s="2" t="s">
        <v>423</v>
      </c>
      <c r="CO164" s="2">
        <v>0</v>
      </c>
      <c r="CP164" s="2">
        <f t="shared" si="125"/>
        <v>1153.8699999999999</v>
      </c>
      <c r="CQ164" s="2">
        <f t="shared" si="126"/>
        <v>146.88999999999999</v>
      </c>
      <c r="CR164" s="2">
        <f t="shared" si="148"/>
        <v>0</v>
      </c>
      <c r="CS164" s="2">
        <f t="shared" si="149"/>
        <v>0</v>
      </c>
      <c r="CT164" s="2">
        <f t="shared" si="127"/>
        <v>0</v>
      </c>
      <c r="CU164" s="2">
        <f t="shared" si="128"/>
        <v>0</v>
      </c>
      <c r="CV164" s="2">
        <f t="shared" si="129"/>
        <v>0</v>
      </c>
      <c r="CW164" s="2">
        <f t="shared" si="130"/>
        <v>0</v>
      </c>
      <c r="CX164" s="2">
        <f t="shared" si="131"/>
        <v>0</v>
      </c>
      <c r="CY164" s="2">
        <f t="shared" si="150"/>
        <v>0</v>
      </c>
      <c r="CZ164" s="2">
        <f t="shared" si="151"/>
        <v>0</v>
      </c>
      <c r="DA164" s="2"/>
      <c r="DB164" s="2"/>
      <c r="DC164" s="2" t="s">
        <v>3</v>
      </c>
      <c r="DD164" s="2" t="s">
        <v>3</v>
      </c>
      <c r="DE164" s="2" t="s">
        <v>3</v>
      </c>
      <c r="DF164" s="2" t="s">
        <v>3</v>
      </c>
      <c r="DG164" s="2" t="s">
        <v>3</v>
      </c>
      <c r="DH164" s="2" t="s">
        <v>3</v>
      </c>
      <c r="DI164" s="2" t="s">
        <v>3</v>
      </c>
      <c r="DJ164" s="2" t="s">
        <v>3</v>
      </c>
      <c r="DK164" s="2" t="s">
        <v>3</v>
      </c>
      <c r="DL164" s="2" t="s">
        <v>3</v>
      </c>
      <c r="DM164" s="2" t="s">
        <v>3</v>
      </c>
      <c r="DN164" s="2">
        <v>0</v>
      </c>
      <c r="DO164" s="2">
        <v>0</v>
      </c>
      <c r="DP164" s="2">
        <v>1</v>
      </c>
      <c r="DQ164" s="2">
        <v>1</v>
      </c>
      <c r="DR164" s="2"/>
      <c r="DS164" s="2"/>
      <c r="DT164" s="2"/>
      <c r="DU164" s="2">
        <v>1010</v>
      </c>
      <c r="DV164" s="2" t="s">
        <v>205</v>
      </c>
      <c r="DW164" s="2" t="s">
        <v>205</v>
      </c>
      <c r="DX164" s="2">
        <v>100</v>
      </c>
      <c r="DY164" s="2"/>
      <c r="DZ164" s="2" t="s">
        <v>3</v>
      </c>
      <c r="EA164" s="2" t="s">
        <v>3</v>
      </c>
      <c r="EB164" s="2" t="s">
        <v>3</v>
      </c>
      <c r="EC164" s="2" t="s">
        <v>3</v>
      </c>
      <c r="ED164" s="2"/>
      <c r="EE164" s="2">
        <v>55393700</v>
      </c>
      <c r="EF164" s="2">
        <v>40</v>
      </c>
      <c r="EG164" s="2" t="s">
        <v>26</v>
      </c>
      <c r="EH164" s="2">
        <v>0</v>
      </c>
      <c r="EI164" s="2" t="s">
        <v>3</v>
      </c>
      <c r="EJ164" s="2">
        <v>2</v>
      </c>
      <c r="EK164" s="2">
        <v>68</v>
      </c>
      <c r="EL164" s="2" t="s">
        <v>27</v>
      </c>
      <c r="EM164" s="2" t="s">
        <v>28</v>
      </c>
      <c r="EN164" s="2"/>
      <c r="EO164" s="2" t="s">
        <v>67</v>
      </c>
      <c r="EP164" s="2"/>
      <c r="EQ164" s="2">
        <v>0</v>
      </c>
      <c r="ER164" s="2">
        <v>146.88999999999999</v>
      </c>
      <c r="ES164" s="2">
        <v>146.88999999999999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>
        <v>0</v>
      </c>
      <c r="FR164" s="2">
        <v>0</v>
      </c>
      <c r="FS164" s="2">
        <v>0</v>
      </c>
      <c r="FT164" s="2"/>
      <c r="FU164" s="2"/>
      <c r="FV164" s="2"/>
      <c r="FW164" s="2"/>
      <c r="FX164" s="2">
        <v>90</v>
      </c>
      <c r="FY164" s="2">
        <v>46</v>
      </c>
      <c r="FZ164" s="2"/>
      <c r="GA164" s="2" t="s">
        <v>3</v>
      </c>
      <c r="GB164" s="2"/>
      <c r="GC164" s="2"/>
      <c r="GD164" s="2">
        <v>1</v>
      </c>
      <c r="GE164" s="2"/>
      <c r="GF164" s="2">
        <v>289520784</v>
      </c>
      <c r="GG164" s="2">
        <v>2</v>
      </c>
      <c r="GH164" s="2">
        <v>1</v>
      </c>
      <c r="GI164" s="2">
        <v>-2</v>
      </c>
      <c r="GJ164" s="2">
        <v>0</v>
      </c>
      <c r="GK164" s="2">
        <v>0</v>
      </c>
      <c r="GL164" s="2">
        <f t="shared" si="132"/>
        <v>0</v>
      </c>
      <c r="GM164" s="2">
        <f t="shared" si="133"/>
        <v>1153.8699999999999</v>
      </c>
      <c r="GN164" s="2">
        <f t="shared" si="134"/>
        <v>0</v>
      </c>
      <c r="GO164" s="2">
        <f t="shared" si="135"/>
        <v>1153.8699999999999</v>
      </c>
      <c r="GP164" s="2">
        <f t="shared" si="136"/>
        <v>0</v>
      </c>
      <c r="GQ164" s="2"/>
      <c r="GR164" s="2">
        <v>0</v>
      </c>
      <c r="GS164" s="2">
        <v>3</v>
      </c>
      <c r="GT164" s="2">
        <v>0</v>
      </c>
      <c r="GU164" s="2" t="s">
        <v>3</v>
      </c>
      <c r="GV164" s="2">
        <f t="shared" si="137"/>
        <v>0</v>
      </c>
      <c r="GW164" s="2">
        <v>1</v>
      </c>
      <c r="GX164" s="2">
        <f t="shared" si="138"/>
        <v>0</v>
      </c>
      <c r="GY164" s="2"/>
      <c r="GZ164" s="2"/>
      <c r="HA164" s="2">
        <v>0</v>
      </c>
      <c r="HB164" s="2">
        <v>0</v>
      </c>
      <c r="HC164" s="2">
        <f t="shared" si="139"/>
        <v>0</v>
      </c>
      <c r="HD164" s="2"/>
      <c r="HE164" s="2" t="s">
        <v>3</v>
      </c>
      <c r="HF164" s="2" t="s">
        <v>3</v>
      </c>
      <c r="HG164" s="2"/>
      <c r="HH164" s="2"/>
      <c r="HI164" s="2"/>
      <c r="HJ164" s="2"/>
      <c r="HK164" s="2"/>
      <c r="HL164" s="2"/>
      <c r="HM164" s="2" t="s">
        <v>3</v>
      </c>
      <c r="HN164" s="2" t="s">
        <v>3</v>
      </c>
      <c r="HO164" s="2" t="s">
        <v>3</v>
      </c>
      <c r="HP164" s="2" t="s">
        <v>3</v>
      </c>
      <c r="HQ164" s="2" t="s">
        <v>3</v>
      </c>
      <c r="HR164" s="2"/>
      <c r="HS164" s="2">
        <v>0</v>
      </c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>
        <v>0</v>
      </c>
      <c r="IL164" s="2"/>
      <c r="IM164" s="2"/>
      <c r="IN164" s="2"/>
      <c r="IO164" s="2"/>
      <c r="IP164" s="2"/>
      <c r="IQ164" s="2"/>
      <c r="IR164" s="2"/>
      <c r="IS164" s="2"/>
      <c r="IT164" s="2"/>
      <c r="IU164" s="2"/>
    </row>
    <row r="165" spans="1:255" x14ac:dyDescent="0.25">
      <c r="A165" s="3">
        <v>18</v>
      </c>
      <c r="B165" s="3">
        <v>1</v>
      </c>
      <c r="C165" s="3">
        <v>196</v>
      </c>
      <c r="E165" s="3" t="s">
        <v>202</v>
      </c>
      <c r="F165" s="3" t="s">
        <v>203</v>
      </c>
      <c r="G165" s="3" t="s">
        <v>204</v>
      </c>
      <c r="H165" s="3" t="s">
        <v>205</v>
      </c>
      <c r="I165" s="3">
        <f>I161*J165</f>
        <v>7.8553199999999999</v>
      </c>
      <c r="J165" s="3">
        <v>2.1640000000000001</v>
      </c>
      <c r="K165" s="3">
        <v>2.1640000000000001</v>
      </c>
      <c r="O165" s="3">
        <f t="shared" si="115"/>
        <v>2007.73</v>
      </c>
      <c r="P165" s="3">
        <f t="shared" si="116"/>
        <v>2007.73</v>
      </c>
      <c r="Q165" s="3">
        <f t="shared" si="140"/>
        <v>0</v>
      </c>
      <c r="R165" s="3">
        <f t="shared" si="141"/>
        <v>0</v>
      </c>
      <c r="S165" s="3">
        <f t="shared" si="117"/>
        <v>0</v>
      </c>
      <c r="T165" s="3">
        <f t="shared" si="118"/>
        <v>0</v>
      </c>
      <c r="U165" s="3">
        <f t="shared" si="119"/>
        <v>0</v>
      </c>
      <c r="V165" s="3">
        <f t="shared" si="120"/>
        <v>0</v>
      </c>
      <c r="W165" s="3">
        <f t="shared" si="121"/>
        <v>0</v>
      </c>
      <c r="X165" s="3">
        <f t="shared" si="142"/>
        <v>0</v>
      </c>
      <c r="Y165" s="3">
        <f t="shared" si="143"/>
        <v>0</v>
      </c>
      <c r="AA165" s="3">
        <v>55936048</v>
      </c>
      <c r="AB165" s="3">
        <f t="shared" si="122"/>
        <v>146.88999999999999</v>
      </c>
      <c r="AC165" s="3">
        <f t="shared" si="144"/>
        <v>146.88999999999999</v>
      </c>
      <c r="AD165" s="3">
        <f t="shared" si="145"/>
        <v>0</v>
      </c>
      <c r="AE165" s="3">
        <f t="shared" si="146"/>
        <v>0</v>
      </c>
      <c r="AF165" s="3">
        <f t="shared" si="146"/>
        <v>0</v>
      </c>
      <c r="AG165" s="3">
        <f t="shared" si="123"/>
        <v>0</v>
      </c>
      <c r="AH165" s="3">
        <f t="shared" si="147"/>
        <v>0</v>
      </c>
      <c r="AI165" s="3">
        <f t="shared" si="147"/>
        <v>0</v>
      </c>
      <c r="AJ165" s="3">
        <f t="shared" si="124"/>
        <v>0</v>
      </c>
      <c r="AK165" s="3">
        <v>146.88999999999999</v>
      </c>
      <c r="AL165" s="3">
        <v>146.88999999999999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90</v>
      </c>
      <c r="AU165" s="3">
        <v>46</v>
      </c>
      <c r="AV165" s="3">
        <v>1</v>
      </c>
      <c r="AW165" s="3">
        <v>1</v>
      </c>
      <c r="AZ165" s="3">
        <v>1</v>
      </c>
      <c r="BA165" s="3">
        <v>1</v>
      </c>
      <c r="BB165" s="3">
        <v>1</v>
      </c>
      <c r="BC165" s="3">
        <v>1.74</v>
      </c>
      <c r="BD165" s="3" t="s">
        <v>3</v>
      </c>
      <c r="BE165" s="3" t="s">
        <v>3</v>
      </c>
      <c r="BF165" s="3" t="s">
        <v>3</v>
      </c>
      <c r="BG165" s="3" t="s">
        <v>3</v>
      </c>
      <c r="BH165" s="3">
        <v>3</v>
      </c>
      <c r="BI165" s="3">
        <v>2</v>
      </c>
      <c r="BJ165" s="3" t="s">
        <v>206</v>
      </c>
      <c r="BM165" s="3">
        <v>68</v>
      </c>
      <c r="BN165" s="3">
        <v>0</v>
      </c>
      <c r="BO165" s="3" t="s">
        <v>203</v>
      </c>
      <c r="BP165" s="3">
        <v>1</v>
      </c>
      <c r="BQ165" s="3">
        <v>40</v>
      </c>
      <c r="BR165" s="3">
        <v>0</v>
      </c>
      <c r="BS165" s="3">
        <v>1</v>
      </c>
      <c r="BT165" s="3">
        <v>1</v>
      </c>
      <c r="BU165" s="3">
        <v>1</v>
      </c>
      <c r="BV165" s="3">
        <v>1</v>
      </c>
      <c r="BW165" s="3">
        <v>1</v>
      </c>
      <c r="BX165" s="3">
        <v>1</v>
      </c>
      <c r="BY165" s="3" t="s">
        <v>3</v>
      </c>
      <c r="BZ165" s="3">
        <v>90</v>
      </c>
      <c r="CA165" s="3">
        <v>46</v>
      </c>
      <c r="CB165" s="3" t="s">
        <v>3</v>
      </c>
      <c r="CE165" s="3">
        <v>1566</v>
      </c>
      <c r="CF165" s="3">
        <v>0</v>
      </c>
      <c r="CG165" s="3">
        <v>0</v>
      </c>
      <c r="CM165" s="3">
        <v>0</v>
      </c>
      <c r="CN165" s="3" t="s">
        <v>423</v>
      </c>
      <c r="CO165" s="3">
        <v>0</v>
      </c>
      <c r="CP165" s="3">
        <f t="shared" si="125"/>
        <v>2007.73</v>
      </c>
      <c r="CQ165" s="3">
        <f t="shared" si="126"/>
        <v>255.59</v>
      </c>
      <c r="CR165" s="3">
        <f t="shared" si="148"/>
        <v>0</v>
      </c>
      <c r="CS165" s="3">
        <f t="shared" si="149"/>
        <v>0</v>
      </c>
      <c r="CT165" s="3">
        <f t="shared" si="127"/>
        <v>0</v>
      </c>
      <c r="CU165" s="3">
        <f t="shared" si="128"/>
        <v>0</v>
      </c>
      <c r="CV165" s="3">
        <f t="shared" si="129"/>
        <v>0</v>
      </c>
      <c r="CW165" s="3">
        <f t="shared" si="130"/>
        <v>0</v>
      </c>
      <c r="CX165" s="3">
        <f t="shared" si="131"/>
        <v>0</v>
      </c>
      <c r="CY165" s="3">
        <f t="shared" si="150"/>
        <v>0</v>
      </c>
      <c r="CZ165" s="3">
        <f t="shared" si="151"/>
        <v>0</v>
      </c>
      <c r="DC165" s="3" t="s">
        <v>3</v>
      </c>
      <c r="DD165" s="3" t="s">
        <v>3</v>
      </c>
      <c r="DE165" s="3" t="s">
        <v>3</v>
      </c>
      <c r="DF165" s="3" t="s">
        <v>3</v>
      </c>
      <c r="DG165" s="3" t="s">
        <v>3</v>
      </c>
      <c r="DH165" s="3" t="s">
        <v>3</v>
      </c>
      <c r="DI165" s="3" t="s">
        <v>3</v>
      </c>
      <c r="DJ165" s="3" t="s">
        <v>3</v>
      </c>
      <c r="DK165" s="3" t="s">
        <v>3</v>
      </c>
      <c r="DL165" s="3" t="s">
        <v>3</v>
      </c>
      <c r="DM165" s="3" t="s">
        <v>3</v>
      </c>
      <c r="DN165" s="3">
        <v>0</v>
      </c>
      <c r="DO165" s="3">
        <v>0</v>
      </c>
      <c r="DP165" s="3">
        <v>1</v>
      </c>
      <c r="DQ165" s="3">
        <v>1</v>
      </c>
      <c r="DU165" s="3">
        <v>1010</v>
      </c>
      <c r="DV165" s="3" t="s">
        <v>205</v>
      </c>
      <c r="DW165" s="3" t="s">
        <v>205</v>
      </c>
      <c r="DX165" s="3">
        <v>100</v>
      </c>
      <c r="DZ165" s="3" t="s">
        <v>3</v>
      </c>
      <c r="EA165" s="3" t="s">
        <v>3</v>
      </c>
      <c r="EB165" s="3" t="s">
        <v>3</v>
      </c>
      <c r="EC165" s="3" t="s">
        <v>3</v>
      </c>
      <c r="EE165" s="3">
        <v>55393700</v>
      </c>
      <c r="EF165" s="3">
        <v>40</v>
      </c>
      <c r="EG165" s="3" t="s">
        <v>26</v>
      </c>
      <c r="EH165" s="3">
        <v>0</v>
      </c>
      <c r="EI165" s="3" t="s">
        <v>3</v>
      </c>
      <c r="EJ165" s="3">
        <v>2</v>
      </c>
      <c r="EK165" s="3">
        <v>68</v>
      </c>
      <c r="EL165" s="3" t="s">
        <v>27</v>
      </c>
      <c r="EM165" s="3" t="s">
        <v>28</v>
      </c>
      <c r="EO165" s="3" t="s">
        <v>67</v>
      </c>
      <c r="EQ165" s="3">
        <v>0</v>
      </c>
      <c r="ER165" s="3">
        <v>146.88999999999999</v>
      </c>
      <c r="ES165" s="3">
        <v>146.88999999999999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FQ165" s="3">
        <v>0</v>
      </c>
      <c r="FR165" s="3">
        <v>0</v>
      </c>
      <c r="FS165" s="3">
        <v>0</v>
      </c>
      <c r="FX165" s="3">
        <v>90</v>
      </c>
      <c r="FY165" s="3">
        <v>46</v>
      </c>
      <c r="GA165" s="3" t="s">
        <v>3</v>
      </c>
      <c r="GD165" s="3">
        <v>1</v>
      </c>
      <c r="GF165" s="3">
        <v>289520784</v>
      </c>
      <c r="GG165" s="3">
        <v>2</v>
      </c>
      <c r="GH165" s="3">
        <v>1</v>
      </c>
      <c r="GI165" s="3">
        <v>2</v>
      </c>
      <c r="GJ165" s="3">
        <v>0</v>
      </c>
      <c r="GK165" s="3">
        <v>0</v>
      </c>
      <c r="GL165" s="3">
        <f t="shared" si="132"/>
        <v>0</v>
      </c>
      <c r="GM165" s="3">
        <f t="shared" si="133"/>
        <v>2007.73</v>
      </c>
      <c r="GN165" s="3">
        <f t="shared" si="134"/>
        <v>0</v>
      </c>
      <c r="GO165" s="3">
        <f t="shared" si="135"/>
        <v>2007.73</v>
      </c>
      <c r="GP165" s="3">
        <f t="shared" si="136"/>
        <v>0</v>
      </c>
      <c r="GR165" s="3">
        <v>0</v>
      </c>
      <c r="GS165" s="3">
        <v>3</v>
      </c>
      <c r="GT165" s="3">
        <v>0</v>
      </c>
      <c r="GU165" s="3" t="s">
        <v>3</v>
      </c>
      <c r="GV165" s="3">
        <f t="shared" si="137"/>
        <v>0</v>
      </c>
      <c r="GW165" s="3">
        <v>1</v>
      </c>
      <c r="GX165" s="3">
        <f t="shared" si="138"/>
        <v>0</v>
      </c>
      <c r="HA165" s="3">
        <v>0</v>
      </c>
      <c r="HB165" s="3">
        <v>0</v>
      </c>
      <c r="HC165" s="3">
        <f t="shared" si="139"/>
        <v>0</v>
      </c>
      <c r="HE165" s="3" t="s">
        <v>3</v>
      </c>
      <c r="HF165" s="3" t="s">
        <v>3</v>
      </c>
      <c r="HM165" s="3" t="s">
        <v>3</v>
      </c>
      <c r="HN165" s="3" t="s">
        <v>3</v>
      </c>
      <c r="HO165" s="3" t="s">
        <v>3</v>
      </c>
      <c r="HP165" s="3" t="s">
        <v>3</v>
      </c>
      <c r="HQ165" s="3" t="s">
        <v>3</v>
      </c>
      <c r="HS165" s="3">
        <v>0</v>
      </c>
      <c r="IK165" s="3">
        <v>0</v>
      </c>
    </row>
    <row r="166" spans="1:255" x14ac:dyDescent="0.25">
      <c r="A166" s="2">
        <v>17</v>
      </c>
      <c r="B166" s="2">
        <v>1</v>
      </c>
      <c r="C166" s="2"/>
      <c r="D166" s="2"/>
      <c r="E166" s="2" t="s">
        <v>207</v>
      </c>
      <c r="F166" s="2" t="s">
        <v>208</v>
      </c>
      <c r="G166" s="2" t="s">
        <v>209</v>
      </c>
      <c r="H166" s="2" t="s">
        <v>197</v>
      </c>
      <c r="I166" s="2">
        <f>ROUND(624*1.02,9)</f>
        <v>636.48</v>
      </c>
      <c r="J166" s="2">
        <v>0</v>
      </c>
      <c r="K166" s="2">
        <f>ROUND(624*1.02,9)</f>
        <v>636.48</v>
      </c>
      <c r="L166" s="2"/>
      <c r="M166" s="2"/>
      <c r="N166" s="2"/>
      <c r="O166" s="2">
        <f t="shared" si="115"/>
        <v>3112.39</v>
      </c>
      <c r="P166" s="2">
        <f t="shared" si="116"/>
        <v>3112.39</v>
      </c>
      <c r="Q166" s="2">
        <f t="shared" si="140"/>
        <v>0</v>
      </c>
      <c r="R166" s="2">
        <f t="shared" si="141"/>
        <v>0</v>
      </c>
      <c r="S166" s="2">
        <f t="shared" si="117"/>
        <v>0</v>
      </c>
      <c r="T166" s="2">
        <f t="shared" si="118"/>
        <v>0</v>
      </c>
      <c r="U166" s="2">
        <f t="shared" si="119"/>
        <v>0</v>
      </c>
      <c r="V166" s="2">
        <f t="shared" si="120"/>
        <v>0</v>
      </c>
      <c r="W166" s="2">
        <f t="shared" si="121"/>
        <v>0</v>
      </c>
      <c r="X166" s="2">
        <f t="shared" si="142"/>
        <v>0</v>
      </c>
      <c r="Y166" s="2">
        <f t="shared" si="143"/>
        <v>0</v>
      </c>
      <c r="Z166" s="2"/>
      <c r="AA166" s="2">
        <v>55936046</v>
      </c>
      <c r="AB166" s="2">
        <f t="shared" si="122"/>
        <v>4.8899999999999997</v>
      </c>
      <c r="AC166" s="2">
        <f t="shared" si="144"/>
        <v>4.8899999999999997</v>
      </c>
      <c r="AD166" s="2">
        <f t="shared" si="145"/>
        <v>0</v>
      </c>
      <c r="AE166" s="2">
        <f t="shared" si="146"/>
        <v>0</v>
      </c>
      <c r="AF166" s="2">
        <f t="shared" si="146"/>
        <v>0</v>
      </c>
      <c r="AG166" s="2">
        <f t="shared" si="123"/>
        <v>0</v>
      </c>
      <c r="AH166" s="2">
        <f t="shared" si="147"/>
        <v>0</v>
      </c>
      <c r="AI166" s="2">
        <f t="shared" si="147"/>
        <v>0</v>
      </c>
      <c r="AJ166" s="2">
        <f t="shared" si="124"/>
        <v>0</v>
      </c>
      <c r="AK166" s="2">
        <v>4.8899999999999997</v>
      </c>
      <c r="AL166" s="2">
        <v>4.8899999999999997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1</v>
      </c>
      <c r="AW166" s="2">
        <v>1</v>
      </c>
      <c r="AX166" s="2"/>
      <c r="AY166" s="2"/>
      <c r="AZ166" s="2">
        <v>1</v>
      </c>
      <c r="BA166" s="2">
        <v>1</v>
      </c>
      <c r="BB166" s="2">
        <v>1</v>
      </c>
      <c r="BC166" s="2">
        <v>1</v>
      </c>
      <c r="BD166" s="2" t="s">
        <v>3</v>
      </c>
      <c r="BE166" s="2" t="s">
        <v>3</v>
      </c>
      <c r="BF166" s="2" t="s">
        <v>3</v>
      </c>
      <c r="BG166" s="2" t="s">
        <v>3</v>
      </c>
      <c r="BH166" s="2">
        <v>3</v>
      </c>
      <c r="BI166" s="2">
        <v>2</v>
      </c>
      <c r="BJ166" s="2" t="s">
        <v>208</v>
      </c>
      <c r="BK166" s="2"/>
      <c r="BL166" s="2"/>
      <c r="BM166" s="2">
        <v>400005</v>
      </c>
      <c r="BN166" s="2">
        <v>0</v>
      </c>
      <c r="BO166" s="2" t="s">
        <v>3</v>
      </c>
      <c r="BP166" s="2">
        <v>0</v>
      </c>
      <c r="BQ166" s="2">
        <v>213</v>
      </c>
      <c r="BR166" s="2">
        <v>0</v>
      </c>
      <c r="BS166" s="2">
        <v>1</v>
      </c>
      <c r="BT166" s="2">
        <v>1</v>
      </c>
      <c r="BU166" s="2">
        <v>1</v>
      </c>
      <c r="BV166" s="2">
        <v>1</v>
      </c>
      <c r="BW166" s="2">
        <v>1</v>
      </c>
      <c r="BX166" s="2">
        <v>1</v>
      </c>
      <c r="BY166" s="2" t="s">
        <v>3</v>
      </c>
      <c r="BZ166" s="2">
        <v>0</v>
      </c>
      <c r="CA166" s="2">
        <v>0</v>
      </c>
      <c r="CB166" s="2" t="s">
        <v>3</v>
      </c>
      <c r="CC166" s="2"/>
      <c r="CD166" s="2"/>
      <c r="CE166" s="2">
        <v>1566</v>
      </c>
      <c r="CF166" s="2">
        <v>0</v>
      </c>
      <c r="CG166" s="2">
        <v>0</v>
      </c>
      <c r="CH166" s="2"/>
      <c r="CI166" s="2"/>
      <c r="CJ166" s="2"/>
      <c r="CK166" s="2"/>
      <c r="CL166" s="2"/>
      <c r="CM166" s="2">
        <v>0</v>
      </c>
      <c r="CN166" s="2" t="s">
        <v>3</v>
      </c>
      <c r="CO166" s="2">
        <v>0</v>
      </c>
      <c r="CP166" s="2">
        <f t="shared" si="125"/>
        <v>3112.39</v>
      </c>
      <c r="CQ166" s="2">
        <f t="shared" si="126"/>
        <v>4.8899999999999997</v>
      </c>
      <c r="CR166" s="2">
        <f t="shared" si="148"/>
        <v>0</v>
      </c>
      <c r="CS166" s="2">
        <f t="shared" si="149"/>
        <v>0</v>
      </c>
      <c r="CT166" s="2">
        <f t="shared" si="127"/>
        <v>0</v>
      </c>
      <c r="CU166" s="2">
        <f t="shared" si="128"/>
        <v>0</v>
      </c>
      <c r="CV166" s="2">
        <f t="shared" si="129"/>
        <v>0</v>
      </c>
      <c r="CW166" s="2">
        <f t="shared" si="130"/>
        <v>0</v>
      </c>
      <c r="CX166" s="2">
        <f t="shared" si="131"/>
        <v>0</v>
      </c>
      <c r="CY166" s="2">
        <f t="shared" si="150"/>
        <v>0</v>
      </c>
      <c r="CZ166" s="2">
        <f t="shared" si="151"/>
        <v>0</v>
      </c>
      <c r="DA166" s="2"/>
      <c r="DB166" s="2"/>
      <c r="DC166" s="2" t="s">
        <v>3</v>
      </c>
      <c r="DD166" s="2" t="s">
        <v>3</v>
      </c>
      <c r="DE166" s="2" t="s">
        <v>3</v>
      </c>
      <c r="DF166" s="2" t="s">
        <v>3</v>
      </c>
      <c r="DG166" s="2" t="s">
        <v>3</v>
      </c>
      <c r="DH166" s="2" t="s">
        <v>3</v>
      </c>
      <c r="DI166" s="2" t="s">
        <v>3</v>
      </c>
      <c r="DJ166" s="2" t="s">
        <v>3</v>
      </c>
      <c r="DK166" s="2" t="s">
        <v>3</v>
      </c>
      <c r="DL166" s="2" t="s">
        <v>3</v>
      </c>
      <c r="DM166" s="2" t="s">
        <v>3</v>
      </c>
      <c r="DN166" s="2">
        <v>0</v>
      </c>
      <c r="DO166" s="2">
        <v>0</v>
      </c>
      <c r="DP166" s="2">
        <v>1</v>
      </c>
      <c r="DQ166" s="2">
        <v>1</v>
      </c>
      <c r="DR166" s="2"/>
      <c r="DS166" s="2"/>
      <c r="DT166" s="2"/>
      <c r="DU166" s="2">
        <v>1003</v>
      </c>
      <c r="DV166" s="2" t="s">
        <v>197</v>
      </c>
      <c r="DW166" s="2" t="s">
        <v>197</v>
      </c>
      <c r="DX166" s="2">
        <v>1</v>
      </c>
      <c r="DY166" s="2"/>
      <c r="DZ166" s="2" t="s">
        <v>3</v>
      </c>
      <c r="EA166" s="2" t="s">
        <v>3</v>
      </c>
      <c r="EB166" s="2" t="s">
        <v>3</v>
      </c>
      <c r="EC166" s="2" t="s">
        <v>3</v>
      </c>
      <c r="ED166" s="2"/>
      <c r="EE166" s="2">
        <v>55393628</v>
      </c>
      <c r="EF166" s="2">
        <v>213</v>
      </c>
      <c r="EG166" s="2" t="s">
        <v>198</v>
      </c>
      <c r="EH166" s="2">
        <v>0</v>
      </c>
      <c r="EI166" s="2" t="s">
        <v>3</v>
      </c>
      <c r="EJ166" s="2">
        <v>1</v>
      </c>
      <c r="EK166" s="2">
        <v>400005</v>
      </c>
      <c r="EL166" s="2" t="s">
        <v>198</v>
      </c>
      <c r="EM166" s="2" t="s">
        <v>199</v>
      </c>
      <c r="EN166" s="2"/>
      <c r="EO166" s="2" t="s">
        <v>3</v>
      </c>
      <c r="EP166" s="2"/>
      <c r="EQ166" s="2">
        <v>16</v>
      </c>
      <c r="ER166" s="2">
        <v>0</v>
      </c>
      <c r="ES166" s="2">
        <v>4.8899999999999997</v>
      </c>
      <c r="ET166" s="2">
        <v>0</v>
      </c>
      <c r="EU166" s="2">
        <v>0</v>
      </c>
      <c r="EV166" s="2">
        <v>0</v>
      </c>
      <c r="EW166" s="2">
        <v>0</v>
      </c>
      <c r="EX166" s="2">
        <v>0</v>
      </c>
      <c r="EY166" s="2">
        <v>0</v>
      </c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>
        <v>0</v>
      </c>
      <c r="FR166" s="2">
        <v>0</v>
      </c>
      <c r="FS166" s="2">
        <v>0</v>
      </c>
      <c r="FT166" s="2"/>
      <c r="FU166" s="2"/>
      <c r="FV166" s="2"/>
      <c r="FW166" s="2"/>
      <c r="FX166" s="2">
        <v>0</v>
      </c>
      <c r="FY166" s="2">
        <v>0</v>
      </c>
      <c r="FZ166" s="2"/>
      <c r="GA166" s="2" t="s">
        <v>210</v>
      </c>
      <c r="GB166" s="2"/>
      <c r="GC166" s="2"/>
      <c r="GD166" s="2">
        <v>1</v>
      </c>
      <c r="GE166" s="2"/>
      <c r="GF166" s="2">
        <v>-547974933</v>
      </c>
      <c r="GG166" s="2">
        <v>2</v>
      </c>
      <c r="GH166" s="2">
        <v>4</v>
      </c>
      <c r="GI166" s="2">
        <v>-2</v>
      </c>
      <c r="GJ166" s="2">
        <v>0</v>
      </c>
      <c r="GK166" s="2">
        <v>0</v>
      </c>
      <c r="GL166" s="2">
        <f t="shared" si="132"/>
        <v>0</v>
      </c>
      <c r="GM166" s="2">
        <f t="shared" si="133"/>
        <v>3112.39</v>
      </c>
      <c r="GN166" s="2">
        <f t="shared" si="134"/>
        <v>0</v>
      </c>
      <c r="GO166" s="2">
        <f t="shared" si="135"/>
        <v>3112.39</v>
      </c>
      <c r="GP166" s="2">
        <f t="shared" si="136"/>
        <v>0</v>
      </c>
      <c r="GQ166" s="2"/>
      <c r="GR166" s="2">
        <v>1</v>
      </c>
      <c r="GS166" s="2">
        <v>2</v>
      </c>
      <c r="GT166" s="2">
        <v>0</v>
      </c>
      <c r="GU166" s="2" t="s">
        <v>3</v>
      </c>
      <c r="GV166" s="2">
        <f t="shared" si="137"/>
        <v>0</v>
      </c>
      <c r="GW166" s="2">
        <v>1</v>
      </c>
      <c r="GX166" s="2">
        <f t="shared" si="138"/>
        <v>0</v>
      </c>
      <c r="GY166" s="2"/>
      <c r="GZ166" s="2"/>
      <c r="HA166" s="2">
        <v>0</v>
      </c>
      <c r="HB166" s="2">
        <v>0</v>
      </c>
      <c r="HC166" s="2">
        <f t="shared" si="139"/>
        <v>0</v>
      </c>
      <c r="HD166" s="2"/>
      <c r="HE166" s="2" t="s">
        <v>201</v>
      </c>
      <c r="HF166" s="2" t="s">
        <v>30</v>
      </c>
      <c r="HG166" s="2"/>
      <c r="HH166" s="2"/>
      <c r="HI166" s="2"/>
      <c r="HJ166" s="2"/>
      <c r="HK166" s="2"/>
      <c r="HL166" s="2"/>
      <c r="HM166" s="2" t="s">
        <v>3</v>
      </c>
      <c r="HN166" s="2" t="s">
        <v>3</v>
      </c>
      <c r="HO166" s="2" t="s">
        <v>3</v>
      </c>
      <c r="HP166" s="2" t="s">
        <v>3</v>
      </c>
      <c r="HQ166" s="2" t="s">
        <v>3</v>
      </c>
      <c r="HR166" s="2"/>
      <c r="HS166" s="2">
        <v>0</v>
      </c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>
        <v>0</v>
      </c>
      <c r="IL166" s="2"/>
      <c r="IM166" s="2"/>
      <c r="IN166" s="2"/>
      <c r="IO166" s="2"/>
      <c r="IP166" s="2"/>
      <c r="IQ166" s="2"/>
      <c r="IR166" s="2"/>
      <c r="IS166" s="2"/>
      <c r="IT166" s="2"/>
      <c r="IU166" s="2"/>
    </row>
    <row r="167" spans="1:255" x14ac:dyDescent="0.25">
      <c r="A167" s="3">
        <v>17</v>
      </c>
      <c r="B167" s="3">
        <v>1</v>
      </c>
      <c r="E167" s="3" t="s">
        <v>207</v>
      </c>
      <c r="F167" s="3" t="s">
        <v>208</v>
      </c>
      <c r="G167" s="3" t="s">
        <v>209</v>
      </c>
      <c r="H167" s="3" t="s">
        <v>197</v>
      </c>
      <c r="I167" s="3">
        <f>ROUND(624*1.02,9)</f>
        <v>636.48</v>
      </c>
      <c r="J167" s="3">
        <v>0</v>
      </c>
      <c r="K167" s="3">
        <f>ROUND(624*1.02,9)</f>
        <v>636.48</v>
      </c>
      <c r="O167" s="3">
        <f t="shared" si="115"/>
        <v>30625.919999999998</v>
      </c>
      <c r="P167" s="3">
        <f t="shared" si="116"/>
        <v>30625.919999999998</v>
      </c>
      <c r="Q167" s="3">
        <f t="shared" si="140"/>
        <v>0</v>
      </c>
      <c r="R167" s="3">
        <f t="shared" si="141"/>
        <v>0</v>
      </c>
      <c r="S167" s="3">
        <f t="shared" si="117"/>
        <v>0</v>
      </c>
      <c r="T167" s="3">
        <f t="shared" si="118"/>
        <v>0</v>
      </c>
      <c r="U167" s="3">
        <f t="shared" si="119"/>
        <v>0</v>
      </c>
      <c r="V167" s="3">
        <f t="shared" si="120"/>
        <v>0</v>
      </c>
      <c r="W167" s="3">
        <f t="shared" si="121"/>
        <v>0</v>
      </c>
      <c r="X167" s="3">
        <f t="shared" si="142"/>
        <v>0</v>
      </c>
      <c r="Y167" s="3">
        <f t="shared" si="143"/>
        <v>0</v>
      </c>
      <c r="AA167" s="3">
        <v>55936048</v>
      </c>
      <c r="AB167" s="3">
        <f t="shared" si="122"/>
        <v>4.8899999999999997</v>
      </c>
      <c r="AC167" s="3">
        <f t="shared" si="144"/>
        <v>4.8899999999999997</v>
      </c>
      <c r="AD167" s="3">
        <f t="shared" si="145"/>
        <v>0</v>
      </c>
      <c r="AE167" s="3">
        <f t="shared" si="146"/>
        <v>0</v>
      </c>
      <c r="AF167" s="3">
        <f t="shared" si="146"/>
        <v>0</v>
      </c>
      <c r="AG167" s="3">
        <f t="shared" si="123"/>
        <v>0</v>
      </c>
      <c r="AH167" s="3">
        <f t="shared" si="147"/>
        <v>0</v>
      </c>
      <c r="AI167" s="3">
        <f t="shared" si="147"/>
        <v>0</v>
      </c>
      <c r="AJ167" s="3">
        <f t="shared" si="124"/>
        <v>0</v>
      </c>
      <c r="AK167" s="3">
        <v>4.8899999999999997</v>
      </c>
      <c r="AL167" s="3">
        <v>4.8899999999999997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1</v>
      </c>
      <c r="AW167" s="3">
        <v>1</v>
      </c>
      <c r="AZ167" s="3">
        <v>1</v>
      </c>
      <c r="BA167" s="3">
        <v>1</v>
      </c>
      <c r="BB167" s="3">
        <v>1</v>
      </c>
      <c r="BC167" s="3">
        <v>9.84</v>
      </c>
      <c r="BD167" s="3" t="s">
        <v>3</v>
      </c>
      <c r="BE167" s="3" t="s">
        <v>3</v>
      </c>
      <c r="BF167" s="3" t="s">
        <v>3</v>
      </c>
      <c r="BG167" s="3" t="s">
        <v>3</v>
      </c>
      <c r="BH167" s="3">
        <v>3</v>
      </c>
      <c r="BI167" s="3">
        <v>2</v>
      </c>
      <c r="BJ167" s="3" t="s">
        <v>208</v>
      </c>
      <c r="BM167" s="3">
        <v>400005</v>
      </c>
      <c r="BN167" s="3">
        <v>0</v>
      </c>
      <c r="BO167" s="3" t="s">
        <v>3</v>
      </c>
      <c r="BP167" s="3">
        <v>0</v>
      </c>
      <c r="BQ167" s="3">
        <v>213</v>
      </c>
      <c r="BR167" s="3">
        <v>0</v>
      </c>
      <c r="BS167" s="3">
        <v>1</v>
      </c>
      <c r="BT167" s="3">
        <v>1</v>
      </c>
      <c r="BU167" s="3">
        <v>1</v>
      </c>
      <c r="BV167" s="3">
        <v>1</v>
      </c>
      <c r="BW167" s="3">
        <v>1</v>
      </c>
      <c r="BX167" s="3">
        <v>1</v>
      </c>
      <c r="BY167" s="3" t="s">
        <v>3</v>
      </c>
      <c r="BZ167" s="3">
        <v>0</v>
      </c>
      <c r="CA167" s="3">
        <v>0</v>
      </c>
      <c r="CB167" s="3" t="s">
        <v>3</v>
      </c>
      <c r="CE167" s="3">
        <v>1566</v>
      </c>
      <c r="CF167" s="3">
        <v>0</v>
      </c>
      <c r="CG167" s="3">
        <v>0</v>
      </c>
      <c r="CM167" s="3">
        <v>0</v>
      </c>
      <c r="CN167" s="3" t="s">
        <v>3</v>
      </c>
      <c r="CO167" s="3">
        <v>0</v>
      </c>
      <c r="CP167" s="3">
        <f t="shared" si="125"/>
        <v>30625.919999999998</v>
      </c>
      <c r="CQ167" s="3">
        <f t="shared" si="126"/>
        <v>48.12</v>
      </c>
      <c r="CR167" s="3">
        <f t="shared" si="148"/>
        <v>0</v>
      </c>
      <c r="CS167" s="3">
        <f t="shared" si="149"/>
        <v>0</v>
      </c>
      <c r="CT167" s="3">
        <f t="shared" si="127"/>
        <v>0</v>
      </c>
      <c r="CU167" s="3">
        <f t="shared" si="128"/>
        <v>0</v>
      </c>
      <c r="CV167" s="3">
        <f t="shared" si="129"/>
        <v>0</v>
      </c>
      <c r="CW167" s="3">
        <f t="shared" si="130"/>
        <v>0</v>
      </c>
      <c r="CX167" s="3">
        <f t="shared" si="131"/>
        <v>0</v>
      </c>
      <c r="CY167" s="3">
        <f t="shared" si="150"/>
        <v>0</v>
      </c>
      <c r="CZ167" s="3">
        <f t="shared" si="151"/>
        <v>0</v>
      </c>
      <c r="DC167" s="3" t="s">
        <v>3</v>
      </c>
      <c r="DD167" s="3" t="s">
        <v>3</v>
      </c>
      <c r="DE167" s="3" t="s">
        <v>3</v>
      </c>
      <c r="DF167" s="3" t="s">
        <v>3</v>
      </c>
      <c r="DG167" s="3" t="s">
        <v>3</v>
      </c>
      <c r="DH167" s="3" t="s">
        <v>3</v>
      </c>
      <c r="DI167" s="3" t="s">
        <v>3</v>
      </c>
      <c r="DJ167" s="3" t="s">
        <v>3</v>
      </c>
      <c r="DK167" s="3" t="s">
        <v>3</v>
      </c>
      <c r="DL167" s="3" t="s">
        <v>3</v>
      </c>
      <c r="DM167" s="3" t="s">
        <v>3</v>
      </c>
      <c r="DN167" s="3">
        <v>0</v>
      </c>
      <c r="DO167" s="3">
        <v>0</v>
      </c>
      <c r="DP167" s="3">
        <v>1</v>
      </c>
      <c r="DQ167" s="3">
        <v>1</v>
      </c>
      <c r="DU167" s="3">
        <v>1003</v>
      </c>
      <c r="DV167" s="3" t="s">
        <v>197</v>
      </c>
      <c r="DW167" s="3" t="s">
        <v>197</v>
      </c>
      <c r="DX167" s="3">
        <v>1</v>
      </c>
      <c r="DZ167" s="3" t="s">
        <v>3</v>
      </c>
      <c r="EA167" s="3" t="s">
        <v>3</v>
      </c>
      <c r="EB167" s="3" t="s">
        <v>3</v>
      </c>
      <c r="EC167" s="3" t="s">
        <v>3</v>
      </c>
      <c r="EE167" s="3">
        <v>55393628</v>
      </c>
      <c r="EF167" s="3">
        <v>213</v>
      </c>
      <c r="EG167" s="3" t="s">
        <v>198</v>
      </c>
      <c r="EH167" s="3">
        <v>0</v>
      </c>
      <c r="EI167" s="3" t="s">
        <v>3</v>
      </c>
      <c r="EJ167" s="3">
        <v>1</v>
      </c>
      <c r="EK167" s="3">
        <v>400005</v>
      </c>
      <c r="EL167" s="3" t="s">
        <v>198</v>
      </c>
      <c r="EM167" s="3" t="s">
        <v>199</v>
      </c>
      <c r="EO167" s="3" t="s">
        <v>3</v>
      </c>
      <c r="EQ167" s="3">
        <v>16</v>
      </c>
      <c r="ER167" s="3">
        <v>0</v>
      </c>
      <c r="ES167" s="3">
        <v>4.8899999999999997</v>
      </c>
      <c r="ET167" s="3">
        <v>0</v>
      </c>
      <c r="EU167" s="3">
        <v>0</v>
      </c>
      <c r="EV167" s="3">
        <v>0</v>
      </c>
      <c r="EW167" s="3">
        <v>0</v>
      </c>
      <c r="EX167" s="3">
        <v>0</v>
      </c>
      <c r="EY167" s="3">
        <v>0</v>
      </c>
      <c r="EZ167" s="3">
        <v>5</v>
      </c>
      <c r="FC167" s="3">
        <v>1</v>
      </c>
      <c r="FD167" s="3">
        <v>18</v>
      </c>
      <c r="FF167" s="3">
        <v>57.49</v>
      </c>
      <c r="FQ167" s="3">
        <v>0</v>
      </c>
      <c r="FR167" s="3">
        <v>0</v>
      </c>
      <c r="FS167" s="3">
        <v>0</v>
      </c>
      <c r="FX167" s="3">
        <v>0</v>
      </c>
      <c r="FY167" s="3">
        <v>0</v>
      </c>
      <c r="GA167" s="3" t="s">
        <v>210</v>
      </c>
      <c r="GD167" s="3">
        <v>1</v>
      </c>
      <c r="GF167" s="3">
        <v>-547974933</v>
      </c>
      <c r="GG167" s="3">
        <v>2</v>
      </c>
      <c r="GH167" s="3">
        <v>3</v>
      </c>
      <c r="GI167" s="3">
        <v>5</v>
      </c>
      <c r="GJ167" s="3">
        <v>0</v>
      </c>
      <c r="GK167" s="3">
        <v>0</v>
      </c>
      <c r="GL167" s="3">
        <f t="shared" si="132"/>
        <v>0</v>
      </c>
      <c r="GM167" s="3">
        <f t="shared" si="133"/>
        <v>30625.919999999998</v>
      </c>
      <c r="GN167" s="3">
        <f t="shared" si="134"/>
        <v>0</v>
      </c>
      <c r="GO167" s="3">
        <f t="shared" si="135"/>
        <v>30625.919999999998</v>
      </c>
      <c r="GP167" s="3">
        <f t="shared" si="136"/>
        <v>0</v>
      </c>
      <c r="GR167" s="3">
        <v>1</v>
      </c>
      <c r="GS167" s="3">
        <v>1</v>
      </c>
      <c r="GT167" s="3">
        <v>0</v>
      </c>
      <c r="GU167" s="3" t="s">
        <v>3</v>
      </c>
      <c r="GV167" s="3">
        <f t="shared" si="137"/>
        <v>0</v>
      </c>
      <c r="GW167" s="3">
        <v>1</v>
      </c>
      <c r="GX167" s="3">
        <f t="shared" si="138"/>
        <v>0</v>
      </c>
      <c r="HA167" s="3">
        <v>0</v>
      </c>
      <c r="HB167" s="3">
        <v>0</v>
      </c>
      <c r="HC167" s="3">
        <f t="shared" si="139"/>
        <v>0</v>
      </c>
      <c r="HE167" s="3" t="s">
        <v>201</v>
      </c>
      <c r="HF167" s="3" t="s">
        <v>30</v>
      </c>
      <c r="HM167" s="3" t="s">
        <v>3</v>
      </c>
      <c r="HN167" s="3" t="s">
        <v>3</v>
      </c>
      <c r="HO167" s="3" t="s">
        <v>3</v>
      </c>
      <c r="HP167" s="3" t="s">
        <v>3</v>
      </c>
      <c r="HQ167" s="3" t="s">
        <v>3</v>
      </c>
      <c r="HS167" s="3">
        <v>0</v>
      </c>
      <c r="IK167" s="3">
        <v>0</v>
      </c>
    </row>
    <row r="168" spans="1:255" x14ac:dyDescent="0.25">
      <c r="A168" s="2">
        <v>17</v>
      </c>
      <c r="B168" s="2">
        <v>1</v>
      </c>
      <c r="C168" s="2"/>
      <c r="D168" s="2"/>
      <c r="E168" s="2" t="s">
        <v>211</v>
      </c>
      <c r="F168" s="2" t="s">
        <v>212</v>
      </c>
      <c r="G168" s="2" t="s">
        <v>213</v>
      </c>
      <c r="H168" s="2" t="s">
        <v>197</v>
      </c>
      <c r="I168" s="2">
        <f>ROUND(310*1.02,9)</f>
        <v>316.2</v>
      </c>
      <c r="J168" s="2">
        <v>0</v>
      </c>
      <c r="K168" s="2">
        <f>ROUND(310*1.02,9)</f>
        <v>316.2</v>
      </c>
      <c r="L168" s="2"/>
      <c r="M168" s="2"/>
      <c r="N168" s="2"/>
      <c r="O168" s="2">
        <f t="shared" si="115"/>
        <v>2630.78</v>
      </c>
      <c r="P168" s="2">
        <f t="shared" si="116"/>
        <v>2630.78</v>
      </c>
      <c r="Q168" s="2">
        <f t="shared" si="140"/>
        <v>0</v>
      </c>
      <c r="R168" s="2">
        <f t="shared" si="141"/>
        <v>0</v>
      </c>
      <c r="S168" s="2">
        <f t="shared" si="117"/>
        <v>0</v>
      </c>
      <c r="T168" s="2">
        <f t="shared" si="118"/>
        <v>0</v>
      </c>
      <c r="U168" s="2">
        <f t="shared" si="119"/>
        <v>0</v>
      </c>
      <c r="V168" s="2">
        <f t="shared" si="120"/>
        <v>0</v>
      </c>
      <c r="W168" s="2">
        <f t="shared" si="121"/>
        <v>0</v>
      </c>
      <c r="X168" s="2">
        <f t="shared" si="142"/>
        <v>0</v>
      </c>
      <c r="Y168" s="2">
        <f t="shared" si="143"/>
        <v>0</v>
      </c>
      <c r="Z168" s="2"/>
      <c r="AA168" s="2">
        <v>55936046</v>
      </c>
      <c r="AB168" s="2">
        <f t="shared" si="122"/>
        <v>8.32</v>
      </c>
      <c r="AC168" s="2">
        <f t="shared" si="144"/>
        <v>8.32</v>
      </c>
      <c r="AD168" s="2">
        <f t="shared" si="145"/>
        <v>0</v>
      </c>
      <c r="AE168" s="2">
        <f t="shared" si="146"/>
        <v>0</v>
      </c>
      <c r="AF168" s="2">
        <f t="shared" si="146"/>
        <v>0</v>
      </c>
      <c r="AG168" s="2">
        <f t="shared" si="123"/>
        <v>0</v>
      </c>
      <c r="AH168" s="2">
        <f t="shared" si="147"/>
        <v>0</v>
      </c>
      <c r="AI168" s="2">
        <f t="shared" si="147"/>
        <v>0</v>
      </c>
      <c r="AJ168" s="2">
        <f t="shared" si="124"/>
        <v>0</v>
      </c>
      <c r="AK168" s="2">
        <v>8.32</v>
      </c>
      <c r="AL168" s="2">
        <v>8.32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1</v>
      </c>
      <c r="AW168" s="2">
        <v>1</v>
      </c>
      <c r="AX168" s="2"/>
      <c r="AY168" s="2"/>
      <c r="AZ168" s="2">
        <v>1</v>
      </c>
      <c r="BA168" s="2">
        <v>1</v>
      </c>
      <c r="BB168" s="2">
        <v>1</v>
      </c>
      <c r="BC168" s="2">
        <v>1</v>
      </c>
      <c r="BD168" s="2" t="s">
        <v>3</v>
      </c>
      <c r="BE168" s="2" t="s">
        <v>3</v>
      </c>
      <c r="BF168" s="2" t="s">
        <v>3</v>
      </c>
      <c r="BG168" s="2" t="s">
        <v>3</v>
      </c>
      <c r="BH168" s="2">
        <v>3</v>
      </c>
      <c r="BI168" s="2">
        <v>2</v>
      </c>
      <c r="BJ168" s="2" t="s">
        <v>212</v>
      </c>
      <c r="BK168" s="2"/>
      <c r="BL168" s="2"/>
      <c r="BM168" s="2">
        <v>400005</v>
      </c>
      <c r="BN168" s="2">
        <v>0</v>
      </c>
      <c r="BO168" s="2" t="s">
        <v>3</v>
      </c>
      <c r="BP168" s="2">
        <v>0</v>
      </c>
      <c r="BQ168" s="2">
        <v>213</v>
      </c>
      <c r="BR168" s="2">
        <v>0</v>
      </c>
      <c r="BS168" s="2">
        <v>1</v>
      </c>
      <c r="BT168" s="2">
        <v>1</v>
      </c>
      <c r="BU168" s="2">
        <v>1</v>
      </c>
      <c r="BV168" s="2">
        <v>1</v>
      </c>
      <c r="BW168" s="2">
        <v>1</v>
      </c>
      <c r="BX168" s="2">
        <v>1</v>
      </c>
      <c r="BY168" s="2" t="s">
        <v>3</v>
      </c>
      <c r="BZ168" s="2">
        <v>0</v>
      </c>
      <c r="CA168" s="2">
        <v>0</v>
      </c>
      <c r="CB168" s="2" t="s">
        <v>3</v>
      </c>
      <c r="CC168" s="2"/>
      <c r="CD168" s="2"/>
      <c r="CE168" s="2">
        <v>1566</v>
      </c>
      <c r="CF168" s="2">
        <v>0</v>
      </c>
      <c r="CG168" s="2">
        <v>0</v>
      </c>
      <c r="CH168" s="2"/>
      <c r="CI168" s="2"/>
      <c r="CJ168" s="2"/>
      <c r="CK168" s="2"/>
      <c r="CL168" s="2"/>
      <c r="CM168" s="2">
        <v>0</v>
      </c>
      <c r="CN168" s="2" t="s">
        <v>3</v>
      </c>
      <c r="CO168" s="2">
        <v>0</v>
      </c>
      <c r="CP168" s="2">
        <f t="shared" si="125"/>
        <v>2630.78</v>
      </c>
      <c r="CQ168" s="2">
        <f t="shared" si="126"/>
        <v>8.32</v>
      </c>
      <c r="CR168" s="2">
        <f t="shared" si="148"/>
        <v>0</v>
      </c>
      <c r="CS168" s="2">
        <f t="shared" si="149"/>
        <v>0</v>
      </c>
      <c r="CT168" s="2">
        <f t="shared" si="127"/>
        <v>0</v>
      </c>
      <c r="CU168" s="2">
        <f t="shared" si="128"/>
        <v>0</v>
      </c>
      <c r="CV168" s="2">
        <f t="shared" si="129"/>
        <v>0</v>
      </c>
      <c r="CW168" s="2">
        <f t="shared" si="130"/>
        <v>0</v>
      </c>
      <c r="CX168" s="2">
        <f t="shared" si="131"/>
        <v>0</v>
      </c>
      <c r="CY168" s="2">
        <f t="shared" si="150"/>
        <v>0</v>
      </c>
      <c r="CZ168" s="2">
        <f t="shared" si="151"/>
        <v>0</v>
      </c>
      <c r="DA168" s="2"/>
      <c r="DB168" s="2"/>
      <c r="DC168" s="2" t="s">
        <v>3</v>
      </c>
      <c r="DD168" s="2" t="s">
        <v>3</v>
      </c>
      <c r="DE168" s="2" t="s">
        <v>3</v>
      </c>
      <c r="DF168" s="2" t="s">
        <v>3</v>
      </c>
      <c r="DG168" s="2" t="s">
        <v>3</v>
      </c>
      <c r="DH168" s="2" t="s">
        <v>3</v>
      </c>
      <c r="DI168" s="2" t="s">
        <v>3</v>
      </c>
      <c r="DJ168" s="2" t="s">
        <v>3</v>
      </c>
      <c r="DK168" s="2" t="s">
        <v>3</v>
      </c>
      <c r="DL168" s="2" t="s">
        <v>3</v>
      </c>
      <c r="DM168" s="2" t="s">
        <v>3</v>
      </c>
      <c r="DN168" s="2">
        <v>0</v>
      </c>
      <c r="DO168" s="2">
        <v>0</v>
      </c>
      <c r="DP168" s="2">
        <v>1</v>
      </c>
      <c r="DQ168" s="2">
        <v>1</v>
      </c>
      <c r="DR168" s="2"/>
      <c r="DS168" s="2"/>
      <c r="DT168" s="2"/>
      <c r="DU168" s="2">
        <v>1003</v>
      </c>
      <c r="DV168" s="2" t="s">
        <v>197</v>
      </c>
      <c r="DW168" s="2" t="s">
        <v>197</v>
      </c>
      <c r="DX168" s="2">
        <v>1</v>
      </c>
      <c r="DY168" s="2"/>
      <c r="DZ168" s="2" t="s">
        <v>3</v>
      </c>
      <c r="EA168" s="2" t="s">
        <v>3</v>
      </c>
      <c r="EB168" s="2" t="s">
        <v>3</v>
      </c>
      <c r="EC168" s="2" t="s">
        <v>3</v>
      </c>
      <c r="ED168" s="2"/>
      <c r="EE168" s="2">
        <v>55393628</v>
      </c>
      <c r="EF168" s="2">
        <v>213</v>
      </c>
      <c r="EG168" s="2" t="s">
        <v>198</v>
      </c>
      <c r="EH168" s="2">
        <v>0</v>
      </c>
      <c r="EI168" s="2" t="s">
        <v>3</v>
      </c>
      <c r="EJ168" s="2">
        <v>1</v>
      </c>
      <c r="EK168" s="2">
        <v>400005</v>
      </c>
      <c r="EL168" s="2" t="s">
        <v>198</v>
      </c>
      <c r="EM168" s="2" t="s">
        <v>199</v>
      </c>
      <c r="EN168" s="2"/>
      <c r="EO168" s="2" t="s">
        <v>3</v>
      </c>
      <c r="EP168" s="2"/>
      <c r="EQ168" s="2">
        <v>16</v>
      </c>
      <c r="ER168" s="2">
        <v>0</v>
      </c>
      <c r="ES168" s="2">
        <v>8.32</v>
      </c>
      <c r="ET168" s="2">
        <v>0</v>
      </c>
      <c r="EU168" s="2">
        <v>0</v>
      </c>
      <c r="EV168" s="2">
        <v>0</v>
      </c>
      <c r="EW168" s="2">
        <v>0</v>
      </c>
      <c r="EX168" s="2">
        <v>0</v>
      </c>
      <c r="EY168" s="2">
        <v>0</v>
      </c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>
        <v>0</v>
      </c>
      <c r="FR168" s="2">
        <v>0</v>
      </c>
      <c r="FS168" s="2">
        <v>0</v>
      </c>
      <c r="FT168" s="2"/>
      <c r="FU168" s="2"/>
      <c r="FV168" s="2"/>
      <c r="FW168" s="2"/>
      <c r="FX168" s="2">
        <v>0</v>
      </c>
      <c r="FY168" s="2">
        <v>0</v>
      </c>
      <c r="FZ168" s="2"/>
      <c r="GA168" s="2" t="s">
        <v>214</v>
      </c>
      <c r="GB168" s="2"/>
      <c r="GC168" s="2"/>
      <c r="GD168" s="2">
        <v>1</v>
      </c>
      <c r="GE168" s="2"/>
      <c r="GF168" s="2">
        <v>908840470</v>
      </c>
      <c r="GG168" s="2">
        <v>2</v>
      </c>
      <c r="GH168" s="2">
        <v>4</v>
      </c>
      <c r="GI168" s="2">
        <v>-2</v>
      </c>
      <c r="GJ168" s="2">
        <v>0</v>
      </c>
      <c r="GK168" s="2">
        <v>0</v>
      </c>
      <c r="GL168" s="2">
        <f t="shared" si="132"/>
        <v>0</v>
      </c>
      <c r="GM168" s="2">
        <f t="shared" si="133"/>
        <v>2630.78</v>
      </c>
      <c r="GN168" s="2">
        <f t="shared" si="134"/>
        <v>0</v>
      </c>
      <c r="GO168" s="2">
        <f t="shared" si="135"/>
        <v>2630.78</v>
      </c>
      <c r="GP168" s="2">
        <f t="shared" si="136"/>
        <v>0</v>
      </c>
      <c r="GQ168" s="2"/>
      <c r="GR168" s="2">
        <v>1</v>
      </c>
      <c r="GS168" s="2">
        <v>2</v>
      </c>
      <c r="GT168" s="2">
        <v>0</v>
      </c>
      <c r="GU168" s="2" t="s">
        <v>3</v>
      </c>
      <c r="GV168" s="2">
        <f t="shared" si="137"/>
        <v>0</v>
      </c>
      <c r="GW168" s="2">
        <v>1</v>
      </c>
      <c r="GX168" s="2">
        <f t="shared" si="138"/>
        <v>0</v>
      </c>
      <c r="GY168" s="2"/>
      <c r="GZ168" s="2"/>
      <c r="HA168" s="2">
        <v>0</v>
      </c>
      <c r="HB168" s="2">
        <v>0</v>
      </c>
      <c r="HC168" s="2">
        <f t="shared" si="139"/>
        <v>0</v>
      </c>
      <c r="HD168" s="2"/>
      <c r="HE168" s="2" t="s">
        <v>201</v>
      </c>
      <c r="HF168" s="2" t="s">
        <v>30</v>
      </c>
      <c r="HG168" s="2"/>
      <c r="HH168" s="2"/>
      <c r="HI168" s="2"/>
      <c r="HJ168" s="2"/>
      <c r="HK168" s="2"/>
      <c r="HL168" s="2"/>
      <c r="HM168" s="2" t="s">
        <v>3</v>
      </c>
      <c r="HN168" s="2" t="s">
        <v>3</v>
      </c>
      <c r="HO168" s="2" t="s">
        <v>3</v>
      </c>
      <c r="HP168" s="2" t="s">
        <v>3</v>
      </c>
      <c r="HQ168" s="2" t="s">
        <v>3</v>
      </c>
      <c r="HR168" s="2"/>
      <c r="HS168" s="2">
        <v>0</v>
      </c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>
        <v>0</v>
      </c>
      <c r="IL168" s="2"/>
      <c r="IM168" s="2"/>
      <c r="IN168" s="2"/>
      <c r="IO168" s="2"/>
      <c r="IP168" s="2"/>
      <c r="IQ168" s="2"/>
      <c r="IR168" s="2"/>
      <c r="IS168" s="2"/>
      <c r="IT168" s="2"/>
      <c r="IU168" s="2"/>
    </row>
    <row r="169" spans="1:255" x14ac:dyDescent="0.25">
      <c r="A169" s="3">
        <v>17</v>
      </c>
      <c r="B169" s="3">
        <v>1</v>
      </c>
      <c r="E169" s="3" t="s">
        <v>211</v>
      </c>
      <c r="F169" s="3" t="s">
        <v>212</v>
      </c>
      <c r="G169" s="3" t="s">
        <v>213</v>
      </c>
      <c r="H169" s="3" t="s">
        <v>197</v>
      </c>
      <c r="I169" s="3">
        <f>ROUND(310*1.02,9)</f>
        <v>316.2</v>
      </c>
      <c r="J169" s="3">
        <v>0</v>
      </c>
      <c r="K169" s="3">
        <f>ROUND(310*1.02,9)</f>
        <v>316.2</v>
      </c>
      <c r="O169" s="3">
        <f t="shared" si="115"/>
        <v>25886.880000000001</v>
      </c>
      <c r="P169" s="3">
        <f t="shared" si="116"/>
        <v>25886.880000000001</v>
      </c>
      <c r="Q169" s="3">
        <f t="shared" si="140"/>
        <v>0</v>
      </c>
      <c r="R169" s="3">
        <f t="shared" si="141"/>
        <v>0</v>
      </c>
      <c r="S169" s="3">
        <f t="shared" si="117"/>
        <v>0</v>
      </c>
      <c r="T169" s="3">
        <f t="shared" si="118"/>
        <v>0</v>
      </c>
      <c r="U169" s="3">
        <f t="shared" si="119"/>
        <v>0</v>
      </c>
      <c r="V169" s="3">
        <f t="shared" si="120"/>
        <v>0</v>
      </c>
      <c r="W169" s="3">
        <f t="shared" si="121"/>
        <v>0</v>
      </c>
      <c r="X169" s="3">
        <f t="shared" si="142"/>
        <v>0</v>
      </c>
      <c r="Y169" s="3">
        <f t="shared" si="143"/>
        <v>0</v>
      </c>
      <c r="AA169" s="3">
        <v>55936048</v>
      </c>
      <c r="AB169" s="3">
        <f t="shared" si="122"/>
        <v>8.32</v>
      </c>
      <c r="AC169" s="3">
        <f t="shared" si="144"/>
        <v>8.32</v>
      </c>
      <c r="AD169" s="3">
        <f t="shared" si="145"/>
        <v>0</v>
      </c>
      <c r="AE169" s="3">
        <f t="shared" si="146"/>
        <v>0</v>
      </c>
      <c r="AF169" s="3">
        <f t="shared" si="146"/>
        <v>0</v>
      </c>
      <c r="AG169" s="3">
        <f t="shared" si="123"/>
        <v>0</v>
      </c>
      <c r="AH169" s="3">
        <f t="shared" si="147"/>
        <v>0</v>
      </c>
      <c r="AI169" s="3">
        <f t="shared" si="147"/>
        <v>0</v>
      </c>
      <c r="AJ169" s="3">
        <f t="shared" si="124"/>
        <v>0</v>
      </c>
      <c r="AK169" s="3">
        <v>8.32</v>
      </c>
      <c r="AL169" s="3">
        <v>8.32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1</v>
      </c>
      <c r="AW169" s="3">
        <v>1</v>
      </c>
      <c r="AZ169" s="3">
        <v>1</v>
      </c>
      <c r="BA169" s="3">
        <v>1</v>
      </c>
      <c r="BB169" s="3">
        <v>1</v>
      </c>
      <c r="BC169" s="3">
        <v>9.84</v>
      </c>
      <c r="BD169" s="3" t="s">
        <v>3</v>
      </c>
      <c r="BE169" s="3" t="s">
        <v>3</v>
      </c>
      <c r="BF169" s="3" t="s">
        <v>3</v>
      </c>
      <c r="BG169" s="3" t="s">
        <v>3</v>
      </c>
      <c r="BH169" s="3">
        <v>3</v>
      </c>
      <c r="BI169" s="3">
        <v>2</v>
      </c>
      <c r="BJ169" s="3" t="s">
        <v>212</v>
      </c>
      <c r="BM169" s="3">
        <v>400005</v>
      </c>
      <c r="BN169" s="3">
        <v>0</v>
      </c>
      <c r="BO169" s="3" t="s">
        <v>3</v>
      </c>
      <c r="BP169" s="3">
        <v>0</v>
      </c>
      <c r="BQ169" s="3">
        <v>213</v>
      </c>
      <c r="BR169" s="3">
        <v>0</v>
      </c>
      <c r="BS169" s="3">
        <v>1</v>
      </c>
      <c r="BT169" s="3">
        <v>1</v>
      </c>
      <c r="BU169" s="3">
        <v>1</v>
      </c>
      <c r="BV169" s="3">
        <v>1</v>
      </c>
      <c r="BW169" s="3">
        <v>1</v>
      </c>
      <c r="BX169" s="3">
        <v>1</v>
      </c>
      <c r="BY169" s="3" t="s">
        <v>3</v>
      </c>
      <c r="BZ169" s="3">
        <v>0</v>
      </c>
      <c r="CA169" s="3">
        <v>0</v>
      </c>
      <c r="CB169" s="3" t="s">
        <v>3</v>
      </c>
      <c r="CE169" s="3">
        <v>1566</v>
      </c>
      <c r="CF169" s="3">
        <v>0</v>
      </c>
      <c r="CG169" s="3">
        <v>0</v>
      </c>
      <c r="CM169" s="3">
        <v>0</v>
      </c>
      <c r="CN169" s="3" t="s">
        <v>3</v>
      </c>
      <c r="CO169" s="3">
        <v>0</v>
      </c>
      <c r="CP169" s="3">
        <f t="shared" si="125"/>
        <v>25886.880000000001</v>
      </c>
      <c r="CQ169" s="3">
        <f t="shared" si="126"/>
        <v>81.87</v>
      </c>
      <c r="CR169" s="3">
        <f t="shared" si="148"/>
        <v>0</v>
      </c>
      <c r="CS169" s="3">
        <f t="shared" si="149"/>
        <v>0</v>
      </c>
      <c r="CT169" s="3">
        <f t="shared" si="127"/>
        <v>0</v>
      </c>
      <c r="CU169" s="3">
        <f t="shared" si="128"/>
        <v>0</v>
      </c>
      <c r="CV169" s="3">
        <f t="shared" si="129"/>
        <v>0</v>
      </c>
      <c r="CW169" s="3">
        <f t="shared" si="130"/>
        <v>0</v>
      </c>
      <c r="CX169" s="3">
        <f t="shared" si="131"/>
        <v>0</v>
      </c>
      <c r="CY169" s="3">
        <f t="shared" si="150"/>
        <v>0</v>
      </c>
      <c r="CZ169" s="3">
        <f t="shared" si="151"/>
        <v>0</v>
      </c>
      <c r="DC169" s="3" t="s">
        <v>3</v>
      </c>
      <c r="DD169" s="3" t="s">
        <v>3</v>
      </c>
      <c r="DE169" s="3" t="s">
        <v>3</v>
      </c>
      <c r="DF169" s="3" t="s">
        <v>3</v>
      </c>
      <c r="DG169" s="3" t="s">
        <v>3</v>
      </c>
      <c r="DH169" s="3" t="s">
        <v>3</v>
      </c>
      <c r="DI169" s="3" t="s">
        <v>3</v>
      </c>
      <c r="DJ169" s="3" t="s">
        <v>3</v>
      </c>
      <c r="DK169" s="3" t="s">
        <v>3</v>
      </c>
      <c r="DL169" s="3" t="s">
        <v>3</v>
      </c>
      <c r="DM169" s="3" t="s">
        <v>3</v>
      </c>
      <c r="DN169" s="3">
        <v>0</v>
      </c>
      <c r="DO169" s="3">
        <v>0</v>
      </c>
      <c r="DP169" s="3">
        <v>1</v>
      </c>
      <c r="DQ169" s="3">
        <v>1</v>
      </c>
      <c r="DU169" s="3">
        <v>1003</v>
      </c>
      <c r="DV169" s="3" t="s">
        <v>197</v>
      </c>
      <c r="DW169" s="3" t="s">
        <v>197</v>
      </c>
      <c r="DX169" s="3">
        <v>1</v>
      </c>
      <c r="DZ169" s="3" t="s">
        <v>3</v>
      </c>
      <c r="EA169" s="3" t="s">
        <v>3</v>
      </c>
      <c r="EB169" s="3" t="s">
        <v>3</v>
      </c>
      <c r="EC169" s="3" t="s">
        <v>3</v>
      </c>
      <c r="EE169" s="3">
        <v>55393628</v>
      </c>
      <c r="EF169" s="3">
        <v>213</v>
      </c>
      <c r="EG169" s="3" t="s">
        <v>198</v>
      </c>
      <c r="EH169" s="3">
        <v>0</v>
      </c>
      <c r="EI169" s="3" t="s">
        <v>3</v>
      </c>
      <c r="EJ169" s="3">
        <v>1</v>
      </c>
      <c r="EK169" s="3">
        <v>400005</v>
      </c>
      <c r="EL169" s="3" t="s">
        <v>198</v>
      </c>
      <c r="EM169" s="3" t="s">
        <v>199</v>
      </c>
      <c r="EO169" s="3" t="s">
        <v>3</v>
      </c>
      <c r="EQ169" s="3">
        <v>16</v>
      </c>
      <c r="ER169" s="3">
        <v>0</v>
      </c>
      <c r="ES169" s="3">
        <v>8.32</v>
      </c>
      <c r="ET169" s="3">
        <v>0</v>
      </c>
      <c r="EU169" s="3">
        <v>0</v>
      </c>
      <c r="EV169" s="3">
        <v>0</v>
      </c>
      <c r="EW169" s="3">
        <v>0</v>
      </c>
      <c r="EX169" s="3">
        <v>0</v>
      </c>
      <c r="EY169" s="3">
        <v>0</v>
      </c>
      <c r="EZ169" s="3">
        <v>5</v>
      </c>
      <c r="FC169" s="3">
        <v>1</v>
      </c>
      <c r="FD169" s="3">
        <v>18</v>
      </c>
      <c r="FF169" s="3">
        <v>98</v>
      </c>
      <c r="FQ169" s="3">
        <v>0</v>
      </c>
      <c r="FR169" s="3">
        <v>0</v>
      </c>
      <c r="FS169" s="3">
        <v>0</v>
      </c>
      <c r="FX169" s="3">
        <v>0</v>
      </c>
      <c r="FY169" s="3">
        <v>0</v>
      </c>
      <c r="GA169" s="3" t="s">
        <v>214</v>
      </c>
      <c r="GD169" s="3">
        <v>1</v>
      </c>
      <c r="GF169" s="3">
        <v>908840470</v>
      </c>
      <c r="GG169" s="3">
        <v>2</v>
      </c>
      <c r="GH169" s="3">
        <v>3</v>
      </c>
      <c r="GI169" s="3">
        <v>5</v>
      </c>
      <c r="GJ169" s="3">
        <v>0</v>
      </c>
      <c r="GK169" s="3">
        <v>0</v>
      </c>
      <c r="GL169" s="3">
        <f t="shared" si="132"/>
        <v>0</v>
      </c>
      <c r="GM169" s="3">
        <f t="shared" si="133"/>
        <v>25886.880000000001</v>
      </c>
      <c r="GN169" s="3">
        <f t="shared" si="134"/>
        <v>0</v>
      </c>
      <c r="GO169" s="3">
        <f t="shared" si="135"/>
        <v>25886.880000000001</v>
      </c>
      <c r="GP169" s="3">
        <f t="shared" si="136"/>
        <v>0</v>
      </c>
      <c r="GR169" s="3">
        <v>1</v>
      </c>
      <c r="GS169" s="3">
        <v>1</v>
      </c>
      <c r="GT169" s="3">
        <v>0</v>
      </c>
      <c r="GU169" s="3" t="s">
        <v>3</v>
      </c>
      <c r="GV169" s="3">
        <f t="shared" si="137"/>
        <v>0</v>
      </c>
      <c r="GW169" s="3">
        <v>1</v>
      </c>
      <c r="GX169" s="3">
        <f t="shared" si="138"/>
        <v>0</v>
      </c>
      <c r="HA169" s="3">
        <v>0</v>
      </c>
      <c r="HB169" s="3">
        <v>0</v>
      </c>
      <c r="HC169" s="3">
        <f t="shared" si="139"/>
        <v>0</v>
      </c>
      <c r="HE169" s="3" t="s">
        <v>201</v>
      </c>
      <c r="HF169" s="3" t="s">
        <v>30</v>
      </c>
      <c r="HM169" s="3" t="s">
        <v>3</v>
      </c>
      <c r="HN169" s="3" t="s">
        <v>3</v>
      </c>
      <c r="HO169" s="3" t="s">
        <v>3</v>
      </c>
      <c r="HP169" s="3" t="s">
        <v>3</v>
      </c>
      <c r="HQ169" s="3" t="s">
        <v>3</v>
      </c>
      <c r="HS169" s="3">
        <v>0</v>
      </c>
      <c r="IK169" s="3">
        <v>0</v>
      </c>
    </row>
    <row r="170" spans="1:255" x14ac:dyDescent="0.25">
      <c r="A170" s="2">
        <v>17</v>
      </c>
      <c r="B170" s="2">
        <v>1</v>
      </c>
      <c r="C170" s="2">
        <f>ROW(SmtRes!A201)</f>
        <v>201</v>
      </c>
      <c r="D170" s="2">
        <f>ROW(EtalonRes!A230)</f>
        <v>230</v>
      </c>
      <c r="E170" s="2" t="s">
        <v>3</v>
      </c>
      <c r="F170" s="2" t="s">
        <v>215</v>
      </c>
      <c r="G170" s="2" t="s">
        <v>216</v>
      </c>
      <c r="H170" s="2" t="s">
        <v>217</v>
      </c>
      <c r="I170" s="2">
        <f>ROUND((310+624)/100,9)</f>
        <v>9.34</v>
      </c>
      <c r="J170" s="2">
        <v>0</v>
      </c>
      <c r="K170" s="2">
        <f>ROUND((310+624)/100,9)</f>
        <v>9.34</v>
      </c>
      <c r="L170" s="2"/>
      <c r="M170" s="2"/>
      <c r="N170" s="2"/>
      <c r="O170" s="2">
        <f t="shared" si="115"/>
        <v>187.44</v>
      </c>
      <c r="P170" s="2">
        <f t="shared" si="116"/>
        <v>5.32</v>
      </c>
      <c r="Q170" s="2">
        <f>(ROUND((ROUND((((ET170*1.2))*AV170*I170),2)*BB170),2)+ROUND((ROUND(((AE170-((EU170*1.2)))*AV170*I170),2)*BS170),2))</f>
        <v>0</v>
      </c>
      <c r="R170" s="2">
        <f>(ROUND((ROUND((((EU170*1.2))*AV170*I170),2)*BS170),2)+ROUND((ROUND(((AE170-((EU170*1.2)))*AV170*I170),2)*BS170),2))</f>
        <v>0</v>
      </c>
      <c r="S170" s="2">
        <f t="shared" si="117"/>
        <v>182.12</v>
      </c>
      <c r="T170" s="2">
        <f t="shared" si="118"/>
        <v>0</v>
      </c>
      <c r="U170" s="2">
        <f t="shared" si="119"/>
        <v>14.785817759999999</v>
      </c>
      <c r="V170" s="2">
        <f t="shared" si="120"/>
        <v>0</v>
      </c>
      <c r="W170" s="2">
        <f t="shared" si="121"/>
        <v>0</v>
      </c>
      <c r="X170" s="2">
        <f>(ROUND((((S170+ROUND((ROUND((((EU170*1.2))*AV170*I170),2)*BS170),2))*AT170)/100),2)+ROUND(((ROUND((ROUND(((AE170-((EU170*1.2)))*AV170*I170),2)*BS170),2)*AT170)/100),2))</f>
        <v>176.66</v>
      </c>
      <c r="Y170" s="2">
        <f>(ROUND((((S170+ROUND((ROUND((((EU170*1.2))*AV170*I170),2)*BS170),2))*AU170)/100),2)+ROUND(((ROUND((ROUND(((AE170-((EU170*1.2)))*AV170*I170),2)*BS170),2)*AU170)/100),2))</f>
        <v>92.88</v>
      </c>
      <c r="Z170" s="2"/>
      <c r="AA170" s="2">
        <v>-1</v>
      </c>
      <c r="AB170" s="2">
        <f t="shared" si="122"/>
        <v>19.193999999999999</v>
      </c>
      <c r="AC170" s="2">
        <f>ROUND(((ES170*1)),6)</f>
        <v>0.56999999999999995</v>
      </c>
      <c r="AD170" s="2">
        <f>ROUND(((((ET170*1.2))-((EU170*1.2)))+AE170),6)</f>
        <v>0</v>
      </c>
      <c r="AE170" s="2">
        <f>ROUND(((EU170*1.2)),6)</f>
        <v>0</v>
      </c>
      <c r="AF170" s="2">
        <f>ROUND(((EV170*1.2)),6)</f>
        <v>18.623999999999999</v>
      </c>
      <c r="AG170" s="2">
        <f t="shared" si="123"/>
        <v>0</v>
      </c>
      <c r="AH170" s="2">
        <f>((EW170*1.2))</f>
        <v>1.512</v>
      </c>
      <c r="AI170" s="2">
        <f>((EX170*1.2))</f>
        <v>0</v>
      </c>
      <c r="AJ170" s="2">
        <f t="shared" si="124"/>
        <v>0</v>
      </c>
      <c r="AK170" s="2">
        <v>16.09</v>
      </c>
      <c r="AL170" s="2">
        <v>0.56999999999999995</v>
      </c>
      <c r="AM170" s="2">
        <v>0</v>
      </c>
      <c r="AN170" s="2">
        <v>0</v>
      </c>
      <c r="AO170" s="2">
        <v>15.52</v>
      </c>
      <c r="AP170" s="2">
        <v>0</v>
      </c>
      <c r="AQ170" s="2">
        <v>1.26</v>
      </c>
      <c r="AR170" s="2">
        <v>0</v>
      </c>
      <c r="AS170" s="2">
        <v>0</v>
      </c>
      <c r="AT170" s="2">
        <v>97</v>
      </c>
      <c r="AU170" s="2">
        <v>51</v>
      </c>
      <c r="AV170" s="2">
        <v>1.0469999999999999</v>
      </c>
      <c r="AW170" s="2">
        <v>1</v>
      </c>
      <c r="AX170" s="2"/>
      <c r="AY170" s="2"/>
      <c r="AZ170" s="2">
        <v>1</v>
      </c>
      <c r="BA170" s="2">
        <v>1</v>
      </c>
      <c r="BB170" s="2">
        <v>1</v>
      </c>
      <c r="BC170" s="2">
        <v>1</v>
      </c>
      <c r="BD170" s="2" t="s">
        <v>3</v>
      </c>
      <c r="BE170" s="2" t="s">
        <v>3</v>
      </c>
      <c r="BF170" s="2" t="s">
        <v>3</v>
      </c>
      <c r="BG170" s="2" t="s">
        <v>3</v>
      </c>
      <c r="BH170" s="2">
        <v>0</v>
      </c>
      <c r="BI170" s="2">
        <v>2</v>
      </c>
      <c r="BJ170" s="2" t="s">
        <v>218</v>
      </c>
      <c r="BK170" s="2"/>
      <c r="BL170" s="2"/>
      <c r="BM170" s="2">
        <v>67</v>
      </c>
      <c r="BN170" s="2">
        <v>0</v>
      </c>
      <c r="BO170" s="2" t="s">
        <v>215</v>
      </c>
      <c r="BP170" s="2">
        <v>1</v>
      </c>
      <c r="BQ170" s="2">
        <v>40</v>
      </c>
      <c r="BR170" s="2">
        <v>0</v>
      </c>
      <c r="BS170" s="2">
        <v>1</v>
      </c>
      <c r="BT170" s="2">
        <v>1</v>
      </c>
      <c r="BU170" s="2">
        <v>1</v>
      </c>
      <c r="BV170" s="2">
        <v>1</v>
      </c>
      <c r="BW170" s="2">
        <v>1</v>
      </c>
      <c r="BX170" s="2">
        <v>1</v>
      </c>
      <c r="BY170" s="2" t="s">
        <v>3</v>
      </c>
      <c r="BZ170" s="2">
        <v>97</v>
      </c>
      <c r="CA170" s="2">
        <v>51</v>
      </c>
      <c r="CB170" s="2" t="s">
        <v>3</v>
      </c>
      <c r="CC170" s="2"/>
      <c r="CD170" s="2"/>
      <c r="CE170" s="2">
        <v>1566</v>
      </c>
      <c r="CF170" s="2">
        <v>0</v>
      </c>
      <c r="CG170" s="2">
        <v>0</v>
      </c>
      <c r="CH170" s="2"/>
      <c r="CI170" s="2"/>
      <c r="CJ170" s="2"/>
      <c r="CK170" s="2"/>
      <c r="CL170" s="2"/>
      <c r="CM170" s="2">
        <v>0</v>
      </c>
      <c r="CN170" s="2" t="s">
        <v>422</v>
      </c>
      <c r="CO170" s="2">
        <v>0</v>
      </c>
      <c r="CP170" s="2">
        <f t="shared" si="125"/>
        <v>187.44</v>
      </c>
      <c r="CQ170" s="2">
        <f t="shared" si="126"/>
        <v>0.56999999999999995</v>
      </c>
      <c r="CR170" s="2">
        <f>(ROUND((ROUND((((ET170*1.2))*AV170*1),2)*BB170),2)+ROUND((ROUND(((AE170-((EU170*1.2)))*AV170*1),2)*BS170),2))</f>
        <v>0</v>
      </c>
      <c r="CS170" s="2">
        <f>(ROUND((ROUND((((EU170*1.2))*AV170*1),2)*BS170),2)+ROUND((ROUND(((AE170-((EU170*1.2)))*AV170*1),2)*BS170),2))</f>
        <v>0</v>
      </c>
      <c r="CT170" s="2">
        <f t="shared" si="127"/>
        <v>19.5</v>
      </c>
      <c r="CU170" s="2">
        <f t="shared" si="128"/>
        <v>0</v>
      </c>
      <c r="CV170" s="2">
        <f t="shared" si="129"/>
        <v>1.5830639999999998</v>
      </c>
      <c r="CW170" s="2">
        <f t="shared" si="130"/>
        <v>0</v>
      </c>
      <c r="CX170" s="2">
        <f t="shared" si="131"/>
        <v>0</v>
      </c>
      <c r="CY170" s="2">
        <f>(ROUND((((S170+ROUND((ROUND((((EU170*1.2))*AV170*1),2)*BS170),2))*AT170)/100),2)+ROUND(((ROUND((ROUND(((AE170-((EU170*1.2)))*AV170*1),2)*BS170),2)*AT170)/100),2))</f>
        <v>176.66</v>
      </c>
      <c r="CZ170" s="2">
        <f>(ROUND((((S170+ROUND((ROUND((((EU170*1.2))*AV170*1),2)*BS170),2))*AU170)/100),2)+ROUND(((ROUND((ROUND(((AE170-((EU170*1.2)))*AV170*1),2)*BS170),2)*AU170)/100),2))</f>
        <v>92.88</v>
      </c>
      <c r="DA170" s="2"/>
      <c r="DB170" s="2">
        <v>67</v>
      </c>
      <c r="DC170" s="2" t="s">
        <v>3</v>
      </c>
      <c r="DD170" s="2" t="s">
        <v>62</v>
      </c>
      <c r="DE170" s="2" t="s">
        <v>63</v>
      </c>
      <c r="DF170" s="2" t="s">
        <v>63</v>
      </c>
      <c r="DG170" s="2" t="s">
        <v>63</v>
      </c>
      <c r="DH170" s="2" t="s">
        <v>3</v>
      </c>
      <c r="DI170" s="2" t="s">
        <v>63</v>
      </c>
      <c r="DJ170" s="2" t="s">
        <v>63</v>
      </c>
      <c r="DK170" s="2" t="s">
        <v>3</v>
      </c>
      <c r="DL170" s="2" t="s">
        <v>3</v>
      </c>
      <c r="DM170" s="2" t="s">
        <v>3</v>
      </c>
      <c r="DN170" s="2">
        <v>0</v>
      </c>
      <c r="DO170" s="2">
        <v>0</v>
      </c>
      <c r="DP170" s="2">
        <v>1</v>
      </c>
      <c r="DQ170" s="2">
        <v>1</v>
      </c>
      <c r="DR170" s="2"/>
      <c r="DS170" s="2"/>
      <c r="DT170" s="2"/>
      <c r="DU170" s="2">
        <v>1013</v>
      </c>
      <c r="DV170" s="2" t="s">
        <v>217</v>
      </c>
      <c r="DW170" s="2" t="s">
        <v>217</v>
      </c>
      <c r="DX170" s="2">
        <v>1</v>
      </c>
      <c r="DY170" s="2"/>
      <c r="DZ170" s="2" t="s">
        <v>3</v>
      </c>
      <c r="EA170" s="2" t="s">
        <v>3</v>
      </c>
      <c r="EB170" s="2" t="s">
        <v>3</v>
      </c>
      <c r="EC170" s="2" t="s">
        <v>3</v>
      </c>
      <c r="ED170" s="2"/>
      <c r="EE170" s="2">
        <v>55393699</v>
      </c>
      <c r="EF170" s="2">
        <v>40</v>
      </c>
      <c r="EG170" s="2" t="s">
        <v>26</v>
      </c>
      <c r="EH170" s="2">
        <v>0</v>
      </c>
      <c r="EI170" s="2" t="s">
        <v>3</v>
      </c>
      <c r="EJ170" s="2">
        <v>2</v>
      </c>
      <c r="EK170" s="2">
        <v>67</v>
      </c>
      <c r="EL170" s="2" t="s">
        <v>219</v>
      </c>
      <c r="EM170" s="2" t="s">
        <v>220</v>
      </c>
      <c r="EN170" s="2"/>
      <c r="EO170" s="2" t="s">
        <v>67</v>
      </c>
      <c r="EP170" s="2"/>
      <c r="EQ170" s="2">
        <v>1024</v>
      </c>
      <c r="ER170" s="2">
        <v>16.09</v>
      </c>
      <c r="ES170" s="2">
        <v>0.56999999999999995</v>
      </c>
      <c r="ET170" s="2">
        <v>0</v>
      </c>
      <c r="EU170" s="2">
        <v>0</v>
      </c>
      <c r="EV170" s="2">
        <v>15.52</v>
      </c>
      <c r="EW170" s="2">
        <v>1.26</v>
      </c>
      <c r="EX170" s="2">
        <v>0</v>
      </c>
      <c r="EY170" s="2">
        <v>0</v>
      </c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>
        <v>0</v>
      </c>
      <c r="FR170" s="2">
        <v>0</v>
      </c>
      <c r="FS170" s="2">
        <v>0</v>
      </c>
      <c r="FT170" s="2"/>
      <c r="FU170" s="2"/>
      <c r="FV170" s="2"/>
      <c r="FW170" s="2"/>
      <c r="FX170" s="2">
        <v>97</v>
      </c>
      <c r="FY170" s="2">
        <v>51</v>
      </c>
      <c r="FZ170" s="2"/>
      <c r="GA170" s="2" t="s">
        <v>3</v>
      </c>
      <c r="GB170" s="2"/>
      <c r="GC170" s="2"/>
      <c r="GD170" s="2">
        <v>1</v>
      </c>
      <c r="GE170" s="2"/>
      <c r="GF170" s="2">
        <v>2037938139</v>
      </c>
      <c r="GG170" s="2">
        <v>2</v>
      </c>
      <c r="GH170" s="2">
        <v>1</v>
      </c>
      <c r="GI170" s="2">
        <v>2</v>
      </c>
      <c r="GJ170" s="2">
        <v>0</v>
      </c>
      <c r="GK170" s="2">
        <v>0</v>
      </c>
      <c r="GL170" s="2">
        <f t="shared" si="132"/>
        <v>0</v>
      </c>
      <c r="GM170" s="2">
        <f t="shared" si="133"/>
        <v>456.98</v>
      </c>
      <c r="GN170" s="2">
        <f t="shared" si="134"/>
        <v>0</v>
      </c>
      <c r="GO170" s="2">
        <f t="shared" si="135"/>
        <v>456.98</v>
      </c>
      <c r="GP170" s="2">
        <f t="shared" si="136"/>
        <v>0</v>
      </c>
      <c r="GQ170" s="2"/>
      <c r="GR170" s="2">
        <v>0</v>
      </c>
      <c r="GS170" s="2">
        <v>3</v>
      </c>
      <c r="GT170" s="2">
        <v>0</v>
      </c>
      <c r="GU170" s="2" t="s">
        <v>3</v>
      </c>
      <c r="GV170" s="2">
        <f t="shared" si="137"/>
        <v>0</v>
      </c>
      <c r="GW170" s="2">
        <v>1</v>
      </c>
      <c r="GX170" s="2">
        <f t="shared" si="138"/>
        <v>0</v>
      </c>
      <c r="GY170" s="2"/>
      <c r="GZ170" s="2"/>
      <c r="HA170" s="2">
        <v>0</v>
      </c>
      <c r="HB170" s="2">
        <v>0</v>
      </c>
      <c r="HC170" s="2">
        <f t="shared" si="139"/>
        <v>0</v>
      </c>
      <c r="HD170" s="2"/>
      <c r="HE170" s="2" t="s">
        <v>3</v>
      </c>
      <c r="HF170" s="2" t="s">
        <v>3</v>
      </c>
      <c r="HG170" s="2"/>
      <c r="HH170" s="2"/>
      <c r="HI170" s="2"/>
      <c r="HJ170" s="2"/>
      <c r="HK170" s="2"/>
      <c r="HL170" s="2"/>
      <c r="HM170" s="2" t="s">
        <v>3</v>
      </c>
      <c r="HN170" s="2" t="s">
        <v>3</v>
      </c>
      <c r="HO170" s="2" t="s">
        <v>3</v>
      </c>
      <c r="HP170" s="2" t="s">
        <v>3</v>
      </c>
      <c r="HQ170" s="2" t="s">
        <v>3</v>
      </c>
      <c r="HR170" s="2"/>
      <c r="HS170" s="2">
        <v>0</v>
      </c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>
        <v>0</v>
      </c>
      <c r="IL170" s="2"/>
      <c r="IM170" s="2"/>
      <c r="IN170" s="2"/>
      <c r="IO170" s="2"/>
      <c r="IP170" s="2"/>
      <c r="IQ170" s="2"/>
      <c r="IR170" s="2"/>
      <c r="IS170" s="2"/>
      <c r="IT170" s="2"/>
      <c r="IU170" s="2"/>
    </row>
    <row r="171" spans="1:255" x14ac:dyDescent="0.25">
      <c r="A171" s="3">
        <v>17</v>
      </c>
      <c r="B171" s="3">
        <v>1</v>
      </c>
      <c r="C171" s="3">
        <f>ROW(SmtRes!A202)</f>
        <v>202</v>
      </c>
      <c r="D171" s="3">
        <f>ROW(EtalonRes!A232)</f>
        <v>232</v>
      </c>
      <c r="E171" s="3" t="s">
        <v>3</v>
      </c>
      <c r="F171" s="3" t="s">
        <v>215</v>
      </c>
      <c r="G171" s="3" t="s">
        <v>216</v>
      </c>
      <c r="H171" s="3" t="s">
        <v>217</v>
      </c>
      <c r="I171" s="3">
        <f>ROUND((310+624)/100,9)</f>
        <v>9.34</v>
      </c>
      <c r="J171" s="3">
        <v>0</v>
      </c>
      <c r="K171" s="3">
        <f>ROUND((310+624)/100,9)</f>
        <v>9.34</v>
      </c>
      <c r="O171" s="3">
        <f t="shared" si="115"/>
        <v>10359.23</v>
      </c>
      <c r="P171" s="3">
        <f t="shared" si="116"/>
        <v>96.77</v>
      </c>
      <c r="Q171" s="3">
        <f>(ROUND((ROUND((((ET171*1.2))*AV171*I171),2)*BB171),2)+ROUND((ROUND(((AE171-((EU171*1.2)))*AV171*I171),2)*BS171),2))</f>
        <v>0</v>
      </c>
      <c r="R171" s="3">
        <f>(ROUND((ROUND((((EU171*1.2))*AV171*I171),2)*BS171),2)+ROUND((ROUND(((AE171-((EU171*1.2)))*AV171*I171),2)*BS171),2))</f>
        <v>0</v>
      </c>
      <c r="S171" s="3">
        <f t="shared" si="117"/>
        <v>10262.459999999999</v>
      </c>
      <c r="T171" s="3">
        <f t="shared" si="118"/>
        <v>0</v>
      </c>
      <c r="U171" s="3">
        <f t="shared" si="119"/>
        <v>14.785817759999999</v>
      </c>
      <c r="V171" s="3">
        <f t="shared" si="120"/>
        <v>0</v>
      </c>
      <c r="W171" s="3">
        <f t="shared" si="121"/>
        <v>0</v>
      </c>
      <c r="X171" s="3">
        <f>(ROUND((((S171+ROUND((ROUND((((EU171*1.2))*AV171*I171),2)*BS171),2))*AT171)/100),2)+ROUND(((ROUND((ROUND(((AE171-((EU171*1.2)))*AV171*I171),2)*BS171),2)*AT171)/100),2))</f>
        <v>9954.59</v>
      </c>
      <c r="Y171" s="3">
        <f>(ROUND((((S171+ROUND((ROUND((((EU171*1.2))*AV171*I171),2)*BS171),2))*AU171)/100),2)+ROUND(((ROUND((ROUND(((AE171-((EU171*1.2)))*AV171*I171),2)*BS171),2)*AU171)/100),2))</f>
        <v>5233.8500000000004</v>
      </c>
      <c r="AA171" s="3">
        <v>-1</v>
      </c>
      <c r="AB171" s="3">
        <f t="shared" si="122"/>
        <v>19.193999999999999</v>
      </c>
      <c r="AC171" s="3">
        <f>ROUND(((ES171*1)),6)</f>
        <v>0.56999999999999995</v>
      </c>
      <c r="AD171" s="3">
        <f>ROUND(((((ET171*1.2))-((EU171*1.2)))+AE171),6)</f>
        <v>0</v>
      </c>
      <c r="AE171" s="3">
        <f>ROUND(((EU171*1.2)),6)</f>
        <v>0</v>
      </c>
      <c r="AF171" s="3">
        <f>ROUND(((EV171*1.2)),6)</f>
        <v>18.623999999999999</v>
      </c>
      <c r="AG171" s="3">
        <f t="shared" si="123"/>
        <v>0</v>
      </c>
      <c r="AH171" s="3">
        <f>((EW171*1.2))</f>
        <v>1.512</v>
      </c>
      <c r="AI171" s="3">
        <f>((EX171*1.2))</f>
        <v>0</v>
      </c>
      <c r="AJ171" s="3">
        <f t="shared" si="124"/>
        <v>0</v>
      </c>
      <c r="AK171" s="3">
        <v>16.09</v>
      </c>
      <c r="AL171" s="3">
        <v>0.56999999999999995</v>
      </c>
      <c r="AM171" s="3">
        <v>0</v>
      </c>
      <c r="AN171" s="3">
        <v>0</v>
      </c>
      <c r="AO171" s="3">
        <v>15.52</v>
      </c>
      <c r="AP171" s="3">
        <v>0</v>
      </c>
      <c r="AQ171" s="3">
        <v>1.26</v>
      </c>
      <c r="AR171" s="3">
        <v>0</v>
      </c>
      <c r="AS171" s="3">
        <v>0</v>
      </c>
      <c r="AT171" s="3">
        <v>97</v>
      </c>
      <c r="AU171" s="3">
        <v>51</v>
      </c>
      <c r="AV171" s="3">
        <v>1.0469999999999999</v>
      </c>
      <c r="AW171" s="3">
        <v>1</v>
      </c>
      <c r="AZ171" s="3">
        <v>1</v>
      </c>
      <c r="BA171" s="3">
        <v>56.35</v>
      </c>
      <c r="BB171" s="3">
        <v>1</v>
      </c>
      <c r="BC171" s="3">
        <v>18.190000000000001</v>
      </c>
      <c r="BD171" s="3" t="s">
        <v>3</v>
      </c>
      <c r="BE171" s="3" t="s">
        <v>3</v>
      </c>
      <c r="BF171" s="3" t="s">
        <v>3</v>
      </c>
      <c r="BG171" s="3" t="s">
        <v>3</v>
      </c>
      <c r="BH171" s="3">
        <v>0</v>
      </c>
      <c r="BI171" s="3">
        <v>2</v>
      </c>
      <c r="BJ171" s="3" t="s">
        <v>218</v>
      </c>
      <c r="BM171" s="3">
        <v>67</v>
      </c>
      <c r="BN171" s="3">
        <v>0</v>
      </c>
      <c r="BO171" s="3" t="s">
        <v>215</v>
      </c>
      <c r="BP171" s="3">
        <v>1</v>
      </c>
      <c r="BQ171" s="3">
        <v>40</v>
      </c>
      <c r="BR171" s="3">
        <v>0</v>
      </c>
      <c r="BS171" s="3">
        <v>56.35</v>
      </c>
      <c r="BT171" s="3">
        <v>1</v>
      </c>
      <c r="BU171" s="3">
        <v>1</v>
      </c>
      <c r="BV171" s="3">
        <v>1</v>
      </c>
      <c r="BW171" s="3">
        <v>1</v>
      </c>
      <c r="BX171" s="3">
        <v>1</v>
      </c>
      <c r="BY171" s="3" t="s">
        <v>3</v>
      </c>
      <c r="BZ171" s="3">
        <v>97</v>
      </c>
      <c r="CA171" s="3">
        <v>51</v>
      </c>
      <c r="CB171" s="3" t="s">
        <v>3</v>
      </c>
      <c r="CE171" s="3">
        <v>1566</v>
      </c>
      <c r="CF171" s="3">
        <v>0</v>
      </c>
      <c r="CG171" s="3">
        <v>0</v>
      </c>
      <c r="CM171" s="3">
        <v>0</v>
      </c>
      <c r="CN171" s="3" t="s">
        <v>422</v>
      </c>
      <c r="CO171" s="3">
        <v>0</v>
      </c>
      <c r="CP171" s="3">
        <f t="shared" si="125"/>
        <v>10359.23</v>
      </c>
      <c r="CQ171" s="3">
        <f t="shared" si="126"/>
        <v>10.37</v>
      </c>
      <c r="CR171" s="3">
        <f>(ROUND((ROUND((((ET171*1.2))*AV171*1),2)*BB171),2)+ROUND((ROUND(((AE171-((EU171*1.2)))*AV171*1),2)*BS171),2))</f>
        <v>0</v>
      </c>
      <c r="CS171" s="3">
        <f>(ROUND((ROUND((((EU171*1.2))*AV171*1),2)*BS171),2)+ROUND((ROUND(((AE171-((EU171*1.2)))*AV171*1),2)*BS171),2))</f>
        <v>0</v>
      </c>
      <c r="CT171" s="3">
        <f t="shared" si="127"/>
        <v>1098.83</v>
      </c>
      <c r="CU171" s="3">
        <f t="shared" si="128"/>
        <v>0</v>
      </c>
      <c r="CV171" s="3">
        <f t="shared" si="129"/>
        <v>1.5830639999999998</v>
      </c>
      <c r="CW171" s="3">
        <f t="shared" si="130"/>
        <v>0</v>
      </c>
      <c r="CX171" s="3">
        <f t="shared" si="131"/>
        <v>0</v>
      </c>
      <c r="CY171" s="3">
        <f>(ROUND((((S171+ROUND((ROUND((((EU171*1.2))*AV171*1),2)*BS171),2))*AT171)/100),2)+ROUND(((ROUND((ROUND(((AE171-((EU171*1.2)))*AV171*1),2)*BS171),2)*AT171)/100),2))</f>
        <v>9954.59</v>
      </c>
      <c r="CZ171" s="3">
        <f>(ROUND((((S171+ROUND((ROUND((((EU171*1.2))*AV171*1),2)*BS171),2))*AU171)/100),2)+ROUND(((ROUND((ROUND(((AE171-((EU171*1.2)))*AV171*1),2)*BS171),2)*AU171)/100),2))</f>
        <v>5233.8500000000004</v>
      </c>
      <c r="DB171" s="3">
        <v>68</v>
      </c>
      <c r="DC171" s="3" t="s">
        <v>3</v>
      </c>
      <c r="DD171" s="3" t="s">
        <v>62</v>
      </c>
      <c r="DE171" s="3" t="s">
        <v>63</v>
      </c>
      <c r="DF171" s="3" t="s">
        <v>63</v>
      </c>
      <c r="DG171" s="3" t="s">
        <v>63</v>
      </c>
      <c r="DH171" s="3" t="s">
        <v>3</v>
      </c>
      <c r="DI171" s="3" t="s">
        <v>63</v>
      </c>
      <c r="DJ171" s="3" t="s">
        <v>63</v>
      </c>
      <c r="DK171" s="3" t="s">
        <v>3</v>
      </c>
      <c r="DL171" s="3" t="s">
        <v>3</v>
      </c>
      <c r="DM171" s="3" t="s">
        <v>3</v>
      </c>
      <c r="DN171" s="3">
        <v>0</v>
      </c>
      <c r="DO171" s="3">
        <v>0</v>
      </c>
      <c r="DP171" s="3">
        <v>1</v>
      </c>
      <c r="DQ171" s="3">
        <v>1</v>
      </c>
      <c r="DU171" s="3">
        <v>1013</v>
      </c>
      <c r="DV171" s="3" t="s">
        <v>217</v>
      </c>
      <c r="DW171" s="3" t="s">
        <v>217</v>
      </c>
      <c r="DX171" s="3">
        <v>1</v>
      </c>
      <c r="DZ171" s="3" t="s">
        <v>3</v>
      </c>
      <c r="EA171" s="3" t="s">
        <v>3</v>
      </c>
      <c r="EB171" s="3" t="s">
        <v>3</v>
      </c>
      <c r="EC171" s="3" t="s">
        <v>3</v>
      </c>
      <c r="EE171" s="3">
        <v>55393699</v>
      </c>
      <c r="EF171" s="3">
        <v>40</v>
      </c>
      <c r="EG171" s="3" t="s">
        <v>26</v>
      </c>
      <c r="EH171" s="3">
        <v>0</v>
      </c>
      <c r="EI171" s="3" t="s">
        <v>3</v>
      </c>
      <c r="EJ171" s="3">
        <v>2</v>
      </c>
      <c r="EK171" s="3">
        <v>67</v>
      </c>
      <c r="EL171" s="3" t="s">
        <v>219</v>
      </c>
      <c r="EM171" s="3" t="s">
        <v>220</v>
      </c>
      <c r="EO171" s="3" t="s">
        <v>67</v>
      </c>
      <c r="EQ171" s="3">
        <v>1024</v>
      </c>
      <c r="ER171" s="3">
        <v>16.09</v>
      </c>
      <c r="ES171" s="3">
        <v>0.56999999999999995</v>
      </c>
      <c r="ET171" s="3">
        <v>0</v>
      </c>
      <c r="EU171" s="3">
        <v>0</v>
      </c>
      <c r="EV171" s="3">
        <v>15.52</v>
      </c>
      <c r="EW171" s="3">
        <v>1.26</v>
      </c>
      <c r="EX171" s="3">
        <v>0</v>
      </c>
      <c r="EY171" s="3">
        <v>0</v>
      </c>
      <c r="FQ171" s="3">
        <v>0</v>
      </c>
      <c r="FR171" s="3">
        <v>0</v>
      </c>
      <c r="FS171" s="3">
        <v>0</v>
      </c>
      <c r="FX171" s="3">
        <v>97</v>
      </c>
      <c r="FY171" s="3">
        <v>51</v>
      </c>
      <c r="GA171" s="3" t="s">
        <v>3</v>
      </c>
      <c r="GD171" s="3">
        <v>1</v>
      </c>
      <c r="GF171" s="3">
        <v>2037938139</v>
      </c>
      <c r="GG171" s="3">
        <v>2</v>
      </c>
      <c r="GH171" s="3">
        <v>1</v>
      </c>
      <c r="GI171" s="3">
        <v>2</v>
      </c>
      <c r="GJ171" s="3">
        <v>0</v>
      </c>
      <c r="GK171" s="3">
        <v>0</v>
      </c>
      <c r="GL171" s="3">
        <f t="shared" si="132"/>
        <v>0</v>
      </c>
      <c r="GM171" s="3">
        <f t="shared" si="133"/>
        <v>25547.67</v>
      </c>
      <c r="GN171" s="3">
        <f t="shared" si="134"/>
        <v>0</v>
      </c>
      <c r="GO171" s="3">
        <f t="shared" si="135"/>
        <v>25547.67</v>
      </c>
      <c r="GP171" s="3">
        <f t="shared" si="136"/>
        <v>0</v>
      </c>
      <c r="GR171" s="3">
        <v>0</v>
      </c>
      <c r="GS171" s="3">
        <v>3</v>
      </c>
      <c r="GT171" s="3">
        <v>0</v>
      </c>
      <c r="GU171" s="3" t="s">
        <v>3</v>
      </c>
      <c r="GV171" s="3">
        <f t="shared" si="137"/>
        <v>0</v>
      </c>
      <c r="GW171" s="3">
        <v>1</v>
      </c>
      <c r="GX171" s="3">
        <f t="shared" si="138"/>
        <v>0</v>
      </c>
      <c r="HA171" s="3">
        <v>0</v>
      </c>
      <c r="HB171" s="3">
        <v>0</v>
      </c>
      <c r="HC171" s="3">
        <f t="shared" si="139"/>
        <v>0</v>
      </c>
      <c r="HE171" s="3" t="s">
        <v>3</v>
      </c>
      <c r="HF171" s="3" t="s">
        <v>3</v>
      </c>
      <c r="HM171" s="3" t="s">
        <v>3</v>
      </c>
      <c r="HN171" s="3" t="s">
        <v>3</v>
      </c>
      <c r="HO171" s="3" t="s">
        <v>3</v>
      </c>
      <c r="HP171" s="3" t="s">
        <v>3</v>
      </c>
      <c r="HQ171" s="3" t="s">
        <v>3</v>
      </c>
      <c r="HS171" s="3">
        <v>0</v>
      </c>
      <c r="IK171" s="3">
        <v>0</v>
      </c>
    </row>
    <row r="172" spans="1:255" x14ac:dyDescent="0.25">
      <c r="A172" s="2">
        <v>17</v>
      </c>
      <c r="B172" s="2">
        <v>1</v>
      </c>
      <c r="C172" s="2"/>
      <c r="D172" s="2"/>
      <c r="E172" s="2" t="s">
        <v>3</v>
      </c>
      <c r="F172" s="2" t="s">
        <v>221</v>
      </c>
      <c r="G172" s="2" t="s">
        <v>222</v>
      </c>
      <c r="H172" s="2" t="s">
        <v>223</v>
      </c>
      <c r="I172" s="2">
        <f>ROUND(I170*-0.00003,9)</f>
        <v>-2.8019999999999998E-4</v>
      </c>
      <c r="J172" s="2">
        <v>0</v>
      </c>
      <c r="K172" s="2">
        <f>ROUND(I170*-0.00003,9)</f>
        <v>-2.8019999999999998E-4</v>
      </c>
      <c r="L172" s="2"/>
      <c r="M172" s="2"/>
      <c r="N172" s="2"/>
      <c r="O172" s="2">
        <f t="shared" si="115"/>
        <v>-5.32</v>
      </c>
      <c r="P172" s="2">
        <f t="shared" si="116"/>
        <v>-5.32</v>
      </c>
      <c r="Q172" s="2">
        <f>(ROUND((ROUND(((ET172)*AV172*I172),2)*BB172),2)+ROUND((ROUND(((AE172-(EU172))*AV172*I172),2)*BS172),2))</f>
        <v>0</v>
      </c>
      <c r="R172" s="2">
        <f>(ROUND((ROUND(((EU172)*AV172*I172),2)*BS172),2)+ROUND((ROUND(((AE172-(EU172))*AV172*I172),2)*BS172),2))</f>
        <v>0</v>
      </c>
      <c r="S172" s="2">
        <f t="shared" si="117"/>
        <v>0</v>
      </c>
      <c r="T172" s="2">
        <f t="shared" si="118"/>
        <v>0</v>
      </c>
      <c r="U172" s="2">
        <f t="shared" si="119"/>
        <v>0</v>
      </c>
      <c r="V172" s="2">
        <f t="shared" si="120"/>
        <v>0</v>
      </c>
      <c r="W172" s="2">
        <f t="shared" si="121"/>
        <v>0</v>
      </c>
      <c r="X172" s="2">
        <f>(ROUND((((S172+ROUND((ROUND(((EU172)*AV172*I172),2)*BS172),2))*AT172)/100),2)+ROUND(((ROUND((ROUND(((AE172-(EU172))*AV172*I172),2)*BS172),2)*AT172)/100),2))</f>
        <v>0</v>
      </c>
      <c r="Y172" s="2">
        <f>(ROUND((((S172+ROUND((ROUND(((EU172)*AV172*I172),2)*BS172),2))*AU172)/100),2)+ROUND(((ROUND((ROUND(((AE172-(EU172))*AV172*I172),2)*BS172),2)*AU172)/100),2))</f>
        <v>0</v>
      </c>
      <c r="Z172" s="2"/>
      <c r="AA172" s="2">
        <v>-1</v>
      </c>
      <c r="AB172" s="2">
        <f t="shared" si="122"/>
        <v>18995.22</v>
      </c>
      <c r="AC172" s="2">
        <f>ROUND((ES172),6)</f>
        <v>18995.22</v>
      </c>
      <c r="AD172" s="2">
        <f>ROUND((((ET172)-(EU172))+AE172),6)</f>
        <v>0</v>
      </c>
      <c r="AE172" s="2">
        <f t="shared" ref="AE172:AF175" si="152">ROUND((EU172),6)</f>
        <v>0</v>
      </c>
      <c r="AF172" s="2">
        <f t="shared" si="152"/>
        <v>0</v>
      </c>
      <c r="AG172" s="2">
        <f t="shared" si="123"/>
        <v>0</v>
      </c>
      <c r="AH172" s="2">
        <f t="shared" ref="AH172:AI175" si="153">(EW172)</f>
        <v>0</v>
      </c>
      <c r="AI172" s="2">
        <f t="shared" si="153"/>
        <v>0</v>
      </c>
      <c r="AJ172" s="2">
        <f t="shared" si="124"/>
        <v>0</v>
      </c>
      <c r="AK172" s="2">
        <v>18995.22</v>
      </c>
      <c r="AL172" s="2">
        <v>18995.22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1</v>
      </c>
      <c r="AW172" s="2">
        <v>1</v>
      </c>
      <c r="AX172" s="2"/>
      <c r="AY172" s="2"/>
      <c r="AZ172" s="2">
        <v>1</v>
      </c>
      <c r="BA172" s="2">
        <v>1</v>
      </c>
      <c r="BB172" s="2">
        <v>1</v>
      </c>
      <c r="BC172" s="2">
        <v>1</v>
      </c>
      <c r="BD172" s="2" t="s">
        <v>3</v>
      </c>
      <c r="BE172" s="2" t="s">
        <v>3</v>
      </c>
      <c r="BF172" s="2" t="s">
        <v>3</v>
      </c>
      <c r="BG172" s="2" t="s">
        <v>3</v>
      </c>
      <c r="BH172" s="2">
        <v>3</v>
      </c>
      <c r="BI172" s="2">
        <v>2</v>
      </c>
      <c r="BJ172" s="2" t="s">
        <v>224</v>
      </c>
      <c r="BK172" s="2"/>
      <c r="BL172" s="2"/>
      <c r="BM172" s="2">
        <v>1617</v>
      </c>
      <c r="BN172" s="2">
        <v>0</v>
      </c>
      <c r="BO172" s="2" t="s">
        <v>3</v>
      </c>
      <c r="BP172" s="2">
        <v>0</v>
      </c>
      <c r="BQ172" s="2">
        <v>200</v>
      </c>
      <c r="BR172" s="2">
        <v>1</v>
      </c>
      <c r="BS172" s="2">
        <v>1</v>
      </c>
      <c r="BT172" s="2">
        <v>1</v>
      </c>
      <c r="BU172" s="2">
        <v>1</v>
      </c>
      <c r="BV172" s="2">
        <v>1</v>
      </c>
      <c r="BW172" s="2">
        <v>1</v>
      </c>
      <c r="BX172" s="2">
        <v>1</v>
      </c>
      <c r="BY172" s="2" t="s">
        <v>3</v>
      </c>
      <c r="BZ172" s="2">
        <v>0</v>
      </c>
      <c r="CA172" s="2">
        <v>0</v>
      </c>
      <c r="CB172" s="2" t="s">
        <v>3</v>
      </c>
      <c r="CC172" s="2"/>
      <c r="CD172" s="2"/>
      <c r="CE172" s="2">
        <v>1566</v>
      </c>
      <c r="CF172" s="2">
        <v>0</v>
      </c>
      <c r="CG172" s="2">
        <v>0</v>
      </c>
      <c r="CH172" s="2"/>
      <c r="CI172" s="2"/>
      <c r="CJ172" s="2"/>
      <c r="CK172" s="2"/>
      <c r="CL172" s="2"/>
      <c r="CM172" s="2">
        <v>0</v>
      </c>
      <c r="CN172" s="2" t="s">
        <v>422</v>
      </c>
      <c r="CO172" s="2">
        <v>0</v>
      </c>
      <c r="CP172" s="2">
        <f t="shared" si="125"/>
        <v>-5.32</v>
      </c>
      <c r="CQ172" s="2">
        <f t="shared" si="126"/>
        <v>18995.22</v>
      </c>
      <c r="CR172" s="2">
        <f>(ROUND((ROUND(((ET172)*AV172*1),2)*BB172),2)+ROUND((ROUND(((AE172-(EU172))*AV172*1),2)*BS172),2))</f>
        <v>0</v>
      </c>
      <c r="CS172" s="2">
        <f>(ROUND((ROUND(((EU172)*AV172*1),2)*BS172),2)+ROUND((ROUND(((AE172-(EU172))*AV172*1),2)*BS172),2))</f>
        <v>0</v>
      </c>
      <c r="CT172" s="2">
        <f t="shared" si="127"/>
        <v>0</v>
      </c>
      <c r="CU172" s="2">
        <f t="shared" si="128"/>
        <v>0</v>
      </c>
      <c r="CV172" s="2">
        <f t="shared" si="129"/>
        <v>0</v>
      </c>
      <c r="CW172" s="2">
        <f t="shared" si="130"/>
        <v>0</v>
      </c>
      <c r="CX172" s="2">
        <f t="shared" si="131"/>
        <v>0</v>
      </c>
      <c r="CY172" s="2">
        <f>(ROUND((((S172+ROUND((ROUND(((EU172)*AV172*1),2)*BS172),2))*AT172)/100),2)+ROUND(((ROUND((ROUND(((AE172-(EU172))*AV172*1),2)*BS172),2)*AT172)/100),2))</f>
        <v>0</v>
      </c>
      <c r="CZ172" s="2">
        <f>(ROUND((((S172+ROUND((ROUND(((EU172)*AV172*1),2)*BS172),2))*AU172)/100),2)+ROUND(((ROUND((ROUND(((AE172-(EU172))*AV172*1),2)*BS172),2)*AU172)/100),2))</f>
        <v>0</v>
      </c>
      <c r="DA172" s="2"/>
      <c r="DB172" s="2"/>
      <c r="DC172" s="2" t="s">
        <v>3</v>
      </c>
      <c r="DD172" s="2" t="s">
        <v>3</v>
      </c>
      <c r="DE172" s="2" t="s">
        <v>3</v>
      </c>
      <c r="DF172" s="2" t="s">
        <v>3</v>
      </c>
      <c r="DG172" s="2" t="s">
        <v>3</v>
      </c>
      <c r="DH172" s="2" t="s">
        <v>3</v>
      </c>
      <c r="DI172" s="2" t="s">
        <v>3</v>
      </c>
      <c r="DJ172" s="2" t="s">
        <v>3</v>
      </c>
      <c r="DK172" s="2" t="s">
        <v>3</v>
      </c>
      <c r="DL172" s="2" t="s">
        <v>3</v>
      </c>
      <c r="DM172" s="2" t="s">
        <v>3</v>
      </c>
      <c r="DN172" s="2">
        <v>0</v>
      </c>
      <c r="DO172" s="2">
        <v>0</v>
      </c>
      <c r="DP172" s="2">
        <v>1</v>
      </c>
      <c r="DQ172" s="2">
        <v>1</v>
      </c>
      <c r="DR172" s="2"/>
      <c r="DS172" s="2"/>
      <c r="DT172" s="2"/>
      <c r="DU172" s="2">
        <v>1009</v>
      </c>
      <c r="DV172" s="2" t="s">
        <v>223</v>
      </c>
      <c r="DW172" s="2" t="s">
        <v>223</v>
      </c>
      <c r="DX172" s="2">
        <v>1000</v>
      </c>
      <c r="DY172" s="2"/>
      <c r="DZ172" s="2" t="s">
        <v>3</v>
      </c>
      <c r="EA172" s="2" t="s">
        <v>3</v>
      </c>
      <c r="EB172" s="2" t="s">
        <v>3</v>
      </c>
      <c r="EC172" s="2" t="s">
        <v>3</v>
      </c>
      <c r="ED172" s="2"/>
      <c r="EE172" s="2">
        <v>55393728</v>
      </c>
      <c r="EF172" s="2">
        <v>200</v>
      </c>
      <c r="EG172" s="2" t="s">
        <v>225</v>
      </c>
      <c r="EH172" s="2">
        <v>0</v>
      </c>
      <c r="EI172" s="2" t="s">
        <v>3</v>
      </c>
      <c r="EJ172" s="2">
        <v>1</v>
      </c>
      <c r="EK172" s="2">
        <v>1617</v>
      </c>
      <c r="EL172" s="2" t="s">
        <v>226</v>
      </c>
      <c r="EM172" s="2" t="s">
        <v>227</v>
      </c>
      <c r="EN172" s="2"/>
      <c r="EO172" s="2" t="s">
        <v>67</v>
      </c>
      <c r="EP172" s="2"/>
      <c r="EQ172" s="2">
        <v>33792</v>
      </c>
      <c r="ER172" s="2">
        <v>18995.22</v>
      </c>
      <c r="ES172" s="2">
        <v>18995.22</v>
      </c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>
        <v>0</v>
      </c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>
        <v>0</v>
      </c>
      <c r="FR172" s="2">
        <v>0</v>
      </c>
      <c r="FS172" s="2">
        <v>0</v>
      </c>
      <c r="FT172" s="2"/>
      <c r="FU172" s="2"/>
      <c r="FV172" s="2"/>
      <c r="FW172" s="2"/>
      <c r="FX172" s="2">
        <v>0</v>
      </c>
      <c r="FY172" s="2">
        <v>0</v>
      </c>
      <c r="FZ172" s="2"/>
      <c r="GA172" s="2" t="s">
        <v>3</v>
      </c>
      <c r="GB172" s="2"/>
      <c r="GC172" s="2"/>
      <c r="GD172" s="2">
        <v>1</v>
      </c>
      <c r="GE172" s="2"/>
      <c r="GF172" s="2">
        <v>1438006865</v>
      </c>
      <c r="GG172" s="2">
        <v>2</v>
      </c>
      <c r="GH172" s="2">
        <v>1</v>
      </c>
      <c r="GI172" s="2">
        <v>-2</v>
      </c>
      <c r="GJ172" s="2">
        <v>0</v>
      </c>
      <c r="GK172" s="2">
        <v>0</v>
      </c>
      <c r="GL172" s="2">
        <f t="shared" si="132"/>
        <v>0</v>
      </c>
      <c r="GM172" s="2">
        <f t="shared" si="133"/>
        <v>-5.32</v>
      </c>
      <c r="GN172" s="2">
        <f t="shared" si="134"/>
        <v>0</v>
      </c>
      <c r="GO172" s="2">
        <f t="shared" si="135"/>
        <v>-5.32</v>
      </c>
      <c r="GP172" s="2">
        <f t="shared" si="136"/>
        <v>0</v>
      </c>
      <c r="GQ172" s="2"/>
      <c r="GR172" s="2">
        <v>0</v>
      </c>
      <c r="GS172" s="2">
        <v>3</v>
      </c>
      <c r="GT172" s="2">
        <v>0</v>
      </c>
      <c r="GU172" s="2" t="s">
        <v>3</v>
      </c>
      <c r="GV172" s="2">
        <f t="shared" si="137"/>
        <v>0</v>
      </c>
      <c r="GW172" s="2">
        <v>1</v>
      </c>
      <c r="GX172" s="2">
        <f t="shared" si="138"/>
        <v>0</v>
      </c>
      <c r="GY172" s="2"/>
      <c r="GZ172" s="2"/>
      <c r="HA172" s="2">
        <v>0</v>
      </c>
      <c r="HB172" s="2">
        <v>0</v>
      </c>
      <c r="HC172" s="2">
        <f t="shared" si="139"/>
        <v>0</v>
      </c>
      <c r="HD172" s="2"/>
      <c r="HE172" s="2" t="s">
        <v>3</v>
      </c>
      <c r="HF172" s="2" t="s">
        <v>3</v>
      </c>
      <c r="HG172" s="2"/>
      <c r="HH172" s="2"/>
      <c r="HI172" s="2"/>
      <c r="HJ172" s="2"/>
      <c r="HK172" s="2"/>
      <c r="HL172" s="2"/>
      <c r="HM172" s="2" t="s">
        <v>3</v>
      </c>
      <c r="HN172" s="2" t="s">
        <v>3</v>
      </c>
      <c r="HO172" s="2" t="s">
        <v>3</v>
      </c>
      <c r="HP172" s="2" t="s">
        <v>3</v>
      </c>
      <c r="HQ172" s="2" t="s">
        <v>3</v>
      </c>
      <c r="HR172" s="2"/>
      <c r="HS172" s="2">
        <v>0</v>
      </c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>
        <v>0</v>
      </c>
      <c r="IL172" s="2"/>
      <c r="IM172" s="2"/>
      <c r="IN172" s="2"/>
      <c r="IO172" s="2"/>
      <c r="IP172" s="2"/>
      <c r="IQ172" s="2"/>
      <c r="IR172" s="2"/>
      <c r="IS172" s="2"/>
      <c r="IT172" s="2"/>
      <c r="IU172" s="2"/>
    </row>
    <row r="173" spans="1:255" x14ac:dyDescent="0.25">
      <c r="A173" s="3">
        <v>17</v>
      </c>
      <c r="B173" s="3">
        <v>1</v>
      </c>
      <c r="E173" s="3" t="s">
        <v>3</v>
      </c>
      <c r="F173" s="3" t="s">
        <v>221</v>
      </c>
      <c r="G173" s="3" t="s">
        <v>222</v>
      </c>
      <c r="H173" s="3" t="s">
        <v>223</v>
      </c>
      <c r="I173" s="3">
        <f>ROUND(I171*-0.00003,9)</f>
        <v>-2.8019999999999998E-4</v>
      </c>
      <c r="J173" s="3">
        <v>0</v>
      </c>
      <c r="K173" s="3">
        <f>ROUND(I171*-0.00003,9)</f>
        <v>-2.8019999999999998E-4</v>
      </c>
      <c r="O173" s="3">
        <f t="shared" si="115"/>
        <v>-96.77</v>
      </c>
      <c r="P173" s="3">
        <f t="shared" si="116"/>
        <v>-96.77</v>
      </c>
      <c r="Q173" s="3">
        <f>(ROUND((ROUND(((ET173)*AV173*I173),2)*BB173),2)+ROUND((ROUND(((AE173-(EU173))*AV173*I173),2)*BS173),2))</f>
        <v>0</v>
      </c>
      <c r="R173" s="3">
        <f>(ROUND((ROUND(((EU173)*AV173*I173),2)*BS173),2)+ROUND((ROUND(((AE173-(EU173))*AV173*I173),2)*BS173),2))</f>
        <v>0</v>
      </c>
      <c r="S173" s="3">
        <f t="shared" si="117"/>
        <v>0</v>
      </c>
      <c r="T173" s="3">
        <f t="shared" si="118"/>
        <v>0</v>
      </c>
      <c r="U173" s="3">
        <f t="shared" si="119"/>
        <v>0</v>
      </c>
      <c r="V173" s="3">
        <f t="shared" si="120"/>
        <v>0</v>
      </c>
      <c r="W173" s="3">
        <f t="shared" si="121"/>
        <v>0</v>
      </c>
      <c r="X173" s="3">
        <f>(ROUND((((S173+ROUND((ROUND(((EU173)*AV173*I173),2)*BS173),2))*AT173)/100),2)+ROUND(((ROUND((ROUND(((AE173-(EU173))*AV173*I173),2)*BS173),2)*AT173)/100),2))</f>
        <v>0</v>
      </c>
      <c r="Y173" s="3">
        <f>(ROUND((((S173+ROUND((ROUND(((EU173)*AV173*I173),2)*BS173),2))*AU173)/100),2)+ROUND(((ROUND((ROUND(((AE173-(EU173))*AV173*I173),2)*BS173),2)*AU173)/100),2))</f>
        <v>0</v>
      </c>
      <c r="AA173" s="3">
        <v>-1</v>
      </c>
      <c r="AB173" s="3">
        <f t="shared" si="122"/>
        <v>18995.22</v>
      </c>
      <c r="AC173" s="3">
        <f>ROUND((ES173),6)</f>
        <v>18995.22</v>
      </c>
      <c r="AD173" s="3">
        <f>ROUND((((ET173)-(EU173))+AE173),6)</f>
        <v>0</v>
      </c>
      <c r="AE173" s="3">
        <f t="shared" si="152"/>
        <v>0</v>
      </c>
      <c r="AF173" s="3">
        <f t="shared" si="152"/>
        <v>0</v>
      </c>
      <c r="AG173" s="3">
        <f t="shared" si="123"/>
        <v>0</v>
      </c>
      <c r="AH173" s="3">
        <f t="shared" si="153"/>
        <v>0</v>
      </c>
      <c r="AI173" s="3">
        <f t="shared" si="153"/>
        <v>0</v>
      </c>
      <c r="AJ173" s="3">
        <f t="shared" si="124"/>
        <v>0</v>
      </c>
      <c r="AK173" s="3">
        <v>18995.22</v>
      </c>
      <c r="AL173" s="3">
        <v>18995.22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1</v>
      </c>
      <c r="AW173" s="3">
        <v>1</v>
      </c>
      <c r="AZ173" s="3">
        <v>1</v>
      </c>
      <c r="BA173" s="3">
        <v>1</v>
      </c>
      <c r="BB173" s="3">
        <v>1</v>
      </c>
      <c r="BC173" s="3">
        <v>18.190000000000001</v>
      </c>
      <c r="BD173" s="3" t="s">
        <v>3</v>
      </c>
      <c r="BE173" s="3" t="s">
        <v>3</v>
      </c>
      <c r="BF173" s="3" t="s">
        <v>3</v>
      </c>
      <c r="BG173" s="3" t="s">
        <v>3</v>
      </c>
      <c r="BH173" s="3">
        <v>3</v>
      </c>
      <c r="BI173" s="3">
        <v>2</v>
      </c>
      <c r="BJ173" s="3" t="s">
        <v>224</v>
      </c>
      <c r="BM173" s="3">
        <v>1617</v>
      </c>
      <c r="BN173" s="3">
        <v>0</v>
      </c>
      <c r="BO173" s="3" t="s">
        <v>221</v>
      </c>
      <c r="BP173" s="3">
        <v>1</v>
      </c>
      <c r="BQ173" s="3">
        <v>200</v>
      </c>
      <c r="BR173" s="3">
        <v>1</v>
      </c>
      <c r="BS173" s="3">
        <v>1</v>
      </c>
      <c r="BT173" s="3">
        <v>1</v>
      </c>
      <c r="BU173" s="3">
        <v>1</v>
      </c>
      <c r="BV173" s="3">
        <v>1</v>
      </c>
      <c r="BW173" s="3">
        <v>1</v>
      </c>
      <c r="BX173" s="3">
        <v>1</v>
      </c>
      <c r="BY173" s="3" t="s">
        <v>3</v>
      </c>
      <c r="BZ173" s="3">
        <v>0</v>
      </c>
      <c r="CA173" s="3">
        <v>0</v>
      </c>
      <c r="CB173" s="3" t="s">
        <v>3</v>
      </c>
      <c r="CE173" s="3">
        <v>1566</v>
      </c>
      <c r="CF173" s="3">
        <v>0</v>
      </c>
      <c r="CG173" s="3">
        <v>0</v>
      </c>
      <c r="CM173" s="3">
        <v>0</v>
      </c>
      <c r="CN173" s="3" t="s">
        <v>422</v>
      </c>
      <c r="CO173" s="3">
        <v>0</v>
      </c>
      <c r="CP173" s="3">
        <f t="shared" si="125"/>
        <v>-96.77</v>
      </c>
      <c r="CQ173" s="3">
        <f t="shared" si="126"/>
        <v>345523.05</v>
      </c>
      <c r="CR173" s="3">
        <f>(ROUND((ROUND(((ET173)*AV173*1),2)*BB173),2)+ROUND((ROUND(((AE173-(EU173))*AV173*1),2)*BS173),2))</f>
        <v>0</v>
      </c>
      <c r="CS173" s="3">
        <f>(ROUND((ROUND(((EU173)*AV173*1),2)*BS173),2)+ROUND((ROUND(((AE173-(EU173))*AV173*1),2)*BS173),2))</f>
        <v>0</v>
      </c>
      <c r="CT173" s="3">
        <f t="shared" si="127"/>
        <v>0</v>
      </c>
      <c r="CU173" s="3">
        <f t="shared" si="128"/>
        <v>0</v>
      </c>
      <c r="CV173" s="3">
        <f t="shared" si="129"/>
        <v>0</v>
      </c>
      <c r="CW173" s="3">
        <f t="shared" si="130"/>
        <v>0</v>
      </c>
      <c r="CX173" s="3">
        <f t="shared" si="131"/>
        <v>0</v>
      </c>
      <c r="CY173" s="3">
        <f>(ROUND((((S173+ROUND((ROUND(((EU173)*AV173*1),2)*BS173),2))*AT173)/100),2)+ROUND(((ROUND((ROUND(((AE173-(EU173))*AV173*1),2)*BS173),2)*AT173)/100),2))</f>
        <v>0</v>
      </c>
      <c r="CZ173" s="3">
        <f>(ROUND((((S173+ROUND((ROUND(((EU173)*AV173*1),2)*BS173),2))*AU173)/100),2)+ROUND(((ROUND((ROUND(((AE173-(EU173))*AV173*1),2)*BS173),2)*AU173)/100),2))</f>
        <v>0</v>
      </c>
      <c r="DC173" s="3" t="s">
        <v>3</v>
      </c>
      <c r="DD173" s="3" t="s">
        <v>3</v>
      </c>
      <c r="DE173" s="3" t="s">
        <v>3</v>
      </c>
      <c r="DF173" s="3" t="s">
        <v>3</v>
      </c>
      <c r="DG173" s="3" t="s">
        <v>3</v>
      </c>
      <c r="DH173" s="3" t="s">
        <v>3</v>
      </c>
      <c r="DI173" s="3" t="s">
        <v>3</v>
      </c>
      <c r="DJ173" s="3" t="s">
        <v>3</v>
      </c>
      <c r="DK173" s="3" t="s">
        <v>3</v>
      </c>
      <c r="DL173" s="3" t="s">
        <v>3</v>
      </c>
      <c r="DM173" s="3" t="s">
        <v>3</v>
      </c>
      <c r="DN173" s="3">
        <v>0</v>
      </c>
      <c r="DO173" s="3">
        <v>0</v>
      </c>
      <c r="DP173" s="3">
        <v>1</v>
      </c>
      <c r="DQ173" s="3">
        <v>1</v>
      </c>
      <c r="DU173" s="3">
        <v>1009</v>
      </c>
      <c r="DV173" s="3" t="s">
        <v>223</v>
      </c>
      <c r="DW173" s="3" t="s">
        <v>223</v>
      </c>
      <c r="DX173" s="3">
        <v>1000</v>
      </c>
      <c r="DZ173" s="3" t="s">
        <v>3</v>
      </c>
      <c r="EA173" s="3" t="s">
        <v>3</v>
      </c>
      <c r="EB173" s="3" t="s">
        <v>3</v>
      </c>
      <c r="EC173" s="3" t="s">
        <v>3</v>
      </c>
      <c r="EE173" s="3">
        <v>55393728</v>
      </c>
      <c r="EF173" s="3">
        <v>200</v>
      </c>
      <c r="EG173" s="3" t="s">
        <v>225</v>
      </c>
      <c r="EH173" s="3">
        <v>0</v>
      </c>
      <c r="EI173" s="3" t="s">
        <v>3</v>
      </c>
      <c r="EJ173" s="3">
        <v>1</v>
      </c>
      <c r="EK173" s="3">
        <v>1617</v>
      </c>
      <c r="EL173" s="3" t="s">
        <v>226</v>
      </c>
      <c r="EM173" s="3" t="s">
        <v>227</v>
      </c>
      <c r="EO173" s="3" t="s">
        <v>67</v>
      </c>
      <c r="EQ173" s="3">
        <v>33792</v>
      </c>
      <c r="ER173" s="3">
        <v>18995.22</v>
      </c>
      <c r="ES173" s="3">
        <v>18995.22</v>
      </c>
      <c r="ET173" s="3">
        <v>0</v>
      </c>
      <c r="EU173" s="3">
        <v>0</v>
      </c>
      <c r="EV173" s="3">
        <v>0</v>
      </c>
      <c r="EW173" s="3">
        <v>0</v>
      </c>
      <c r="EX173" s="3">
        <v>0</v>
      </c>
      <c r="EY173" s="3">
        <v>0</v>
      </c>
      <c r="FQ173" s="3">
        <v>0</v>
      </c>
      <c r="FR173" s="3">
        <v>0</v>
      </c>
      <c r="FS173" s="3">
        <v>0</v>
      </c>
      <c r="FX173" s="3">
        <v>0</v>
      </c>
      <c r="FY173" s="3">
        <v>0</v>
      </c>
      <c r="GA173" s="3" t="s">
        <v>3</v>
      </c>
      <c r="GD173" s="3">
        <v>1</v>
      </c>
      <c r="GF173" s="3">
        <v>1438006865</v>
      </c>
      <c r="GG173" s="3">
        <v>2</v>
      </c>
      <c r="GH173" s="3">
        <v>1</v>
      </c>
      <c r="GI173" s="3">
        <v>2</v>
      </c>
      <c r="GJ173" s="3">
        <v>0</v>
      </c>
      <c r="GK173" s="3">
        <v>0</v>
      </c>
      <c r="GL173" s="3">
        <f t="shared" si="132"/>
        <v>0</v>
      </c>
      <c r="GM173" s="3">
        <f t="shared" si="133"/>
        <v>-96.77</v>
      </c>
      <c r="GN173" s="3">
        <f t="shared" si="134"/>
        <v>0</v>
      </c>
      <c r="GO173" s="3">
        <f t="shared" si="135"/>
        <v>-96.77</v>
      </c>
      <c r="GP173" s="3">
        <f t="shared" si="136"/>
        <v>0</v>
      </c>
      <c r="GR173" s="3">
        <v>0</v>
      </c>
      <c r="GS173" s="3">
        <v>3</v>
      </c>
      <c r="GT173" s="3">
        <v>0</v>
      </c>
      <c r="GU173" s="3" t="s">
        <v>3</v>
      </c>
      <c r="GV173" s="3">
        <f t="shared" si="137"/>
        <v>0</v>
      </c>
      <c r="GW173" s="3">
        <v>1</v>
      </c>
      <c r="GX173" s="3">
        <f t="shared" si="138"/>
        <v>0</v>
      </c>
      <c r="HA173" s="3">
        <v>0</v>
      </c>
      <c r="HB173" s="3">
        <v>0</v>
      </c>
      <c r="HC173" s="3">
        <f t="shared" si="139"/>
        <v>0</v>
      </c>
      <c r="HE173" s="3" t="s">
        <v>3</v>
      </c>
      <c r="HF173" s="3" t="s">
        <v>3</v>
      </c>
      <c r="HM173" s="3" t="s">
        <v>3</v>
      </c>
      <c r="HN173" s="3" t="s">
        <v>3</v>
      </c>
      <c r="HO173" s="3" t="s">
        <v>3</v>
      </c>
      <c r="HP173" s="3" t="s">
        <v>3</v>
      </c>
      <c r="HQ173" s="3" t="s">
        <v>3</v>
      </c>
      <c r="HS173" s="3">
        <v>0</v>
      </c>
      <c r="IK173" s="3">
        <v>0</v>
      </c>
    </row>
    <row r="174" spans="1:255" x14ac:dyDescent="0.25">
      <c r="A174" s="2">
        <v>17</v>
      </c>
      <c r="B174" s="2">
        <v>1</v>
      </c>
      <c r="C174" s="2"/>
      <c r="D174" s="2"/>
      <c r="E174" s="2" t="s">
        <v>228</v>
      </c>
      <c r="F174" s="2" t="s">
        <v>229</v>
      </c>
      <c r="G174" s="2" t="s">
        <v>230</v>
      </c>
      <c r="H174" s="2" t="s">
        <v>144</v>
      </c>
      <c r="I174" s="2">
        <v>2</v>
      </c>
      <c r="J174" s="2">
        <v>0</v>
      </c>
      <c r="K174" s="2">
        <v>2</v>
      </c>
      <c r="L174" s="2"/>
      <c r="M174" s="2"/>
      <c r="N174" s="2"/>
      <c r="O174" s="2">
        <f t="shared" si="115"/>
        <v>498.72</v>
      </c>
      <c r="P174" s="2">
        <f t="shared" si="116"/>
        <v>498.72</v>
      </c>
      <c r="Q174" s="2">
        <f>(ROUND((ROUND(((ET174)*AV174*I174),2)*BB174),2)+ROUND((ROUND(((AE174-(EU174))*AV174*I174),2)*BS174),2))</f>
        <v>0</v>
      </c>
      <c r="R174" s="2">
        <f>(ROUND((ROUND(((EU174)*AV174*I174),2)*BS174),2)+ROUND((ROUND(((AE174-(EU174))*AV174*I174),2)*BS174),2))</f>
        <v>0</v>
      </c>
      <c r="S174" s="2">
        <f t="shared" si="117"/>
        <v>0</v>
      </c>
      <c r="T174" s="2">
        <f t="shared" si="118"/>
        <v>0</v>
      </c>
      <c r="U174" s="2">
        <f t="shared" si="119"/>
        <v>0</v>
      </c>
      <c r="V174" s="2">
        <f t="shared" si="120"/>
        <v>0</v>
      </c>
      <c r="W174" s="2">
        <f t="shared" si="121"/>
        <v>0</v>
      </c>
      <c r="X174" s="2">
        <f>(ROUND((((S174+ROUND((ROUND(((EU174)*AV174*I174),2)*BS174),2))*AT174)/100),2)+ROUND(((ROUND((ROUND(((AE174-(EU174))*AV174*I174),2)*BS174),2)*AT174)/100),2))</f>
        <v>0</v>
      </c>
      <c r="Y174" s="2">
        <f>(ROUND((((S174+ROUND((ROUND(((EU174)*AV174*I174),2)*BS174),2))*AU174)/100),2)+ROUND(((ROUND((ROUND(((AE174-(EU174))*AV174*I174),2)*BS174),2)*AU174)/100),2))</f>
        <v>0</v>
      </c>
      <c r="Z174" s="2"/>
      <c r="AA174" s="2">
        <v>55936046</v>
      </c>
      <c r="AB174" s="2">
        <f t="shared" si="122"/>
        <v>249.36</v>
      </c>
      <c r="AC174" s="2">
        <f>ROUND((ES174),6)</f>
        <v>249.36</v>
      </c>
      <c r="AD174" s="2">
        <f>ROUND((((ET174)-(EU174))+AE174),6)</f>
        <v>0</v>
      </c>
      <c r="AE174" s="2">
        <f t="shared" si="152"/>
        <v>0</v>
      </c>
      <c r="AF174" s="2">
        <f t="shared" si="152"/>
        <v>0</v>
      </c>
      <c r="AG174" s="2">
        <f t="shared" si="123"/>
        <v>0</v>
      </c>
      <c r="AH174" s="2">
        <f t="shared" si="153"/>
        <v>0</v>
      </c>
      <c r="AI174" s="2">
        <f t="shared" si="153"/>
        <v>0</v>
      </c>
      <c r="AJ174" s="2">
        <f t="shared" si="124"/>
        <v>0</v>
      </c>
      <c r="AK174" s="2">
        <v>249.35999999999999</v>
      </c>
      <c r="AL174" s="2">
        <v>249.35999999999999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1</v>
      </c>
      <c r="AW174" s="2">
        <v>1</v>
      </c>
      <c r="AX174" s="2"/>
      <c r="AY174" s="2"/>
      <c r="AZ174" s="2">
        <v>1</v>
      </c>
      <c r="BA174" s="2">
        <v>1</v>
      </c>
      <c r="BB174" s="2">
        <v>1</v>
      </c>
      <c r="BC174" s="2">
        <v>1</v>
      </c>
      <c r="BD174" s="2" t="s">
        <v>3</v>
      </c>
      <c r="BE174" s="2" t="s">
        <v>3</v>
      </c>
      <c r="BF174" s="2" t="s">
        <v>3</v>
      </c>
      <c r="BG174" s="2" t="s">
        <v>3</v>
      </c>
      <c r="BH174" s="2">
        <v>3</v>
      </c>
      <c r="BI174" s="2">
        <v>2</v>
      </c>
      <c r="BJ174" s="2" t="s">
        <v>229</v>
      </c>
      <c r="BK174" s="2"/>
      <c r="BL174" s="2"/>
      <c r="BM174" s="2">
        <v>400005</v>
      </c>
      <c r="BN174" s="2">
        <v>0</v>
      </c>
      <c r="BO174" s="2" t="s">
        <v>3</v>
      </c>
      <c r="BP174" s="2">
        <v>0</v>
      </c>
      <c r="BQ174" s="2">
        <v>213</v>
      </c>
      <c r="BR174" s="2">
        <v>0</v>
      </c>
      <c r="BS174" s="2">
        <v>1</v>
      </c>
      <c r="BT174" s="2">
        <v>1</v>
      </c>
      <c r="BU174" s="2">
        <v>1</v>
      </c>
      <c r="BV174" s="2">
        <v>1</v>
      </c>
      <c r="BW174" s="2">
        <v>1</v>
      </c>
      <c r="BX174" s="2">
        <v>1</v>
      </c>
      <c r="BY174" s="2" t="s">
        <v>3</v>
      </c>
      <c r="BZ174" s="2">
        <v>0</v>
      </c>
      <c r="CA174" s="2">
        <v>0</v>
      </c>
      <c r="CB174" s="2" t="s">
        <v>3</v>
      </c>
      <c r="CC174" s="2"/>
      <c r="CD174" s="2"/>
      <c r="CE174" s="2">
        <v>1566</v>
      </c>
      <c r="CF174" s="2">
        <v>0</v>
      </c>
      <c r="CG174" s="2">
        <v>0</v>
      </c>
      <c r="CH174" s="2"/>
      <c r="CI174" s="2"/>
      <c r="CJ174" s="2"/>
      <c r="CK174" s="2"/>
      <c r="CL174" s="2"/>
      <c r="CM174" s="2">
        <v>0</v>
      </c>
      <c r="CN174" s="2" t="s">
        <v>3</v>
      </c>
      <c r="CO174" s="2">
        <v>0</v>
      </c>
      <c r="CP174" s="2">
        <f t="shared" si="125"/>
        <v>498.72</v>
      </c>
      <c r="CQ174" s="2">
        <f t="shared" si="126"/>
        <v>249.36</v>
      </c>
      <c r="CR174" s="2">
        <f>(ROUND((ROUND(((ET174)*AV174*1),2)*BB174),2)+ROUND((ROUND(((AE174-(EU174))*AV174*1),2)*BS174),2))</f>
        <v>0</v>
      </c>
      <c r="CS174" s="2">
        <f>(ROUND((ROUND(((EU174)*AV174*1),2)*BS174),2)+ROUND((ROUND(((AE174-(EU174))*AV174*1),2)*BS174),2))</f>
        <v>0</v>
      </c>
      <c r="CT174" s="2">
        <f t="shared" si="127"/>
        <v>0</v>
      </c>
      <c r="CU174" s="2">
        <f t="shared" si="128"/>
        <v>0</v>
      </c>
      <c r="CV174" s="2">
        <f t="shared" si="129"/>
        <v>0</v>
      </c>
      <c r="CW174" s="2">
        <f t="shared" si="130"/>
        <v>0</v>
      </c>
      <c r="CX174" s="2">
        <f t="shared" si="131"/>
        <v>0</v>
      </c>
      <c r="CY174" s="2">
        <f>(ROUND((((S174+ROUND((ROUND(((EU174)*AV174*1),2)*BS174),2))*AT174)/100),2)+ROUND(((ROUND((ROUND(((AE174-(EU174))*AV174*1),2)*BS174),2)*AT174)/100),2))</f>
        <v>0</v>
      </c>
      <c r="CZ174" s="2">
        <f>(ROUND((((S174+ROUND((ROUND(((EU174)*AV174*1),2)*BS174),2))*AU174)/100),2)+ROUND(((ROUND((ROUND(((AE174-(EU174))*AV174*1),2)*BS174),2)*AU174)/100),2))</f>
        <v>0</v>
      </c>
      <c r="DA174" s="2"/>
      <c r="DB174" s="2"/>
      <c r="DC174" s="2" t="s">
        <v>3</v>
      </c>
      <c r="DD174" s="2" t="s">
        <v>3</v>
      </c>
      <c r="DE174" s="2" t="s">
        <v>3</v>
      </c>
      <c r="DF174" s="2" t="s">
        <v>3</v>
      </c>
      <c r="DG174" s="2" t="s">
        <v>3</v>
      </c>
      <c r="DH174" s="2" t="s">
        <v>3</v>
      </c>
      <c r="DI174" s="2" t="s">
        <v>3</v>
      </c>
      <c r="DJ174" s="2" t="s">
        <v>3</v>
      </c>
      <c r="DK174" s="2" t="s">
        <v>3</v>
      </c>
      <c r="DL174" s="2" t="s">
        <v>3</v>
      </c>
      <c r="DM174" s="2" t="s">
        <v>3</v>
      </c>
      <c r="DN174" s="2">
        <v>0</v>
      </c>
      <c r="DO174" s="2">
        <v>0</v>
      </c>
      <c r="DP174" s="2">
        <v>1</v>
      </c>
      <c r="DQ174" s="2">
        <v>1</v>
      </c>
      <c r="DR174" s="2"/>
      <c r="DS174" s="2"/>
      <c r="DT174" s="2"/>
      <c r="DU174" s="2">
        <v>1013</v>
      </c>
      <c r="DV174" s="2" t="s">
        <v>144</v>
      </c>
      <c r="DW174" s="2" t="s">
        <v>144</v>
      </c>
      <c r="DX174" s="2">
        <v>1</v>
      </c>
      <c r="DY174" s="2"/>
      <c r="DZ174" s="2" t="s">
        <v>3</v>
      </c>
      <c r="EA174" s="2" t="s">
        <v>3</v>
      </c>
      <c r="EB174" s="2" t="s">
        <v>3</v>
      </c>
      <c r="EC174" s="2" t="s">
        <v>3</v>
      </c>
      <c r="ED174" s="2"/>
      <c r="EE174" s="2">
        <v>55393628</v>
      </c>
      <c r="EF174" s="2">
        <v>213</v>
      </c>
      <c r="EG174" s="2" t="s">
        <v>198</v>
      </c>
      <c r="EH174" s="2">
        <v>0</v>
      </c>
      <c r="EI174" s="2" t="s">
        <v>3</v>
      </c>
      <c r="EJ174" s="2">
        <v>1</v>
      </c>
      <c r="EK174" s="2">
        <v>400005</v>
      </c>
      <c r="EL174" s="2" t="s">
        <v>198</v>
      </c>
      <c r="EM174" s="2" t="s">
        <v>199</v>
      </c>
      <c r="EN174" s="2"/>
      <c r="EO174" s="2" t="s">
        <v>3</v>
      </c>
      <c r="EP174" s="2"/>
      <c r="EQ174" s="2">
        <v>16</v>
      </c>
      <c r="ER174" s="2">
        <v>0</v>
      </c>
      <c r="ES174" s="2">
        <v>249.35999999999999</v>
      </c>
      <c r="ET174" s="2">
        <v>0</v>
      </c>
      <c r="EU174" s="2">
        <v>0</v>
      </c>
      <c r="EV174" s="2">
        <v>0</v>
      </c>
      <c r="EW174" s="2">
        <v>0</v>
      </c>
      <c r="EX174" s="2">
        <v>0</v>
      </c>
      <c r="EY174" s="2">
        <v>0</v>
      </c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>
        <v>0</v>
      </c>
      <c r="FR174" s="2">
        <v>0</v>
      </c>
      <c r="FS174" s="2">
        <v>0</v>
      </c>
      <c r="FT174" s="2"/>
      <c r="FU174" s="2"/>
      <c r="FV174" s="2"/>
      <c r="FW174" s="2"/>
      <c r="FX174" s="2">
        <v>0</v>
      </c>
      <c r="FY174" s="2">
        <v>0</v>
      </c>
      <c r="FZ174" s="2"/>
      <c r="GA174" s="2" t="s">
        <v>231</v>
      </c>
      <c r="GB174" s="2"/>
      <c r="GC174" s="2"/>
      <c r="GD174" s="2">
        <v>1</v>
      </c>
      <c r="GE174" s="2"/>
      <c r="GF174" s="2">
        <v>1431587667</v>
      </c>
      <c r="GG174" s="2">
        <v>2</v>
      </c>
      <c r="GH174" s="2">
        <v>4</v>
      </c>
      <c r="GI174" s="2">
        <v>-2</v>
      </c>
      <c r="GJ174" s="2">
        <v>0</v>
      </c>
      <c r="GK174" s="2">
        <v>0</v>
      </c>
      <c r="GL174" s="2">
        <f t="shared" si="132"/>
        <v>0</v>
      </c>
      <c r="GM174" s="2">
        <f t="shared" si="133"/>
        <v>498.72</v>
      </c>
      <c r="GN174" s="2">
        <f t="shared" si="134"/>
        <v>0</v>
      </c>
      <c r="GO174" s="2">
        <f t="shared" si="135"/>
        <v>498.72</v>
      </c>
      <c r="GP174" s="2">
        <f t="shared" si="136"/>
        <v>0</v>
      </c>
      <c r="GQ174" s="2"/>
      <c r="GR174" s="2">
        <v>1</v>
      </c>
      <c r="GS174" s="2">
        <v>2</v>
      </c>
      <c r="GT174" s="2">
        <v>0</v>
      </c>
      <c r="GU174" s="2" t="s">
        <v>3</v>
      </c>
      <c r="GV174" s="2">
        <f t="shared" si="137"/>
        <v>0</v>
      </c>
      <c r="GW174" s="2">
        <v>1</v>
      </c>
      <c r="GX174" s="2">
        <f t="shared" si="138"/>
        <v>0</v>
      </c>
      <c r="GY174" s="2"/>
      <c r="GZ174" s="2"/>
      <c r="HA174" s="2">
        <v>0</v>
      </c>
      <c r="HB174" s="2">
        <v>0</v>
      </c>
      <c r="HC174" s="2">
        <f t="shared" si="139"/>
        <v>0</v>
      </c>
      <c r="HD174" s="2"/>
      <c r="HE174" s="2" t="s">
        <v>201</v>
      </c>
      <c r="HF174" s="2" t="s">
        <v>30</v>
      </c>
      <c r="HG174" s="2"/>
      <c r="HH174" s="2"/>
      <c r="HI174" s="2"/>
      <c r="HJ174" s="2"/>
      <c r="HK174" s="2"/>
      <c r="HL174" s="2"/>
      <c r="HM174" s="2" t="s">
        <v>3</v>
      </c>
      <c r="HN174" s="2" t="s">
        <v>3</v>
      </c>
      <c r="HO174" s="2" t="s">
        <v>3</v>
      </c>
      <c r="HP174" s="2" t="s">
        <v>3</v>
      </c>
      <c r="HQ174" s="2" t="s">
        <v>3</v>
      </c>
      <c r="HR174" s="2"/>
      <c r="HS174" s="2">
        <v>0</v>
      </c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>
        <v>0</v>
      </c>
      <c r="IL174" s="2"/>
      <c r="IM174" s="2"/>
      <c r="IN174" s="2"/>
      <c r="IO174" s="2"/>
      <c r="IP174" s="2"/>
      <c r="IQ174" s="2"/>
      <c r="IR174" s="2"/>
      <c r="IS174" s="2"/>
      <c r="IT174" s="2"/>
      <c r="IU174" s="2"/>
    </row>
    <row r="175" spans="1:255" x14ac:dyDescent="0.25">
      <c r="A175" s="3">
        <v>17</v>
      </c>
      <c r="B175" s="3">
        <v>1</v>
      </c>
      <c r="E175" s="3" t="s">
        <v>228</v>
      </c>
      <c r="F175" s="3" t="s">
        <v>229</v>
      </c>
      <c r="G175" s="3" t="s">
        <v>230</v>
      </c>
      <c r="H175" s="3" t="s">
        <v>144</v>
      </c>
      <c r="I175" s="3">
        <v>2</v>
      </c>
      <c r="J175" s="3">
        <v>0</v>
      </c>
      <c r="K175" s="3">
        <v>2</v>
      </c>
      <c r="O175" s="3">
        <f t="shared" si="115"/>
        <v>4907.3999999999996</v>
      </c>
      <c r="P175" s="3">
        <f t="shared" si="116"/>
        <v>4907.3999999999996</v>
      </c>
      <c r="Q175" s="3">
        <f>(ROUND((ROUND(((ET175)*AV175*I175),2)*BB175),2)+ROUND((ROUND(((AE175-(EU175))*AV175*I175),2)*BS175),2))</f>
        <v>0</v>
      </c>
      <c r="R175" s="3">
        <f>(ROUND((ROUND(((EU175)*AV175*I175),2)*BS175),2)+ROUND((ROUND(((AE175-(EU175))*AV175*I175),2)*BS175),2))</f>
        <v>0</v>
      </c>
      <c r="S175" s="3">
        <f t="shared" si="117"/>
        <v>0</v>
      </c>
      <c r="T175" s="3">
        <f t="shared" si="118"/>
        <v>0</v>
      </c>
      <c r="U175" s="3">
        <f t="shared" si="119"/>
        <v>0</v>
      </c>
      <c r="V175" s="3">
        <f t="shared" si="120"/>
        <v>0</v>
      </c>
      <c r="W175" s="3">
        <f t="shared" si="121"/>
        <v>0</v>
      </c>
      <c r="X175" s="3">
        <f>(ROUND((((S175+ROUND((ROUND(((EU175)*AV175*I175),2)*BS175),2))*AT175)/100),2)+ROUND(((ROUND((ROUND(((AE175-(EU175))*AV175*I175),2)*BS175),2)*AT175)/100),2))</f>
        <v>0</v>
      </c>
      <c r="Y175" s="3">
        <f>(ROUND((((S175+ROUND((ROUND(((EU175)*AV175*I175),2)*BS175),2))*AU175)/100),2)+ROUND(((ROUND((ROUND(((AE175-(EU175))*AV175*I175),2)*BS175),2)*AU175)/100),2))</f>
        <v>0</v>
      </c>
      <c r="AA175" s="3">
        <v>55936048</v>
      </c>
      <c r="AB175" s="3">
        <f t="shared" si="122"/>
        <v>249.36</v>
      </c>
      <c r="AC175" s="3">
        <f>ROUND((ES175),6)</f>
        <v>249.36</v>
      </c>
      <c r="AD175" s="3">
        <f>ROUND((((ET175)-(EU175))+AE175),6)</f>
        <v>0</v>
      </c>
      <c r="AE175" s="3">
        <f t="shared" si="152"/>
        <v>0</v>
      </c>
      <c r="AF175" s="3">
        <f t="shared" si="152"/>
        <v>0</v>
      </c>
      <c r="AG175" s="3">
        <f t="shared" si="123"/>
        <v>0</v>
      </c>
      <c r="AH175" s="3">
        <f t="shared" si="153"/>
        <v>0</v>
      </c>
      <c r="AI175" s="3">
        <f t="shared" si="153"/>
        <v>0</v>
      </c>
      <c r="AJ175" s="3">
        <f t="shared" si="124"/>
        <v>0</v>
      </c>
      <c r="AK175" s="3">
        <v>249.35999999999999</v>
      </c>
      <c r="AL175" s="3">
        <v>249.35999999999999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1</v>
      </c>
      <c r="AW175" s="3">
        <v>1</v>
      </c>
      <c r="AZ175" s="3">
        <v>1</v>
      </c>
      <c r="BA175" s="3">
        <v>1</v>
      </c>
      <c r="BB175" s="3">
        <v>1</v>
      </c>
      <c r="BC175" s="3">
        <v>9.84</v>
      </c>
      <c r="BD175" s="3" t="s">
        <v>3</v>
      </c>
      <c r="BE175" s="3" t="s">
        <v>3</v>
      </c>
      <c r="BF175" s="3" t="s">
        <v>3</v>
      </c>
      <c r="BG175" s="3" t="s">
        <v>3</v>
      </c>
      <c r="BH175" s="3">
        <v>3</v>
      </c>
      <c r="BI175" s="3">
        <v>2</v>
      </c>
      <c r="BJ175" s="3" t="s">
        <v>229</v>
      </c>
      <c r="BM175" s="3">
        <v>400005</v>
      </c>
      <c r="BN175" s="3">
        <v>0</v>
      </c>
      <c r="BO175" s="3" t="s">
        <v>3</v>
      </c>
      <c r="BP175" s="3">
        <v>0</v>
      </c>
      <c r="BQ175" s="3">
        <v>213</v>
      </c>
      <c r="BR175" s="3">
        <v>0</v>
      </c>
      <c r="BS175" s="3">
        <v>1</v>
      </c>
      <c r="BT175" s="3">
        <v>1</v>
      </c>
      <c r="BU175" s="3">
        <v>1</v>
      </c>
      <c r="BV175" s="3">
        <v>1</v>
      </c>
      <c r="BW175" s="3">
        <v>1</v>
      </c>
      <c r="BX175" s="3">
        <v>1</v>
      </c>
      <c r="BY175" s="3" t="s">
        <v>3</v>
      </c>
      <c r="BZ175" s="3">
        <v>0</v>
      </c>
      <c r="CA175" s="3">
        <v>0</v>
      </c>
      <c r="CB175" s="3" t="s">
        <v>3</v>
      </c>
      <c r="CE175" s="3">
        <v>1566</v>
      </c>
      <c r="CF175" s="3">
        <v>0</v>
      </c>
      <c r="CG175" s="3">
        <v>0</v>
      </c>
      <c r="CM175" s="3">
        <v>0</v>
      </c>
      <c r="CN175" s="3" t="s">
        <v>3</v>
      </c>
      <c r="CO175" s="3">
        <v>0</v>
      </c>
      <c r="CP175" s="3">
        <f t="shared" si="125"/>
        <v>4907.3999999999996</v>
      </c>
      <c r="CQ175" s="3">
        <f t="shared" si="126"/>
        <v>2453.6999999999998</v>
      </c>
      <c r="CR175" s="3">
        <f>(ROUND((ROUND(((ET175)*AV175*1),2)*BB175),2)+ROUND((ROUND(((AE175-(EU175))*AV175*1),2)*BS175),2))</f>
        <v>0</v>
      </c>
      <c r="CS175" s="3">
        <f>(ROUND((ROUND(((EU175)*AV175*1),2)*BS175),2)+ROUND((ROUND(((AE175-(EU175))*AV175*1),2)*BS175),2))</f>
        <v>0</v>
      </c>
      <c r="CT175" s="3">
        <f t="shared" si="127"/>
        <v>0</v>
      </c>
      <c r="CU175" s="3">
        <f t="shared" si="128"/>
        <v>0</v>
      </c>
      <c r="CV175" s="3">
        <f t="shared" si="129"/>
        <v>0</v>
      </c>
      <c r="CW175" s="3">
        <f t="shared" si="130"/>
        <v>0</v>
      </c>
      <c r="CX175" s="3">
        <f t="shared" si="131"/>
        <v>0</v>
      </c>
      <c r="CY175" s="3">
        <f>(ROUND((((S175+ROUND((ROUND(((EU175)*AV175*1),2)*BS175),2))*AT175)/100),2)+ROUND(((ROUND((ROUND(((AE175-(EU175))*AV175*1),2)*BS175),2)*AT175)/100),2))</f>
        <v>0</v>
      </c>
      <c r="CZ175" s="3">
        <f>(ROUND((((S175+ROUND((ROUND(((EU175)*AV175*1),2)*BS175),2))*AU175)/100),2)+ROUND(((ROUND((ROUND(((AE175-(EU175))*AV175*1),2)*BS175),2)*AU175)/100),2))</f>
        <v>0</v>
      </c>
      <c r="DC175" s="3" t="s">
        <v>3</v>
      </c>
      <c r="DD175" s="3" t="s">
        <v>3</v>
      </c>
      <c r="DE175" s="3" t="s">
        <v>3</v>
      </c>
      <c r="DF175" s="3" t="s">
        <v>3</v>
      </c>
      <c r="DG175" s="3" t="s">
        <v>3</v>
      </c>
      <c r="DH175" s="3" t="s">
        <v>3</v>
      </c>
      <c r="DI175" s="3" t="s">
        <v>3</v>
      </c>
      <c r="DJ175" s="3" t="s">
        <v>3</v>
      </c>
      <c r="DK175" s="3" t="s">
        <v>3</v>
      </c>
      <c r="DL175" s="3" t="s">
        <v>3</v>
      </c>
      <c r="DM175" s="3" t="s">
        <v>3</v>
      </c>
      <c r="DN175" s="3">
        <v>0</v>
      </c>
      <c r="DO175" s="3">
        <v>0</v>
      </c>
      <c r="DP175" s="3">
        <v>1</v>
      </c>
      <c r="DQ175" s="3">
        <v>1</v>
      </c>
      <c r="DU175" s="3">
        <v>1013</v>
      </c>
      <c r="DV175" s="3" t="s">
        <v>144</v>
      </c>
      <c r="DW175" s="3" t="s">
        <v>144</v>
      </c>
      <c r="DX175" s="3">
        <v>1</v>
      </c>
      <c r="DZ175" s="3" t="s">
        <v>3</v>
      </c>
      <c r="EA175" s="3" t="s">
        <v>3</v>
      </c>
      <c r="EB175" s="3" t="s">
        <v>3</v>
      </c>
      <c r="EC175" s="3" t="s">
        <v>3</v>
      </c>
      <c r="EE175" s="3">
        <v>55393628</v>
      </c>
      <c r="EF175" s="3">
        <v>213</v>
      </c>
      <c r="EG175" s="3" t="s">
        <v>198</v>
      </c>
      <c r="EH175" s="3">
        <v>0</v>
      </c>
      <c r="EI175" s="3" t="s">
        <v>3</v>
      </c>
      <c r="EJ175" s="3">
        <v>1</v>
      </c>
      <c r="EK175" s="3">
        <v>400005</v>
      </c>
      <c r="EL175" s="3" t="s">
        <v>198</v>
      </c>
      <c r="EM175" s="3" t="s">
        <v>199</v>
      </c>
      <c r="EO175" s="3" t="s">
        <v>3</v>
      </c>
      <c r="EQ175" s="3">
        <v>16</v>
      </c>
      <c r="ER175" s="3">
        <v>0</v>
      </c>
      <c r="ES175" s="3">
        <v>249.35999999999999</v>
      </c>
      <c r="ET175" s="3">
        <v>0</v>
      </c>
      <c r="EU175" s="3">
        <v>0</v>
      </c>
      <c r="EV175" s="3">
        <v>0</v>
      </c>
      <c r="EW175" s="3">
        <v>0</v>
      </c>
      <c r="EX175" s="3">
        <v>0</v>
      </c>
      <c r="EY175" s="3">
        <v>0</v>
      </c>
      <c r="EZ175" s="3">
        <v>5</v>
      </c>
      <c r="FC175" s="3">
        <v>1</v>
      </c>
      <c r="FD175" s="3">
        <v>18</v>
      </c>
      <c r="FF175" s="3">
        <v>2934.83</v>
      </c>
      <c r="FQ175" s="3">
        <v>0</v>
      </c>
      <c r="FR175" s="3">
        <v>0</v>
      </c>
      <c r="FS175" s="3">
        <v>0</v>
      </c>
      <c r="FX175" s="3">
        <v>0</v>
      </c>
      <c r="FY175" s="3">
        <v>0</v>
      </c>
      <c r="GA175" s="3" t="s">
        <v>231</v>
      </c>
      <c r="GD175" s="3">
        <v>1</v>
      </c>
      <c r="GF175" s="3">
        <v>1431587667</v>
      </c>
      <c r="GG175" s="3">
        <v>2</v>
      </c>
      <c r="GH175" s="3">
        <v>3</v>
      </c>
      <c r="GI175" s="3">
        <v>5</v>
      </c>
      <c r="GJ175" s="3">
        <v>0</v>
      </c>
      <c r="GK175" s="3">
        <v>0</v>
      </c>
      <c r="GL175" s="3">
        <f t="shared" si="132"/>
        <v>0</v>
      </c>
      <c r="GM175" s="3">
        <f t="shared" si="133"/>
        <v>4907.3999999999996</v>
      </c>
      <c r="GN175" s="3">
        <f t="shared" si="134"/>
        <v>0</v>
      </c>
      <c r="GO175" s="3">
        <f t="shared" si="135"/>
        <v>4907.3999999999996</v>
      </c>
      <c r="GP175" s="3">
        <f t="shared" si="136"/>
        <v>0</v>
      </c>
      <c r="GR175" s="3">
        <v>1</v>
      </c>
      <c r="GS175" s="3">
        <v>1</v>
      </c>
      <c r="GT175" s="3">
        <v>0</v>
      </c>
      <c r="GU175" s="3" t="s">
        <v>3</v>
      </c>
      <c r="GV175" s="3">
        <f t="shared" si="137"/>
        <v>0</v>
      </c>
      <c r="GW175" s="3">
        <v>1</v>
      </c>
      <c r="GX175" s="3">
        <f t="shared" si="138"/>
        <v>0</v>
      </c>
      <c r="HA175" s="3">
        <v>0</v>
      </c>
      <c r="HB175" s="3">
        <v>0</v>
      </c>
      <c r="HC175" s="3">
        <f t="shared" si="139"/>
        <v>0</v>
      </c>
      <c r="HE175" s="3" t="s">
        <v>201</v>
      </c>
      <c r="HF175" s="3" t="s">
        <v>30</v>
      </c>
      <c r="HM175" s="3" t="s">
        <v>3</v>
      </c>
      <c r="HN175" s="3" t="s">
        <v>3</v>
      </c>
      <c r="HO175" s="3" t="s">
        <v>3</v>
      </c>
      <c r="HP175" s="3" t="s">
        <v>3</v>
      </c>
      <c r="HQ175" s="3" t="s">
        <v>3</v>
      </c>
      <c r="HS175" s="3">
        <v>0</v>
      </c>
      <c r="IK175" s="3">
        <v>0</v>
      </c>
    </row>
    <row r="177" spans="1:206" ht="13" x14ac:dyDescent="0.3">
      <c r="A177" s="11">
        <v>51</v>
      </c>
      <c r="B177" s="11">
        <f>B156</f>
        <v>1</v>
      </c>
      <c r="C177" s="11">
        <f>A156</f>
        <v>4</v>
      </c>
      <c r="D177" s="11">
        <f>ROW(A156)</f>
        <v>156</v>
      </c>
      <c r="E177" s="11"/>
      <c r="F177" s="11" t="str">
        <f>IF(F156&lt;&gt;"",F156,"")</f>
        <v>2</v>
      </c>
      <c r="G177" s="11" t="str">
        <f>IF(G156&lt;&gt;"",G156,"")</f>
        <v>Кабельные изделия и кабеленесущие конструкции</v>
      </c>
      <c r="H177" s="11">
        <v>0</v>
      </c>
      <c r="I177" s="11"/>
      <c r="J177" s="11"/>
      <c r="K177" s="11"/>
      <c r="L177" s="11"/>
      <c r="M177" s="11"/>
      <c r="N177" s="11"/>
      <c r="O177" s="11">
        <f t="shared" ref="O177:T177" si="154">ROUND(AB177,2)</f>
        <v>12820.96</v>
      </c>
      <c r="P177" s="11">
        <f t="shared" si="154"/>
        <v>11913.33</v>
      </c>
      <c r="Q177" s="11">
        <f t="shared" si="154"/>
        <v>7.89</v>
      </c>
      <c r="R177" s="11">
        <f t="shared" si="154"/>
        <v>0</v>
      </c>
      <c r="S177" s="11">
        <f t="shared" si="154"/>
        <v>899.74</v>
      </c>
      <c r="T177" s="11">
        <f t="shared" si="154"/>
        <v>0</v>
      </c>
      <c r="U177" s="11">
        <f>AH177</f>
        <v>75.708151200000003</v>
      </c>
      <c r="V177" s="11">
        <f>AI177</f>
        <v>0</v>
      </c>
      <c r="W177" s="11">
        <f>ROUND(AJ177,2)</f>
        <v>0</v>
      </c>
      <c r="X177" s="11">
        <f>ROUND(AK177,2)</f>
        <v>809.77</v>
      </c>
      <c r="Y177" s="11">
        <f>ROUND(AL177,2)</f>
        <v>413.88</v>
      </c>
      <c r="Z177" s="11"/>
      <c r="AA177" s="11"/>
      <c r="AB177" s="11">
        <f>ROUND(SUMIF(AA160:AA175,"=55936046",O160:O175),2)</f>
        <v>12820.96</v>
      </c>
      <c r="AC177" s="11">
        <f>ROUND(SUMIF(AA160:AA175,"=55936046",P160:P175),2)</f>
        <v>11913.33</v>
      </c>
      <c r="AD177" s="11">
        <f>ROUND(SUMIF(AA160:AA175,"=55936046",Q160:Q175),2)</f>
        <v>7.89</v>
      </c>
      <c r="AE177" s="11">
        <f>ROUND(SUMIF(AA160:AA175,"=55936046",R160:R175),2)</f>
        <v>0</v>
      </c>
      <c r="AF177" s="11">
        <f>ROUND(SUMIF(AA160:AA175,"=55936046",S160:S175),2)</f>
        <v>899.74</v>
      </c>
      <c r="AG177" s="11">
        <f>ROUND(SUMIF(AA160:AA175,"=55936046",T160:T175),2)</f>
        <v>0</v>
      </c>
      <c r="AH177" s="11">
        <f>SUMIF(AA160:AA175,"=55936046",U160:U175)</f>
        <v>75.708151200000003</v>
      </c>
      <c r="AI177" s="11">
        <f>SUMIF(AA160:AA175,"=55936046",V160:V175)</f>
        <v>0</v>
      </c>
      <c r="AJ177" s="11">
        <f>ROUND(SUMIF(AA160:AA175,"=55936046",W160:W175),2)</f>
        <v>0</v>
      </c>
      <c r="AK177" s="11">
        <f>ROUND(SUMIF(AA160:AA175,"=55936046",X160:X175),2)</f>
        <v>809.77</v>
      </c>
      <c r="AL177" s="11">
        <f>ROUND(SUMIF(AA160:AA175,"=55936046",Y160:Y175),2)</f>
        <v>413.88</v>
      </c>
      <c r="AM177" s="11"/>
      <c r="AN177" s="11"/>
      <c r="AO177" s="11">
        <f t="shared" ref="AO177:BD177" si="155">ROUND(BX177,2)</f>
        <v>0</v>
      </c>
      <c r="AP177" s="11">
        <f t="shared" si="155"/>
        <v>0</v>
      </c>
      <c r="AQ177" s="11">
        <f t="shared" si="155"/>
        <v>0</v>
      </c>
      <c r="AR177" s="11">
        <f t="shared" si="155"/>
        <v>14044.61</v>
      </c>
      <c r="AS177" s="11">
        <f t="shared" si="155"/>
        <v>0</v>
      </c>
      <c r="AT177" s="11">
        <f t="shared" si="155"/>
        <v>14044.61</v>
      </c>
      <c r="AU177" s="11">
        <f t="shared" si="155"/>
        <v>0</v>
      </c>
      <c r="AV177" s="11">
        <f t="shared" si="155"/>
        <v>11913.33</v>
      </c>
      <c r="AW177" s="11">
        <f t="shared" si="155"/>
        <v>11913.33</v>
      </c>
      <c r="AX177" s="11">
        <f t="shared" si="155"/>
        <v>0</v>
      </c>
      <c r="AY177" s="11">
        <f t="shared" si="155"/>
        <v>11913.33</v>
      </c>
      <c r="AZ177" s="11">
        <f t="shared" si="155"/>
        <v>0</v>
      </c>
      <c r="BA177" s="11">
        <f t="shared" si="155"/>
        <v>0</v>
      </c>
      <c r="BB177" s="11">
        <f t="shared" si="155"/>
        <v>0</v>
      </c>
      <c r="BC177" s="11">
        <f t="shared" si="155"/>
        <v>0</v>
      </c>
      <c r="BD177" s="11">
        <f t="shared" si="155"/>
        <v>0</v>
      </c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>
        <f>ROUND(SUMIF(AA160:AA175,"=55936046",FQ160:FQ175),2)</f>
        <v>0</v>
      </c>
      <c r="BY177" s="11">
        <f>ROUND(SUMIF(AA160:AA175,"=55936046",FR160:FR175),2)</f>
        <v>0</v>
      </c>
      <c r="BZ177" s="11">
        <f>ROUND(SUMIF(AA160:AA175,"=55936046",GL160:GL175),2)</f>
        <v>0</v>
      </c>
      <c r="CA177" s="11">
        <f>ROUND(SUMIF(AA160:AA175,"=55936046",GM160:GM175),2)</f>
        <v>14044.61</v>
      </c>
      <c r="CB177" s="11">
        <f>ROUND(SUMIF(AA160:AA175,"=55936046",GN160:GN175),2)</f>
        <v>0</v>
      </c>
      <c r="CC177" s="11">
        <f>ROUND(SUMIF(AA160:AA175,"=55936046",GO160:GO175),2)</f>
        <v>14044.61</v>
      </c>
      <c r="CD177" s="11">
        <f>ROUND(SUMIF(AA160:AA175,"=55936046",GP160:GP175),2)</f>
        <v>0</v>
      </c>
      <c r="CE177" s="11">
        <f>AC177-BX177</f>
        <v>11913.33</v>
      </c>
      <c r="CF177" s="11">
        <f>AC177-BY177</f>
        <v>11913.33</v>
      </c>
      <c r="CG177" s="11">
        <f>BX177-BZ177</f>
        <v>0</v>
      </c>
      <c r="CH177" s="11">
        <f>AC177-BX177-BY177+BZ177</f>
        <v>11913.33</v>
      </c>
      <c r="CI177" s="11">
        <f>BY177-BZ177</f>
        <v>0</v>
      </c>
      <c r="CJ177" s="11">
        <f>ROUND(SUMIF(AA160:AA175,"=55936046",GX160:GX175),2)</f>
        <v>0</v>
      </c>
      <c r="CK177" s="11">
        <f>ROUND(SUMIF(AA160:AA175,"=55936046",GY160:GY175),2)</f>
        <v>0</v>
      </c>
      <c r="CL177" s="11">
        <f>ROUND(SUMIF(AA160:AA175,"=55936046",GZ160:GZ175),2)</f>
        <v>0</v>
      </c>
      <c r="CM177" s="11">
        <f>ROUND(SUMIF(AA160:AA175,"=55936046",HD160:HD175),2)</f>
        <v>0</v>
      </c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2">
        <f t="shared" ref="DG177:DL177" si="156">ROUND(DT177,2)</f>
        <v>156198.22</v>
      </c>
      <c r="DH177" s="12">
        <f t="shared" si="156"/>
        <v>105421.97</v>
      </c>
      <c r="DI177" s="12">
        <f t="shared" si="156"/>
        <v>75.900000000000006</v>
      </c>
      <c r="DJ177" s="12">
        <f t="shared" si="156"/>
        <v>0</v>
      </c>
      <c r="DK177" s="12">
        <f t="shared" si="156"/>
        <v>50700.35</v>
      </c>
      <c r="DL177" s="12">
        <f t="shared" si="156"/>
        <v>0</v>
      </c>
      <c r="DM177" s="12">
        <f>DZ177</f>
        <v>75.708151200000003</v>
      </c>
      <c r="DN177" s="12">
        <f>EA177</f>
        <v>0</v>
      </c>
      <c r="DO177" s="12">
        <f>ROUND(EB177,2)</f>
        <v>0</v>
      </c>
      <c r="DP177" s="12">
        <f>ROUND(EC177,2)</f>
        <v>45630.32</v>
      </c>
      <c r="DQ177" s="12">
        <f>ROUND(ED177,2)</f>
        <v>23322.16</v>
      </c>
      <c r="DR177" s="12"/>
      <c r="DS177" s="12"/>
      <c r="DT177" s="12">
        <f>ROUND(SUMIF(AA160:AA175,"=55936048",O160:O175),2)</f>
        <v>156198.22</v>
      </c>
      <c r="DU177" s="12">
        <f>ROUND(SUMIF(AA160:AA175,"=55936048",P160:P175),2)</f>
        <v>105421.97</v>
      </c>
      <c r="DV177" s="12">
        <f>ROUND(SUMIF(AA160:AA175,"=55936048",Q160:Q175),2)</f>
        <v>75.900000000000006</v>
      </c>
      <c r="DW177" s="12">
        <f>ROUND(SUMIF(AA160:AA175,"=55936048",R160:R175),2)</f>
        <v>0</v>
      </c>
      <c r="DX177" s="12">
        <f>ROUND(SUMIF(AA160:AA175,"=55936048",S160:S175),2)</f>
        <v>50700.35</v>
      </c>
      <c r="DY177" s="12">
        <f>ROUND(SUMIF(AA160:AA175,"=55936048",T160:T175),2)</f>
        <v>0</v>
      </c>
      <c r="DZ177" s="12">
        <f>SUMIF(AA160:AA175,"=55936048",U160:U175)</f>
        <v>75.708151200000003</v>
      </c>
      <c r="EA177" s="12">
        <f>SUMIF(AA160:AA175,"=55936048",V160:V175)</f>
        <v>0</v>
      </c>
      <c r="EB177" s="12">
        <f>ROUND(SUMIF(AA160:AA175,"=55936048",W160:W175),2)</f>
        <v>0</v>
      </c>
      <c r="EC177" s="12">
        <f>ROUND(SUMIF(AA160:AA175,"=55936048",X160:X175),2)</f>
        <v>45630.32</v>
      </c>
      <c r="ED177" s="12">
        <f>ROUND(SUMIF(AA160:AA175,"=55936048",Y160:Y175),2)</f>
        <v>23322.16</v>
      </c>
      <c r="EE177" s="12"/>
      <c r="EF177" s="12"/>
      <c r="EG177" s="12">
        <f t="shared" ref="EG177:EV177" si="157">ROUND(FP177,2)</f>
        <v>0</v>
      </c>
      <c r="EH177" s="12">
        <f t="shared" si="157"/>
        <v>0</v>
      </c>
      <c r="EI177" s="12">
        <f t="shared" si="157"/>
        <v>0</v>
      </c>
      <c r="EJ177" s="12">
        <f t="shared" si="157"/>
        <v>225150.7</v>
      </c>
      <c r="EK177" s="12">
        <f t="shared" si="157"/>
        <v>0</v>
      </c>
      <c r="EL177" s="12">
        <f t="shared" si="157"/>
        <v>225150.7</v>
      </c>
      <c r="EM177" s="12">
        <f t="shared" si="157"/>
        <v>0</v>
      </c>
      <c r="EN177" s="12">
        <f t="shared" si="157"/>
        <v>105421.97</v>
      </c>
      <c r="EO177" s="12">
        <f t="shared" si="157"/>
        <v>105421.97</v>
      </c>
      <c r="EP177" s="12">
        <f t="shared" si="157"/>
        <v>0</v>
      </c>
      <c r="EQ177" s="12">
        <f t="shared" si="157"/>
        <v>105421.97</v>
      </c>
      <c r="ER177" s="12">
        <f t="shared" si="157"/>
        <v>0</v>
      </c>
      <c r="ES177" s="12">
        <f t="shared" si="157"/>
        <v>0</v>
      </c>
      <c r="ET177" s="12">
        <f t="shared" si="157"/>
        <v>0</v>
      </c>
      <c r="EU177" s="12">
        <f t="shared" si="157"/>
        <v>0</v>
      </c>
      <c r="EV177" s="12">
        <f t="shared" si="157"/>
        <v>0</v>
      </c>
      <c r="EW177" s="12"/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  <c r="FN177" s="12"/>
      <c r="FO177" s="12"/>
      <c r="FP177" s="12">
        <f>ROUND(SUMIF(AA160:AA175,"=55936048",FQ160:FQ175),2)</f>
        <v>0</v>
      </c>
      <c r="FQ177" s="12">
        <f>ROUND(SUMIF(AA160:AA175,"=55936048",FR160:FR175),2)</f>
        <v>0</v>
      </c>
      <c r="FR177" s="12">
        <f>ROUND(SUMIF(AA160:AA175,"=55936048",GL160:GL175),2)</f>
        <v>0</v>
      </c>
      <c r="FS177" s="12">
        <f>ROUND(SUMIF(AA160:AA175,"=55936048",GM160:GM175),2)</f>
        <v>225150.7</v>
      </c>
      <c r="FT177" s="12">
        <f>ROUND(SUMIF(AA160:AA175,"=55936048",GN160:GN175),2)</f>
        <v>0</v>
      </c>
      <c r="FU177" s="12">
        <f>ROUND(SUMIF(AA160:AA175,"=55936048",GO160:GO175),2)</f>
        <v>225150.7</v>
      </c>
      <c r="FV177" s="12">
        <f>ROUND(SUMIF(AA160:AA175,"=55936048",GP160:GP175),2)</f>
        <v>0</v>
      </c>
      <c r="FW177" s="12">
        <f>DU177-FP177</f>
        <v>105421.97</v>
      </c>
      <c r="FX177" s="12">
        <f>DU177-FQ177</f>
        <v>105421.97</v>
      </c>
      <c r="FY177" s="12">
        <f>FP177-FR177</f>
        <v>0</v>
      </c>
      <c r="FZ177" s="12">
        <f>DU177-FP177-FQ177+FR177</f>
        <v>105421.97</v>
      </c>
      <c r="GA177" s="12">
        <f>FQ177-FR177</f>
        <v>0</v>
      </c>
      <c r="GB177" s="12">
        <f>ROUND(SUMIF(AA160:AA175,"=55936048",GX160:GX175),2)</f>
        <v>0</v>
      </c>
      <c r="GC177" s="12">
        <f>ROUND(SUMIF(AA160:AA175,"=55936048",GY160:GY175),2)</f>
        <v>0</v>
      </c>
      <c r="GD177" s="12">
        <f>ROUND(SUMIF(AA160:AA175,"=55936048",GZ160:GZ175),2)</f>
        <v>0</v>
      </c>
      <c r="GE177" s="12">
        <f>ROUND(SUMIF(AA160:AA175,"=55936048",HD160:HD175),2)</f>
        <v>0</v>
      </c>
      <c r="GF177" s="12"/>
      <c r="GG177" s="12"/>
      <c r="GH177" s="12"/>
      <c r="GI177" s="12"/>
      <c r="GJ177" s="12"/>
      <c r="GK177" s="12"/>
      <c r="GL177" s="12"/>
      <c r="GM177" s="12"/>
      <c r="GN177" s="12"/>
      <c r="GO177" s="12"/>
      <c r="GP177" s="12"/>
      <c r="GQ177" s="12"/>
      <c r="GR177" s="12"/>
      <c r="GS177" s="12"/>
      <c r="GT177" s="12"/>
      <c r="GU177" s="12"/>
      <c r="GV177" s="12"/>
      <c r="GW177" s="12"/>
      <c r="GX177" s="12">
        <v>0</v>
      </c>
    </row>
    <row r="179" spans="1:206" ht="13" x14ac:dyDescent="0.3">
      <c r="A179" s="13">
        <v>50</v>
      </c>
      <c r="B179" s="13">
        <v>0</v>
      </c>
      <c r="C179" s="13">
        <v>0</v>
      </c>
      <c r="D179" s="13">
        <v>1</v>
      </c>
      <c r="E179" s="13">
        <v>201</v>
      </c>
      <c r="F179" s="13">
        <f>ROUND(Source!O177,O179)</f>
        <v>12820.96</v>
      </c>
      <c r="G179" s="13" t="s">
        <v>84</v>
      </c>
      <c r="H179" s="13" t="s">
        <v>85</v>
      </c>
      <c r="I179" s="13"/>
      <c r="J179" s="13"/>
      <c r="K179" s="13">
        <v>201</v>
      </c>
      <c r="L179" s="13">
        <v>1</v>
      </c>
      <c r="M179" s="13">
        <v>3</v>
      </c>
      <c r="N179" s="13" t="s">
        <v>3</v>
      </c>
      <c r="O179" s="13">
        <v>2</v>
      </c>
      <c r="P179" s="13">
        <f>ROUND(Source!DG177,O179)</f>
        <v>156198.22</v>
      </c>
      <c r="Q179" s="13"/>
      <c r="R179" s="13"/>
      <c r="S179" s="13"/>
      <c r="T179" s="13"/>
      <c r="U179" s="13"/>
      <c r="V179" s="13"/>
      <c r="W179" s="13">
        <v>12820.96</v>
      </c>
      <c r="X179" s="13">
        <v>1</v>
      </c>
      <c r="Y179" s="13">
        <v>12820.96</v>
      </c>
      <c r="Z179" s="13">
        <v>156198.22</v>
      </c>
      <c r="AA179" s="13">
        <v>1</v>
      </c>
      <c r="AB179" s="13">
        <v>156198.22</v>
      </c>
    </row>
    <row r="180" spans="1:206" ht="13" x14ac:dyDescent="0.3">
      <c r="A180" s="13">
        <v>50</v>
      </c>
      <c r="B180" s="13">
        <v>0</v>
      </c>
      <c r="C180" s="13">
        <v>0</v>
      </c>
      <c r="D180" s="13">
        <v>1</v>
      </c>
      <c r="E180" s="13">
        <v>202</v>
      </c>
      <c r="F180" s="13">
        <f>ROUND(Source!P177,O180)</f>
        <v>11913.33</v>
      </c>
      <c r="G180" s="13" t="s">
        <v>86</v>
      </c>
      <c r="H180" s="13" t="s">
        <v>87</v>
      </c>
      <c r="I180" s="13"/>
      <c r="J180" s="13"/>
      <c r="K180" s="13">
        <v>202</v>
      </c>
      <c r="L180" s="13">
        <v>2</v>
      </c>
      <c r="M180" s="13">
        <v>3</v>
      </c>
      <c r="N180" s="13" t="s">
        <v>3</v>
      </c>
      <c r="O180" s="13">
        <v>2</v>
      </c>
      <c r="P180" s="13">
        <f>ROUND(Source!DH177,O180)</f>
        <v>105421.97</v>
      </c>
      <c r="Q180" s="13"/>
      <c r="R180" s="13"/>
      <c r="S180" s="13"/>
      <c r="T180" s="13"/>
      <c r="U180" s="13"/>
      <c r="V180" s="13"/>
      <c r="W180" s="13">
        <v>11913.33</v>
      </c>
      <c r="X180" s="13">
        <v>1</v>
      </c>
      <c r="Y180" s="13">
        <v>11913.33</v>
      </c>
      <c r="Z180" s="13">
        <v>105421.97</v>
      </c>
      <c r="AA180" s="13">
        <v>1</v>
      </c>
      <c r="AB180" s="13">
        <v>105421.97</v>
      </c>
    </row>
    <row r="181" spans="1:206" ht="13" x14ac:dyDescent="0.3">
      <c r="A181" s="13">
        <v>50</v>
      </c>
      <c r="B181" s="13">
        <v>0</v>
      </c>
      <c r="C181" s="13">
        <v>0</v>
      </c>
      <c r="D181" s="13">
        <v>1</v>
      </c>
      <c r="E181" s="13">
        <v>222</v>
      </c>
      <c r="F181" s="13">
        <f>ROUND(Source!AO177,O181)</f>
        <v>0</v>
      </c>
      <c r="G181" s="13" t="s">
        <v>88</v>
      </c>
      <c r="H181" s="13" t="s">
        <v>89</v>
      </c>
      <c r="I181" s="13"/>
      <c r="J181" s="13"/>
      <c r="K181" s="13">
        <v>222</v>
      </c>
      <c r="L181" s="13">
        <v>3</v>
      </c>
      <c r="M181" s="13">
        <v>3</v>
      </c>
      <c r="N181" s="13" t="s">
        <v>3</v>
      </c>
      <c r="O181" s="13">
        <v>2</v>
      </c>
      <c r="P181" s="13">
        <f>ROUND(Source!EG177,O181)</f>
        <v>0</v>
      </c>
      <c r="Q181" s="13"/>
      <c r="R181" s="13"/>
      <c r="S181" s="13"/>
      <c r="T181" s="13"/>
      <c r="U181" s="13"/>
      <c r="V181" s="13"/>
      <c r="W181" s="13">
        <v>0</v>
      </c>
      <c r="X181" s="13">
        <v>1</v>
      </c>
      <c r="Y181" s="13">
        <v>0</v>
      </c>
      <c r="Z181" s="13">
        <v>0</v>
      </c>
      <c r="AA181" s="13">
        <v>1</v>
      </c>
      <c r="AB181" s="13">
        <v>0</v>
      </c>
    </row>
    <row r="182" spans="1:206" ht="13" x14ac:dyDescent="0.3">
      <c r="A182" s="13">
        <v>50</v>
      </c>
      <c r="B182" s="13">
        <v>0</v>
      </c>
      <c r="C182" s="13">
        <v>0</v>
      </c>
      <c r="D182" s="13">
        <v>1</v>
      </c>
      <c r="E182" s="13">
        <v>225</v>
      </c>
      <c r="F182" s="13">
        <f>ROUND(Source!AV177,O182)</f>
        <v>11913.33</v>
      </c>
      <c r="G182" s="13" t="s">
        <v>90</v>
      </c>
      <c r="H182" s="13" t="s">
        <v>91</v>
      </c>
      <c r="I182" s="13"/>
      <c r="J182" s="13"/>
      <c r="K182" s="13">
        <v>225</v>
      </c>
      <c r="L182" s="13">
        <v>4</v>
      </c>
      <c r="M182" s="13">
        <v>3</v>
      </c>
      <c r="N182" s="13" t="s">
        <v>3</v>
      </c>
      <c r="O182" s="13">
        <v>2</v>
      </c>
      <c r="P182" s="13">
        <f>ROUND(Source!EN177,O182)</f>
        <v>105421.97</v>
      </c>
      <c r="Q182" s="13"/>
      <c r="R182" s="13"/>
      <c r="S182" s="13"/>
      <c r="T182" s="13"/>
      <c r="U182" s="13"/>
      <c r="V182" s="13"/>
      <c r="W182" s="13">
        <v>11913.33</v>
      </c>
      <c r="X182" s="13">
        <v>1</v>
      </c>
      <c r="Y182" s="13">
        <v>11913.33</v>
      </c>
      <c r="Z182" s="13">
        <v>105421.97</v>
      </c>
      <c r="AA182" s="13">
        <v>1</v>
      </c>
      <c r="AB182" s="13">
        <v>105421.97</v>
      </c>
    </row>
    <row r="183" spans="1:206" ht="13" x14ac:dyDescent="0.3">
      <c r="A183" s="13">
        <v>50</v>
      </c>
      <c r="B183" s="13">
        <v>0</v>
      </c>
      <c r="C183" s="13">
        <v>0</v>
      </c>
      <c r="D183" s="13">
        <v>1</v>
      </c>
      <c r="E183" s="13">
        <v>226</v>
      </c>
      <c r="F183" s="13">
        <f>ROUND(Source!AW177,O183)</f>
        <v>11913.33</v>
      </c>
      <c r="G183" s="13" t="s">
        <v>92</v>
      </c>
      <c r="H183" s="13" t="s">
        <v>93</v>
      </c>
      <c r="I183" s="13"/>
      <c r="J183" s="13"/>
      <c r="K183" s="13">
        <v>226</v>
      </c>
      <c r="L183" s="13">
        <v>5</v>
      </c>
      <c r="M183" s="13">
        <v>3</v>
      </c>
      <c r="N183" s="13" t="s">
        <v>3</v>
      </c>
      <c r="O183" s="13">
        <v>2</v>
      </c>
      <c r="P183" s="13">
        <f>ROUND(Source!EO177,O183)</f>
        <v>105421.97</v>
      </c>
      <c r="Q183" s="13"/>
      <c r="R183" s="13"/>
      <c r="S183" s="13"/>
      <c r="T183" s="13"/>
      <c r="U183" s="13"/>
      <c r="V183" s="13"/>
      <c r="W183" s="13">
        <v>11913.33</v>
      </c>
      <c r="X183" s="13">
        <v>1</v>
      </c>
      <c r="Y183" s="13">
        <v>11913.33</v>
      </c>
      <c r="Z183" s="13">
        <v>105421.97</v>
      </c>
      <c r="AA183" s="13">
        <v>1</v>
      </c>
      <c r="AB183" s="13">
        <v>105421.97</v>
      </c>
    </row>
    <row r="184" spans="1:206" ht="13" x14ac:dyDescent="0.3">
      <c r="A184" s="13">
        <v>50</v>
      </c>
      <c r="B184" s="13">
        <v>0</v>
      </c>
      <c r="C184" s="13">
        <v>0</v>
      </c>
      <c r="D184" s="13">
        <v>1</v>
      </c>
      <c r="E184" s="13">
        <v>227</v>
      </c>
      <c r="F184" s="13">
        <f>ROUND(Source!AX177,O184)</f>
        <v>0</v>
      </c>
      <c r="G184" s="13" t="s">
        <v>94</v>
      </c>
      <c r="H184" s="13" t="s">
        <v>95</v>
      </c>
      <c r="I184" s="13"/>
      <c r="J184" s="13"/>
      <c r="K184" s="13">
        <v>227</v>
      </c>
      <c r="L184" s="13">
        <v>6</v>
      </c>
      <c r="M184" s="13">
        <v>3</v>
      </c>
      <c r="N184" s="13" t="s">
        <v>3</v>
      </c>
      <c r="O184" s="13">
        <v>2</v>
      </c>
      <c r="P184" s="13">
        <f>ROUND(Source!EP177,O184)</f>
        <v>0</v>
      </c>
      <c r="Q184" s="13"/>
      <c r="R184" s="13"/>
      <c r="S184" s="13"/>
      <c r="T184" s="13"/>
      <c r="U184" s="13"/>
      <c r="V184" s="13"/>
      <c r="W184" s="13">
        <v>0</v>
      </c>
      <c r="X184" s="13">
        <v>1</v>
      </c>
      <c r="Y184" s="13">
        <v>0</v>
      </c>
      <c r="Z184" s="13">
        <v>0</v>
      </c>
      <c r="AA184" s="13">
        <v>1</v>
      </c>
      <c r="AB184" s="13">
        <v>0</v>
      </c>
    </row>
    <row r="185" spans="1:206" ht="13" x14ac:dyDescent="0.3">
      <c r="A185" s="13">
        <v>50</v>
      </c>
      <c r="B185" s="13">
        <v>0</v>
      </c>
      <c r="C185" s="13">
        <v>0</v>
      </c>
      <c r="D185" s="13">
        <v>1</v>
      </c>
      <c r="E185" s="13">
        <v>228</v>
      </c>
      <c r="F185" s="13">
        <f>ROUND(Source!AY177,O185)</f>
        <v>11913.33</v>
      </c>
      <c r="G185" s="13" t="s">
        <v>96</v>
      </c>
      <c r="H185" s="13" t="s">
        <v>97</v>
      </c>
      <c r="I185" s="13"/>
      <c r="J185" s="13"/>
      <c r="K185" s="13">
        <v>228</v>
      </c>
      <c r="L185" s="13">
        <v>7</v>
      </c>
      <c r="M185" s="13">
        <v>3</v>
      </c>
      <c r="N185" s="13" t="s">
        <v>3</v>
      </c>
      <c r="O185" s="13">
        <v>2</v>
      </c>
      <c r="P185" s="13">
        <f>ROUND(Source!EQ177,O185)</f>
        <v>105421.97</v>
      </c>
      <c r="Q185" s="13"/>
      <c r="R185" s="13"/>
      <c r="S185" s="13"/>
      <c r="T185" s="13"/>
      <c r="U185" s="13"/>
      <c r="V185" s="13"/>
      <c r="W185" s="13">
        <v>11913.33</v>
      </c>
      <c r="X185" s="13">
        <v>1</v>
      </c>
      <c r="Y185" s="13">
        <v>11913.33</v>
      </c>
      <c r="Z185" s="13">
        <v>105421.97</v>
      </c>
      <c r="AA185" s="13">
        <v>1</v>
      </c>
      <c r="AB185" s="13">
        <v>105421.97</v>
      </c>
    </row>
    <row r="186" spans="1:206" ht="13" x14ac:dyDescent="0.3">
      <c r="A186" s="13">
        <v>50</v>
      </c>
      <c r="B186" s="13">
        <v>0</v>
      </c>
      <c r="C186" s="13">
        <v>0</v>
      </c>
      <c r="D186" s="13">
        <v>1</v>
      </c>
      <c r="E186" s="13">
        <v>216</v>
      </c>
      <c r="F186" s="13">
        <f>ROUND(Source!AP177,O186)</f>
        <v>0</v>
      </c>
      <c r="G186" s="13" t="s">
        <v>98</v>
      </c>
      <c r="H186" s="13" t="s">
        <v>99</v>
      </c>
      <c r="I186" s="13"/>
      <c r="J186" s="13"/>
      <c r="K186" s="13">
        <v>216</v>
      </c>
      <c r="L186" s="13">
        <v>8</v>
      </c>
      <c r="M186" s="13">
        <v>3</v>
      </c>
      <c r="N186" s="13" t="s">
        <v>3</v>
      </c>
      <c r="O186" s="13">
        <v>2</v>
      </c>
      <c r="P186" s="13">
        <f>ROUND(Source!EH177,O186)</f>
        <v>0</v>
      </c>
      <c r="Q186" s="13"/>
      <c r="R186" s="13"/>
      <c r="S186" s="13"/>
      <c r="T186" s="13"/>
      <c r="U186" s="13"/>
      <c r="V186" s="13"/>
      <c r="W186" s="13">
        <v>0</v>
      </c>
      <c r="X186" s="13">
        <v>1</v>
      </c>
      <c r="Y186" s="13">
        <v>0</v>
      </c>
      <c r="Z186" s="13">
        <v>0</v>
      </c>
      <c r="AA186" s="13">
        <v>1</v>
      </c>
      <c r="AB186" s="13">
        <v>0</v>
      </c>
    </row>
    <row r="187" spans="1:206" ht="13" x14ac:dyDescent="0.3">
      <c r="A187" s="13">
        <v>50</v>
      </c>
      <c r="B187" s="13">
        <v>0</v>
      </c>
      <c r="C187" s="13">
        <v>0</v>
      </c>
      <c r="D187" s="13">
        <v>1</v>
      </c>
      <c r="E187" s="13">
        <v>223</v>
      </c>
      <c r="F187" s="13">
        <f>ROUND(Source!AQ177,O187)</f>
        <v>0</v>
      </c>
      <c r="G187" s="13" t="s">
        <v>100</v>
      </c>
      <c r="H187" s="13" t="s">
        <v>101</v>
      </c>
      <c r="I187" s="13"/>
      <c r="J187" s="13"/>
      <c r="K187" s="13">
        <v>223</v>
      </c>
      <c r="L187" s="13">
        <v>9</v>
      </c>
      <c r="M187" s="13">
        <v>3</v>
      </c>
      <c r="N187" s="13" t="s">
        <v>3</v>
      </c>
      <c r="O187" s="13">
        <v>2</v>
      </c>
      <c r="P187" s="13">
        <f>ROUND(Source!EI177,O187)</f>
        <v>0</v>
      </c>
      <c r="Q187" s="13"/>
      <c r="R187" s="13"/>
      <c r="S187" s="13"/>
      <c r="T187" s="13"/>
      <c r="U187" s="13"/>
      <c r="V187" s="13"/>
      <c r="W187" s="13">
        <v>0</v>
      </c>
      <c r="X187" s="13">
        <v>1</v>
      </c>
      <c r="Y187" s="13">
        <v>0</v>
      </c>
      <c r="Z187" s="13">
        <v>0</v>
      </c>
      <c r="AA187" s="13">
        <v>1</v>
      </c>
      <c r="AB187" s="13">
        <v>0</v>
      </c>
    </row>
    <row r="188" spans="1:206" ht="13" x14ac:dyDescent="0.3">
      <c r="A188" s="13">
        <v>50</v>
      </c>
      <c r="B188" s="13">
        <v>0</v>
      </c>
      <c r="C188" s="13">
        <v>0</v>
      </c>
      <c r="D188" s="13">
        <v>1</v>
      </c>
      <c r="E188" s="13">
        <v>229</v>
      </c>
      <c r="F188" s="13">
        <f>ROUND(Source!AZ177,O188)</f>
        <v>0</v>
      </c>
      <c r="G188" s="13" t="s">
        <v>102</v>
      </c>
      <c r="H188" s="13" t="s">
        <v>103</v>
      </c>
      <c r="I188" s="13"/>
      <c r="J188" s="13"/>
      <c r="K188" s="13">
        <v>229</v>
      </c>
      <c r="L188" s="13">
        <v>10</v>
      </c>
      <c r="M188" s="13">
        <v>3</v>
      </c>
      <c r="N188" s="13" t="s">
        <v>3</v>
      </c>
      <c r="O188" s="13">
        <v>2</v>
      </c>
      <c r="P188" s="13">
        <f>ROUND(Source!ER177,O188)</f>
        <v>0</v>
      </c>
      <c r="Q188" s="13"/>
      <c r="R188" s="13"/>
      <c r="S188" s="13"/>
      <c r="T188" s="13"/>
      <c r="U188" s="13"/>
      <c r="V188" s="13"/>
      <c r="W188" s="13">
        <v>0</v>
      </c>
      <c r="X188" s="13">
        <v>1</v>
      </c>
      <c r="Y188" s="13">
        <v>0</v>
      </c>
      <c r="Z188" s="13">
        <v>0</v>
      </c>
      <c r="AA188" s="13">
        <v>1</v>
      </c>
      <c r="AB188" s="13">
        <v>0</v>
      </c>
    </row>
    <row r="189" spans="1:206" ht="13" x14ac:dyDescent="0.3">
      <c r="A189" s="13">
        <v>50</v>
      </c>
      <c r="B189" s="13">
        <v>0</v>
      </c>
      <c r="C189" s="13">
        <v>0</v>
      </c>
      <c r="D189" s="13">
        <v>1</v>
      </c>
      <c r="E189" s="13">
        <v>203</v>
      </c>
      <c r="F189" s="13">
        <f>ROUND(Source!Q177,O189)</f>
        <v>7.89</v>
      </c>
      <c r="G189" s="13" t="s">
        <v>104</v>
      </c>
      <c r="H189" s="13" t="s">
        <v>105</v>
      </c>
      <c r="I189" s="13"/>
      <c r="J189" s="13"/>
      <c r="K189" s="13">
        <v>203</v>
      </c>
      <c r="L189" s="13">
        <v>11</v>
      </c>
      <c r="M189" s="13">
        <v>3</v>
      </c>
      <c r="N189" s="13" t="s">
        <v>3</v>
      </c>
      <c r="O189" s="13">
        <v>2</v>
      </c>
      <c r="P189" s="13">
        <f>ROUND(Source!DI177,O189)</f>
        <v>75.900000000000006</v>
      </c>
      <c r="Q189" s="13"/>
      <c r="R189" s="13"/>
      <c r="S189" s="13"/>
      <c r="T189" s="13"/>
      <c r="U189" s="13"/>
      <c r="V189" s="13"/>
      <c r="W189" s="13">
        <v>7.89</v>
      </c>
      <c r="X189" s="13">
        <v>1</v>
      </c>
      <c r="Y189" s="13">
        <v>7.89</v>
      </c>
      <c r="Z189" s="13">
        <v>75.900000000000006</v>
      </c>
      <c r="AA189" s="13">
        <v>1</v>
      </c>
      <c r="AB189" s="13">
        <v>75.900000000000006</v>
      </c>
    </row>
    <row r="190" spans="1:206" ht="13" x14ac:dyDescent="0.3">
      <c r="A190" s="13">
        <v>50</v>
      </c>
      <c r="B190" s="13">
        <v>0</v>
      </c>
      <c r="C190" s="13">
        <v>0</v>
      </c>
      <c r="D190" s="13">
        <v>1</v>
      </c>
      <c r="E190" s="13">
        <v>231</v>
      </c>
      <c r="F190" s="13">
        <f>ROUND(Source!BB177,O190)</f>
        <v>0</v>
      </c>
      <c r="G190" s="13" t="s">
        <v>106</v>
      </c>
      <c r="H190" s="13" t="s">
        <v>107</v>
      </c>
      <c r="I190" s="13"/>
      <c r="J190" s="13"/>
      <c r="K190" s="13">
        <v>231</v>
      </c>
      <c r="L190" s="13">
        <v>12</v>
      </c>
      <c r="M190" s="13">
        <v>3</v>
      </c>
      <c r="N190" s="13" t="s">
        <v>3</v>
      </c>
      <c r="O190" s="13">
        <v>2</v>
      </c>
      <c r="P190" s="13">
        <f>ROUND(Source!ET177,O190)</f>
        <v>0</v>
      </c>
      <c r="Q190" s="13"/>
      <c r="R190" s="13"/>
      <c r="S190" s="13"/>
      <c r="T190" s="13"/>
      <c r="U190" s="13"/>
      <c r="V190" s="13"/>
      <c r="W190" s="13">
        <v>0</v>
      </c>
      <c r="X190" s="13">
        <v>1</v>
      </c>
      <c r="Y190" s="13">
        <v>0</v>
      </c>
      <c r="Z190" s="13">
        <v>0</v>
      </c>
      <c r="AA190" s="13">
        <v>1</v>
      </c>
      <c r="AB190" s="13">
        <v>0</v>
      </c>
    </row>
    <row r="191" spans="1:206" ht="13" x14ac:dyDescent="0.3">
      <c r="A191" s="13">
        <v>50</v>
      </c>
      <c r="B191" s="13">
        <v>0</v>
      </c>
      <c r="C191" s="13">
        <v>0</v>
      </c>
      <c r="D191" s="13">
        <v>1</v>
      </c>
      <c r="E191" s="13">
        <v>204</v>
      </c>
      <c r="F191" s="13">
        <f>ROUND(Source!R177,O191)</f>
        <v>0</v>
      </c>
      <c r="G191" s="13" t="s">
        <v>108</v>
      </c>
      <c r="H191" s="13" t="s">
        <v>109</v>
      </c>
      <c r="I191" s="13"/>
      <c r="J191" s="13"/>
      <c r="K191" s="13">
        <v>204</v>
      </c>
      <c r="L191" s="13">
        <v>13</v>
      </c>
      <c r="M191" s="13">
        <v>3</v>
      </c>
      <c r="N191" s="13" t="s">
        <v>3</v>
      </c>
      <c r="O191" s="13">
        <v>2</v>
      </c>
      <c r="P191" s="13">
        <f>ROUND(Source!DJ177,O191)</f>
        <v>0</v>
      </c>
      <c r="Q191" s="13"/>
      <c r="R191" s="13"/>
      <c r="S191" s="13"/>
      <c r="T191" s="13"/>
      <c r="U191" s="13"/>
      <c r="V191" s="13"/>
      <c r="W191" s="13">
        <v>0</v>
      </c>
      <c r="X191" s="13">
        <v>1</v>
      </c>
      <c r="Y191" s="13">
        <v>0</v>
      </c>
      <c r="Z191" s="13">
        <v>0</v>
      </c>
      <c r="AA191" s="13">
        <v>1</v>
      </c>
      <c r="AB191" s="13">
        <v>0</v>
      </c>
    </row>
    <row r="192" spans="1:206" ht="13" x14ac:dyDescent="0.3">
      <c r="A192" s="13">
        <v>50</v>
      </c>
      <c r="B192" s="13">
        <v>0</v>
      </c>
      <c r="C192" s="13">
        <v>0</v>
      </c>
      <c r="D192" s="13">
        <v>1</v>
      </c>
      <c r="E192" s="13">
        <v>205</v>
      </c>
      <c r="F192" s="13">
        <f>ROUND(Source!S177,O192)</f>
        <v>899.74</v>
      </c>
      <c r="G192" s="13" t="s">
        <v>110</v>
      </c>
      <c r="H192" s="13" t="s">
        <v>111</v>
      </c>
      <c r="I192" s="13"/>
      <c r="J192" s="13"/>
      <c r="K192" s="13">
        <v>205</v>
      </c>
      <c r="L192" s="13">
        <v>14</v>
      </c>
      <c r="M192" s="13">
        <v>3</v>
      </c>
      <c r="N192" s="13" t="s">
        <v>3</v>
      </c>
      <c r="O192" s="13">
        <v>2</v>
      </c>
      <c r="P192" s="13">
        <f>ROUND(Source!DK177,O192)</f>
        <v>50700.35</v>
      </c>
      <c r="Q192" s="13"/>
      <c r="R192" s="13"/>
      <c r="S192" s="13"/>
      <c r="T192" s="13"/>
      <c r="U192" s="13"/>
      <c r="V192" s="13"/>
      <c r="W192" s="13">
        <v>899.74</v>
      </c>
      <c r="X192" s="13">
        <v>1</v>
      </c>
      <c r="Y192" s="13">
        <v>899.74</v>
      </c>
      <c r="Z192" s="13">
        <v>50700.35</v>
      </c>
      <c r="AA192" s="13">
        <v>1</v>
      </c>
      <c r="AB192" s="13">
        <v>50700.35</v>
      </c>
    </row>
    <row r="193" spans="1:88" ht="13" x14ac:dyDescent="0.3">
      <c r="A193" s="13">
        <v>50</v>
      </c>
      <c r="B193" s="13">
        <v>0</v>
      </c>
      <c r="C193" s="13">
        <v>0</v>
      </c>
      <c r="D193" s="13">
        <v>1</v>
      </c>
      <c r="E193" s="13">
        <v>232</v>
      </c>
      <c r="F193" s="13">
        <f>ROUND(Source!BC177,O193)</f>
        <v>0</v>
      </c>
      <c r="G193" s="13" t="s">
        <v>112</v>
      </c>
      <c r="H193" s="13" t="s">
        <v>113</v>
      </c>
      <c r="I193" s="13"/>
      <c r="J193" s="13"/>
      <c r="K193" s="13">
        <v>232</v>
      </c>
      <c r="L193" s="13">
        <v>15</v>
      </c>
      <c r="M193" s="13">
        <v>3</v>
      </c>
      <c r="N193" s="13" t="s">
        <v>3</v>
      </c>
      <c r="O193" s="13">
        <v>2</v>
      </c>
      <c r="P193" s="13">
        <f>ROUND(Source!EU177,O193)</f>
        <v>0</v>
      </c>
      <c r="Q193" s="13"/>
      <c r="R193" s="13"/>
      <c r="S193" s="13"/>
      <c r="T193" s="13"/>
      <c r="U193" s="13"/>
      <c r="V193" s="13"/>
      <c r="W193" s="13">
        <v>0</v>
      </c>
      <c r="X193" s="13">
        <v>1</v>
      </c>
      <c r="Y193" s="13">
        <v>0</v>
      </c>
      <c r="Z193" s="13">
        <v>0</v>
      </c>
      <c r="AA193" s="13">
        <v>1</v>
      </c>
      <c r="AB193" s="13">
        <v>0</v>
      </c>
    </row>
    <row r="194" spans="1:88" ht="13" x14ac:dyDescent="0.3">
      <c r="A194" s="13">
        <v>50</v>
      </c>
      <c r="B194" s="13">
        <v>0</v>
      </c>
      <c r="C194" s="13">
        <v>0</v>
      </c>
      <c r="D194" s="13">
        <v>1</v>
      </c>
      <c r="E194" s="13">
        <v>214</v>
      </c>
      <c r="F194" s="13">
        <f>ROUND(Source!AS177,O194)</f>
        <v>0</v>
      </c>
      <c r="G194" s="13" t="s">
        <v>114</v>
      </c>
      <c r="H194" s="13" t="s">
        <v>115</v>
      </c>
      <c r="I194" s="13"/>
      <c r="J194" s="13"/>
      <c r="K194" s="13">
        <v>214</v>
      </c>
      <c r="L194" s="13">
        <v>16</v>
      </c>
      <c r="M194" s="13">
        <v>3</v>
      </c>
      <c r="N194" s="13" t="s">
        <v>3</v>
      </c>
      <c r="O194" s="13">
        <v>2</v>
      </c>
      <c r="P194" s="13">
        <f>ROUND(Source!EK177,O194)</f>
        <v>0</v>
      </c>
      <c r="Q194" s="13"/>
      <c r="R194" s="13"/>
      <c r="S194" s="13"/>
      <c r="T194" s="13"/>
      <c r="U194" s="13"/>
      <c r="V194" s="13"/>
      <c r="W194" s="13">
        <v>0</v>
      </c>
      <c r="X194" s="13">
        <v>1</v>
      </c>
      <c r="Y194" s="13">
        <v>0</v>
      </c>
      <c r="Z194" s="13">
        <v>0</v>
      </c>
      <c r="AA194" s="13">
        <v>1</v>
      </c>
      <c r="AB194" s="13">
        <v>0</v>
      </c>
    </row>
    <row r="195" spans="1:88" ht="13" x14ac:dyDescent="0.3">
      <c r="A195" s="13">
        <v>50</v>
      </c>
      <c r="B195" s="13">
        <v>0</v>
      </c>
      <c r="C195" s="13">
        <v>0</v>
      </c>
      <c r="D195" s="13">
        <v>1</v>
      </c>
      <c r="E195" s="13">
        <v>215</v>
      </c>
      <c r="F195" s="13">
        <f>ROUND(Source!AT177,O195)</f>
        <v>14044.61</v>
      </c>
      <c r="G195" s="13" t="s">
        <v>116</v>
      </c>
      <c r="H195" s="13" t="s">
        <v>117</v>
      </c>
      <c r="I195" s="13"/>
      <c r="J195" s="13"/>
      <c r="K195" s="13">
        <v>215</v>
      </c>
      <c r="L195" s="13">
        <v>17</v>
      </c>
      <c r="M195" s="13">
        <v>3</v>
      </c>
      <c r="N195" s="13" t="s">
        <v>3</v>
      </c>
      <c r="O195" s="13">
        <v>2</v>
      </c>
      <c r="P195" s="13">
        <f>ROUND(Source!EL177,O195)</f>
        <v>225150.7</v>
      </c>
      <c r="Q195" s="13"/>
      <c r="R195" s="13"/>
      <c r="S195" s="13"/>
      <c r="T195" s="13"/>
      <c r="U195" s="13"/>
      <c r="V195" s="13"/>
      <c r="W195" s="13">
        <v>14044.61</v>
      </c>
      <c r="X195" s="13">
        <v>1</v>
      </c>
      <c r="Y195" s="13">
        <v>14044.61</v>
      </c>
      <c r="Z195" s="13">
        <v>225150.7</v>
      </c>
      <c r="AA195" s="13">
        <v>1</v>
      </c>
      <c r="AB195" s="13">
        <v>225150.7</v>
      </c>
    </row>
    <row r="196" spans="1:88" ht="13" x14ac:dyDescent="0.3">
      <c r="A196" s="13">
        <v>50</v>
      </c>
      <c r="B196" s="13">
        <v>0</v>
      </c>
      <c r="C196" s="13">
        <v>0</v>
      </c>
      <c r="D196" s="13">
        <v>1</v>
      </c>
      <c r="E196" s="13">
        <v>217</v>
      </c>
      <c r="F196" s="13">
        <f>ROUND(Source!AU177,O196)</f>
        <v>0</v>
      </c>
      <c r="G196" s="13" t="s">
        <v>118</v>
      </c>
      <c r="H196" s="13" t="s">
        <v>119</v>
      </c>
      <c r="I196" s="13"/>
      <c r="J196" s="13"/>
      <c r="K196" s="13">
        <v>217</v>
      </c>
      <c r="L196" s="13">
        <v>18</v>
      </c>
      <c r="M196" s="13">
        <v>3</v>
      </c>
      <c r="N196" s="13" t="s">
        <v>3</v>
      </c>
      <c r="O196" s="13">
        <v>2</v>
      </c>
      <c r="P196" s="13">
        <f>ROUND(Source!EM177,O196)</f>
        <v>0</v>
      </c>
      <c r="Q196" s="13"/>
      <c r="R196" s="13"/>
      <c r="S196" s="13"/>
      <c r="T196" s="13"/>
      <c r="U196" s="13"/>
      <c r="V196" s="13"/>
      <c r="W196" s="13">
        <v>0</v>
      </c>
      <c r="X196" s="13">
        <v>1</v>
      </c>
      <c r="Y196" s="13">
        <v>0</v>
      </c>
      <c r="Z196" s="13">
        <v>0</v>
      </c>
      <c r="AA196" s="13">
        <v>1</v>
      </c>
      <c r="AB196" s="13">
        <v>0</v>
      </c>
    </row>
    <row r="197" spans="1:88" ht="13" x14ac:dyDescent="0.3">
      <c r="A197" s="13">
        <v>50</v>
      </c>
      <c r="B197" s="13">
        <v>0</v>
      </c>
      <c r="C197" s="13">
        <v>0</v>
      </c>
      <c r="D197" s="13">
        <v>1</v>
      </c>
      <c r="E197" s="13">
        <v>230</v>
      </c>
      <c r="F197" s="13">
        <f>ROUND(Source!BA177,O197)</f>
        <v>0</v>
      </c>
      <c r="G197" s="13" t="s">
        <v>120</v>
      </c>
      <c r="H197" s="13" t="s">
        <v>121</v>
      </c>
      <c r="I197" s="13"/>
      <c r="J197" s="13"/>
      <c r="K197" s="13">
        <v>230</v>
      </c>
      <c r="L197" s="13">
        <v>19</v>
      </c>
      <c r="M197" s="13">
        <v>3</v>
      </c>
      <c r="N197" s="13" t="s">
        <v>3</v>
      </c>
      <c r="O197" s="13">
        <v>2</v>
      </c>
      <c r="P197" s="13">
        <f>ROUND(Source!ES177,O197)</f>
        <v>0</v>
      </c>
      <c r="Q197" s="13"/>
      <c r="R197" s="13"/>
      <c r="S197" s="13"/>
      <c r="T197" s="13"/>
      <c r="U197" s="13"/>
      <c r="V197" s="13"/>
      <c r="W197" s="13">
        <v>0</v>
      </c>
      <c r="X197" s="13">
        <v>1</v>
      </c>
      <c r="Y197" s="13">
        <v>0</v>
      </c>
      <c r="Z197" s="13">
        <v>0</v>
      </c>
      <c r="AA197" s="13">
        <v>1</v>
      </c>
      <c r="AB197" s="13">
        <v>0</v>
      </c>
    </row>
    <row r="198" spans="1:88" ht="13" x14ac:dyDescent="0.3">
      <c r="A198" s="13">
        <v>50</v>
      </c>
      <c r="B198" s="13">
        <v>0</v>
      </c>
      <c r="C198" s="13">
        <v>0</v>
      </c>
      <c r="D198" s="13">
        <v>1</v>
      </c>
      <c r="E198" s="13">
        <v>206</v>
      </c>
      <c r="F198" s="13">
        <f>ROUND(Source!T177,O198)</f>
        <v>0</v>
      </c>
      <c r="G198" s="13" t="s">
        <v>122</v>
      </c>
      <c r="H198" s="13" t="s">
        <v>123</v>
      </c>
      <c r="I198" s="13"/>
      <c r="J198" s="13"/>
      <c r="K198" s="13">
        <v>206</v>
      </c>
      <c r="L198" s="13">
        <v>20</v>
      </c>
      <c r="M198" s="13">
        <v>3</v>
      </c>
      <c r="N198" s="13" t="s">
        <v>3</v>
      </c>
      <c r="O198" s="13">
        <v>2</v>
      </c>
      <c r="P198" s="13">
        <f>ROUND(Source!DL177,O198)</f>
        <v>0</v>
      </c>
      <c r="Q198" s="13"/>
      <c r="R198" s="13"/>
      <c r="S198" s="13"/>
      <c r="T198" s="13"/>
      <c r="U198" s="13"/>
      <c r="V198" s="13"/>
      <c r="W198" s="13">
        <v>0</v>
      </c>
      <c r="X198" s="13">
        <v>1</v>
      </c>
      <c r="Y198" s="13">
        <v>0</v>
      </c>
      <c r="Z198" s="13">
        <v>0</v>
      </c>
      <c r="AA198" s="13">
        <v>1</v>
      </c>
      <c r="AB198" s="13">
        <v>0</v>
      </c>
    </row>
    <row r="199" spans="1:88" ht="13" x14ac:dyDescent="0.3">
      <c r="A199" s="13">
        <v>50</v>
      </c>
      <c r="B199" s="13">
        <v>0</v>
      </c>
      <c r="C199" s="13">
        <v>0</v>
      </c>
      <c r="D199" s="13">
        <v>1</v>
      </c>
      <c r="E199" s="13">
        <v>207</v>
      </c>
      <c r="F199" s="13">
        <f>Source!U177</f>
        <v>75.708151200000003</v>
      </c>
      <c r="G199" s="13" t="s">
        <v>124</v>
      </c>
      <c r="H199" s="13" t="s">
        <v>125</v>
      </c>
      <c r="I199" s="13"/>
      <c r="J199" s="13"/>
      <c r="K199" s="13">
        <v>207</v>
      </c>
      <c r="L199" s="13">
        <v>21</v>
      </c>
      <c r="M199" s="13">
        <v>3</v>
      </c>
      <c r="N199" s="13" t="s">
        <v>3</v>
      </c>
      <c r="O199" s="13">
        <v>-1</v>
      </c>
      <c r="P199" s="13">
        <f>Source!DM177</f>
        <v>75.708151200000003</v>
      </c>
      <c r="Q199" s="13"/>
      <c r="R199" s="13"/>
      <c r="S199" s="13"/>
      <c r="T199" s="13"/>
      <c r="U199" s="13"/>
      <c r="V199" s="13"/>
      <c r="W199" s="13">
        <v>75.708151200000003</v>
      </c>
      <c r="X199" s="13">
        <v>1</v>
      </c>
      <c r="Y199" s="13">
        <v>75.708151200000003</v>
      </c>
      <c r="Z199" s="13">
        <v>75.708151200000003</v>
      </c>
      <c r="AA199" s="13">
        <v>1</v>
      </c>
      <c r="AB199" s="13">
        <v>75.708151200000003</v>
      </c>
    </row>
    <row r="200" spans="1:88" ht="13" x14ac:dyDescent="0.3">
      <c r="A200" s="13">
        <v>50</v>
      </c>
      <c r="B200" s="13">
        <v>0</v>
      </c>
      <c r="C200" s="13">
        <v>0</v>
      </c>
      <c r="D200" s="13">
        <v>1</v>
      </c>
      <c r="E200" s="13">
        <v>208</v>
      </c>
      <c r="F200" s="13">
        <f>Source!V177</f>
        <v>0</v>
      </c>
      <c r="G200" s="13" t="s">
        <v>126</v>
      </c>
      <c r="H200" s="13" t="s">
        <v>127</v>
      </c>
      <c r="I200" s="13"/>
      <c r="J200" s="13"/>
      <c r="K200" s="13">
        <v>208</v>
      </c>
      <c r="L200" s="13">
        <v>22</v>
      </c>
      <c r="M200" s="13">
        <v>3</v>
      </c>
      <c r="N200" s="13" t="s">
        <v>3</v>
      </c>
      <c r="O200" s="13">
        <v>-1</v>
      </c>
      <c r="P200" s="13">
        <f>Source!DN177</f>
        <v>0</v>
      </c>
      <c r="Q200" s="13"/>
      <c r="R200" s="13"/>
      <c r="S200" s="13"/>
      <c r="T200" s="13"/>
      <c r="U200" s="13"/>
      <c r="V200" s="13"/>
      <c r="W200" s="13">
        <v>0</v>
      </c>
      <c r="X200" s="13">
        <v>1</v>
      </c>
      <c r="Y200" s="13">
        <v>0</v>
      </c>
      <c r="Z200" s="13">
        <v>0</v>
      </c>
      <c r="AA200" s="13">
        <v>1</v>
      </c>
      <c r="AB200" s="13">
        <v>0</v>
      </c>
    </row>
    <row r="201" spans="1:88" ht="13" x14ac:dyDescent="0.3">
      <c r="A201" s="13">
        <v>50</v>
      </c>
      <c r="B201" s="13">
        <v>0</v>
      </c>
      <c r="C201" s="13">
        <v>0</v>
      </c>
      <c r="D201" s="13">
        <v>1</v>
      </c>
      <c r="E201" s="13">
        <v>209</v>
      </c>
      <c r="F201" s="13">
        <f>ROUND(Source!W177,O201)</f>
        <v>0</v>
      </c>
      <c r="G201" s="13" t="s">
        <v>128</v>
      </c>
      <c r="H201" s="13" t="s">
        <v>129</v>
      </c>
      <c r="I201" s="13"/>
      <c r="J201" s="13"/>
      <c r="K201" s="13">
        <v>209</v>
      </c>
      <c r="L201" s="13">
        <v>23</v>
      </c>
      <c r="M201" s="13">
        <v>3</v>
      </c>
      <c r="N201" s="13" t="s">
        <v>3</v>
      </c>
      <c r="O201" s="13">
        <v>2</v>
      </c>
      <c r="P201" s="13">
        <f>ROUND(Source!DO177,O201)</f>
        <v>0</v>
      </c>
      <c r="Q201" s="13"/>
      <c r="R201" s="13"/>
      <c r="S201" s="13"/>
      <c r="T201" s="13"/>
      <c r="U201" s="13"/>
      <c r="V201" s="13"/>
      <c r="W201" s="13">
        <v>0</v>
      </c>
      <c r="X201" s="13">
        <v>1</v>
      </c>
      <c r="Y201" s="13">
        <v>0</v>
      </c>
      <c r="Z201" s="13">
        <v>0</v>
      </c>
      <c r="AA201" s="13">
        <v>1</v>
      </c>
      <c r="AB201" s="13">
        <v>0</v>
      </c>
    </row>
    <row r="202" spans="1:88" ht="13" x14ac:dyDescent="0.3">
      <c r="A202" s="13">
        <v>50</v>
      </c>
      <c r="B202" s="13">
        <v>0</v>
      </c>
      <c r="C202" s="13">
        <v>0</v>
      </c>
      <c r="D202" s="13">
        <v>1</v>
      </c>
      <c r="E202" s="13">
        <v>233</v>
      </c>
      <c r="F202" s="13">
        <f>ROUND(Source!BD177,O202)</f>
        <v>0</v>
      </c>
      <c r="G202" s="13" t="s">
        <v>130</v>
      </c>
      <c r="H202" s="13" t="s">
        <v>131</v>
      </c>
      <c r="I202" s="13"/>
      <c r="J202" s="13"/>
      <c r="K202" s="13">
        <v>233</v>
      </c>
      <c r="L202" s="13">
        <v>24</v>
      </c>
      <c r="M202" s="13">
        <v>3</v>
      </c>
      <c r="N202" s="13" t="s">
        <v>3</v>
      </c>
      <c r="O202" s="13">
        <v>2</v>
      </c>
      <c r="P202" s="13">
        <f>ROUND(Source!EV177,O202)</f>
        <v>0</v>
      </c>
      <c r="Q202" s="13"/>
      <c r="R202" s="13"/>
      <c r="S202" s="13"/>
      <c r="T202" s="13"/>
      <c r="U202" s="13"/>
      <c r="V202" s="13"/>
      <c r="W202" s="13">
        <v>0</v>
      </c>
      <c r="X202" s="13">
        <v>1</v>
      </c>
      <c r="Y202" s="13">
        <v>0</v>
      </c>
      <c r="Z202" s="13">
        <v>0</v>
      </c>
      <c r="AA202" s="13">
        <v>1</v>
      </c>
      <c r="AB202" s="13">
        <v>0</v>
      </c>
    </row>
    <row r="203" spans="1:88" ht="13" x14ac:dyDescent="0.3">
      <c r="A203" s="13">
        <v>50</v>
      </c>
      <c r="B203" s="13">
        <v>0</v>
      </c>
      <c r="C203" s="13">
        <v>0</v>
      </c>
      <c r="D203" s="13">
        <v>1</v>
      </c>
      <c r="E203" s="13">
        <v>210</v>
      </c>
      <c r="F203" s="13">
        <f>ROUND(Source!X177,O203)</f>
        <v>809.77</v>
      </c>
      <c r="G203" s="13" t="s">
        <v>132</v>
      </c>
      <c r="H203" s="13" t="s">
        <v>133</v>
      </c>
      <c r="I203" s="13"/>
      <c r="J203" s="13"/>
      <c r="K203" s="13">
        <v>210</v>
      </c>
      <c r="L203" s="13">
        <v>25</v>
      </c>
      <c r="M203" s="13">
        <v>3</v>
      </c>
      <c r="N203" s="13" t="s">
        <v>3</v>
      </c>
      <c r="O203" s="13">
        <v>2</v>
      </c>
      <c r="P203" s="13">
        <f>ROUND(Source!DP177,O203)</f>
        <v>45630.32</v>
      </c>
      <c r="Q203" s="13"/>
      <c r="R203" s="13"/>
      <c r="S203" s="13"/>
      <c r="T203" s="13"/>
      <c r="U203" s="13"/>
      <c r="V203" s="13"/>
      <c r="W203" s="13">
        <v>809.77</v>
      </c>
      <c r="X203" s="13">
        <v>1</v>
      </c>
      <c r="Y203" s="13">
        <v>809.77</v>
      </c>
      <c r="Z203" s="13">
        <v>45630.32</v>
      </c>
      <c r="AA203" s="13">
        <v>1</v>
      </c>
      <c r="AB203" s="13">
        <v>45630.32</v>
      </c>
    </row>
    <row r="204" spans="1:88" ht="13" x14ac:dyDescent="0.3">
      <c r="A204" s="13">
        <v>50</v>
      </c>
      <c r="B204" s="13">
        <v>0</v>
      </c>
      <c r="C204" s="13">
        <v>0</v>
      </c>
      <c r="D204" s="13">
        <v>1</v>
      </c>
      <c r="E204" s="13">
        <v>211</v>
      </c>
      <c r="F204" s="13">
        <f>ROUND(Source!Y177,O204)</f>
        <v>413.88</v>
      </c>
      <c r="G204" s="13" t="s">
        <v>134</v>
      </c>
      <c r="H204" s="13" t="s">
        <v>135</v>
      </c>
      <c r="I204" s="13"/>
      <c r="J204" s="13"/>
      <c r="K204" s="13">
        <v>211</v>
      </c>
      <c r="L204" s="13">
        <v>26</v>
      </c>
      <c r="M204" s="13">
        <v>3</v>
      </c>
      <c r="N204" s="13" t="s">
        <v>3</v>
      </c>
      <c r="O204" s="13">
        <v>2</v>
      </c>
      <c r="P204" s="13">
        <f>ROUND(Source!DQ177,O204)</f>
        <v>23322.16</v>
      </c>
      <c r="Q204" s="13"/>
      <c r="R204" s="13"/>
      <c r="S204" s="13"/>
      <c r="T204" s="13"/>
      <c r="U204" s="13"/>
      <c r="V204" s="13"/>
      <c r="W204" s="13">
        <v>413.88</v>
      </c>
      <c r="X204" s="13">
        <v>1</v>
      </c>
      <c r="Y204" s="13">
        <v>413.88</v>
      </c>
      <c r="Z204" s="13">
        <v>23322.16</v>
      </c>
      <c r="AA204" s="13">
        <v>1</v>
      </c>
      <c r="AB204" s="13">
        <v>23322.16</v>
      </c>
    </row>
    <row r="205" spans="1:88" ht="13" x14ac:dyDescent="0.3">
      <c r="A205" s="13">
        <v>50</v>
      </c>
      <c r="B205" s="13">
        <v>0</v>
      </c>
      <c r="C205" s="13">
        <v>0</v>
      </c>
      <c r="D205" s="13">
        <v>1</v>
      </c>
      <c r="E205" s="13">
        <v>224</v>
      </c>
      <c r="F205" s="13">
        <f>ROUND(Source!AR177,O205)</f>
        <v>14044.61</v>
      </c>
      <c r="G205" s="13" t="s">
        <v>136</v>
      </c>
      <c r="H205" s="13" t="s">
        <v>137</v>
      </c>
      <c r="I205" s="13"/>
      <c r="J205" s="13"/>
      <c r="K205" s="13">
        <v>224</v>
      </c>
      <c r="L205" s="13">
        <v>27</v>
      </c>
      <c r="M205" s="13">
        <v>3</v>
      </c>
      <c r="N205" s="13" t="s">
        <v>3</v>
      </c>
      <c r="O205" s="13">
        <v>2</v>
      </c>
      <c r="P205" s="13">
        <f>ROUND(Source!EJ177,O205)</f>
        <v>225150.7</v>
      </c>
      <c r="Q205" s="13"/>
      <c r="R205" s="13"/>
      <c r="S205" s="13"/>
      <c r="T205" s="13"/>
      <c r="U205" s="13"/>
      <c r="V205" s="13"/>
      <c r="W205" s="13">
        <v>14044.61</v>
      </c>
      <c r="X205" s="13">
        <v>1</v>
      </c>
      <c r="Y205" s="13">
        <v>14044.61</v>
      </c>
      <c r="Z205" s="13">
        <v>225150.7</v>
      </c>
      <c r="AA205" s="13">
        <v>1</v>
      </c>
      <c r="AB205" s="13">
        <v>225150.7</v>
      </c>
    </row>
    <row r="207" spans="1:88" ht="13" x14ac:dyDescent="0.3">
      <c r="A207" s="10">
        <v>4</v>
      </c>
      <c r="B207" s="10">
        <v>1</v>
      </c>
      <c r="C207" s="10"/>
      <c r="D207" s="10">
        <f>ROW(A218)</f>
        <v>218</v>
      </c>
      <c r="E207" s="10"/>
      <c r="F207" s="10" t="s">
        <v>35</v>
      </c>
      <c r="G207" s="10" t="s">
        <v>232</v>
      </c>
      <c r="H207" s="10" t="s">
        <v>3</v>
      </c>
      <c r="I207" s="10">
        <v>0</v>
      </c>
      <c r="J207" s="10"/>
      <c r="K207" s="10">
        <v>-1</v>
      </c>
      <c r="L207" s="10"/>
      <c r="M207" s="10" t="s">
        <v>3</v>
      </c>
      <c r="N207" s="10"/>
      <c r="O207" s="10"/>
      <c r="P207" s="10"/>
      <c r="Q207" s="10"/>
      <c r="R207" s="10"/>
      <c r="S207" s="10">
        <v>0</v>
      </c>
      <c r="T207" s="10">
        <v>0</v>
      </c>
      <c r="U207" s="10" t="s">
        <v>3</v>
      </c>
      <c r="V207" s="10">
        <v>0</v>
      </c>
      <c r="W207" s="10"/>
      <c r="X207" s="10"/>
      <c r="Y207" s="10"/>
      <c r="Z207" s="10"/>
      <c r="AA207" s="10"/>
      <c r="AB207" s="10" t="s">
        <v>3</v>
      </c>
      <c r="AC207" s="10" t="s">
        <v>3</v>
      </c>
      <c r="AD207" s="10" t="s">
        <v>3</v>
      </c>
      <c r="AE207" s="10" t="s">
        <v>3</v>
      </c>
      <c r="AF207" s="10" t="s">
        <v>3</v>
      </c>
      <c r="AG207" s="10" t="s">
        <v>3</v>
      </c>
      <c r="AH207" s="10"/>
      <c r="AI207" s="10"/>
      <c r="AJ207" s="10"/>
      <c r="AK207" s="10"/>
      <c r="AL207" s="10"/>
      <c r="AM207" s="10"/>
      <c r="AN207" s="10"/>
      <c r="AO207" s="10"/>
      <c r="AP207" s="10" t="s">
        <v>3</v>
      </c>
      <c r="AQ207" s="10" t="s">
        <v>3</v>
      </c>
      <c r="AR207" s="10" t="s">
        <v>3</v>
      </c>
      <c r="AS207" s="10"/>
      <c r="AT207" s="10"/>
      <c r="AU207" s="10"/>
      <c r="AV207" s="10"/>
      <c r="AW207" s="10"/>
      <c r="AX207" s="10"/>
      <c r="AY207" s="10"/>
      <c r="AZ207" s="10" t="s">
        <v>3</v>
      </c>
      <c r="BA207" s="10"/>
      <c r="BB207" s="10" t="s">
        <v>3</v>
      </c>
      <c r="BC207" s="10" t="s">
        <v>3</v>
      </c>
      <c r="BD207" s="10" t="s">
        <v>3</v>
      </c>
      <c r="BE207" s="10" t="s">
        <v>3</v>
      </c>
      <c r="BF207" s="10" t="s">
        <v>3</v>
      </c>
      <c r="BG207" s="10" t="s">
        <v>3</v>
      </c>
      <c r="BH207" s="10" t="s">
        <v>3</v>
      </c>
      <c r="BI207" s="10" t="s">
        <v>3</v>
      </c>
      <c r="BJ207" s="10" t="s">
        <v>3</v>
      </c>
      <c r="BK207" s="10" t="s">
        <v>3</v>
      </c>
      <c r="BL207" s="10" t="s">
        <v>3</v>
      </c>
      <c r="BM207" s="10" t="s">
        <v>3</v>
      </c>
      <c r="BN207" s="10" t="s">
        <v>3</v>
      </c>
      <c r="BO207" s="10" t="s">
        <v>3</v>
      </c>
      <c r="BP207" s="10" t="s">
        <v>3</v>
      </c>
      <c r="BQ207" s="10"/>
      <c r="BR207" s="10"/>
      <c r="BS207" s="10"/>
      <c r="BT207" s="10"/>
      <c r="BU207" s="10"/>
      <c r="BV207" s="10"/>
      <c r="BW207" s="10"/>
      <c r="BX207" s="10">
        <v>0</v>
      </c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>
        <v>0</v>
      </c>
    </row>
    <row r="209" spans="1:255" ht="13" x14ac:dyDescent="0.3">
      <c r="A209" s="11">
        <v>52</v>
      </c>
      <c r="B209" s="11">
        <f t="shared" ref="B209:G209" si="158">B218</f>
        <v>1</v>
      </c>
      <c r="C209" s="11">
        <f t="shared" si="158"/>
        <v>4</v>
      </c>
      <c r="D209" s="11">
        <f t="shared" si="158"/>
        <v>207</v>
      </c>
      <c r="E209" s="11">
        <f t="shared" si="158"/>
        <v>0</v>
      </c>
      <c r="F209" s="11" t="str">
        <f t="shared" si="158"/>
        <v>3</v>
      </c>
      <c r="G209" s="11" t="str">
        <f t="shared" si="158"/>
        <v>Исполнительные устройства</v>
      </c>
      <c r="H209" s="11"/>
      <c r="I209" s="11"/>
      <c r="J209" s="11"/>
      <c r="K209" s="11"/>
      <c r="L209" s="11"/>
      <c r="M209" s="11"/>
      <c r="N209" s="11"/>
      <c r="O209" s="11">
        <f t="shared" ref="O209:AT209" si="159">O218</f>
        <v>26797.43</v>
      </c>
      <c r="P209" s="11">
        <f t="shared" si="159"/>
        <v>25644.06</v>
      </c>
      <c r="Q209" s="11">
        <f t="shared" si="159"/>
        <v>956.28</v>
      </c>
      <c r="R209" s="11">
        <f t="shared" si="159"/>
        <v>107.2</v>
      </c>
      <c r="S209" s="11">
        <f t="shared" si="159"/>
        <v>197.09</v>
      </c>
      <c r="T209" s="11">
        <f t="shared" si="159"/>
        <v>0</v>
      </c>
      <c r="U209" s="11">
        <f t="shared" si="159"/>
        <v>17.639855999999998</v>
      </c>
      <c r="V209" s="11">
        <f t="shared" si="159"/>
        <v>0</v>
      </c>
      <c r="W209" s="11">
        <f t="shared" si="159"/>
        <v>0</v>
      </c>
      <c r="X209" s="11">
        <f t="shared" si="159"/>
        <v>273.86</v>
      </c>
      <c r="Y209" s="11">
        <f t="shared" si="159"/>
        <v>139.97</v>
      </c>
      <c r="Z209" s="11">
        <f t="shared" si="159"/>
        <v>0</v>
      </c>
      <c r="AA209" s="11">
        <f t="shared" si="159"/>
        <v>0</v>
      </c>
      <c r="AB209" s="11">
        <f t="shared" si="159"/>
        <v>26797.43</v>
      </c>
      <c r="AC209" s="11">
        <f t="shared" si="159"/>
        <v>25644.06</v>
      </c>
      <c r="AD209" s="11">
        <f t="shared" si="159"/>
        <v>956.28</v>
      </c>
      <c r="AE209" s="11">
        <f t="shared" si="159"/>
        <v>107.2</v>
      </c>
      <c r="AF209" s="11">
        <f t="shared" si="159"/>
        <v>197.09</v>
      </c>
      <c r="AG209" s="11">
        <f t="shared" si="159"/>
        <v>0</v>
      </c>
      <c r="AH209" s="11">
        <f t="shared" si="159"/>
        <v>17.639855999999998</v>
      </c>
      <c r="AI209" s="11">
        <f t="shared" si="159"/>
        <v>0</v>
      </c>
      <c r="AJ209" s="11">
        <f t="shared" si="159"/>
        <v>0</v>
      </c>
      <c r="AK209" s="11">
        <f t="shared" si="159"/>
        <v>273.86</v>
      </c>
      <c r="AL209" s="11">
        <f t="shared" si="159"/>
        <v>139.97</v>
      </c>
      <c r="AM209" s="11">
        <f t="shared" si="159"/>
        <v>0</v>
      </c>
      <c r="AN209" s="11">
        <f t="shared" si="159"/>
        <v>0</v>
      </c>
      <c r="AO209" s="11">
        <f t="shared" si="159"/>
        <v>0</v>
      </c>
      <c r="AP209" s="11">
        <f t="shared" si="159"/>
        <v>25643.79</v>
      </c>
      <c r="AQ209" s="11">
        <f t="shared" si="159"/>
        <v>0</v>
      </c>
      <c r="AR209" s="11">
        <f t="shared" si="159"/>
        <v>27211.26</v>
      </c>
      <c r="AS209" s="11">
        <f t="shared" si="159"/>
        <v>0</v>
      </c>
      <c r="AT209" s="11">
        <f t="shared" si="159"/>
        <v>1567.47</v>
      </c>
      <c r="AU209" s="11">
        <f t="shared" ref="AU209:BZ209" si="160">AU218</f>
        <v>0</v>
      </c>
      <c r="AV209" s="11">
        <f t="shared" si="160"/>
        <v>25644.06</v>
      </c>
      <c r="AW209" s="11">
        <f t="shared" si="160"/>
        <v>0.27</v>
      </c>
      <c r="AX209" s="11">
        <f t="shared" si="160"/>
        <v>0</v>
      </c>
      <c r="AY209" s="11">
        <f t="shared" si="160"/>
        <v>0.27</v>
      </c>
      <c r="AZ209" s="11">
        <f t="shared" si="160"/>
        <v>25643.79</v>
      </c>
      <c r="BA209" s="11">
        <f t="shared" si="160"/>
        <v>0</v>
      </c>
      <c r="BB209" s="11">
        <f t="shared" si="160"/>
        <v>0</v>
      </c>
      <c r="BC209" s="11">
        <f t="shared" si="160"/>
        <v>0</v>
      </c>
      <c r="BD209" s="11">
        <f t="shared" si="160"/>
        <v>0</v>
      </c>
      <c r="BE209" s="11">
        <f t="shared" si="160"/>
        <v>0</v>
      </c>
      <c r="BF209" s="11">
        <f t="shared" si="160"/>
        <v>0</v>
      </c>
      <c r="BG209" s="11">
        <f t="shared" si="160"/>
        <v>0</v>
      </c>
      <c r="BH209" s="11">
        <f t="shared" si="160"/>
        <v>0</v>
      </c>
      <c r="BI209" s="11">
        <f t="shared" si="160"/>
        <v>0</v>
      </c>
      <c r="BJ209" s="11">
        <f t="shared" si="160"/>
        <v>0</v>
      </c>
      <c r="BK209" s="11">
        <f t="shared" si="160"/>
        <v>0</v>
      </c>
      <c r="BL209" s="11">
        <f t="shared" si="160"/>
        <v>0</v>
      </c>
      <c r="BM209" s="11">
        <f t="shared" si="160"/>
        <v>0</v>
      </c>
      <c r="BN209" s="11">
        <f t="shared" si="160"/>
        <v>0</v>
      </c>
      <c r="BO209" s="11">
        <f t="shared" si="160"/>
        <v>0</v>
      </c>
      <c r="BP209" s="11">
        <f t="shared" si="160"/>
        <v>0</v>
      </c>
      <c r="BQ209" s="11">
        <f t="shared" si="160"/>
        <v>0</v>
      </c>
      <c r="BR209" s="11">
        <f t="shared" si="160"/>
        <v>0</v>
      </c>
      <c r="BS209" s="11">
        <f t="shared" si="160"/>
        <v>0</v>
      </c>
      <c r="BT209" s="11">
        <f t="shared" si="160"/>
        <v>0</v>
      </c>
      <c r="BU209" s="11">
        <f t="shared" si="160"/>
        <v>0</v>
      </c>
      <c r="BV209" s="11">
        <f t="shared" si="160"/>
        <v>0</v>
      </c>
      <c r="BW209" s="11">
        <f t="shared" si="160"/>
        <v>0</v>
      </c>
      <c r="BX209" s="11">
        <f t="shared" si="160"/>
        <v>0</v>
      </c>
      <c r="BY209" s="11">
        <f t="shared" si="160"/>
        <v>25643.79</v>
      </c>
      <c r="BZ209" s="11">
        <f t="shared" si="160"/>
        <v>0</v>
      </c>
      <c r="CA209" s="11">
        <f t="shared" ref="CA209:DF209" si="161">CA218</f>
        <v>27211.26</v>
      </c>
      <c r="CB209" s="11">
        <f t="shared" si="161"/>
        <v>0</v>
      </c>
      <c r="CC209" s="11">
        <f t="shared" si="161"/>
        <v>1567.47</v>
      </c>
      <c r="CD209" s="11">
        <f t="shared" si="161"/>
        <v>0</v>
      </c>
      <c r="CE209" s="11">
        <f t="shared" si="161"/>
        <v>25644.06</v>
      </c>
      <c r="CF209" s="11">
        <f t="shared" si="161"/>
        <v>0.27000000000043656</v>
      </c>
      <c r="CG209" s="11">
        <f t="shared" si="161"/>
        <v>0</v>
      </c>
      <c r="CH209" s="11">
        <f t="shared" si="161"/>
        <v>0.27000000000043656</v>
      </c>
      <c r="CI209" s="11">
        <f t="shared" si="161"/>
        <v>25643.79</v>
      </c>
      <c r="CJ209" s="11">
        <f t="shared" si="161"/>
        <v>0</v>
      </c>
      <c r="CK209" s="11">
        <f t="shared" si="161"/>
        <v>0</v>
      </c>
      <c r="CL209" s="11">
        <f t="shared" si="161"/>
        <v>0</v>
      </c>
      <c r="CM209" s="11">
        <f t="shared" si="161"/>
        <v>0</v>
      </c>
      <c r="CN209" s="11">
        <f t="shared" si="161"/>
        <v>0</v>
      </c>
      <c r="CO209" s="11">
        <f t="shared" si="161"/>
        <v>0</v>
      </c>
      <c r="CP209" s="11">
        <f t="shared" si="161"/>
        <v>0</v>
      </c>
      <c r="CQ209" s="11">
        <f t="shared" si="161"/>
        <v>0</v>
      </c>
      <c r="CR209" s="11">
        <f t="shared" si="161"/>
        <v>0</v>
      </c>
      <c r="CS209" s="11">
        <f t="shared" si="161"/>
        <v>0</v>
      </c>
      <c r="CT209" s="11">
        <f t="shared" si="161"/>
        <v>0</v>
      </c>
      <c r="CU209" s="11">
        <f t="shared" si="161"/>
        <v>0</v>
      </c>
      <c r="CV209" s="11">
        <f t="shared" si="161"/>
        <v>0</v>
      </c>
      <c r="CW209" s="11">
        <f t="shared" si="161"/>
        <v>0</v>
      </c>
      <c r="CX209" s="11">
        <f t="shared" si="161"/>
        <v>0</v>
      </c>
      <c r="CY209" s="11">
        <f t="shared" si="161"/>
        <v>0</v>
      </c>
      <c r="CZ209" s="11">
        <f t="shared" si="161"/>
        <v>0</v>
      </c>
      <c r="DA209" s="11">
        <f t="shared" si="161"/>
        <v>0</v>
      </c>
      <c r="DB209" s="11">
        <f t="shared" si="161"/>
        <v>0</v>
      </c>
      <c r="DC209" s="11">
        <f t="shared" si="161"/>
        <v>0</v>
      </c>
      <c r="DD209" s="11">
        <f t="shared" si="161"/>
        <v>0</v>
      </c>
      <c r="DE209" s="11">
        <f t="shared" si="161"/>
        <v>0</v>
      </c>
      <c r="DF209" s="11">
        <f t="shared" si="161"/>
        <v>0</v>
      </c>
      <c r="DG209" s="12">
        <f t="shared" ref="DG209:EL209" si="162">DG218</f>
        <v>220081.51</v>
      </c>
      <c r="DH209" s="12">
        <f t="shared" si="162"/>
        <v>194124.46</v>
      </c>
      <c r="DI209" s="12">
        <f t="shared" si="162"/>
        <v>14851.03</v>
      </c>
      <c r="DJ209" s="12">
        <f t="shared" si="162"/>
        <v>6040.72</v>
      </c>
      <c r="DK209" s="12">
        <f t="shared" si="162"/>
        <v>11106.02</v>
      </c>
      <c r="DL209" s="12">
        <f t="shared" si="162"/>
        <v>0</v>
      </c>
      <c r="DM209" s="12">
        <f t="shared" si="162"/>
        <v>17.639855999999998</v>
      </c>
      <c r="DN209" s="12">
        <f t="shared" si="162"/>
        <v>0</v>
      </c>
      <c r="DO209" s="12">
        <f t="shared" si="162"/>
        <v>0</v>
      </c>
      <c r="DP209" s="12">
        <f t="shared" si="162"/>
        <v>15432.07</v>
      </c>
      <c r="DQ209" s="12">
        <f t="shared" si="162"/>
        <v>7887.5</v>
      </c>
      <c r="DR209" s="12">
        <f t="shared" si="162"/>
        <v>0</v>
      </c>
      <c r="DS209" s="12">
        <f t="shared" si="162"/>
        <v>0</v>
      </c>
      <c r="DT209" s="12">
        <f t="shared" si="162"/>
        <v>220081.51</v>
      </c>
      <c r="DU209" s="12">
        <f t="shared" si="162"/>
        <v>194124.46</v>
      </c>
      <c r="DV209" s="12">
        <f t="shared" si="162"/>
        <v>14851.03</v>
      </c>
      <c r="DW209" s="12">
        <f t="shared" si="162"/>
        <v>6040.72</v>
      </c>
      <c r="DX209" s="12">
        <f t="shared" si="162"/>
        <v>11106.02</v>
      </c>
      <c r="DY209" s="12">
        <f t="shared" si="162"/>
        <v>0</v>
      </c>
      <c r="DZ209" s="12">
        <f t="shared" si="162"/>
        <v>17.639855999999998</v>
      </c>
      <c r="EA209" s="12">
        <f t="shared" si="162"/>
        <v>0</v>
      </c>
      <c r="EB209" s="12">
        <f t="shared" si="162"/>
        <v>0</v>
      </c>
      <c r="EC209" s="12">
        <f t="shared" si="162"/>
        <v>15432.07</v>
      </c>
      <c r="ED209" s="12">
        <f t="shared" si="162"/>
        <v>7887.5</v>
      </c>
      <c r="EE209" s="12">
        <f t="shared" si="162"/>
        <v>0</v>
      </c>
      <c r="EF209" s="12">
        <f t="shared" si="162"/>
        <v>0</v>
      </c>
      <c r="EG209" s="12">
        <f t="shared" si="162"/>
        <v>0</v>
      </c>
      <c r="EH209" s="12">
        <f t="shared" si="162"/>
        <v>194123.49</v>
      </c>
      <c r="EI209" s="12">
        <f t="shared" si="162"/>
        <v>0</v>
      </c>
      <c r="EJ209" s="12">
        <f t="shared" si="162"/>
        <v>243401.08</v>
      </c>
      <c r="EK209" s="12">
        <f t="shared" si="162"/>
        <v>0</v>
      </c>
      <c r="EL209" s="12">
        <f t="shared" si="162"/>
        <v>49277.59</v>
      </c>
      <c r="EM209" s="12">
        <f t="shared" ref="EM209:FR209" si="163">EM218</f>
        <v>0</v>
      </c>
      <c r="EN209" s="12">
        <f t="shared" si="163"/>
        <v>194124.46</v>
      </c>
      <c r="EO209" s="12">
        <f t="shared" si="163"/>
        <v>0.97</v>
      </c>
      <c r="EP209" s="12">
        <f t="shared" si="163"/>
        <v>0</v>
      </c>
      <c r="EQ209" s="12">
        <f t="shared" si="163"/>
        <v>0.97</v>
      </c>
      <c r="ER209" s="12">
        <f t="shared" si="163"/>
        <v>194123.49</v>
      </c>
      <c r="ES209" s="12">
        <f t="shared" si="163"/>
        <v>0</v>
      </c>
      <c r="ET209" s="12">
        <f t="shared" si="163"/>
        <v>0</v>
      </c>
      <c r="EU209" s="12">
        <f t="shared" si="163"/>
        <v>0</v>
      </c>
      <c r="EV209" s="12">
        <f t="shared" si="163"/>
        <v>0</v>
      </c>
      <c r="EW209" s="12">
        <f t="shared" si="163"/>
        <v>0</v>
      </c>
      <c r="EX209" s="12">
        <f t="shared" si="163"/>
        <v>0</v>
      </c>
      <c r="EY209" s="12">
        <f t="shared" si="163"/>
        <v>0</v>
      </c>
      <c r="EZ209" s="12">
        <f t="shared" si="163"/>
        <v>0</v>
      </c>
      <c r="FA209" s="12">
        <f t="shared" si="163"/>
        <v>0</v>
      </c>
      <c r="FB209" s="12">
        <f t="shared" si="163"/>
        <v>0</v>
      </c>
      <c r="FC209" s="12">
        <f t="shared" si="163"/>
        <v>0</v>
      </c>
      <c r="FD209" s="12">
        <f t="shared" si="163"/>
        <v>0</v>
      </c>
      <c r="FE209" s="12">
        <f t="shared" si="163"/>
        <v>0</v>
      </c>
      <c r="FF209" s="12">
        <f t="shared" si="163"/>
        <v>0</v>
      </c>
      <c r="FG209" s="12">
        <f t="shared" si="163"/>
        <v>0</v>
      </c>
      <c r="FH209" s="12">
        <f t="shared" si="163"/>
        <v>0</v>
      </c>
      <c r="FI209" s="12">
        <f t="shared" si="163"/>
        <v>0</v>
      </c>
      <c r="FJ209" s="12">
        <f t="shared" si="163"/>
        <v>0</v>
      </c>
      <c r="FK209" s="12">
        <f t="shared" si="163"/>
        <v>0</v>
      </c>
      <c r="FL209" s="12">
        <f t="shared" si="163"/>
        <v>0</v>
      </c>
      <c r="FM209" s="12">
        <f t="shared" si="163"/>
        <v>0</v>
      </c>
      <c r="FN209" s="12">
        <f t="shared" si="163"/>
        <v>0</v>
      </c>
      <c r="FO209" s="12">
        <f t="shared" si="163"/>
        <v>0</v>
      </c>
      <c r="FP209" s="12">
        <f t="shared" si="163"/>
        <v>0</v>
      </c>
      <c r="FQ209" s="12">
        <f t="shared" si="163"/>
        <v>194123.49</v>
      </c>
      <c r="FR209" s="12">
        <f t="shared" si="163"/>
        <v>0</v>
      </c>
      <c r="FS209" s="12">
        <f t="shared" ref="FS209:GX209" si="164">FS218</f>
        <v>243401.08</v>
      </c>
      <c r="FT209" s="12">
        <f t="shared" si="164"/>
        <v>0</v>
      </c>
      <c r="FU209" s="12">
        <f t="shared" si="164"/>
        <v>49277.59</v>
      </c>
      <c r="FV209" s="12">
        <f t="shared" si="164"/>
        <v>0</v>
      </c>
      <c r="FW209" s="12">
        <f t="shared" si="164"/>
        <v>194124.46</v>
      </c>
      <c r="FX209" s="12">
        <f t="shared" si="164"/>
        <v>0.97000000000116415</v>
      </c>
      <c r="FY209" s="12">
        <f t="shared" si="164"/>
        <v>0</v>
      </c>
      <c r="FZ209" s="12">
        <f t="shared" si="164"/>
        <v>0.97000000000116415</v>
      </c>
      <c r="GA209" s="12">
        <f t="shared" si="164"/>
        <v>194123.49</v>
      </c>
      <c r="GB209" s="12">
        <f t="shared" si="164"/>
        <v>0</v>
      </c>
      <c r="GC209" s="12">
        <f t="shared" si="164"/>
        <v>0</v>
      </c>
      <c r="GD209" s="12">
        <f t="shared" si="164"/>
        <v>0</v>
      </c>
      <c r="GE209" s="12">
        <f t="shared" si="164"/>
        <v>0</v>
      </c>
      <c r="GF209" s="12">
        <f t="shared" si="164"/>
        <v>0</v>
      </c>
      <c r="GG209" s="12">
        <f t="shared" si="164"/>
        <v>0</v>
      </c>
      <c r="GH209" s="12">
        <f t="shared" si="164"/>
        <v>0</v>
      </c>
      <c r="GI209" s="12">
        <f t="shared" si="164"/>
        <v>0</v>
      </c>
      <c r="GJ209" s="12">
        <f t="shared" si="164"/>
        <v>0</v>
      </c>
      <c r="GK209" s="12">
        <f t="shared" si="164"/>
        <v>0</v>
      </c>
      <c r="GL209" s="12">
        <f t="shared" si="164"/>
        <v>0</v>
      </c>
      <c r="GM209" s="12">
        <f t="shared" si="164"/>
        <v>0</v>
      </c>
      <c r="GN209" s="12">
        <f t="shared" si="164"/>
        <v>0</v>
      </c>
      <c r="GO209" s="12">
        <f t="shared" si="164"/>
        <v>0</v>
      </c>
      <c r="GP209" s="12">
        <f t="shared" si="164"/>
        <v>0</v>
      </c>
      <c r="GQ209" s="12">
        <f t="shared" si="164"/>
        <v>0</v>
      </c>
      <c r="GR209" s="12">
        <f t="shared" si="164"/>
        <v>0</v>
      </c>
      <c r="GS209" s="12">
        <f t="shared" si="164"/>
        <v>0</v>
      </c>
      <c r="GT209" s="12">
        <f t="shared" si="164"/>
        <v>0</v>
      </c>
      <c r="GU209" s="12">
        <f t="shared" si="164"/>
        <v>0</v>
      </c>
      <c r="GV209" s="12">
        <f t="shared" si="164"/>
        <v>0</v>
      </c>
      <c r="GW209" s="12">
        <f t="shared" si="164"/>
        <v>0</v>
      </c>
      <c r="GX209" s="12">
        <f t="shared" si="164"/>
        <v>0</v>
      </c>
    </row>
    <row r="211" spans="1:255" x14ac:dyDescent="0.25">
      <c r="A211" s="2">
        <v>17</v>
      </c>
      <c r="B211" s="2">
        <v>1</v>
      </c>
      <c r="C211" s="2">
        <f>ROW(SmtRes!A207)</f>
        <v>207</v>
      </c>
      <c r="D211" s="2">
        <f>ROW(EtalonRes!A237)</f>
        <v>237</v>
      </c>
      <c r="E211" s="2" t="s">
        <v>233</v>
      </c>
      <c r="F211" s="2" t="s">
        <v>79</v>
      </c>
      <c r="G211" s="2" t="s">
        <v>234</v>
      </c>
      <c r="H211" s="2" t="s">
        <v>33</v>
      </c>
      <c r="I211" s="2">
        <v>27</v>
      </c>
      <c r="J211" s="2">
        <v>0</v>
      </c>
      <c r="K211" s="2">
        <v>27</v>
      </c>
      <c r="L211" s="2"/>
      <c r="M211" s="2"/>
      <c r="N211" s="2"/>
      <c r="O211" s="2">
        <f t="shared" ref="O211:O216" si="165">ROUND(CP211,2)</f>
        <v>1153.3699999999999</v>
      </c>
      <c r="P211" s="2">
        <f t="shared" ref="P211:P216" si="166">ROUND((ROUND((AC211*AW211*I211),2)*BC211),2)</f>
        <v>0</v>
      </c>
      <c r="Q211" s="2">
        <f>(ROUND((ROUND((((ET211*1.2))*AV211*I211),2)*BB211),2)+ROUND((ROUND(((AE211-((EU211*1.2)))*AV211*I211),2)*BS211),2))</f>
        <v>956.28</v>
      </c>
      <c r="R211" s="2">
        <f>(ROUND((ROUND((((EU211*1.2))*AV211*I211),2)*BS211),2)+ROUND((ROUND(((AE211-((EU211*1.2)))*AV211*I211),2)*BS211),2))</f>
        <v>107.2</v>
      </c>
      <c r="S211" s="2">
        <f t="shared" ref="S211:S216" si="167">ROUND((ROUND((AF211*AV211*I211),2)*BA211),2)</f>
        <v>197.09</v>
      </c>
      <c r="T211" s="2">
        <f t="shared" ref="T211:T216" si="168">ROUND(CU211*I211,2)</f>
        <v>0</v>
      </c>
      <c r="U211" s="2">
        <f t="shared" ref="U211:U216" si="169">CV211*I211</f>
        <v>17.639855999999998</v>
      </c>
      <c r="V211" s="2">
        <f t="shared" ref="V211:V216" si="170">CW211*I211</f>
        <v>0</v>
      </c>
      <c r="W211" s="2">
        <f t="shared" ref="W211:W216" si="171">ROUND(CX211*I211,2)</f>
        <v>0</v>
      </c>
      <c r="X211" s="2">
        <f>(ROUND((((S211+ROUND((ROUND((((EU211*1.2))*AV211*I211),2)*BS211),2))*AT211)/100),2)+ROUND(((ROUND((ROUND(((AE211-((EU211*1.2)))*AV211*I211),2)*BS211),2)*AT211)/100),2))</f>
        <v>273.86</v>
      </c>
      <c r="Y211" s="2">
        <f>(ROUND((((S211+ROUND((ROUND((((EU211*1.2))*AV211*I211),2)*BS211),2))*AU211)/100),2)+ROUND(((ROUND((ROUND(((AE211-((EU211*1.2)))*AV211*I211),2)*BS211),2)*AU211)/100),2))</f>
        <v>139.97</v>
      </c>
      <c r="Z211" s="2"/>
      <c r="AA211" s="2">
        <v>55936046</v>
      </c>
      <c r="AB211" s="2">
        <f t="shared" ref="AB211:AB216" si="172">ROUND((AC211+AD211+AF211),6)</f>
        <v>40.799999999999997</v>
      </c>
      <c r="AC211" s="2">
        <f>ROUND(((ES211*1)),6)</f>
        <v>0</v>
      </c>
      <c r="AD211" s="2">
        <f>ROUND(((((ET211*1.2))-((EU211*1.2)))+AE211),6)</f>
        <v>33.828000000000003</v>
      </c>
      <c r="AE211" s="2">
        <f>ROUND(((EU211*1.2)),6)</f>
        <v>3.7919999999999998</v>
      </c>
      <c r="AF211" s="2">
        <f>ROUND(((EV211*1.2)),6)</f>
        <v>6.9720000000000004</v>
      </c>
      <c r="AG211" s="2">
        <f t="shared" ref="AG211:AG216" si="173">ROUND((AP211),6)</f>
        <v>0</v>
      </c>
      <c r="AH211" s="2">
        <f>((EW211*1.2))</f>
        <v>0.624</v>
      </c>
      <c r="AI211" s="2">
        <f>((EX211*1.2))</f>
        <v>0</v>
      </c>
      <c r="AJ211" s="2">
        <f t="shared" ref="AJ211:AJ216" si="174">(AS211)</f>
        <v>0</v>
      </c>
      <c r="AK211" s="2">
        <v>34</v>
      </c>
      <c r="AL211" s="2">
        <v>0</v>
      </c>
      <c r="AM211" s="2">
        <v>28.19</v>
      </c>
      <c r="AN211" s="2">
        <v>3.16</v>
      </c>
      <c r="AO211" s="2">
        <v>5.81</v>
      </c>
      <c r="AP211" s="2">
        <v>0</v>
      </c>
      <c r="AQ211" s="2">
        <v>0.52</v>
      </c>
      <c r="AR211" s="2">
        <v>0</v>
      </c>
      <c r="AS211" s="2">
        <v>0</v>
      </c>
      <c r="AT211" s="2">
        <v>90</v>
      </c>
      <c r="AU211" s="2">
        <v>46</v>
      </c>
      <c r="AV211" s="2">
        <v>1.0469999999999999</v>
      </c>
      <c r="AW211" s="2">
        <v>1</v>
      </c>
      <c r="AX211" s="2"/>
      <c r="AY211" s="2"/>
      <c r="AZ211" s="2">
        <v>1</v>
      </c>
      <c r="BA211" s="2">
        <v>1</v>
      </c>
      <c r="BB211" s="2">
        <v>1</v>
      </c>
      <c r="BC211" s="2">
        <v>1</v>
      </c>
      <c r="BD211" s="2" t="s">
        <v>3</v>
      </c>
      <c r="BE211" s="2" t="s">
        <v>3</v>
      </c>
      <c r="BF211" s="2" t="s">
        <v>3</v>
      </c>
      <c r="BG211" s="2" t="s">
        <v>3</v>
      </c>
      <c r="BH211" s="2">
        <v>0</v>
      </c>
      <c r="BI211" s="2">
        <v>2</v>
      </c>
      <c r="BJ211" s="2" t="s">
        <v>81</v>
      </c>
      <c r="BK211" s="2"/>
      <c r="BL211" s="2"/>
      <c r="BM211" s="2">
        <v>72</v>
      </c>
      <c r="BN211" s="2">
        <v>0</v>
      </c>
      <c r="BO211" s="2" t="s">
        <v>79</v>
      </c>
      <c r="BP211" s="2">
        <v>1</v>
      </c>
      <c r="BQ211" s="2">
        <v>40</v>
      </c>
      <c r="BR211" s="2">
        <v>0</v>
      </c>
      <c r="BS211" s="2">
        <v>1</v>
      </c>
      <c r="BT211" s="2">
        <v>1</v>
      </c>
      <c r="BU211" s="2">
        <v>1</v>
      </c>
      <c r="BV211" s="2">
        <v>1</v>
      </c>
      <c r="BW211" s="2">
        <v>1</v>
      </c>
      <c r="BX211" s="2">
        <v>1</v>
      </c>
      <c r="BY211" s="2" t="s">
        <v>3</v>
      </c>
      <c r="BZ211" s="2">
        <v>90</v>
      </c>
      <c r="CA211" s="2">
        <v>46</v>
      </c>
      <c r="CB211" s="2" t="s">
        <v>3</v>
      </c>
      <c r="CC211" s="2"/>
      <c r="CD211" s="2"/>
      <c r="CE211" s="2">
        <v>1566</v>
      </c>
      <c r="CF211" s="2">
        <v>0</v>
      </c>
      <c r="CG211" s="2">
        <v>0</v>
      </c>
      <c r="CH211" s="2"/>
      <c r="CI211" s="2"/>
      <c r="CJ211" s="2"/>
      <c r="CK211" s="2"/>
      <c r="CL211" s="2"/>
      <c r="CM211" s="2">
        <v>0</v>
      </c>
      <c r="CN211" s="2" t="s">
        <v>422</v>
      </c>
      <c r="CO211" s="2">
        <v>0</v>
      </c>
      <c r="CP211" s="2">
        <f t="shared" ref="CP211:CP216" si="175">(P211+Q211+S211)</f>
        <v>1153.3699999999999</v>
      </c>
      <c r="CQ211" s="2">
        <f t="shared" ref="CQ211:CQ216" si="176">ROUND((ROUND((AC211*AW211*1),2)*BC211),2)</f>
        <v>0</v>
      </c>
      <c r="CR211" s="2">
        <f>(ROUND((ROUND((((ET211*1.2))*AV211*1),2)*BB211),2)+ROUND((ROUND(((AE211-((EU211*1.2)))*AV211*1),2)*BS211),2))</f>
        <v>35.42</v>
      </c>
      <c r="CS211" s="2">
        <f>(ROUND((ROUND((((EU211*1.2))*AV211*1),2)*BS211),2)+ROUND((ROUND(((AE211-((EU211*1.2)))*AV211*1),2)*BS211),2))</f>
        <v>3.97</v>
      </c>
      <c r="CT211" s="2">
        <f t="shared" ref="CT211:CT216" si="177">ROUND((ROUND((AF211*AV211*1),2)*BA211),2)</f>
        <v>7.3</v>
      </c>
      <c r="CU211" s="2">
        <f t="shared" ref="CU211:CU216" si="178">AG211</f>
        <v>0</v>
      </c>
      <c r="CV211" s="2">
        <f t="shared" ref="CV211:CV216" si="179">(AH211*AV211)</f>
        <v>0.65332799999999991</v>
      </c>
      <c r="CW211" s="2">
        <f t="shared" ref="CW211:CX216" si="180">AI211</f>
        <v>0</v>
      </c>
      <c r="CX211" s="2">
        <f t="shared" si="180"/>
        <v>0</v>
      </c>
      <c r="CY211" s="2">
        <f>(ROUND((((S211+ROUND((ROUND((((EU211*1.2))*AV211*1),2)*BS211),2))*AT211)/100),2)+ROUND(((ROUND((ROUND(((AE211-((EU211*1.2)))*AV211*1),2)*BS211),2)*AT211)/100),2))</f>
        <v>180.95</v>
      </c>
      <c r="CZ211" s="2">
        <f>(ROUND((((S211+ROUND((ROUND((((EU211*1.2))*AV211*1),2)*BS211),2))*AU211)/100),2)+ROUND(((ROUND((ROUND(((AE211-((EU211*1.2)))*AV211*1),2)*BS211),2)*AU211)/100),2))</f>
        <v>92.49</v>
      </c>
      <c r="DA211" s="2"/>
      <c r="DB211" s="2">
        <v>69</v>
      </c>
      <c r="DC211" s="2" t="s">
        <v>3</v>
      </c>
      <c r="DD211" s="2" t="s">
        <v>62</v>
      </c>
      <c r="DE211" s="2" t="s">
        <v>63</v>
      </c>
      <c r="DF211" s="2" t="s">
        <v>63</v>
      </c>
      <c r="DG211" s="2" t="s">
        <v>63</v>
      </c>
      <c r="DH211" s="2" t="s">
        <v>3</v>
      </c>
      <c r="DI211" s="2" t="s">
        <v>63</v>
      </c>
      <c r="DJ211" s="2" t="s">
        <v>63</v>
      </c>
      <c r="DK211" s="2" t="s">
        <v>3</v>
      </c>
      <c r="DL211" s="2" t="s">
        <v>3</v>
      </c>
      <c r="DM211" s="2" t="s">
        <v>3</v>
      </c>
      <c r="DN211" s="2">
        <v>0</v>
      </c>
      <c r="DO211" s="2">
        <v>0</v>
      </c>
      <c r="DP211" s="2">
        <v>1</v>
      </c>
      <c r="DQ211" s="2">
        <v>1</v>
      </c>
      <c r="DR211" s="2"/>
      <c r="DS211" s="2"/>
      <c r="DT211" s="2"/>
      <c r="DU211" s="2">
        <v>1013</v>
      </c>
      <c r="DV211" s="2" t="s">
        <v>33</v>
      </c>
      <c r="DW211" s="2" t="s">
        <v>33</v>
      </c>
      <c r="DX211" s="2">
        <v>1</v>
      </c>
      <c r="DY211" s="2"/>
      <c r="DZ211" s="2" t="s">
        <v>3</v>
      </c>
      <c r="EA211" s="2" t="s">
        <v>3</v>
      </c>
      <c r="EB211" s="2" t="s">
        <v>3</v>
      </c>
      <c r="EC211" s="2" t="s">
        <v>3</v>
      </c>
      <c r="ED211" s="2"/>
      <c r="EE211" s="2">
        <v>55393704</v>
      </c>
      <c r="EF211" s="2">
        <v>40</v>
      </c>
      <c r="EG211" s="2" t="s">
        <v>26</v>
      </c>
      <c r="EH211" s="2">
        <v>0</v>
      </c>
      <c r="EI211" s="2" t="s">
        <v>3</v>
      </c>
      <c r="EJ211" s="2">
        <v>2</v>
      </c>
      <c r="EK211" s="2">
        <v>72</v>
      </c>
      <c r="EL211" s="2" t="s">
        <v>82</v>
      </c>
      <c r="EM211" s="2" t="s">
        <v>83</v>
      </c>
      <c r="EN211" s="2"/>
      <c r="EO211" s="2" t="s">
        <v>67</v>
      </c>
      <c r="EP211" s="2"/>
      <c r="EQ211" s="2">
        <v>0</v>
      </c>
      <c r="ER211" s="2">
        <v>34</v>
      </c>
      <c r="ES211" s="2">
        <v>0</v>
      </c>
      <c r="ET211" s="2">
        <v>28.19</v>
      </c>
      <c r="EU211" s="2">
        <v>3.16</v>
      </c>
      <c r="EV211" s="2">
        <v>5.81</v>
      </c>
      <c r="EW211" s="2">
        <v>0.52</v>
      </c>
      <c r="EX211" s="2">
        <v>0</v>
      </c>
      <c r="EY211" s="2">
        <v>0</v>
      </c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>
        <v>0</v>
      </c>
      <c r="FR211" s="2">
        <v>0</v>
      </c>
      <c r="FS211" s="2">
        <v>0</v>
      </c>
      <c r="FT211" s="2"/>
      <c r="FU211" s="2"/>
      <c r="FV211" s="2"/>
      <c r="FW211" s="2"/>
      <c r="FX211" s="2">
        <v>90</v>
      </c>
      <c r="FY211" s="2">
        <v>46</v>
      </c>
      <c r="FZ211" s="2"/>
      <c r="GA211" s="2" t="s">
        <v>3</v>
      </c>
      <c r="GB211" s="2"/>
      <c r="GC211" s="2"/>
      <c r="GD211" s="2">
        <v>1</v>
      </c>
      <c r="GE211" s="2"/>
      <c r="GF211" s="2">
        <v>2088275380</v>
      </c>
      <c r="GG211" s="2">
        <v>2</v>
      </c>
      <c r="GH211" s="2">
        <v>1</v>
      </c>
      <c r="GI211" s="2">
        <v>2</v>
      </c>
      <c r="GJ211" s="2">
        <v>0</v>
      </c>
      <c r="GK211" s="2">
        <v>0</v>
      </c>
      <c r="GL211" s="2">
        <f t="shared" ref="GL211:GL216" si="181">ROUND(IF(AND(BH211=3,BI211=3,FS211&lt;&gt;0),P211,0),2)</f>
        <v>0</v>
      </c>
      <c r="GM211" s="2">
        <f t="shared" ref="GM211:GM216" si="182">ROUND(O211+X211+Y211,2)+GX211</f>
        <v>1567.2</v>
      </c>
      <c r="GN211" s="2">
        <f t="shared" ref="GN211:GN216" si="183">IF(OR(BI211=0,BI211=1),GM211-GX211,0)</f>
        <v>0</v>
      </c>
      <c r="GO211" s="2">
        <f t="shared" ref="GO211:GO216" si="184">IF(BI211=2,GM211-GX211,0)</f>
        <v>1567.2</v>
      </c>
      <c r="GP211" s="2">
        <f t="shared" ref="GP211:GP216" si="185">IF(BI211=4,GM211-GX211,0)</f>
        <v>0</v>
      </c>
      <c r="GQ211" s="2"/>
      <c r="GR211" s="2">
        <v>0</v>
      </c>
      <c r="GS211" s="2">
        <v>3</v>
      </c>
      <c r="GT211" s="2">
        <v>0</v>
      </c>
      <c r="GU211" s="2" t="s">
        <v>3</v>
      </c>
      <c r="GV211" s="2">
        <f t="shared" ref="GV211:GV216" si="186">ROUND((GT211),6)</f>
        <v>0</v>
      </c>
      <c r="GW211" s="2">
        <v>1</v>
      </c>
      <c r="GX211" s="2">
        <f t="shared" ref="GX211:GX216" si="187">ROUND(HC211*I211,2)</f>
        <v>0</v>
      </c>
      <c r="GY211" s="2"/>
      <c r="GZ211" s="2"/>
      <c r="HA211" s="2">
        <v>0</v>
      </c>
      <c r="HB211" s="2">
        <v>0</v>
      </c>
      <c r="HC211" s="2">
        <f t="shared" ref="HC211:HC216" si="188">GV211*GW211</f>
        <v>0</v>
      </c>
      <c r="HD211" s="2"/>
      <c r="HE211" s="2" t="s">
        <v>3</v>
      </c>
      <c r="HF211" s="2" t="s">
        <v>3</v>
      </c>
      <c r="HG211" s="2"/>
      <c r="HH211" s="2"/>
      <c r="HI211" s="2"/>
      <c r="HJ211" s="2"/>
      <c r="HK211" s="2"/>
      <c r="HL211" s="2"/>
      <c r="HM211" s="2" t="s">
        <v>3</v>
      </c>
      <c r="HN211" s="2" t="s">
        <v>3</v>
      </c>
      <c r="HO211" s="2" t="s">
        <v>3</v>
      </c>
      <c r="HP211" s="2" t="s">
        <v>3</v>
      </c>
      <c r="HQ211" s="2" t="s">
        <v>3</v>
      </c>
      <c r="HR211" s="2"/>
      <c r="HS211" s="2">
        <v>0</v>
      </c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>
        <v>0</v>
      </c>
      <c r="IL211" s="2"/>
      <c r="IM211" s="2"/>
      <c r="IN211" s="2"/>
      <c r="IO211" s="2"/>
      <c r="IP211" s="2"/>
      <c r="IQ211" s="2"/>
      <c r="IR211" s="2"/>
      <c r="IS211" s="2"/>
      <c r="IT211" s="2"/>
      <c r="IU211" s="2"/>
    </row>
    <row r="212" spans="1:255" x14ac:dyDescent="0.25">
      <c r="A212" s="3">
        <v>17</v>
      </c>
      <c r="B212" s="3">
        <v>1</v>
      </c>
      <c r="C212" s="3">
        <f>ROW(SmtRes!A212)</f>
        <v>212</v>
      </c>
      <c r="D212" s="3">
        <f>ROW(EtalonRes!A242)</f>
        <v>242</v>
      </c>
      <c r="E212" s="3" t="s">
        <v>233</v>
      </c>
      <c r="F212" s="3" t="s">
        <v>79</v>
      </c>
      <c r="G212" s="3" t="s">
        <v>234</v>
      </c>
      <c r="H212" s="3" t="s">
        <v>33</v>
      </c>
      <c r="I212" s="3">
        <v>27</v>
      </c>
      <c r="J212" s="3">
        <v>0</v>
      </c>
      <c r="K212" s="3">
        <v>27</v>
      </c>
      <c r="O212" s="3">
        <f t="shared" si="165"/>
        <v>25957.05</v>
      </c>
      <c r="P212" s="3">
        <f t="shared" si="166"/>
        <v>0</v>
      </c>
      <c r="Q212" s="3">
        <f>(ROUND((ROUND((((ET212*1.2))*AV212*I212),2)*BB212),2)+ROUND((ROUND(((AE212-((EU212*1.2)))*AV212*I212),2)*BS212),2))</f>
        <v>14851.03</v>
      </c>
      <c r="R212" s="3">
        <f>(ROUND((ROUND((((EU212*1.2))*AV212*I212),2)*BS212),2)+ROUND((ROUND(((AE212-((EU212*1.2)))*AV212*I212),2)*BS212),2))</f>
        <v>6040.72</v>
      </c>
      <c r="S212" s="3">
        <f t="shared" si="167"/>
        <v>11106.02</v>
      </c>
      <c r="T212" s="3">
        <f t="shared" si="168"/>
        <v>0</v>
      </c>
      <c r="U212" s="3">
        <f t="shared" si="169"/>
        <v>17.639855999999998</v>
      </c>
      <c r="V212" s="3">
        <f t="shared" si="170"/>
        <v>0</v>
      </c>
      <c r="W212" s="3">
        <f t="shared" si="171"/>
        <v>0</v>
      </c>
      <c r="X212" s="3">
        <f>(ROUND((((S212+ROUND((ROUND((((EU212*1.2))*AV212*I212),2)*BS212),2))*AT212)/100),2)+ROUND(((ROUND((ROUND(((AE212-((EU212*1.2)))*AV212*I212),2)*BS212),2)*AT212)/100),2))</f>
        <v>15432.07</v>
      </c>
      <c r="Y212" s="3">
        <f>(ROUND((((S212+ROUND((ROUND((((EU212*1.2))*AV212*I212),2)*BS212),2))*AU212)/100),2)+ROUND(((ROUND((ROUND(((AE212-((EU212*1.2)))*AV212*I212),2)*BS212),2)*AU212)/100),2))</f>
        <v>7887.5</v>
      </c>
      <c r="AA212" s="3">
        <v>55936048</v>
      </c>
      <c r="AB212" s="3">
        <f t="shared" si="172"/>
        <v>40.799999999999997</v>
      </c>
      <c r="AC212" s="3">
        <f>ROUND(((ES212*1)),6)</f>
        <v>0</v>
      </c>
      <c r="AD212" s="3">
        <f>ROUND(((((ET212*1.2))-((EU212*1.2)))+AE212),6)</f>
        <v>33.828000000000003</v>
      </c>
      <c r="AE212" s="3">
        <f>ROUND(((EU212*1.2)),6)</f>
        <v>3.7919999999999998</v>
      </c>
      <c r="AF212" s="3">
        <f>ROUND(((EV212*1.2)),6)</f>
        <v>6.9720000000000004</v>
      </c>
      <c r="AG212" s="3">
        <f t="shared" si="173"/>
        <v>0</v>
      </c>
      <c r="AH212" s="3">
        <f>((EW212*1.2))</f>
        <v>0.624</v>
      </c>
      <c r="AI212" s="3">
        <f>((EX212*1.2))</f>
        <v>0</v>
      </c>
      <c r="AJ212" s="3">
        <f t="shared" si="174"/>
        <v>0</v>
      </c>
      <c r="AK212" s="3">
        <v>34</v>
      </c>
      <c r="AL212" s="3">
        <v>0</v>
      </c>
      <c r="AM212" s="3">
        <v>28.19</v>
      </c>
      <c r="AN212" s="3">
        <v>3.16</v>
      </c>
      <c r="AO212" s="3">
        <v>5.81</v>
      </c>
      <c r="AP212" s="3">
        <v>0</v>
      </c>
      <c r="AQ212" s="3">
        <v>0.52</v>
      </c>
      <c r="AR212" s="3">
        <v>0</v>
      </c>
      <c r="AS212" s="3">
        <v>0</v>
      </c>
      <c r="AT212" s="3">
        <v>90</v>
      </c>
      <c r="AU212" s="3">
        <v>46</v>
      </c>
      <c r="AV212" s="3">
        <v>1.0469999999999999</v>
      </c>
      <c r="AW212" s="3">
        <v>1</v>
      </c>
      <c r="AZ212" s="3">
        <v>1</v>
      </c>
      <c r="BA212" s="3">
        <v>56.35</v>
      </c>
      <c r="BB212" s="3">
        <v>15.53</v>
      </c>
      <c r="BC212" s="3">
        <v>1</v>
      </c>
      <c r="BD212" s="3" t="s">
        <v>3</v>
      </c>
      <c r="BE212" s="3" t="s">
        <v>3</v>
      </c>
      <c r="BF212" s="3" t="s">
        <v>3</v>
      </c>
      <c r="BG212" s="3" t="s">
        <v>3</v>
      </c>
      <c r="BH212" s="3">
        <v>0</v>
      </c>
      <c r="BI212" s="3">
        <v>2</v>
      </c>
      <c r="BJ212" s="3" t="s">
        <v>81</v>
      </c>
      <c r="BM212" s="3">
        <v>72</v>
      </c>
      <c r="BN212" s="3">
        <v>0</v>
      </c>
      <c r="BO212" s="3" t="s">
        <v>79</v>
      </c>
      <c r="BP212" s="3">
        <v>1</v>
      </c>
      <c r="BQ212" s="3">
        <v>40</v>
      </c>
      <c r="BR212" s="3">
        <v>0</v>
      </c>
      <c r="BS212" s="3">
        <v>56.35</v>
      </c>
      <c r="BT212" s="3">
        <v>1</v>
      </c>
      <c r="BU212" s="3">
        <v>1</v>
      </c>
      <c r="BV212" s="3">
        <v>1</v>
      </c>
      <c r="BW212" s="3">
        <v>1</v>
      </c>
      <c r="BX212" s="3">
        <v>1</v>
      </c>
      <c r="BY212" s="3" t="s">
        <v>3</v>
      </c>
      <c r="BZ212" s="3">
        <v>90</v>
      </c>
      <c r="CA212" s="3">
        <v>46</v>
      </c>
      <c r="CB212" s="3" t="s">
        <v>3</v>
      </c>
      <c r="CE212" s="3">
        <v>1566</v>
      </c>
      <c r="CF212" s="3">
        <v>0</v>
      </c>
      <c r="CG212" s="3">
        <v>0</v>
      </c>
      <c r="CM212" s="3">
        <v>0</v>
      </c>
      <c r="CN212" s="3" t="s">
        <v>422</v>
      </c>
      <c r="CO212" s="3">
        <v>0</v>
      </c>
      <c r="CP212" s="3">
        <f t="shared" si="175"/>
        <v>25957.050000000003</v>
      </c>
      <c r="CQ212" s="3">
        <f t="shared" si="176"/>
        <v>0</v>
      </c>
      <c r="CR212" s="3">
        <f>(ROUND((ROUND((((ET212*1.2))*AV212*1),2)*BB212),2)+ROUND((ROUND(((AE212-((EU212*1.2)))*AV212*1),2)*BS212),2))</f>
        <v>550.07000000000005</v>
      </c>
      <c r="CS212" s="3">
        <f>(ROUND((ROUND((((EU212*1.2))*AV212*1),2)*BS212),2)+ROUND((ROUND(((AE212-((EU212*1.2)))*AV212*1),2)*BS212),2))</f>
        <v>223.71</v>
      </c>
      <c r="CT212" s="3">
        <f t="shared" si="177"/>
        <v>411.36</v>
      </c>
      <c r="CU212" s="3">
        <f t="shared" si="178"/>
        <v>0</v>
      </c>
      <c r="CV212" s="3">
        <f t="shared" si="179"/>
        <v>0.65332799999999991</v>
      </c>
      <c r="CW212" s="3">
        <f t="shared" si="180"/>
        <v>0</v>
      </c>
      <c r="CX212" s="3">
        <f t="shared" si="180"/>
        <v>0</v>
      </c>
      <c r="CY212" s="3">
        <f>(ROUND((((S212+ROUND((ROUND((((EU212*1.2))*AV212*1),2)*BS212),2))*AT212)/100),2)+ROUND(((ROUND((ROUND(((AE212-((EU212*1.2)))*AV212*1),2)*BS212),2)*AT212)/100),2))</f>
        <v>10196.76</v>
      </c>
      <c r="CZ212" s="3">
        <f>(ROUND((((S212+ROUND((ROUND((((EU212*1.2))*AV212*1),2)*BS212),2))*AU212)/100),2)+ROUND(((ROUND((ROUND(((AE212-((EU212*1.2)))*AV212*1),2)*BS212),2)*AU212)/100),2))</f>
        <v>5211.68</v>
      </c>
      <c r="DB212" s="3">
        <v>70</v>
      </c>
      <c r="DC212" s="3" t="s">
        <v>3</v>
      </c>
      <c r="DD212" s="3" t="s">
        <v>62</v>
      </c>
      <c r="DE212" s="3" t="s">
        <v>63</v>
      </c>
      <c r="DF212" s="3" t="s">
        <v>63</v>
      </c>
      <c r="DG212" s="3" t="s">
        <v>63</v>
      </c>
      <c r="DH212" s="3" t="s">
        <v>3</v>
      </c>
      <c r="DI212" s="3" t="s">
        <v>63</v>
      </c>
      <c r="DJ212" s="3" t="s">
        <v>63</v>
      </c>
      <c r="DK212" s="3" t="s">
        <v>3</v>
      </c>
      <c r="DL212" s="3" t="s">
        <v>3</v>
      </c>
      <c r="DM212" s="3" t="s">
        <v>3</v>
      </c>
      <c r="DN212" s="3">
        <v>0</v>
      </c>
      <c r="DO212" s="3">
        <v>0</v>
      </c>
      <c r="DP212" s="3">
        <v>1</v>
      </c>
      <c r="DQ212" s="3">
        <v>1</v>
      </c>
      <c r="DU212" s="3">
        <v>1013</v>
      </c>
      <c r="DV212" s="3" t="s">
        <v>33</v>
      </c>
      <c r="DW212" s="3" t="s">
        <v>33</v>
      </c>
      <c r="DX212" s="3">
        <v>1</v>
      </c>
      <c r="DZ212" s="3" t="s">
        <v>3</v>
      </c>
      <c r="EA212" s="3" t="s">
        <v>3</v>
      </c>
      <c r="EB212" s="3" t="s">
        <v>3</v>
      </c>
      <c r="EC212" s="3" t="s">
        <v>3</v>
      </c>
      <c r="EE212" s="3">
        <v>55393704</v>
      </c>
      <c r="EF212" s="3">
        <v>40</v>
      </c>
      <c r="EG212" s="3" t="s">
        <v>26</v>
      </c>
      <c r="EH212" s="3">
        <v>0</v>
      </c>
      <c r="EI212" s="3" t="s">
        <v>3</v>
      </c>
      <c r="EJ212" s="3">
        <v>2</v>
      </c>
      <c r="EK212" s="3">
        <v>72</v>
      </c>
      <c r="EL212" s="3" t="s">
        <v>82</v>
      </c>
      <c r="EM212" s="3" t="s">
        <v>83</v>
      </c>
      <c r="EO212" s="3" t="s">
        <v>67</v>
      </c>
      <c r="EQ212" s="3">
        <v>0</v>
      </c>
      <c r="ER212" s="3">
        <v>34</v>
      </c>
      <c r="ES212" s="3">
        <v>0</v>
      </c>
      <c r="ET212" s="3">
        <v>28.19</v>
      </c>
      <c r="EU212" s="3">
        <v>3.16</v>
      </c>
      <c r="EV212" s="3">
        <v>5.81</v>
      </c>
      <c r="EW212" s="3">
        <v>0.52</v>
      </c>
      <c r="EX212" s="3">
        <v>0</v>
      </c>
      <c r="EY212" s="3">
        <v>0</v>
      </c>
      <c r="FQ212" s="3">
        <v>0</v>
      </c>
      <c r="FR212" s="3">
        <v>0</v>
      </c>
      <c r="FS212" s="3">
        <v>0</v>
      </c>
      <c r="FX212" s="3">
        <v>90</v>
      </c>
      <c r="FY212" s="3">
        <v>46</v>
      </c>
      <c r="GA212" s="3" t="s">
        <v>3</v>
      </c>
      <c r="GD212" s="3">
        <v>1</v>
      </c>
      <c r="GF212" s="3">
        <v>2088275380</v>
      </c>
      <c r="GG212" s="3">
        <v>2</v>
      </c>
      <c r="GH212" s="3">
        <v>1</v>
      </c>
      <c r="GI212" s="3">
        <v>2</v>
      </c>
      <c r="GJ212" s="3">
        <v>0</v>
      </c>
      <c r="GK212" s="3">
        <v>0</v>
      </c>
      <c r="GL212" s="3">
        <f t="shared" si="181"/>
        <v>0</v>
      </c>
      <c r="GM212" s="3">
        <f t="shared" si="182"/>
        <v>49276.62</v>
      </c>
      <c r="GN212" s="3">
        <f t="shared" si="183"/>
        <v>0</v>
      </c>
      <c r="GO212" s="3">
        <f t="shared" si="184"/>
        <v>49276.62</v>
      </c>
      <c r="GP212" s="3">
        <f t="shared" si="185"/>
        <v>0</v>
      </c>
      <c r="GR212" s="3">
        <v>0</v>
      </c>
      <c r="GS212" s="3">
        <v>3</v>
      </c>
      <c r="GT212" s="3">
        <v>0</v>
      </c>
      <c r="GU212" s="3" t="s">
        <v>3</v>
      </c>
      <c r="GV212" s="3">
        <f t="shared" si="186"/>
        <v>0</v>
      </c>
      <c r="GW212" s="3">
        <v>1</v>
      </c>
      <c r="GX212" s="3">
        <f t="shared" si="187"/>
        <v>0</v>
      </c>
      <c r="HA212" s="3">
        <v>0</v>
      </c>
      <c r="HB212" s="3">
        <v>0</v>
      </c>
      <c r="HC212" s="3">
        <f t="shared" si="188"/>
        <v>0</v>
      </c>
      <c r="HE212" s="3" t="s">
        <v>3</v>
      </c>
      <c r="HF212" s="3" t="s">
        <v>3</v>
      </c>
      <c r="HM212" s="3" t="s">
        <v>3</v>
      </c>
      <c r="HN212" s="3" t="s">
        <v>3</v>
      </c>
      <c r="HO212" s="3" t="s">
        <v>3</v>
      </c>
      <c r="HP212" s="3" t="s">
        <v>3</v>
      </c>
      <c r="HQ212" s="3" t="s">
        <v>3</v>
      </c>
      <c r="HS212" s="3">
        <v>0</v>
      </c>
      <c r="IK212" s="3">
        <v>0</v>
      </c>
    </row>
    <row r="213" spans="1:255" x14ac:dyDescent="0.25">
      <c r="A213" s="2">
        <v>18</v>
      </c>
      <c r="B213" s="2">
        <v>1</v>
      </c>
      <c r="C213" s="2">
        <v>206</v>
      </c>
      <c r="D213" s="2"/>
      <c r="E213" s="2" t="s">
        <v>235</v>
      </c>
      <c r="F213" s="2" t="s">
        <v>236</v>
      </c>
      <c r="G213" s="2" t="s">
        <v>237</v>
      </c>
      <c r="H213" s="2" t="s">
        <v>238</v>
      </c>
      <c r="I213" s="2">
        <f>I211*J213</f>
        <v>8.6400000000000001E-3</v>
      </c>
      <c r="J213" s="2">
        <v>3.2000000000000003E-4</v>
      </c>
      <c r="K213" s="2">
        <v>3.2000000000000003E-4</v>
      </c>
      <c r="L213" s="2"/>
      <c r="M213" s="2"/>
      <c r="N213" s="2"/>
      <c r="O213" s="2">
        <f t="shared" si="165"/>
        <v>0.27</v>
      </c>
      <c r="P213" s="2">
        <f t="shared" si="166"/>
        <v>0.27</v>
      </c>
      <c r="Q213" s="2">
        <f>(ROUND((ROUND(((ET213)*AV213*I213),2)*BB213),2)+ROUND((ROUND(((AE213-(EU213))*AV213*I213),2)*BS213),2))</f>
        <v>0</v>
      </c>
      <c r="R213" s="2">
        <f>(ROUND((ROUND(((EU213)*AV213*I213),2)*BS213),2)+ROUND((ROUND(((AE213-(EU213))*AV213*I213),2)*BS213),2))</f>
        <v>0</v>
      </c>
      <c r="S213" s="2">
        <f t="shared" si="167"/>
        <v>0</v>
      </c>
      <c r="T213" s="2">
        <f t="shared" si="168"/>
        <v>0</v>
      </c>
      <c r="U213" s="2">
        <f t="shared" si="169"/>
        <v>0</v>
      </c>
      <c r="V213" s="2">
        <f t="shared" si="170"/>
        <v>0</v>
      </c>
      <c r="W213" s="2">
        <f t="shared" si="171"/>
        <v>0</v>
      </c>
      <c r="X213" s="2">
        <f>(ROUND((((S213+ROUND((ROUND(((EU213)*AV213*I213),2)*BS213),2))*AT213)/100),2)+ROUND(((ROUND((ROUND(((AE213-(EU213))*AV213*I213),2)*BS213),2)*AT213)/100),2))</f>
        <v>0</v>
      </c>
      <c r="Y213" s="2">
        <f>(ROUND((((S213+ROUND((ROUND(((EU213)*AV213*I213),2)*BS213),2))*AU213)/100),2)+ROUND(((ROUND((ROUND(((AE213-(EU213))*AV213*I213),2)*BS213),2)*AU213)/100),2))</f>
        <v>0</v>
      </c>
      <c r="Z213" s="2"/>
      <c r="AA213" s="2">
        <v>55936046</v>
      </c>
      <c r="AB213" s="2">
        <f t="shared" si="172"/>
        <v>31.08</v>
      </c>
      <c r="AC213" s="2">
        <f>ROUND((ES213),6)</f>
        <v>31.08</v>
      </c>
      <c r="AD213" s="2">
        <f>ROUND((((ET213)-(EU213))+AE213),6)</f>
        <v>0</v>
      </c>
      <c r="AE213" s="2">
        <f t="shared" ref="AE213:AF216" si="189">ROUND((EU213),6)</f>
        <v>0</v>
      </c>
      <c r="AF213" s="2">
        <f t="shared" si="189"/>
        <v>0</v>
      </c>
      <c r="AG213" s="2">
        <f t="shared" si="173"/>
        <v>0</v>
      </c>
      <c r="AH213" s="2">
        <f t="shared" ref="AH213:AI216" si="190">(EW213)</f>
        <v>0</v>
      </c>
      <c r="AI213" s="2">
        <f t="shared" si="190"/>
        <v>0</v>
      </c>
      <c r="AJ213" s="2">
        <f t="shared" si="174"/>
        <v>0</v>
      </c>
      <c r="AK213" s="2">
        <v>31.08</v>
      </c>
      <c r="AL213" s="2">
        <v>31.08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90</v>
      </c>
      <c r="AU213" s="2">
        <v>46</v>
      </c>
      <c r="AV213" s="2">
        <v>1</v>
      </c>
      <c r="AW213" s="2">
        <v>1</v>
      </c>
      <c r="AX213" s="2"/>
      <c r="AY213" s="2"/>
      <c r="AZ213" s="2">
        <v>1</v>
      </c>
      <c r="BA213" s="2">
        <v>1</v>
      </c>
      <c r="BB213" s="2">
        <v>1</v>
      </c>
      <c r="BC213" s="2">
        <v>1</v>
      </c>
      <c r="BD213" s="2" t="s">
        <v>3</v>
      </c>
      <c r="BE213" s="2" t="s">
        <v>3</v>
      </c>
      <c r="BF213" s="2" t="s">
        <v>3</v>
      </c>
      <c r="BG213" s="2" t="s">
        <v>3</v>
      </c>
      <c r="BH213" s="2">
        <v>3</v>
      </c>
      <c r="BI213" s="2">
        <v>2</v>
      </c>
      <c r="BJ213" s="2" t="s">
        <v>239</v>
      </c>
      <c r="BK213" s="2"/>
      <c r="BL213" s="2"/>
      <c r="BM213" s="2">
        <v>72</v>
      </c>
      <c r="BN213" s="2">
        <v>0</v>
      </c>
      <c r="BO213" s="2" t="s">
        <v>3</v>
      </c>
      <c r="BP213" s="2">
        <v>0</v>
      </c>
      <c r="BQ213" s="2">
        <v>40</v>
      </c>
      <c r="BR213" s="2">
        <v>0</v>
      </c>
      <c r="BS213" s="2">
        <v>1</v>
      </c>
      <c r="BT213" s="2">
        <v>1</v>
      </c>
      <c r="BU213" s="2">
        <v>1</v>
      </c>
      <c r="BV213" s="2">
        <v>1</v>
      </c>
      <c r="BW213" s="2">
        <v>1</v>
      </c>
      <c r="BX213" s="2">
        <v>1</v>
      </c>
      <c r="BY213" s="2" t="s">
        <v>3</v>
      </c>
      <c r="BZ213" s="2">
        <v>90</v>
      </c>
      <c r="CA213" s="2">
        <v>46</v>
      </c>
      <c r="CB213" s="2" t="s">
        <v>3</v>
      </c>
      <c r="CC213" s="2"/>
      <c r="CD213" s="2"/>
      <c r="CE213" s="2">
        <v>1566</v>
      </c>
      <c r="CF213" s="2">
        <v>0</v>
      </c>
      <c r="CG213" s="2">
        <v>0</v>
      </c>
      <c r="CH213" s="2"/>
      <c r="CI213" s="2"/>
      <c r="CJ213" s="2"/>
      <c r="CK213" s="2"/>
      <c r="CL213" s="2"/>
      <c r="CM213" s="2">
        <v>0</v>
      </c>
      <c r="CN213" s="2" t="s">
        <v>423</v>
      </c>
      <c r="CO213" s="2">
        <v>0</v>
      </c>
      <c r="CP213" s="2">
        <f t="shared" si="175"/>
        <v>0.27</v>
      </c>
      <c r="CQ213" s="2">
        <f t="shared" si="176"/>
        <v>31.08</v>
      </c>
      <c r="CR213" s="2">
        <f>(ROUND((ROUND(((ET213)*AV213*1),2)*BB213),2)+ROUND((ROUND(((AE213-(EU213))*AV213*1),2)*BS213),2))</f>
        <v>0</v>
      </c>
      <c r="CS213" s="2">
        <f>(ROUND((ROUND(((EU213)*AV213*1),2)*BS213),2)+ROUND((ROUND(((AE213-(EU213))*AV213*1),2)*BS213),2))</f>
        <v>0</v>
      </c>
      <c r="CT213" s="2">
        <f t="shared" si="177"/>
        <v>0</v>
      </c>
      <c r="CU213" s="2">
        <f t="shared" si="178"/>
        <v>0</v>
      </c>
      <c r="CV213" s="2">
        <f t="shared" si="179"/>
        <v>0</v>
      </c>
      <c r="CW213" s="2">
        <f t="shared" si="180"/>
        <v>0</v>
      </c>
      <c r="CX213" s="2">
        <f t="shared" si="180"/>
        <v>0</v>
      </c>
      <c r="CY213" s="2">
        <f>(ROUND((((S213+ROUND((ROUND(((EU213)*AV213*1),2)*BS213),2))*AT213)/100),2)+ROUND(((ROUND((ROUND(((AE213-(EU213))*AV213*1),2)*BS213),2)*AT213)/100),2))</f>
        <v>0</v>
      </c>
      <c r="CZ213" s="2">
        <f>(ROUND((((S213+ROUND((ROUND(((EU213)*AV213*1),2)*BS213),2))*AU213)/100),2)+ROUND(((ROUND((ROUND(((AE213-(EU213))*AV213*1),2)*BS213),2)*AU213)/100),2))</f>
        <v>0</v>
      </c>
      <c r="DA213" s="2"/>
      <c r="DB213" s="2"/>
      <c r="DC213" s="2" t="s">
        <v>3</v>
      </c>
      <c r="DD213" s="2" t="s">
        <v>3</v>
      </c>
      <c r="DE213" s="2" t="s">
        <v>3</v>
      </c>
      <c r="DF213" s="2" t="s">
        <v>3</v>
      </c>
      <c r="DG213" s="2" t="s">
        <v>3</v>
      </c>
      <c r="DH213" s="2" t="s">
        <v>3</v>
      </c>
      <c r="DI213" s="2" t="s">
        <v>3</v>
      </c>
      <c r="DJ213" s="2" t="s">
        <v>3</v>
      </c>
      <c r="DK213" s="2" t="s">
        <v>3</v>
      </c>
      <c r="DL213" s="2" t="s">
        <v>3</v>
      </c>
      <c r="DM213" s="2" t="s">
        <v>3</v>
      </c>
      <c r="DN213" s="2">
        <v>0</v>
      </c>
      <c r="DO213" s="2">
        <v>0</v>
      </c>
      <c r="DP213" s="2">
        <v>1</v>
      </c>
      <c r="DQ213" s="2">
        <v>1</v>
      </c>
      <c r="DR213" s="2"/>
      <c r="DS213" s="2"/>
      <c r="DT213" s="2"/>
      <c r="DU213" s="2">
        <v>1009</v>
      </c>
      <c r="DV213" s="2" t="s">
        <v>238</v>
      </c>
      <c r="DW213" s="2" t="s">
        <v>238</v>
      </c>
      <c r="DX213" s="2">
        <v>1</v>
      </c>
      <c r="DY213" s="2"/>
      <c r="DZ213" s="2" t="s">
        <v>3</v>
      </c>
      <c r="EA213" s="2" t="s">
        <v>3</v>
      </c>
      <c r="EB213" s="2" t="s">
        <v>3</v>
      </c>
      <c r="EC213" s="2" t="s">
        <v>3</v>
      </c>
      <c r="ED213" s="2"/>
      <c r="EE213" s="2">
        <v>55393704</v>
      </c>
      <c r="EF213" s="2">
        <v>40</v>
      </c>
      <c r="EG213" s="2" t="s">
        <v>26</v>
      </c>
      <c r="EH213" s="2">
        <v>0</v>
      </c>
      <c r="EI213" s="2" t="s">
        <v>3</v>
      </c>
      <c r="EJ213" s="2">
        <v>2</v>
      </c>
      <c r="EK213" s="2">
        <v>72</v>
      </c>
      <c r="EL213" s="2" t="s">
        <v>82</v>
      </c>
      <c r="EM213" s="2" t="s">
        <v>83</v>
      </c>
      <c r="EN213" s="2"/>
      <c r="EO213" s="2" t="s">
        <v>67</v>
      </c>
      <c r="EP213" s="2"/>
      <c r="EQ213" s="2">
        <v>0</v>
      </c>
      <c r="ER213" s="2">
        <v>31.08</v>
      </c>
      <c r="ES213" s="2">
        <v>31.08</v>
      </c>
      <c r="ET213" s="2">
        <v>0</v>
      </c>
      <c r="EU213" s="2">
        <v>0</v>
      </c>
      <c r="EV213" s="2">
        <v>0</v>
      </c>
      <c r="EW213" s="2">
        <v>0</v>
      </c>
      <c r="EX213" s="2">
        <v>0</v>
      </c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>
        <v>0</v>
      </c>
      <c r="FR213" s="2">
        <v>0</v>
      </c>
      <c r="FS213" s="2">
        <v>0</v>
      </c>
      <c r="FT213" s="2"/>
      <c r="FU213" s="2"/>
      <c r="FV213" s="2"/>
      <c r="FW213" s="2"/>
      <c r="FX213" s="2">
        <v>90</v>
      </c>
      <c r="FY213" s="2">
        <v>46</v>
      </c>
      <c r="FZ213" s="2"/>
      <c r="GA213" s="2" t="s">
        <v>3</v>
      </c>
      <c r="GB213" s="2"/>
      <c r="GC213" s="2"/>
      <c r="GD213" s="2">
        <v>1</v>
      </c>
      <c r="GE213" s="2"/>
      <c r="GF213" s="2">
        <v>-2097101800</v>
      </c>
      <c r="GG213" s="2">
        <v>2</v>
      </c>
      <c r="GH213" s="2">
        <v>1</v>
      </c>
      <c r="GI213" s="2">
        <v>-2</v>
      </c>
      <c r="GJ213" s="2">
        <v>0</v>
      </c>
      <c r="GK213" s="2">
        <v>0</v>
      </c>
      <c r="GL213" s="2">
        <f t="shared" si="181"/>
        <v>0</v>
      </c>
      <c r="GM213" s="2">
        <f t="shared" si="182"/>
        <v>0.27</v>
      </c>
      <c r="GN213" s="2">
        <f t="shared" si="183"/>
        <v>0</v>
      </c>
      <c r="GO213" s="2">
        <f t="shared" si="184"/>
        <v>0.27</v>
      </c>
      <c r="GP213" s="2">
        <f t="shared" si="185"/>
        <v>0</v>
      </c>
      <c r="GQ213" s="2"/>
      <c r="GR213" s="2">
        <v>0</v>
      </c>
      <c r="GS213" s="2">
        <v>3</v>
      </c>
      <c r="GT213" s="2">
        <v>0</v>
      </c>
      <c r="GU213" s="2" t="s">
        <v>3</v>
      </c>
      <c r="GV213" s="2">
        <f t="shared" si="186"/>
        <v>0</v>
      </c>
      <c r="GW213" s="2">
        <v>1</v>
      </c>
      <c r="GX213" s="2">
        <f t="shared" si="187"/>
        <v>0</v>
      </c>
      <c r="GY213" s="2"/>
      <c r="GZ213" s="2"/>
      <c r="HA213" s="2">
        <v>0</v>
      </c>
      <c r="HB213" s="2">
        <v>0</v>
      </c>
      <c r="HC213" s="2">
        <f t="shared" si="188"/>
        <v>0</v>
      </c>
      <c r="HD213" s="2"/>
      <c r="HE213" s="2" t="s">
        <v>3</v>
      </c>
      <c r="HF213" s="2" t="s">
        <v>3</v>
      </c>
      <c r="HG213" s="2"/>
      <c r="HH213" s="2"/>
      <c r="HI213" s="2"/>
      <c r="HJ213" s="2"/>
      <c r="HK213" s="2"/>
      <c r="HL213" s="2"/>
      <c r="HM213" s="2" t="s">
        <v>62</v>
      </c>
      <c r="HN213" s="2" t="s">
        <v>3</v>
      </c>
      <c r="HO213" s="2" t="s">
        <v>3</v>
      </c>
      <c r="HP213" s="2" t="s">
        <v>3</v>
      </c>
      <c r="HQ213" s="2" t="s">
        <v>3</v>
      </c>
      <c r="HR213" s="2"/>
      <c r="HS213" s="2">
        <v>0</v>
      </c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>
        <v>0</v>
      </c>
      <c r="IL213" s="2"/>
      <c r="IM213" s="2"/>
      <c r="IN213" s="2"/>
      <c r="IO213" s="2"/>
      <c r="IP213" s="2"/>
      <c r="IQ213" s="2"/>
      <c r="IR213" s="2"/>
      <c r="IS213" s="2"/>
      <c r="IT213" s="2"/>
      <c r="IU213" s="2"/>
    </row>
    <row r="214" spans="1:255" x14ac:dyDescent="0.25">
      <c r="A214" s="3">
        <v>18</v>
      </c>
      <c r="B214" s="3">
        <v>1</v>
      </c>
      <c r="C214" s="3">
        <v>211</v>
      </c>
      <c r="E214" s="3" t="s">
        <v>235</v>
      </c>
      <c r="F214" s="3" t="s">
        <v>236</v>
      </c>
      <c r="G214" s="3" t="s">
        <v>237</v>
      </c>
      <c r="H214" s="3" t="s">
        <v>238</v>
      </c>
      <c r="I214" s="3">
        <f>I212*J214</f>
        <v>8.6400000000000001E-3</v>
      </c>
      <c r="J214" s="3">
        <v>3.2000000000000003E-4</v>
      </c>
      <c r="K214" s="3">
        <v>3.2000000000000003E-4</v>
      </c>
      <c r="O214" s="3">
        <f t="shared" si="165"/>
        <v>0.97</v>
      </c>
      <c r="P214" s="3">
        <f t="shared" si="166"/>
        <v>0.97</v>
      </c>
      <c r="Q214" s="3">
        <f>(ROUND((ROUND(((ET214)*AV214*I214),2)*BB214),2)+ROUND((ROUND(((AE214-(EU214))*AV214*I214),2)*BS214),2))</f>
        <v>0</v>
      </c>
      <c r="R214" s="3">
        <f>(ROUND((ROUND(((EU214)*AV214*I214),2)*BS214),2)+ROUND((ROUND(((AE214-(EU214))*AV214*I214),2)*BS214),2))</f>
        <v>0</v>
      </c>
      <c r="S214" s="3">
        <f t="shared" si="167"/>
        <v>0</v>
      </c>
      <c r="T214" s="3">
        <f t="shared" si="168"/>
        <v>0</v>
      </c>
      <c r="U214" s="3">
        <f t="shared" si="169"/>
        <v>0</v>
      </c>
      <c r="V214" s="3">
        <f t="shared" si="170"/>
        <v>0</v>
      </c>
      <c r="W214" s="3">
        <f t="shared" si="171"/>
        <v>0</v>
      </c>
      <c r="X214" s="3">
        <f>(ROUND((((S214+ROUND((ROUND(((EU214)*AV214*I214),2)*BS214),2))*AT214)/100),2)+ROUND(((ROUND((ROUND(((AE214-(EU214))*AV214*I214),2)*BS214),2)*AT214)/100),2))</f>
        <v>0</v>
      </c>
      <c r="Y214" s="3">
        <f>(ROUND((((S214+ROUND((ROUND(((EU214)*AV214*I214),2)*BS214),2))*AU214)/100),2)+ROUND(((ROUND((ROUND(((AE214-(EU214))*AV214*I214),2)*BS214),2)*AU214)/100),2))</f>
        <v>0</v>
      </c>
      <c r="AA214" s="3">
        <v>55936048</v>
      </c>
      <c r="AB214" s="3">
        <f t="shared" si="172"/>
        <v>31.08</v>
      </c>
      <c r="AC214" s="3">
        <f>ROUND((ES214),6)</f>
        <v>31.08</v>
      </c>
      <c r="AD214" s="3">
        <f>ROUND((((ET214)-(EU214))+AE214),6)</f>
        <v>0</v>
      </c>
      <c r="AE214" s="3">
        <f t="shared" si="189"/>
        <v>0</v>
      </c>
      <c r="AF214" s="3">
        <f t="shared" si="189"/>
        <v>0</v>
      </c>
      <c r="AG214" s="3">
        <f t="shared" si="173"/>
        <v>0</v>
      </c>
      <c r="AH214" s="3">
        <f t="shared" si="190"/>
        <v>0</v>
      </c>
      <c r="AI214" s="3">
        <f t="shared" si="190"/>
        <v>0</v>
      </c>
      <c r="AJ214" s="3">
        <f t="shared" si="174"/>
        <v>0</v>
      </c>
      <c r="AK214" s="3">
        <v>31.08</v>
      </c>
      <c r="AL214" s="3">
        <v>31.08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90</v>
      </c>
      <c r="AU214" s="3">
        <v>46</v>
      </c>
      <c r="AV214" s="3">
        <v>1</v>
      </c>
      <c r="AW214" s="3">
        <v>1</v>
      </c>
      <c r="AZ214" s="3">
        <v>1</v>
      </c>
      <c r="BA214" s="3">
        <v>1</v>
      </c>
      <c r="BB214" s="3">
        <v>1</v>
      </c>
      <c r="BC214" s="3">
        <v>3.59</v>
      </c>
      <c r="BD214" s="3" t="s">
        <v>3</v>
      </c>
      <c r="BE214" s="3" t="s">
        <v>3</v>
      </c>
      <c r="BF214" s="3" t="s">
        <v>3</v>
      </c>
      <c r="BG214" s="3" t="s">
        <v>3</v>
      </c>
      <c r="BH214" s="3">
        <v>3</v>
      </c>
      <c r="BI214" s="3">
        <v>2</v>
      </c>
      <c r="BJ214" s="3" t="s">
        <v>239</v>
      </c>
      <c r="BM214" s="3">
        <v>72</v>
      </c>
      <c r="BN214" s="3">
        <v>0</v>
      </c>
      <c r="BO214" s="3" t="s">
        <v>236</v>
      </c>
      <c r="BP214" s="3">
        <v>1</v>
      </c>
      <c r="BQ214" s="3">
        <v>40</v>
      </c>
      <c r="BR214" s="3">
        <v>0</v>
      </c>
      <c r="BS214" s="3">
        <v>1</v>
      </c>
      <c r="BT214" s="3">
        <v>1</v>
      </c>
      <c r="BU214" s="3">
        <v>1</v>
      </c>
      <c r="BV214" s="3">
        <v>1</v>
      </c>
      <c r="BW214" s="3">
        <v>1</v>
      </c>
      <c r="BX214" s="3">
        <v>1</v>
      </c>
      <c r="BY214" s="3" t="s">
        <v>3</v>
      </c>
      <c r="BZ214" s="3">
        <v>90</v>
      </c>
      <c r="CA214" s="3">
        <v>46</v>
      </c>
      <c r="CB214" s="3" t="s">
        <v>3</v>
      </c>
      <c r="CE214" s="3">
        <v>1566</v>
      </c>
      <c r="CF214" s="3">
        <v>0</v>
      </c>
      <c r="CG214" s="3">
        <v>0</v>
      </c>
      <c r="CM214" s="3">
        <v>0</v>
      </c>
      <c r="CN214" s="3" t="s">
        <v>423</v>
      </c>
      <c r="CO214" s="3">
        <v>0</v>
      </c>
      <c r="CP214" s="3">
        <f t="shared" si="175"/>
        <v>0.97</v>
      </c>
      <c r="CQ214" s="3">
        <f t="shared" si="176"/>
        <v>111.58</v>
      </c>
      <c r="CR214" s="3">
        <f>(ROUND((ROUND(((ET214)*AV214*1),2)*BB214),2)+ROUND((ROUND(((AE214-(EU214))*AV214*1),2)*BS214),2))</f>
        <v>0</v>
      </c>
      <c r="CS214" s="3">
        <f>(ROUND((ROUND(((EU214)*AV214*1),2)*BS214),2)+ROUND((ROUND(((AE214-(EU214))*AV214*1),2)*BS214),2))</f>
        <v>0</v>
      </c>
      <c r="CT214" s="3">
        <f t="shared" si="177"/>
        <v>0</v>
      </c>
      <c r="CU214" s="3">
        <f t="shared" si="178"/>
        <v>0</v>
      </c>
      <c r="CV214" s="3">
        <f t="shared" si="179"/>
        <v>0</v>
      </c>
      <c r="CW214" s="3">
        <f t="shared" si="180"/>
        <v>0</v>
      </c>
      <c r="CX214" s="3">
        <f t="shared" si="180"/>
        <v>0</v>
      </c>
      <c r="CY214" s="3">
        <f>(ROUND((((S214+ROUND((ROUND(((EU214)*AV214*1),2)*BS214),2))*AT214)/100),2)+ROUND(((ROUND((ROUND(((AE214-(EU214))*AV214*1),2)*BS214),2)*AT214)/100),2))</f>
        <v>0</v>
      </c>
      <c r="CZ214" s="3">
        <f>(ROUND((((S214+ROUND((ROUND(((EU214)*AV214*1),2)*BS214),2))*AU214)/100),2)+ROUND(((ROUND((ROUND(((AE214-(EU214))*AV214*1),2)*BS214),2)*AU214)/100),2))</f>
        <v>0</v>
      </c>
      <c r="DC214" s="3" t="s">
        <v>3</v>
      </c>
      <c r="DD214" s="3" t="s">
        <v>3</v>
      </c>
      <c r="DE214" s="3" t="s">
        <v>3</v>
      </c>
      <c r="DF214" s="3" t="s">
        <v>3</v>
      </c>
      <c r="DG214" s="3" t="s">
        <v>3</v>
      </c>
      <c r="DH214" s="3" t="s">
        <v>3</v>
      </c>
      <c r="DI214" s="3" t="s">
        <v>3</v>
      </c>
      <c r="DJ214" s="3" t="s">
        <v>3</v>
      </c>
      <c r="DK214" s="3" t="s">
        <v>3</v>
      </c>
      <c r="DL214" s="3" t="s">
        <v>3</v>
      </c>
      <c r="DM214" s="3" t="s">
        <v>3</v>
      </c>
      <c r="DN214" s="3">
        <v>0</v>
      </c>
      <c r="DO214" s="3">
        <v>0</v>
      </c>
      <c r="DP214" s="3">
        <v>1</v>
      </c>
      <c r="DQ214" s="3">
        <v>1</v>
      </c>
      <c r="DU214" s="3">
        <v>1009</v>
      </c>
      <c r="DV214" s="3" t="s">
        <v>238</v>
      </c>
      <c r="DW214" s="3" t="s">
        <v>238</v>
      </c>
      <c r="DX214" s="3">
        <v>1</v>
      </c>
      <c r="DZ214" s="3" t="s">
        <v>3</v>
      </c>
      <c r="EA214" s="3" t="s">
        <v>3</v>
      </c>
      <c r="EB214" s="3" t="s">
        <v>3</v>
      </c>
      <c r="EC214" s="3" t="s">
        <v>3</v>
      </c>
      <c r="EE214" s="3">
        <v>55393704</v>
      </c>
      <c r="EF214" s="3">
        <v>40</v>
      </c>
      <c r="EG214" s="3" t="s">
        <v>26</v>
      </c>
      <c r="EH214" s="3">
        <v>0</v>
      </c>
      <c r="EI214" s="3" t="s">
        <v>3</v>
      </c>
      <c r="EJ214" s="3">
        <v>2</v>
      </c>
      <c r="EK214" s="3">
        <v>72</v>
      </c>
      <c r="EL214" s="3" t="s">
        <v>82</v>
      </c>
      <c r="EM214" s="3" t="s">
        <v>83</v>
      </c>
      <c r="EO214" s="3" t="s">
        <v>67</v>
      </c>
      <c r="EQ214" s="3">
        <v>0</v>
      </c>
      <c r="ER214" s="3">
        <v>31.08</v>
      </c>
      <c r="ES214" s="3">
        <v>31.08</v>
      </c>
      <c r="ET214" s="3">
        <v>0</v>
      </c>
      <c r="EU214" s="3">
        <v>0</v>
      </c>
      <c r="EV214" s="3">
        <v>0</v>
      </c>
      <c r="EW214" s="3">
        <v>0</v>
      </c>
      <c r="EX214" s="3">
        <v>0</v>
      </c>
      <c r="FQ214" s="3">
        <v>0</v>
      </c>
      <c r="FR214" s="3">
        <v>0</v>
      </c>
      <c r="FS214" s="3">
        <v>0</v>
      </c>
      <c r="FX214" s="3">
        <v>90</v>
      </c>
      <c r="FY214" s="3">
        <v>46</v>
      </c>
      <c r="GA214" s="3" t="s">
        <v>3</v>
      </c>
      <c r="GD214" s="3">
        <v>1</v>
      </c>
      <c r="GF214" s="3">
        <v>-2097101800</v>
      </c>
      <c r="GG214" s="3">
        <v>2</v>
      </c>
      <c r="GH214" s="3">
        <v>1</v>
      </c>
      <c r="GI214" s="3">
        <v>2</v>
      </c>
      <c r="GJ214" s="3">
        <v>0</v>
      </c>
      <c r="GK214" s="3">
        <v>0</v>
      </c>
      <c r="GL214" s="3">
        <f t="shared" si="181"/>
        <v>0</v>
      </c>
      <c r="GM214" s="3">
        <f t="shared" si="182"/>
        <v>0.97</v>
      </c>
      <c r="GN214" s="3">
        <f t="shared" si="183"/>
        <v>0</v>
      </c>
      <c r="GO214" s="3">
        <f t="shared" si="184"/>
        <v>0.97</v>
      </c>
      <c r="GP214" s="3">
        <f t="shared" si="185"/>
        <v>0</v>
      </c>
      <c r="GR214" s="3">
        <v>0</v>
      </c>
      <c r="GS214" s="3">
        <v>3</v>
      </c>
      <c r="GT214" s="3">
        <v>0</v>
      </c>
      <c r="GU214" s="3" t="s">
        <v>3</v>
      </c>
      <c r="GV214" s="3">
        <f t="shared" si="186"/>
        <v>0</v>
      </c>
      <c r="GW214" s="3">
        <v>1</v>
      </c>
      <c r="GX214" s="3">
        <f t="shared" si="187"/>
        <v>0</v>
      </c>
      <c r="HA214" s="3">
        <v>0</v>
      </c>
      <c r="HB214" s="3">
        <v>0</v>
      </c>
      <c r="HC214" s="3">
        <f t="shared" si="188"/>
        <v>0</v>
      </c>
      <c r="HE214" s="3" t="s">
        <v>3</v>
      </c>
      <c r="HF214" s="3" t="s">
        <v>3</v>
      </c>
      <c r="HM214" s="3" t="s">
        <v>62</v>
      </c>
      <c r="HN214" s="3" t="s">
        <v>3</v>
      </c>
      <c r="HO214" s="3" t="s">
        <v>3</v>
      </c>
      <c r="HP214" s="3" t="s">
        <v>3</v>
      </c>
      <c r="HQ214" s="3" t="s">
        <v>3</v>
      </c>
      <c r="HS214" s="3">
        <v>0</v>
      </c>
      <c r="IK214" s="3">
        <v>0</v>
      </c>
    </row>
    <row r="215" spans="1:255" x14ac:dyDescent="0.25">
      <c r="A215" s="2">
        <v>18</v>
      </c>
      <c r="B215" s="2">
        <v>1</v>
      </c>
      <c r="C215" s="2">
        <v>207</v>
      </c>
      <c r="D215" s="2"/>
      <c r="E215" s="2" t="s">
        <v>240</v>
      </c>
      <c r="F215" s="2" t="s">
        <v>241</v>
      </c>
      <c r="G215" s="2" t="s">
        <v>242</v>
      </c>
      <c r="H215" s="2" t="s">
        <v>144</v>
      </c>
      <c r="I215" s="2">
        <f>I211*J215</f>
        <v>27</v>
      </c>
      <c r="J215" s="2">
        <v>1</v>
      </c>
      <c r="K215" s="2">
        <v>1</v>
      </c>
      <c r="L215" s="2"/>
      <c r="M215" s="2"/>
      <c r="N215" s="2"/>
      <c r="O215" s="2">
        <f t="shared" si="165"/>
        <v>25643.79</v>
      </c>
      <c r="P215" s="2">
        <f t="shared" si="166"/>
        <v>25643.79</v>
      </c>
      <c r="Q215" s="2">
        <f>(ROUND((ROUND(((ET215)*AV215*I215),2)*BB215),2)+ROUND((ROUND(((AE215-(EU215))*AV215*I215),2)*BS215),2))</f>
        <v>0</v>
      </c>
      <c r="R215" s="2">
        <f>(ROUND((ROUND(((EU215)*AV215*I215),2)*BS215),2)+ROUND((ROUND(((AE215-(EU215))*AV215*I215),2)*BS215),2))</f>
        <v>0</v>
      </c>
      <c r="S215" s="2">
        <f t="shared" si="167"/>
        <v>0</v>
      </c>
      <c r="T215" s="2">
        <f t="shared" si="168"/>
        <v>0</v>
      </c>
      <c r="U215" s="2">
        <f t="shared" si="169"/>
        <v>0</v>
      </c>
      <c r="V215" s="2">
        <f t="shared" si="170"/>
        <v>0</v>
      </c>
      <c r="W215" s="2">
        <f t="shared" si="171"/>
        <v>0</v>
      </c>
      <c r="X215" s="2">
        <f>(ROUND((((S215+ROUND((ROUND(((EU215)*AV215*I215),2)*BS215),2))*AT215)/100),2)+ROUND(((ROUND((ROUND(((AE215-(EU215))*AV215*I215),2)*BS215),2)*AT215)/100),2))</f>
        <v>0</v>
      </c>
      <c r="Y215" s="2">
        <f>(ROUND((((S215+ROUND((ROUND(((EU215)*AV215*I215),2)*BS215),2))*AU215)/100),2)+ROUND(((ROUND((ROUND(((AE215-(EU215))*AV215*I215),2)*BS215),2)*AU215)/100),2))</f>
        <v>0</v>
      </c>
      <c r="Z215" s="2"/>
      <c r="AA215" s="2">
        <v>55936046</v>
      </c>
      <c r="AB215" s="2">
        <f t="shared" si="172"/>
        <v>949.77</v>
      </c>
      <c r="AC215" s="2">
        <f>ROUND((ES215),6)</f>
        <v>949.77</v>
      </c>
      <c r="AD215" s="2">
        <f>ROUND((((ET215)-(EU215))+AE215),6)</f>
        <v>0</v>
      </c>
      <c r="AE215" s="2">
        <f t="shared" si="189"/>
        <v>0</v>
      </c>
      <c r="AF215" s="2">
        <f t="shared" si="189"/>
        <v>0</v>
      </c>
      <c r="AG215" s="2">
        <f t="shared" si="173"/>
        <v>0</v>
      </c>
      <c r="AH215" s="2">
        <f t="shared" si="190"/>
        <v>0</v>
      </c>
      <c r="AI215" s="2">
        <f t="shared" si="190"/>
        <v>0</v>
      </c>
      <c r="AJ215" s="2">
        <f t="shared" si="174"/>
        <v>0</v>
      </c>
      <c r="AK215" s="2">
        <v>949.77</v>
      </c>
      <c r="AL215" s="2">
        <v>949.77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1</v>
      </c>
      <c r="AW215" s="2">
        <v>1</v>
      </c>
      <c r="AX215" s="2"/>
      <c r="AY215" s="2"/>
      <c r="AZ215" s="2">
        <v>1</v>
      </c>
      <c r="BA215" s="2">
        <v>1</v>
      </c>
      <c r="BB215" s="2">
        <v>1</v>
      </c>
      <c r="BC215" s="2">
        <v>1</v>
      </c>
      <c r="BD215" s="2" t="s">
        <v>3</v>
      </c>
      <c r="BE215" s="2" t="s">
        <v>3</v>
      </c>
      <c r="BF215" s="2" t="s">
        <v>3</v>
      </c>
      <c r="BG215" s="2" t="s">
        <v>3</v>
      </c>
      <c r="BH215" s="2">
        <v>3</v>
      </c>
      <c r="BI215" s="2">
        <v>3</v>
      </c>
      <c r="BJ215" s="2" t="s">
        <v>241</v>
      </c>
      <c r="BK215" s="2"/>
      <c r="BL215" s="2"/>
      <c r="BM215" s="2">
        <v>400007</v>
      </c>
      <c r="BN215" s="2">
        <v>0</v>
      </c>
      <c r="BO215" s="2" t="s">
        <v>3</v>
      </c>
      <c r="BP215" s="2">
        <v>0</v>
      </c>
      <c r="BQ215" s="2">
        <v>214</v>
      </c>
      <c r="BR215" s="2">
        <v>0</v>
      </c>
      <c r="BS215" s="2">
        <v>1</v>
      </c>
      <c r="BT215" s="2">
        <v>1</v>
      </c>
      <c r="BU215" s="2">
        <v>1</v>
      </c>
      <c r="BV215" s="2">
        <v>1</v>
      </c>
      <c r="BW215" s="2">
        <v>1</v>
      </c>
      <c r="BX215" s="2">
        <v>1</v>
      </c>
      <c r="BY215" s="2" t="s">
        <v>3</v>
      </c>
      <c r="BZ215" s="2">
        <v>90</v>
      </c>
      <c r="CA215" s="2">
        <v>46</v>
      </c>
      <c r="CB215" s="2" t="s">
        <v>3</v>
      </c>
      <c r="CC215" s="2"/>
      <c r="CD215" s="2"/>
      <c r="CE215" s="2">
        <v>1566</v>
      </c>
      <c r="CF215" s="2">
        <v>0</v>
      </c>
      <c r="CG215" s="2">
        <v>0</v>
      </c>
      <c r="CH215" s="2"/>
      <c r="CI215" s="2"/>
      <c r="CJ215" s="2"/>
      <c r="CK215" s="2"/>
      <c r="CL215" s="2"/>
      <c r="CM215" s="2">
        <v>0</v>
      </c>
      <c r="CN215" s="2" t="s">
        <v>423</v>
      </c>
      <c r="CO215" s="2">
        <v>0</v>
      </c>
      <c r="CP215" s="2">
        <f t="shared" si="175"/>
        <v>25643.79</v>
      </c>
      <c r="CQ215" s="2">
        <f t="shared" si="176"/>
        <v>949.77</v>
      </c>
      <c r="CR215" s="2">
        <f>(ROUND((ROUND(((ET215)*AV215*1),2)*BB215),2)+ROUND((ROUND(((AE215-(EU215))*AV215*1),2)*BS215),2))</f>
        <v>0</v>
      </c>
      <c r="CS215" s="2">
        <f>(ROUND((ROUND(((EU215)*AV215*1),2)*BS215),2)+ROUND((ROUND(((AE215-(EU215))*AV215*1),2)*BS215),2))</f>
        <v>0</v>
      </c>
      <c r="CT215" s="2">
        <f t="shared" si="177"/>
        <v>0</v>
      </c>
      <c r="CU215" s="2">
        <f t="shared" si="178"/>
        <v>0</v>
      </c>
      <c r="CV215" s="2">
        <f t="shared" si="179"/>
        <v>0</v>
      </c>
      <c r="CW215" s="2">
        <f t="shared" si="180"/>
        <v>0</v>
      </c>
      <c r="CX215" s="2">
        <f t="shared" si="180"/>
        <v>0</v>
      </c>
      <c r="CY215" s="2">
        <f>(ROUND((((S215+ROUND((ROUND(((EU215)*AV215*1),2)*BS215),2))*AT215)/100),2)+ROUND(((ROUND((ROUND(((AE215-(EU215))*AV215*1),2)*BS215),2)*AT215)/100),2))</f>
        <v>0</v>
      </c>
      <c r="CZ215" s="2">
        <f>(ROUND((((S215+ROUND((ROUND(((EU215)*AV215*1),2)*BS215),2))*AU215)/100),2)+ROUND(((ROUND((ROUND(((AE215-(EU215))*AV215*1),2)*BS215),2)*AU215)/100),2))</f>
        <v>0</v>
      </c>
      <c r="DA215" s="2"/>
      <c r="DB215" s="2"/>
      <c r="DC215" s="2" t="s">
        <v>3</v>
      </c>
      <c r="DD215" s="2" t="s">
        <v>3</v>
      </c>
      <c r="DE215" s="2" t="s">
        <v>3</v>
      </c>
      <c r="DF215" s="2" t="s">
        <v>3</v>
      </c>
      <c r="DG215" s="2" t="s">
        <v>3</v>
      </c>
      <c r="DH215" s="2" t="s">
        <v>3</v>
      </c>
      <c r="DI215" s="2" t="s">
        <v>3</v>
      </c>
      <c r="DJ215" s="2" t="s">
        <v>3</v>
      </c>
      <c r="DK215" s="2" t="s">
        <v>3</v>
      </c>
      <c r="DL215" s="2" t="s">
        <v>3</v>
      </c>
      <c r="DM215" s="2" t="s">
        <v>3</v>
      </c>
      <c r="DN215" s="2">
        <v>0</v>
      </c>
      <c r="DO215" s="2">
        <v>0</v>
      </c>
      <c r="DP215" s="2">
        <v>1</v>
      </c>
      <c r="DQ215" s="2">
        <v>1</v>
      </c>
      <c r="DR215" s="2"/>
      <c r="DS215" s="2"/>
      <c r="DT215" s="2"/>
      <c r="DU215" s="2">
        <v>1013</v>
      </c>
      <c r="DV215" s="2" t="s">
        <v>144</v>
      </c>
      <c r="DW215" s="2" t="s">
        <v>144</v>
      </c>
      <c r="DX215" s="2">
        <v>1</v>
      </c>
      <c r="DY215" s="2"/>
      <c r="DZ215" s="2" t="s">
        <v>3</v>
      </c>
      <c r="EA215" s="2" t="s">
        <v>3</v>
      </c>
      <c r="EB215" s="2" t="s">
        <v>3</v>
      </c>
      <c r="EC215" s="2" t="s">
        <v>3</v>
      </c>
      <c r="ED215" s="2"/>
      <c r="EE215" s="2">
        <v>55393630</v>
      </c>
      <c r="EF215" s="2">
        <v>214</v>
      </c>
      <c r="EG215" s="2" t="s">
        <v>145</v>
      </c>
      <c r="EH215" s="2">
        <v>0</v>
      </c>
      <c r="EI215" s="2" t="s">
        <v>3</v>
      </c>
      <c r="EJ215" s="2">
        <v>3</v>
      </c>
      <c r="EK215" s="2">
        <v>400007</v>
      </c>
      <c r="EL215" s="2" t="s">
        <v>145</v>
      </c>
      <c r="EM215" s="2" t="s">
        <v>146</v>
      </c>
      <c r="EN215" s="2"/>
      <c r="EO215" s="2" t="s">
        <v>67</v>
      </c>
      <c r="EP215" s="2"/>
      <c r="EQ215" s="2">
        <v>16</v>
      </c>
      <c r="ER215" s="2">
        <v>0</v>
      </c>
      <c r="ES215" s="2">
        <v>949.77</v>
      </c>
      <c r="ET215" s="2">
        <v>0</v>
      </c>
      <c r="EU215" s="2">
        <v>0</v>
      </c>
      <c r="EV215" s="2">
        <v>0</v>
      </c>
      <c r="EW215" s="2">
        <v>0</v>
      </c>
      <c r="EX215" s="2">
        <v>0</v>
      </c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>
        <v>0</v>
      </c>
      <c r="FR215" s="2">
        <f>P215</f>
        <v>25643.79</v>
      </c>
      <c r="FS215" s="2">
        <v>0</v>
      </c>
      <c r="FT215" s="2"/>
      <c r="FU215" s="2"/>
      <c r="FV215" s="2"/>
      <c r="FW215" s="2"/>
      <c r="FX215" s="2">
        <v>90</v>
      </c>
      <c r="FY215" s="2">
        <v>46</v>
      </c>
      <c r="FZ215" s="2"/>
      <c r="GA215" s="2" t="s">
        <v>243</v>
      </c>
      <c r="GB215" s="2"/>
      <c r="GC215" s="2"/>
      <c r="GD215" s="2">
        <v>1</v>
      </c>
      <c r="GE215" s="2"/>
      <c r="GF215" s="2">
        <v>1346038225</v>
      </c>
      <c r="GG215" s="2">
        <v>2</v>
      </c>
      <c r="GH215" s="2">
        <v>4</v>
      </c>
      <c r="GI215" s="2">
        <v>-2</v>
      </c>
      <c r="GJ215" s="2">
        <v>0</v>
      </c>
      <c r="GK215" s="2">
        <v>0</v>
      </c>
      <c r="GL215" s="2">
        <f t="shared" si="181"/>
        <v>0</v>
      </c>
      <c r="GM215" s="2">
        <f t="shared" si="182"/>
        <v>25643.79</v>
      </c>
      <c r="GN215" s="2">
        <f t="shared" si="183"/>
        <v>0</v>
      </c>
      <c r="GO215" s="2">
        <f t="shared" si="184"/>
        <v>0</v>
      </c>
      <c r="GP215" s="2">
        <f t="shared" si="185"/>
        <v>0</v>
      </c>
      <c r="GQ215" s="2"/>
      <c r="GR215" s="2">
        <v>1</v>
      </c>
      <c r="GS215" s="2">
        <v>2</v>
      </c>
      <c r="GT215" s="2">
        <v>0</v>
      </c>
      <c r="GU215" s="2" t="s">
        <v>3</v>
      </c>
      <c r="GV215" s="2">
        <f t="shared" si="186"/>
        <v>0</v>
      </c>
      <c r="GW215" s="2">
        <v>1</v>
      </c>
      <c r="GX215" s="2">
        <f t="shared" si="187"/>
        <v>0</v>
      </c>
      <c r="GY215" s="2"/>
      <c r="GZ215" s="2"/>
      <c r="HA215" s="2">
        <v>0</v>
      </c>
      <c r="HB215" s="2">
        <v>0</v>
      </c>
      <c r="HC215" s="2">
        <f t="shared" si="188"/>
        <v>0</v>
      </c>
      <c r="HD215" s="2"/>
      <c r="HE215" s="2" t="s">
        <v>35</v>
      </c>
      <c r="HF215" s="2" t="s">
        <v>148</v>
      </c>
      <c r="HG215" s="2"/>
      <c r="HH215" s="2"/>
      <c r="HI215" s="2"/>
      <c r="HJ215" s="2"/>
      <c r="HK215" s="2"/>
      <c r="HL215" s="2"/>
      <c r="HM215" s="2" t="s">
        <v>62</v>
      </c>
      <c r="HN215" s="2" t="s">
        <v>3</v>
      </c>
      <c r="HO215" s="2" t="s">
        <v>3</v>
      </c>
      <c r="HP215" s="2" t="s">
        <v>3</v>
      </c>
      <c r="HQ215" s="2" t="s">
        <v>3</v>
      </c>
      <c r="HR215" s="2"/>
      <c r="HS215" s="2">
        <v>0</v>
      </c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>
        <v>0</v>
      </c>
      <c r="IL215" s="2"/>
      <c r="IM215" s="2"/>
      <c r="IN215" s="2"/>
      <c r="IO215" s="2"/>
      <c r="IP215" s="2"/>
      <c r="IQ215" s="2"/>
      <c r="IR215" s="2"/>
      <c r="IS215" s="2"/>
      <c r="IT215" s="2"/>
      <c r="IU215" s="2"/>
    </row>
    <row r="216" spans="1:255" x14ac:dyDescent="0.25">
      <c r="A216" s="3">
        <v>18</v>
      </c>
      <c r="B216" s="3">
        <v>1</v>
      </c>
      <c r="C216" s="3">
        <v>212</v>
      </c>
      <c r="E216" s="3" t="s">
        <v>240</v>
      </c>
      <c r="F216" s="3" t="s">
        <v>241</v>
      </c>
      <c r="G216" s="3" t="s">
        <v>242</v>
      </c>
      <c r="H216" s="3" t="s">
        <v>144</v>
      </c>
      <c r="I216" s="3">
        <f>I212*J216</f>
        <v>27</v>
      </c>
      <c r="J216" s="3">
        <v>1</v>
      </c>
      <c r="K216" s="3">
        <v>1</v>
      </c>
      <c r="O216" s="3">
        <f t="shared" si="165"/>
        <v>194123.49</v>
      </c>
      <c r="P216" s="3">
        <f t="shared" si="166"/>
        <v>194123.49</v>
      </c>
      <c r="Q216" s="3">
        <f>(ROUND((ROUND(((ET216)*AV216*I216),2)*BB216),2)+ROUND((ROUND(((AE216-(EU216))*AV216*I216),2)*BS216),2))</f>
        <v>0</v>
      </c>
      <c r="R216" s="3">
        <f>(ROUND((ROUND(((EU216)*AV216*I216),2)*BS216),2)+ROUND((ROUND(((AE216-(EU216))*AV216*I216),2)*BS216),2))</f>
        <v>0</v>
      </c>
      <c r="S216" s="3">
        <f t="shared" si="167"/>
        <v>0</v>
      </c>
      <c r="T216" s="3">
        <f t="shared" si="168"/>
        <v>0</v>
      </c>
      <c r="U216" s="3">
        <f t="shared" si="169"/>
        <v>0</v>
      </c>
      <c r="V216" s="3">
        <f t="shared" si="170"/>
        <v>0</v>
      </c>
      <c r="W216" s="3">
        <f t="shared" si="171"/>
        <v>0</v>
      </c>
      <c r="X216" s="3">
        <f>(ROUND((((S216+ROUND((ROUND(((EU216)*AV216*I216),2)*BS216),2))*AT216)/100),2)+ROUND(((ROUND((ROUND(((AE216-(EU216))*AV216*I216),2)*BS216),2)*AT216)/100),2))</f>
        <v>0</v>
      </c>
      <c r="Y216" s="3">
        <f>(ROUND((((S216+ROUND((ROUND(((EU216)*AV216*I216),2)*BS216),2))*AU216)/100),2)+ROUND(((ROUND((ROUND(((AE216-(EU216))*AV216*I216),2)*BS216),2)*AU216)/100),2))</f>
        <v>0</v>
      </c>
      <c r="AA216" s="3">
        <v>55936048</v>
      </c>
      <c r="AB216" s="3">
        <f t="shared" si="172"/>
        <v>949.77</v>
      </c>
      <c r="AC216" s="3">
        <f>ROUND((ES216),6)</f>
        <v>949.77</v>
      </c>
      <c r="AD216" s="3">
        <f>ROUND((((ET216)-(EU216))+AE216),6)</f>
        <v>0</v>
      </c>
      <c r="AE216" s="3">
        <f t="shared" si="189"/>
        <v>0</v>
      </c>
      <c r="AF216" s="3">
        <f t="shared" si="189"/>
        <v>0</v>
      </c>
      <c r="AG216" s="3">
        <f t="shared" si="173"/>
        <v>0</v>
      </c>
      <c r="AH216" s="3">
        <f t="shared" si="190"/>
        <v>0</v>
      </c>
      <c r="AI216" s="3">
        <f t="shared" si="190"/>
        <v>0</v>
      </c>
      <c r="AJ216" s="3">
        <f t="shared" si="174"/>
        <v>0</v>
      </c>
      <c r="AK216" s="3">
        <v>949.77</v>
      </c>
      <c r="AL216" s="3">
        <v>949.77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1</v>
      </c>
      <c r="AW216" s="3">
        <v>1</v>
      </c>
      <c r="AZ216" s="3">
        <v>1</v>
      </c>
      <c r="BA216" s="3">
        <v>1</v>
      </c>
      <c r="BB216" s="3">
        <v>1</v>
      </c>
      <c r="BC216" s="3">
        <v>7.57</v>
      </c>
      <c r="BD216" s="3" t="s">
        <v>3</v>
      </c>
      <c r="BE216" s="3" t="s">
        <v>3</v>
      </c>
      <c r="BF216" s="3" t="s">
        <v>3</v>
      </c>
      <c r="BG216" s="3" t="s">
        <v>3</v>
      </c>
      <c r="BH216" s="3">
        <v>3</v>
      </c>
      <c r="BI216" s="3">
        <v>3</v>
      </c>
      <c r="BJ216" s="3" t="s">
        <v>241</v>
      </c>
      <c r="BM216" s="3">
        <v>400007</v>
      </c>
      <c r="BN216" s="3">
        <v>0</v>
      </c>
      <c r="BO216" s="3" t="s">
        <v>3</v>
      </c>
      <c r="BP216" s="3">
        <v>0</v>
      </c>
      <c r="BQ216" s="3">
        <v>214</v>
      </c>
      <c r="BR216" s="3">
        <v>0</v>
      </c>
      <c r="BS216" s="3">
        <v>1</v>
      </c>
      <c r="BT216" s="3">
        <v>1</v>
      </c>
      <c r="BU216" s="3">
        <v>1</v>
      </c>
      <c r="BV216" s="3">
        <v>1</v>
      </c>
      <c r="BW216" s="3">
        <v>1</v>
      </c>
      <c r="BX216" s="3">
        <v>1</v>
      </c>
      <c r="BY216" s="3" t="s">
        <v>3</v>
      </c>
      <c r="BZ216" s="3">
        <v>90</v>
      </c>
      <c r="CA216" s="3">
        <v>46</v>
      </c>
      <c r="CB216" s="3" t="s">
        <v>3</v>
      </c>
      <c r="CE216" s="3">
        <v>1566</v>
      </c>
      <c r="CF216" s="3">
        <v>0</v>
      </c>
      <c r="CG216" s="3">
        <v>0</v>
      </c>
      <c r="CM216" s="3">
        <v>0</v>
      </c>
      <c r="CN216" s="3" t="s">
        <v>423</v>
      </c>
      <c r="CO216" s="3">
        <v>0</v>
      </c>
      <c r="CP216" s="3">
        <f t="shared" si="175"/>
        <v>194123.49</v>
      </c>
      <c r="CQ216" s="3">
        <f t="shared" si="176"/>
        <v>7189.76</v>
      </c>
      <c r="CR216" s="3">
        <f>(ROUND((ROUND(((ET216)*AV216*1),2)*BB216),2)+ROUND((ROUND(((AE216-(EU216))*AV216*1),2)*BS216),2))</f>
        <v>0</v>
      </c>
      <c r="CS216" s="3">
        <f>(ROUND((ROUND(((EU216)*AV216*1),2)*BS216),2)+ROUND((ROUND(((AE216-(EU216))*AV216*1),2)*BS216),2))</f>
        <v>0</v>
      </c>
      <c r="CT216" s="3">
        <f t="shared" si="177"/>
        <v>0</v>
      </c>
      <c r="CU216" s="3">
        <f t="shared" si="178"/>
        <v>0</v>
      </c>
      <c r="CV216" s="3">
        <f t="shared" si="179"/>
        <v>0</v>
      </c>
      <c r="CW216" s="3">
        <f t="shared" si="180"/>
        <v>0</v>
      </c>
      <c r="CX216" s="3">
        <f t="shared" si="180"/>
        <v>0</v>
      </c>
      <c r="CY216" s="3">
        <f>(ROUND((((S216+ROUND((ROUND(((EU216)*AV216*1),2)*BS216),2))*AT216)/100),2)+ROUND(((ROUND((ROUND(((AE216-(EU216))*AV216*1),2)*BS216),2)*AT216)/100),2))</f>
        <v>0</v>
      </c>
      <c r="CZ216" s="3">
        <f>(ROUND((((S216+ROUND((ROUND(((EU216)*AV216*1),2)*BS216),2))*AU216)/100),2)+ROUND(((ROUND((ROUND(((AE216-(EU216))*AV216*1),2)*BS216),2)*AU216)/100),2))</f>
        <v>0</v>
      </c>
      <c r="DC216" s="3" t="s">
        <v>3</v>
      </c>
      <c r="DD216" s="3" t="s">
        <v>3</v>
      </c>
      <c r="DE216" s="3" t="s">
        <v>3</v>
      </c>
      <c r="DF216" s="3" t="s">
        <v>3</v>
      </c>
      <c r="DG216" s="3" t="s">
        <v>3</v>
      </c>
      <c r="DH216" s="3" t="s">
        <v>3</v>
      </c>
      <c r="DI216" s="3" t="s">
        <v>3</v>
      </c>
      <c r="DJ216" s="3" t="s">
        <v>3</v>
      </c>
      <c r="DK216" s="3" t="s">
        <v>3</v>
      </c>
      <c r="DL216" s="3" t="s">
        <v>3</v>
      </c>
      <c r="DM216" s="3" t="s">
        <v>3</v>
      </c>
      <c r="DN216" s="3">
        <v>0</v>
      </c>
      <c r="DO216" s="3">
        <v>0</v>
      </c>
      <c r="DP216" s="3">
        <v>1</v>
      </c>
      <c r="DQ216" s="3">
        <v>1</v>
      </c>
      <c r="DU216" s="3">
        <v>1013</v>
      </c>
      <c r="DV216" s="3" t="s">
        <v>144</v>
      </c>
      <c r="DW216" s="3" t="s">
        <v>144</v>
      </c>
      <c r="DX216" s="3">
        <v>1</v>
      </c>
      <c r="DZ216" s="3" t="s">
        <v>3</v>
      </c>
      <c r="EA216" s="3" t="s">
        <v>3</v>
      </c>
      <c r="EB216" s="3" t="s">
        <v>3</v>
      </c>
      <c r="EC216" s="3" t="s">
        <v>3</v>
      </c>
      <c r="EE216" s="3">
        <v>55393630</v>
      </c>
      <c r="EF216" s="3">
        <v>214</v>
      </c>
      <c r="EG216" s="3" t="s">
        <v>145</v>
      </c>
      <c r="EH216" s="3">
        <v>0</v>
      </c>
      <c r="EI216" s="3" t="s">
        <v>3</v>
      </c>
      <c r="EJ216" s="3">
        <v>3</v>
      </c>
      <c r="EK216" s="3">
        <v>400007</v>
      </c>
      <c r="EL216" s="3" t="s">
        <v>145</v>
      </c>
      <c r="EM216" s="3" t="s">
        <v>146</v>
      </c>
      <c r="EO216" s="3" t="s">
        <v>67</v>
      </c>
      <c r="EQ216" s="3">
        <v>16</v>
      </c>
      <c r="ER216" s="3">
        <v>0</v>
      </c>
      <c r="ES216" s="3">
        <v>949.77</v>
      </c>
      <c r="ET216" s="3">
        <v>0</v>
      </c>
      <c r="EU216" s="3">
        <v>0</v>
      </c>
      <c r="EV216" s="3">
        <v>0</v>
      </c>
      <c r="EW216" s="3">
        <v>0</v>
      </c>
      <c r="EX216" s="3">
        <v>0</v>
      </c>
      <c r="EZ216" s="3">
        <v>5</v>
      </c>
      <c r="FC216" s="3">
        <v>1</v>
      </c>
      <c r="FD216" s="3">
        <v>18</v>
      </c>
      <c r="FF216" s="3">
        <v>8415</v>
      </c>
      <c r="FQ216" s="3">
        <v>0</v>
      </c>
      <c r="FR216" s="3">
        <f>P216</f>
        <v>194123.49</v>
      </c>
      <c r="FS216" s="3">
        <v>0</v>
      </c>
      <c r="FX216" s="3">
        <v>90</v>
      </c>
      <c r="FY216" s="3">
        <v>46</v>
      </c>
      <c r="GA216" s="3" t="s">
        <v>243</v>
      </c>
      <c r="GD216" s="3">
        <v>1</v>
      </c>
      <c r="GF216" s="3">
        <v>1346038225</v>
      </c>
      <c r="GG216" s="3">
        <v>2</v>
      </c>
      <c r="GH216" s="3">
        <v>3</v>
      </c>
      <c r="GI216" s="3">
        <v>5</v>
      </c>
      <c r="GJ216" s="3">
        <v>0</v>
      </c>
      <c r="GK216" s="3">
        <v>0</v>
      </c>
      <c r="GL216" s="3">
        <f t="shared" si="181"/>
        <v>0</v>
      </c>
      <c r="GM216" s="3">
        <f t="shared" si="182"/>
        <v>194123.49</v>
      </c>
      <c r="GN216" s="3">
        <f t="shared" si="183"/>
        <v>0</v>
      </c>
      <c r="GO216" s="3">
        <f t="shared" si="184"/>
        <v>0</v>
      </c>
      <c r="GP216" s="3">
        <f t="shared" si="185"/>
        <v>0</v>
      </c>
      <c r="GR216" s="3">
        <v>1</v>
      </c>
      <c r="GS216" s="3">
        <v>1</v>
      </c>
      <c r="GT216" s="3">
        <v>0</v>
      </c>
      <c r="GU216" s="3" t="s">
        <v>3</v>
      </c>
      <c r="GV216" s="3">
        <f t="shared" si="186"/>
        <v>0</v>
      </c>
      <c r="GW216" s="3">
        <v>1</v>
      </c>
      <c r="GX216" s="3">
        <f t="shared" si="187"/>
        <v>0</v>
      </c>
      <c r="HA216" s="3">
        <v>0</v>
      </c>
      <c r="HB216" s="3">
        <v>0</v>
      </c>
      <c r="HC216" s="3">
        <f t="shared" si="188"/>
        <v>0</v>
      </c>
      <c r="HE216" s="3" t="s">
        <v>35</v>
      </c>
      <c r="HF216" s="3" t="s">
        <v>148</v>
      </c>
      <c r="HM216" s="3" t="s">
        <v>62</v>
      </c>
      <c r="HN216" s="3" t="s">
        <v>3</v>
      </c>
      <c r="HO216" s="3" t="s">
        <v>3</v>
      </c>
      <c r="HP216" s="3" t="s">
        <v>3</v>
      </c>
      <c r="HQ216" s="3" t="s">
        <v>3</v>
      </c>
      <c r="HS216" s="3">
        <v>0</v>
      </c>
      <c r="IK216" s="3">
        <v>0</v>
      </c>
    </row>
    <row r="218" spans="1:255" ht="13" x14ac:dyDescent="0.3">
      <c r="A218" s="11">
        <v>51</v>
      </c>
      <c r="B218" s="11">
        <f>B207</f>
        <v>1</v>
      </c>
      <c r="C218" s="11">
        <f>A207</f>
        <v>4</v>
      </c>
      <c r="D218" s="11">
        <f>ROW(A207)</f>
        <v>207</v>
      </c>
      <c r="E218" s="11"/>
      <c r="F218" s="11" t="str">
        <f>IF(F207&lt;&gt;"",F207,"")</f>
        <v>3</v>
      </c>
      <c r="G218" s="11" t="str">
        <f>IF(G207&lt;&gt;"",G207,"")</f>
        <v>Исполнительные устройства</v>
      </c>
      <c r="H218" s="11">
        <v>0</v>
      </c>
      <c r="I218" s="11"/>
      <c r="J218" s="11"/>
      <c r="K218" s="11"/>
      <c r="L218" s="11"/>
      <c r="M218" s="11"/>
      <c r="N218" s="11"/>
      <c r="O218" s="11">
        <f t="shared" ref="O218:T218" si="191">ROUND(AB218,2)</f>
        <v>26797.43</v>
      </c>
      <c r="P218" s="11">
        <f t="shared" si="191"/>
        <v>25644.06</v>
      </c>
      <c r="Q218" s="11">
        <f t="shared" si="191"/>
        <v>956.28</v>
      </c>
      <c r="R218" s="11">
        <f t="shared" si="191"/>
        <v>107.2</v>
      </c>
      <c r="S218" s="11">
        <f t="shared" si="191"/>
        <v>197.09</v>
      </c>
      <c r="T218" s="11">
        <f t="shared" si="191"/>
        <v>0</v>
      </c>
      <c r="U218" s="11">
        <f>AH218</f>
        <v>17.639855999999998</v>
      </c>
      <c r="V218" s="11">
        <f>AI218</f>
        <v>0</v>
      </c>
      <c r="W218" s="11">
        <f>ROUND(AJ218,2)</f>
        <v>0</v>
      </c>
      <c r="X218" s="11">
        <f>ROUND(AK218,2)</f>
        <v>273.86</v>
      </c>
      <c r="Y218" s="11">
        <f>ROUND(AL218,2)</f>
        <v>139.97</v>
      </c>
      <c r="Z218" s="11"/>
      <c r="AA218" s="11"/>
      <c r="AB218" s="11">
        <f>ROUND(SUMIF(AA211:AA216,"=55936046",O211:O216),2)</f>
        <v>26797.43</v>
      </c>
      <c r="AC218" s="11">
        <f>ROUND(SUMIF(AA211:AA216,"=55936046",P211:P216),2)</f>
        <v>25644.06</v>
      </c>
      <c r="AD218" s="11">
        <f>ROUND(SUMIF(AA211:AA216,"=55936046",Q211:Q216),2)</f>
        <v>956.28</v>
      </c>
      <c r="AE218" s="11">
        <f>ROUND(SUMIF(AA211:AA216,"=55936046",R211:R216),2)</f>
        <v>107.2</v>
      </c>
      <c r="AF218" s="11">
        <f>ROUND(SUMIF(AA211:AA216,"=55936046",S211:S216),2)</f>
        <v>197.09</v>
      </c>
      <c r="AG218" s="11">
        <f>ROUND(SUMIF(AA211:AA216,"=55936046",T211:T216),2)</f>
        <v>0</v>
      </c>
      <c r="AH218" s="11">
        <f>SUMIF(AA211:AA216,"=55936046",U211:U216)</f>
        <v>17.639855999999998</v>
      </c>
      <c r="AI218" s="11">
        <f>SUMIF(AA211:AA216,"=55936046",V211:V216)</f>
        <v>0</v>
      </c>
      <c r="AJ218" s="11">
        <f>ROUND(SUMIF(AA211:AA216,"=55936046",W211:W216),2)</f>
        <v>0</v>
      </c>
      <c r="AK218" s="11">
        <f>ROUND(SUMIF(AA211:AA216,"=55936046",X211:X216),2)</f>
        <v>273.86</v>
      </c>
      <c r="AL218" s="11">
        <f>ROUND(SUMIF(AA211:AA216,"=55936046",Y211:Y216),2)</f>
        <v>139.97</v>
      </c>
      <c r="AM218" s="11"/>
      <c r="AN218" s="11"/>
      <c r="AO218" s="11">
        <f t="shared" ref="AO218:BD218" si="192">ROUND(BX218,2)</f>
        <v>0</v>
      </c>
      <c r="AP218" s="11">
        <f t="shared" si="192"/>
        <v>25643.79</v>
      </c>
      <c r="AQ218" s="11">
        <f t="shared" si="192"/>
        <v>0</v>
      </c>
      <c r="AR218" s="11">
        <f t="shared" si="192"/>
        <v>27211.26</v>
      </c>
      <c r="AS218" s="11">
        <f t="shared" si="192"/>
        <v>0</v>
      </c>
      <c r="AT218" s="11">
        <f t="shared" si="192"/>
        <v>1567.47</v>
      </c>
      <c r="AU218" s="11">
        <f t="shared" si="192"/>
        <v>0</v>
      </c>
      <c r="AV218" s="11">
        <f t="shared" si="192"/>
        <v>25644.06</v>
      </c>
      <c r="AW218" s="11">
        <f t="shared" si="192"/>
        <v>0.27</v>
      </c>
      <c r="AX218" s="11">
        <f t="shared" si="192"/>
        <v>0</v>
      </c>
      <c r="AY218" s="11">
        <f t="shared" si="192"/>
        <v>0.27</v>
      </c>
      <c r="AZ218" s="11">
        <f t="shared" si="192"/>
        <v>25643.79</v>
      </c>
      <c r="BA218" s="11">
        <f t="shared" si="192"/>
        <v>0</v>
      </c>
      <c r="BB218" s="11">
        <f t="shared" si="192"/>
        <v>0</v>
      </c>
      <c r="BC218" s="11">
        <f t="shared" si="192"/>
        <v>0</v>
      </c>
      <c r="BD218" s="11">
        <f t="shared" si="192"/>
        <v>0</v>
      </c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>
        <f>ROUND(SUMIF(AA211:AA216,"=55936046",FQ211:FQ216),2)</f>
        <v>0</v>
      </c>
      <c r="BY218" s="11">
        <f>ROUND(SUMIF(AA211:AA216,"=55936046",FR211:FR216),2)</f>
        <v>25643.79</v>
      </c>
      <c r="BZ218" s="11">
        <f>ROUND(SUMIF(AA211:AA216,"=55936046",GL211:GL216),2)</f>
        <v>0</v>
      </c>
      <c r="CA218" s="11">
        <f>ROUND(SUMIF(AA211:AA216,"=55936046",GM211:GM216),2)</f>
        <v>27211.26</v>
      </c>
      <c r="CB218" s="11">
        <f>ROUND(SUMIF(AA211:AA216,"=55936046",GN211:GN216),2)</f>
        <v>0</v>
      </c>
      <c r="CC218" s="11">
        <f>ROUND(SUMIF(AA211:AA216,"=55936046",GO211:GO216),2)</f>
        <v>1567.47</v>
      </c>
      <c r="CD218" s="11">
        <f>ROUND(SUMIF(AA211:AA216,"=55936046",GP211:GP216),2)</f>
        <v>0</v>
      </c>
      <c r="CE218" s="11">
        <f>AC218-BX218</f>
        <v>25644.06</v>
      </c>
      <c r="CF218" s="11">
        <f>AC218-BY218</f>
        <v>0.27000000000043656</v>
      </c>
      <c r="CG218" s="11">
        <f>BX218-BZ218</f>
        <v>0</v>
      </c>
      <c r="CH218" s="11">
        <f>AC218-BX218-BY218+BZ218</f>
        <v>0.27000000000043656</v>
      </c>
      <c r="CI218" s="11">
        <f>BY218-BZ218</f>
        <v>25643.79</v>
      </c>
      <c r="CJ218" s="11">
        <f>ROUND(SUMIF(AA211:AA216,"=55936046",GX211:GX216),2)</f>
        <v>0</v>
      </c>
      <c r="CK218" s="11">
        <f>ROUND(SUMIF(AA211:AA216,"=55936046",GY211:GY216),2)</f>
        <v>0</v>
      </c>
      <c r="CL218" s="11">
        <f>ROUND(SUMIF(AA211:AA216,"=55936046",GZ211:GZ216),2)</f>
        <v>0</v>
      </c>
      <c r="CM218" s="11">
        <f>ROUND(SUMIF(AA211:AA216,"=55936046",HD211:HD216),2)</f>
        <v>0</v>
      </c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2">
        <f t="shared" ref="DG218:DL218" si="193">ROUND(DT218,2)</f>
        <v>220081.51</v>
      </c>
      <c r="DH218" s="12">
        <f t="shared" si="193"/>
        <v>194124.46</v>
      </c>
      <c r="DI218" s="12">
        <f t="shared" si="193"/>
        <v>14851.03</v>
      </c>
      <c r="DJ218" s="12">
        <f t="shared" si="193"/>
        <v>6040.72</v>
      </c>
      <c r="DK218" s="12">
        <f t="shared" si="193"/>
        <v>11106.02</v>
      </c>
      <c r="DL218" s="12">
        <f t="shared" si="193"/>
        <v>0</v>
      </c>
      <c r="DM218" s="12">
        <f>DZ218</f>
        <v>17.639855999999998</v>
      </c>
      <c r="DN218" s="12">
        <f>EA218</f>
        <v>0</v>
      </c>
      <c r="DO218" s="12">
        <f>ROUND(EB218,2)</f>
        <v>0</v>
      </c>
      <c r="DP218" s="12">
        <f>ROUND(EC218,2)</f>
        <v>15432.07</v>
      </c>
      <c r="DQ218" s="12">
        <f>ROUND(ED218,2)</f>
        <v>7887.5</v>
      </c>
      <c r="DR218" s="12"/>
      <c r="DS218" s="12"/>
      <c r="DT218" s="12">
        <f>ROUND(SUMIF(AA211:AA216,"=55936048",O211:O216),2)</f>
        <v>220081.51</v>
      </c>
      <c r="DU218" s="12">
        <f>ROUND(SUMIF(AA211:AA216,"=55936048",P211:P216),2)</f>
        <v>194124.46</v>
      </c>
      <c r="DV218" s="12">
        <f>ROUND(SUMIF(AA211:AA216,"=55936048",Q211:Q216),2)</f>
        <v>14851.03</v>
      </c>
      <c r="DW218" s="12">
        <f>ROUND(SUMIF(AA211:AA216,"=55936048",R211:R216),2)</f>
        <v>6040.72</v>
      </c>
      <c r="DX218" s="12">
        <f>ROUND(SUMIF(AA211:AA216,"=55936048",S211:S216),2)</f>
        <v>11106.02</v>
      </c>
      <c r="DY218" s="12">
        <f>ROUND(SUMIF(AA211:AA216,"=55936048",T211:T216),2)</f>
        <v>0</v>
      </c>
      <c r="DZ218" s="12">
        <f>SUMIF(AA211:AA216,"=55936048",U211:U216)</f>
        <v>17.639855999999998</v>
      </c>
      <c r="EA218" s="12">
        <f>SUMIF(AA211:AA216,"=55936048",V211:V216)</f>
        <v>0</v>
      </c>
      <c r="EB218" s="12">
        <f>ROUND(SUMIF(AA211:AA216,"=55936048",W211:W216),2)</f>
        <v>0</v>
      </c>
      <c r="EC218" s="12">
        <f>ROUND(SUMIF(AA211:AA216,"=55936048",X211:X216),2)</f>
        <v>15432.07</v>
      </c>
      <c r="ED218" s="12">
        <f>ROUND(SUMIF(AA211:AA216,"=55936048",Y211:Y216),2)</f>
        <v>7887.5</v>
      </c>
      <c r="EE218" s="12"/>
      <c r="EF218" s="12"/>
      <c r="EG218" s="12">
        <f t="shared" ref="EG218:EV218" si="194">ROUND(FP218,2)</f>
        <v>0</v>
      </c>
      <c r="EH218" s="12">
        <f t="shared" si="194"/>
        <v>194123.49</v>
      </c>
      <c r="EI218" s="12">
        <f t="shared" si="194"/>
        <v>0</v>
      </c>
      <c r="EJ218" s="12">
        <f t="shared" si="194"/>
        <v>243401.08</v>
      </c>
      <c r="EK218" s="12">
        <f t="shared" si="194"/>
        <v>0</v>
      </c>
      <c r="EL218" s="12">
        <f t="shared" si="194"/>
        <v>49277.59</v>
      </c>
      <c r="EM218" s="12">
        <f t="shared" si="194"/>
        <v>0</v>
      </c>
      <c r="EN218" s="12">
        <f t="shared" si="194"/>
        <v>194124.46</v>
      </c>
      <c r="EO218" s="12">
        <f t="shared" si="194"/>
        <v>0.97</v>
      </c>
      <c r="EP218" s="12">
        <f t="shared" si="194"/>
        <v>0</v>
      </c>
      <c r="EQ218" s="12">
        <f t="shared" si="194"/>
        <v>0.97</v>
      </c>
      <c r="ER218" s="12">
        <f t="shared" si="194"/>
        <v>194123.49</v>
      </c>
      <c r="ES218" s="12">
        <f t="shared" si="194"/>
        <v>0</v>
      </c>
      <c r="ET218" s="12">
        <f t="shared" si="194"/>
        <v>0</v>
      </c>
      <c r="EU218" s="12">
        <f t="shared" si="194"/>
        <v>0</v>
      </c>
      <c r="EV218" s="12">
        <f t="shared" si="194"/>
        <v>0</v>
      </c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  <c r="FN218" s="12"/>
      <c r="FO218" s="12"/>
      <c r="FP218" s="12">
        <f>ROUND(SUMIF(AA211:AA216,"=55936048",FQ211:FQ216),2)</f>
        <v>0</v>
      </c>
      <c r="FQ218" s="12">
        <f>ROUND(SUMIF(AA211:AA216,"=55936048",FR211:FR216),2)</f>
        <v>194123.49</v>
      </c>
      <c r="FR218" s="12">
        <f>ROUND(SUMIF(AA211:AA216,"=55936048",GL211:GL216),2)</f>
        <v>0</v>
      </c>
      <c r="FS218" s="12">
        <f>ROUND(SUMIF(AA211:AA216,"=55936048",GM211:GM216),2)</f>
        <v>243401.08</v>
      </c>
      <c r="FT218" s="12">
        <f>ROUND(SUMIF(AA211:AA216,"=55936048",GN211:GN216),2)</f>
        <v>0</v>
      </c>
      <c r="FU218" s="12">
        <f>ROUND(SUMIF(AA211:AA216,"=55936048",GO211:GO216),2)</f>
        <v>49277.59</v>
      </c>
      <c r="FV218" s="12">
        <f>ROUND(SUMIF(AA211:AA216,"=55936048",GP211:GP216),2)</f>
        <v>0</v>
      </c>
      <c r="FW218" s="12">
        <f>DU218-FP218</f>
        <v>194124.46</v>
      </c>
      <c r="FX218" s="12">
        <f>DU218-FQ218</f>
        <v>0.97000000000116415</v>
      </c>
      <c r="FY218" s="12">
        <f>FP218-FR218</f>
        <v>0</v>
      </c>
      <c r="FZ218" s="12">
        <f>DU218-FP218-FQ218+FR218</f>
        <v>0.97000000000116415</v>
      </c>
      <c r="GA218" s="12">
        <f>FQ218-FR218</f>
        <v>194123.49</v>
      </c>
      <c r="GB218" s="12">
        <f>ROUND(SUMIF(AA211:AA216,"=55936048",GX211:GX216),2)</f>
        <v>0</v>
      </c>
      <c r="GC218" s="12">
        <f>ROUND(SUMIF(AA211:AA216,"=55936048",GY211:GY216),2)</f>
        <v>0</v>
      </c>
      <c r="GD218" s="12">
        <f>ROUND(SUMIF(AA211:AA216,"=55936048",GZ211:GZ216),2)</f>
        <v>0</v>
      </c>
      <c r="GE218" s="12">
        <f>ROUND(SUMIF(AA211:AA216,"=55936048",HD211:HD216),2)</f>
        <v>0</v>
      </c>
      <c r="GF218" s="12"/>
      <c r="GG218" s="12"/>
      <c r="GH218" s="12"/>
      <c r="GI218" s="12"/>
      <c r="GJ218" s="12"/>
      <c r="GK218" s="12"/>
      <c r="GL218" s="12"/>
      <c r="GM218" s="12"/>
      <c r="GN218" s="12"/>
      <c r="GO218" s="12"/>
      <c r="GP218" s="12"/>
      <c r="GQ218" s="12"/>
      <c r="GR218" s="12"/>
      <c r="GS218" s="12"/>
      <c r="GT218" s="12"/>
      <c r="GU218" s="12"/>
      <c r="GV218" s="12"/>
      <c r="GW218" s="12"/>
      <c r="GX218" s="12">
        <v>0</v>
      </c>
    </row>
    <row r="220" spans="1:255" ht="13" x14ac:dyDescent="0.3">
      <c r="A220" s="13">
        <v>50</v>
      </c>
      <c r="B220" s="13">
        <v>0</v>
      </c>
      <c r="C220" s="13">
        <v>0</v>
      </c>
      <c r="D220" s="13">
        <v>1</v>
      </c>
      <c r="E220" s="13">
        <v>201</v>
      </c>
      <c r="F220" s="13">
        <f>ROUND(Source!O218,O220)</f>
        <v>26797.43</v>
      </c>
      <c r="G220" s="13" t="s">
        <v>84</v>
      </c>
      <c r="H220" s="13" t="s">
        <v>85</v>
      </c>
      <c r="I220" s="13"/>
      <c r="J220" s="13"/>
      <c r="K220" s="13">
        <v>201</v>
      </c>
      <c r="L220" s="13">
        <v>1</v>
      </c>
      <c r="M220" s="13">
        <v>3</v>
      </c>
      <c r="N220" s="13" t="s">
        <v>3</v>
      </c>
      <c r="O220" s="13">
        <v>2</v>
      </c>
      <c r="P220" s="13">
        <f>ROUND(Source!DG218,O220)</f>
        <v>220081.51</v>
      </c>
      <c r="Q220" s="13"/>
      <c r="R220" s="13"/>
      <c r="S220" s="13"/>
      <c r="T220" s="13"/>
      <c r="U220" s="13"/>
      <c r="V220" s="13"/>
      <c r="W220" s="13">
        <v>26797.43</v>
      </c>
      <c r="X220" s="13">
        <v>1</v>
      </c>
      <c r="Y220" s="13">
        <v>26797.43</v>
      </c>
      <c r="Z220" s="13">
        <v>220081.51</v>
      </c>
      <c r="AA220" s="13">
        <v>1</v>
      </c>
      <c r="AB220" s="13">
        <v>220081.51</v>
      </c>
    </row>
    <row r="221" spans="1:255" ht="13" x14ac:dyDescent="0.3">
      <c r="A221" s="13">
        <v>50</v>
      </c>
      <c r="B221" s="13">
        <v>0</v>
      </c>
      <c r="C221" s="13">
        <v>0</v>
      </c>
      <c r="D221" s="13">
        <v>1</v>
      </c>
      <c r="E221" s="13">
        <v>202</v>
      </c>
      <c r="F221" s="13">
        <f>ROUND(Source!P218,O221)</f>
        <v>25644.06</v>
      </c>
      <c r="G221" s="13" t="s">
        <v>86</v>
      </c>
      <c r="H221" s="13" t="s">
        <v>87</v>
      </c>
      <c r="I221" s="13"/>
      <c r="J221" s="13"/>
      <c r="K221" s="13">
        <v>202</v>
      </c>
      <c r="L221" s="13">
        <v>2</v>
      </c>
      <c r="M221" s="13">
        <v>3</v>
      </c>
      <c r="N221" s="13" t="s">
        <v>3</v>
      </c>
      <c r="O221" s="13">
        <v>2</v>
      </c>
      <c r="P221" s="13">
        <f>ROUND(Source!DH218,O221)</f>
        <v>194124.46</v>
      </c>
      <c r="Q221" s="13"/>
      <c r="R221" s="13"/>
      <c r="S221" s="13"/>
      <c r="T221" s="13"/>
      <c r="U221" s="13"/>
      <c r="V221" s="13"/>
      <c r="W221" s="13">
        <v>25644.06</v>
      </c>
      <c r="X221" s="13">
        <v>1</v>
      </c>
      <c r="Y221" s="13">
        <v>25644.06</v>
      </c>
      <c r="Z221" s="13">
        <v>194124.46</v>
      </c>
      <c r="AA221" s="13">
        <v>1</v>
      </c>
      <c r="AB221" s="13">
        <v>194124.46</v>
      </c>
    </row>
    <row r="222" spans="1:255" ht="13" x14ac:dyDescent="0.3">
      <c r="A222" s="13">
        <v>50</v>
      </c>
      <c r="B222" s="13">
        <v>0</v>
      </c>
      <c r="C222" s="13">
        <v>0</v>
      </c>
      <c r="D222" s="13">
        <v>1</v>
      </c>
      <c r="E222" s="13">
        <v>222</v>
      </c>
      <c r="F222" s="13">
        <f>ROUND(Source!AO218,O222)</f>
        <v>0</v>
      </c>
      <c r="G222" s="13" t="s">
        <v>88</v>
      </c>
      <c r="H222" s="13" t="s">
        <v>89</v>
      </c>
      <c r="I222" s="13"/>
      <c r="J222" s="13"/>
      <c r="K222" s="13">
        <v>222</v>
      </c>
      <c r="L222" s="13">
        <v>3</v>
      </c>
      <c r="M222" s="13">
        <v>3</v>
      </c>
      <c r="N222" s="13" t="s">
        <v>3</v>
      </c>
      <c r="O222" s="13">
        <v>2</v>
      </c>
      <c r="P222" s="13">
        <f>ROUND(Source!EG218,O222)</f>
        <v>0</v>
      </c>
      <c r="Q222" s="13"/>
      <c r="R222" s="13"/>
      <c r="S222" s="13"/>
      <c r="T222" s="13"/>
      <c r="U222" s="13"/>
      <c r="V222" s="13"/>
      <c r="W222" s="13">
        <v>0</v>
      </c>
      <c r="X222" s="13">
        <v>1</v>
      </c>
      <c r="Y222" s="13">
        <v>0</v>
      </c>
      <c r="Z222" s="13">
        <v>0</v>
      </c>
      <c r="AA222" s="13">
        <v>1</v>
      </c>
      <c r="AB222" s="13">
        <v>0</v>
      </c>
    </row>
    <row r="223" spans="1:255" ht="13" x14ac:dyDescent="0.3">
      <c r="A223" s="13">
        <v>50</v>
      </c>
      <c r="B223" s="13">
        <v>0</v>
      </c>
      <c r="C223" s="13">
        <v>0</v>
      </c>
      <c r="D223" s="13">
        <v>1</v>
      </c>
      <c r="E223" s="13">
        <v>225</v>
      </c>
      <c r="F223" s="13">
        <f>ROUND(Source!AV218,O223)</f>
        <v>25644.06</v>
      </c>
      <c r="G223" s="13" t="s">
        <v>90</v>
      </c>
      <c r="H223" s="13" t="s">
        <v>91</v>
      </c>
      <c r="I223" s="13"/>
      <c r="J223" s="13"/>
      <c r="K223" s="13">
        <v>225</v>
      </c>
      <c r="L223" s="13">
        <v>4</v>
      </c>
      <c r="M223" s="13">
        <v>3</v>
      </c>
      <c r="N223" s="13" t="s">
        <v>3</v>
      </c>
      <c r="O223" s="13">
        <v>2</v>
      </c>
      <c r="P223" s="13">
        <f>ROUND(Source!EN218,O223)</f>
        <v>194124.46</v>
      </c>
      <c r="Q223" s="13"/>
      <c r="R223" s="13"/>
      <c r="S223" s="13"/>
      <c r="T223" s="13"/>
      <c r="U223" s="13"/>
      <c r="V223" s="13"/>
      <c r="W223" s="13">
        <v>25644.06</v>
      </c>
      <c r="X223" s="13">
        <v>1</v>
      </c>
      <c r="Y223" s="13">
        <v>25644.06</v>
      </c>
      <c r="Z223" s="13">
        <v>194124.46</v>
      </c>
      <c r="AA223" s="13">
        <v>1</v>
      </c>
      <c r="AB223" s="13">
        <v>194124.46</v>
      </c>
    </row>
    <row r="224" spans="1:255" ht="13" x14ac:dyDescent="0.3">
      <c r="A224" s="13">
        <v>50</v>
      </c>
      <c r="B224" s="13">
        <v>0</v>
      </c>
      <c r="C224" s="13">
        <v>0</v>
      </c>
      <c r="D224" s="13">
        <v>1</v>
      </c>
      <c r="E224" s="13">
        <v>226</v>
      </c>
      <c r="F224" s="13">
        <f>ROUND(Source!AW218,O224)</f>
        <v>0.27</v>
      </c>
      <c r="G224" s="13" t="s">
        <v>92</v>
      </c>
      <c r="H224" s="13" t="s">
        <v>93</v>
      </c>
      <c r="I224" s="13"/>
      <c r="J224" s="13"/>
      <c r="K224" s="13">
        <v>226</v>
      </c>
      <c r="L224" s="13">
        <v>5</v>
      </c>
      <c r="M224" s="13">
        <v>3</v>
      </c>
      <c r="N224" s="13" t="s">
        <v>3</v>
      </c>
      <c r="O224" s="13">
        <v>2</v>
      </c>
      <c r="P224" s="13">
        <f>ROUND(Source!EO218,O224)</f>
        <v>0.97</v>
      </c>
      <c r="Q224" s="13"/>
      <c r="R224" s="13"/>
      <c r="S224" s="13"/>
      <c r="T224" s="13"/>
      <c r="U224" s="13"/>
      <c r="V224" s="13"/>
      <c r="W224" s="13">
        <v>0.27</v>
      </c>
      <c r="X224" s="13">
        <v>1</v>
      </c>
      <c r="Y224" s="13">
        <v>0.27</v>
      </c>
      <c r="Z224" s="13">
        <v>0.97</v>
      </c>
      <c r="AA224" s="13">
        <v>1</v>
      </c>
      <c r="AB224" s="13">
        <v>0.97</v>
      </c>
    </row>
    <row r="225" spans="1:28" ht="13" x14ac:dyDescent="0.3">
      <c r="A225" s="13">
        <v>50</v>
      </c>
      <c r="B225" s="13">
        <v>0</v>
      </c>
      <c r="C225" s="13">
        <v>0</v>
      </c>
      <c r="D225" s="13">
        <v>1</v>
      </c>
      <c r="E225" s="13">
        <v>227</v>
      </c>
      <c r="F225" s="13">
        <f>ROUND(Source!AX218,O225)</f>
        <v>0</v>
      </c>
      <c r="G225" s="13" t="s">
        <v>94</v>
      </c>
      <c r="H225" s="13" t="s">
        <v>95</v>
      </c>
      <c r="I225" s="13"/>
      <c r="J225" s="13"/>
      <c r="K225" s="13">
        <v>227</v>
      </c>
      <c r="L225" s="13">
        <v>6</v>
      </c>
      <c r="M225" s="13">
        <v>3</v>
      </c>
      <c r="N225" s="13" t="s">
        <v>3</v>
      </c>
      <c r="O225" s="13">
        <v>2</v>
      </c>
      <c r="P225" s="13">
        <f>ROUND(Source!EP218,O225)</f>
        <v>0</v>
      </c>
      <c r="Q225" s="13"/>
      <c r="R225" s="13"/>
      <c r="S225" s="13"/>
      <c r="T225" s="13"/>
      <c r="U225" s="13"/>
      <c r="V225" s="13"/>
      <c r="W225" s="13">
        <v>0</v>
      </c>
      <c r="X225" s="13">
        <v>1</v>
      </c>
      <c r="Y225" s="13">
        <v>0</v>
      </c>
      <c r="Z225" s="13">
        <v>0</v>
      </c>
      <c r="AA225" s="13">
        <v>1</v>
      </c>
      <c r="AB225" s="13">
        <v>0</v>
      </c>
    </row>
    <row r="226" spans="1:28" ht="13" x14ac:dyDescent="0.3">
      <c r="A226" s="13">
        <v>50</v>
      </c>
      <c r="B226" s="13">
        <v>0</v>
      </c>
      <c r="C226" s="13">
        <v>0</v>
      </c>
      <c r="D226" s="13">
        <v>1</v>
      </c>
      <c r="E226" s="13">
        <v>228</v>
      </c>
      <c r="F226" s="13">
        <f>ROUND(Source!AY218,O226)</f>
        <v>0.27</v>
      </c>
      <c r="G226" s="13" t="s">
        <v>96</v>
      </c>
      <c r="H226" s="13" t="s">
        <v>97</v>
      </c>
      <c r="I226" s="13"/>
      <c r="J226" s="13"/>
      <c r="K226" s="13">
        <v>228</v>
      </c>
      <c r="L226" s="13">
        <v>7</v>
      </c>
      <c r="M226" s="13">
        <v>3</v>
      </c>
      <c r="N226" s="13" t="s">
        <v>3</v>
      </c>
      <c r="O226" s="13">
        <v>2</v>
      </c>
      <c r="P226" s="13">
        <f>ROUND(Source!EQ218,O226)</f>
        <v>0.97</v>
      </c>
      <c r="Q226" s="13"/>
      <c r="R226" s="13"/>
      <c r="S226" s="13"/>
      <c r="T226" s="13"/>
      <c r="U226" s="13"/>
      <c r="V226" s="13"/>
      <c r="W226" s="13">
        <v>0.27</v>
      </c>
      <c r="X226" s="13">
        <v>1</v>
      </c>
      <c r="Y226" s="13">
        <v>0.27</v>
      </c>
      <c r="Z226" s="13">
        <v>0.97</v>
      </c>
      <c r="AA226" s="13">
        <v>1</v>
      </c>
      <c r="AB226" s="13">
        <v>0.97</v>
      </c>
    </row>
    <row r="227" spans="1:28" ht="13" x14ac:dyDescent="0.3">
      <c r="A227" s="13">
        <v>50</v>
      </c>
      <c r="B227" s="13">
        <v>0</v>
      </c>
      <c r="C227" s="13">
        <v>0</v>
      </c>
      <c r="D227" s="13">
        <v>1</v>
      </c>
      <c r="E227" s="13">
        <v>216</v>
      </c>
      <c r="F227" s="13">
        <f>ROUND(Source!AP218,O227)</f>
        <v>25643.79</v>
      </c>
      <c r="G227" s="13" t="s">
        <v>98</v>
      </c>
      <c r="H227" s="13" t="s">
        <v>99</v>
      </c>
      <c r="I227" s="13"/>
      <c r="J227" s="13"/>
      <c r="K227" s="13">
        <v>216</v>
      </c>
      <c r="L227" s="13">
        <v>8</v>
      </c>
      <c r="M227" s="13">
        <v>3</v>
      </c>
      <c r="N227" s="13" t="s">
        <v>3</v>
      </c>
      <c r="O227" s="13">
        <v>2</v>
      </c>
      <c r="P227" s="13">
        <f>ROUND(Source!EH218,O227)</f>
        <v>194123.49</v>
      </c>
      <c r="Q227" s="13"/>
      <c r="R227" s="13"/>
      <c r="S227" s="13"/>
      <c r="T227" s="13"/>
      <c r="U227" s="13"/>
      <c r="V227" s="13"/>
      <c r="W227" s="13">
        <v>25643.79</v>
      </c>
      <c r="X227" s="13">
        <v>1</v>
      </c>
      <c r="Y227" s="13">
        <v>25643.79</v>
      </c>
      <c r="Z227" s="13">
        <v>194123.49</v>
      </c>
      <c r="AA227" s="13">
        <v>1</v>
      </c>
      <c r="AB227" s="13">
        <v>194123.49</v>
      </c>
    </row>
    <row r="228" spans="1:28" ht="13" x14ac:dyDescent="0.3">
      <c r="A228" s="13">
        <v>50</v>
      </c>
      <c r="B228" s="13">
        <v>0</v>
      </c>
      <c r="C228" s="13">
        <v>0</v>
      </c>
      <c r="D228" s="13">
        <v>1</v>
      </c>
      <c r="E228" s="13">
        <v>223</v>
      </c>
      <c r="F228" s="13">
        <f>ROUND(Source!AQ218,O228)</f>
        <v>0</v>
      </c>
      <c r="G228" s="13" t="s">
        <v>100</v>
      </c>
      <c r="H228" s="13" t="s">
        <v>101</v>
      </c>
      <c r="I228" s="13"/>
      <c r="J228" s="13"/>
      <c r="K228" s="13">
        <v>223</v>
      </c>
      <c r="L228" s="13">
        <v>9</v>
      </c>
      <c r="M228" s="13">
        <v>3</v>
      </c>
      <c r="N228" s="13" t="s">
        <v>3</v>
      </c>
      <c r="O228" s="13">
        <v>2</v>
      </c>
      <c r="P228" s="13">
        <f>ROUND(Source!EI218,O228)</f>
        <v>0</v>
      </c>
      <c r="Q228" s="13"/>
      <c r="R228" s="13"/>
      <c r="S228" s="13"/>
      <c r="T228" s="13"/>
      <c r="U228" s="13"/>
      <c r="V228" s="13"/>
      <c r="W228" s="13">
        <v>0</v>
      </c>
      <c r="X228" s="13">
        <v>1</v>
      </c>
      <c r="Y228" s="13">
        <v>0</v>
      </c>
      <c r="Z228" s="13">
        <v>0</v>
      </c>
      <c r="AA228" s="13">
        <v>1</v>
      </c>
      <c r="AB228" s="13">
        <v>0</v>
      </c>
    </row>
    <row r="229" spans="1:28" ht="13" x14ac:dyDescent="0.3">
      <c r="A229" s="13">
        <v>50</v>
      </c>
      <c r="B229" s="13">
        <v>0</v>
      </c>
      <c r="C229" s="13">
        <v>0</v>
      </c>
      <c r="D229" s="13">
        <v>1</v>
      </c>
      <c r="E229" s="13">
        <v>229</v>
      </c>
      <c r="F229" s="13">
        <f>ROUND(Source!AZ218,O229)</f>
        <v>25643.79</v>
      </c>
      <c r="G229" s="13" t="s">
        <v>102</v>
      </c>
      <c r="H229" s="13" t="s">
        <v>103</v>
      </c>
      <c r="I229" s="13"/>
      <c r="J229" s="13"/>
      <c r="K229" s="13">
        <v>229</v>
      </c>
      <c r="L229" s="13">
        <v>10</v>
      </c>
      <c r="M229" s="13">
        <v>3</v>
      </c>
      <c r="N229" s="13" t="s">
        <v>3</v>
      </c>
      <c r="O229" s="13">
        <v>2</v>
      </c>
      <c r="P229" s="13">
        <f>ROUND(Source!ER218,O229)</f>
        <v>194123.49</v>
      </c>
      <c r="Q229" s="13"/>
      <c r="R229" s="13"/>
      <c r="S229" s="13"/>
      <c r="T229" s="13"/>
      <c r="U229" s="13"/>
      <c r="V229" s="13"/>
      <c r="W229" s="13">
        <v>25643.79</v>
      </c>
      <c r="X229" s="13">
        <v>1</v>
      </c>
      <c r="Y229" s="13">
        <v>25643.79</v>
      </c>
      <c r="Z229" s="13">
        <v>194123.49</v>
      </c>
      <c r="AA229" s="13">
        <v>1</v>
      </c>
      <c r="AB229" s="13">
        <v>194123.49</v>
      </c>
    </row>
    <row r="230" spans="1:28" ht="13" x14ac:dyDescent="0.3">
      <c r="A230" s="13">
        <v>50</v>
      </c>
      <c r="B230" s="13">
        <v>0</v>
      </c>
      <c r="C230" s="13">
        <v>0</v>
      </c>
      <c r="D230" s="13">
        <v>1</v>
      </c>
      <c r="E230" s="13">
        <v>203</v>
      </c>
      <c r="F230" s="13">
        <f>ROUND(Source!Q218,O230)</f>
        <v>956.28</v>
      </c>
      <c r="G230" s="13" t="s">
        <v>104</v>
      </c>
      <c r="H230" s="13" t="s">
        <v>105</v>
      </c>
      <c r="I230" s="13"/>
      <c r="J230" s="13"/>
      <c r="K230" s="13">
        <v>203</v>
      </c>
      <c r="L230" s="13">
        <v>11</v>
      </c>
      <c r="M230" s="13">
        <v>3</v>
      </c>
      <c r="N230" s="13" t="s">
        <v>3</v>
      </c>
      <c r="O230" s="13">
        <v>2</v>
      </c>
      <c r="P230" s="13">
        <f>ROUND(Source!DI218,O230)</f>
        <v>14851.03</v>
      </c>
      <c r="Q230" s="13"/>
      <c r="R230" s="13"/>
      <c r="S230" s="13"/>
      <c r="T230" s="13"/>
      <c r="U230" s="13"/>
      <c r="V230" s="13"/>
      <c r="W230" s="13">
        <v>956.28</v>
      </c>
      <c r="X230" s="13">
        <v>1</v>
      </c>
      <c r="Y230" s="13">
        <v>956.28</v>
      </c>
      <c r="Z230" s="13">
        <v>14851.03</v>
      </c>
      <c r="AA230" s="13">
        <v>1</v>
      </c>
      <c r="AB230" s="13">
        <v>14851.03</v>
      </c>
    </row>
    <row r="231" spans="1:28" ht="13" x14ac:dyDescent="0.3">
      <c r="A231" s="13">
        <v>50</v>
      </c>
      <c r="B231" s="13">
        <v>0</v>
      </c>
      <c r="C231" s="13">
        <v>0</v>
      </c>
      <c r="D231" s="13">
        <v>1</v>
      </c>
      <c r="E231" s="13">
        <v>231</v>
      </c>
      <c r="F231" s="13">
        <f>ROUND(Source!BB218,O231)</f>
        <v>0</v>
      </c>
      <c r="G231" s="13" t="s">
        <v>106</v>
      </c>
      <c r="H231" s="13" t="s">
        <v>107</v>
      </c>
      <c r="I231" s="13"/>
      <c r="J231" s="13"/>
      <c r="K231" s="13">
        <v>231</v>
      </c>
      <c r="L231" s="13">
        <v>12</v>
      </c>
      <c r="M231" s="13">
        <v>3</v>
      </c>
      <c r="N231" s="13" t="s">
        <v>3</v>
      </c>
      <c r="O231" s="13">
        <v>2</v>
      </c>
      <c r="P231" s="13">
        <f>ROUND(Source!ET218,O231)</f>
        <v>0</v>
      </c>
      <c r="Q231" s="13"/>
      <c r="R231" s="13"/>
      <c r="S231" s="13"/>
      <c r="T231" s="13"/>
      <c r="U231" s="13"/>
      <c r="V231" s="13"/>
      <c r="W231" s="13">
        <v>0</v>
      </c>
      <c r="X231" s="13">
        <v>1</v>
      </c>
      <c r="Y231" s="13">
        <v>0</v>
      </c>
      <c r="Z231" s="13">
        <v>0</v>
      </c>
      <c r="AA231" s="13">
        <v>1</v>
      </c>
      <c r="AB231" s="13">
        <v>0</v>
      </c>
    </row>
    <row r="232" spans="1:28" ht="13" x14ac:dyDescent="0.3">
      <c r="A232" s="13">
        <v>50</v>
      </c>
      <c r="B232" s="13">
        <v>0</v>
      </c>
      <c r="C232" s="13">
        <v>0</v>
      </c>
      <c r="D232" s="13">
        <v>1</v>
      </c>
      <c r="E232" s="13">
        <v>204</v>
      </c>
      <c r="F232" s="13">
        <f>ROUND(Source!R218,O232)</f>
        <v>107.2</v>
      </c>
      <c r="G232" s="13" t="s">
        <v>108</v>
      </c>
      <c r="H232" s="13" t="s">
        <v>109</v>
      </c>
      <c r="I232" s="13"/>
      <c r="J232" s="13"/>
      <c r="K232" s="13">
        <v>204</v>
      </c>
      <c r="L232" s="13">
        <v>13</v>
      </c>
      <c r="M232" s="13">
        <v>3</v>
      </c>
      <c r="N232" s="13" t="s">
        <v>3</v>
      </c>
      <c r="O232" s="13">
        <v>2</v>
      </c>
      <c r="P232" s="13">
        <f>ROUND(Source!DJ218,O232)</f>
        <v>6040.72</v>
      </c>
      <c r="Q232" s="13"/>
      <c r="R232" s="13"/>
      <c r="S232" s="13"/>
      <c r="T232" s="13"/>
      <c r="U232" s="13"/>
      <c r="V232" s="13"/>
      <c r="W232" s="13">
        <v>107.2</v>
      </c>
      <c r="X232" s="13">
        <v>1</v>
      </c>
      <c r="Y232" s="13">
        <v>107.2</v>
      </c>
      <c r="Z232" s="13">
        <v>6040.72</v>
      </c>
      <c r="AA232" s="13">
        <v>1</v>
      </c>
      <c r="AB232" s="13">
        <v>6040.72</v>
      </c>
    </row>
    <row r="233" spans="1:28" ht="13" x14ac:dyDescent="0.3">
      <c r="A233" s="13">
        <v>50</v>
      </c>
      <c r="B233" s="13">
        <v>0</v>
      </c>
      <c r="C233" s="13">
        <v>0</v>
      </c>
      <c r="D233" s="13">
        <v>1</v>
      </c>
      <c r="E233" s="13">
        <v>205</v>
      </c>
      <c r="F233" s="13">
        <f>ROUND(Source!S218,O233)</f>
        <v>197.09</v>
      </c>
      <c r="G233" s="13" t="s">
        <v>110</v>
      </c>
      <c r="H233" s="13" t="s">
        <v>111</v>
      </c>
      <c r="I233" s="13"/>
      <c r="J233" s="13"/>
      <c r="K233" s="13">
        <v>205</v>
      </c>
      <c r="L233" s="13">
        <v>14</v>
      </c>
      <c r="M233" s="13">
        <v>3</v>
      </c>
      <c r="N233" s="13" t="s">
        <v>3</v>
      </c>
      <c r="O233" s="13">
        <v>2</v>
      </c>
      <c r="P233" s="13">
        <f>ROUND(Source!DK218,O233)</f>
        <v>11106.02</v>
      </c>
      <c r="Q233" s="13"/>
      <c r="R233" s="13"/>
      <c r="S233" s="13"/>
      <c r="T233" s="13"/>
      <c r="U233" s="13"/>
      <c r="V233" s="13"/>
      <c r="W233" s="13">
        <v>197.09</v>
      </c>
      <c r="X233" s="13">
        <v>1</v>
      </c>
      <c r="Y233" s="13">
        <v>197.09</v>
      </c>
      <c r="Z233" s="13">
        <v>11106.02</v>
      </c>
      <c r="AA233" s="13">
        <v>1</v>
      </c>
      <c r="AB233" s="13">
        <v>11106.02</v>
      </c>
    </row>
    <row r="234" spans="1:28" ht="13" x14ac:dyDescent="0.3">
      <c r="A234" s="13">
        <v>50</v>
      </c>
      <c r="B234" s="13">
        <v>0</v>
      </c>
      <c r="C234" s="13">
        <v>0</v>
      </c>
      <c r="D234" s="13">
        <v>1</v>
      </c>
      <c r="E234" s="13">
        <v>232</v>
      </c>
      <c r="F234" s="13">
        <f>ROUND(Source!BC218,O234)</f>
        <v>0</v>
      </c>
      <c r="G234" s="13" t="s">
        <v>112</v>
      </c>
      <c r="H234" s="13" t="s">
        <v>113</v>
      </c>
      <c r="I234" s="13"/>
      <c r="J234" s="13"/>
      <c r="K234" s="13">
        <v>232</v>
      </c>
      <c r="L234" s="13">
        <v>15</v>
      </c>
      <c r="M234" s="13">
        <v>3</v>
      </c>
      <c r="N234" s="13" t="s">
        <v>3</v>
      </c>
      <c r="O234" s="13">
        <v>2</v>
      </c>
      <c r="P234" s="13">
        <f>ROUND(Source!EU218,O234)</f>
        <v>0</v>
      </c>
      <c r="Q234" s="13"/>
      <c r="R234" s="13"/>
      <c r="S234" s="13"/>
      <c r="T234" s="13"/>
      <c r="U234" s="13"/>
      <c r="V234" s="13"/>
      <c r="W234" s="13">
        <v>0</v>
      </c>
      <c r="X234" s="13">
        <v>1</v>
      </c>
      <c r="Y234" s="13">
        <v>0</v>
      </c>
      <c r="Z234" s="13">
        <v>0</v>
      </c>
      <c r="AA234" s="13">
        <v>1</v>
      </c>
      <c r="AB234" s="13">
        <v>0</v>
      </c>
    </row>
    <row r="235" spans="1:28" ht="13" x14ac:dyDescent="0.3">
      <c r="A235" s="13">
        <v>50</v>
      </c>
      <c r="B235" s="13">
        <v>0</v>
      </c>
      <c r="C235" s="13">
        <v>0</v>
      </c>
      <c r="D235" s="13">
        <v>1</v>
      </c>
      <c r="E235" s="13">
        <v>214</v>
      </c>
      <c r="F235" s="13">
        <f>ROUND(Source!AS218,O235)</f>
        <v>0</v>
      </c>
      <c r="G235" s="13" t="s">
        <v>114</v>
      </c>
      <c r="H235" s="13" t="s">
        <v>115</v>
      </c>
      <c r="I235" s="13"/>
      <c r="J235" s="13"/>
      <c r="K235" s="13">
        <v>214</v>
      </c>
      <c r="L235" s="13">
        <v>16</v>
      </c>
      <c r="M235" s="13">
        <v>3</v>
      </c>
      <c r="N235" s="13" t="s">
        <v>3</v>
      </c>
      <c r="O235" s="13">
        <v>2</v>
      </c>
      <c r="P235" s="13">
        <f>ROUND(Source!EK218,O235)</f>
        <v>0</v>
      </c>
      <c r="Q235" s="13"/>
      <c r="R235" s="13"/>
      <c r="S235" s="13"/>
      <c r="T235" s="13"/>
      <c r="U235" s="13"/>
      <c r="V235" s="13"/>
      <c r="W235" s="13">
        <v>0</v>
      </c>
      <c r="X235" s="13">
        <v>1</v>
      </c>
      <c r="Y235" s="13">
        <v>0</v>
      </c>
      <c r="Z235" s="13">
        <v>0</v>
      </c>
      <c r="AA235" s="13">
        <v>1</v>
      </c>
      <c r="AB235" s="13">
        <v>0</v>
      </c>
    </row>
    <row r="236" spans="1:28" ht="13" x14ac:dyDescent="0.3">
      <c r="A236" s="13">
        <v>50</v>
      </c>
      <c r="B236" s="13">
        <v>0</v>
      </c>
      <c r="C236" s="13">
        <v>0</v>
      </c>
      <c r="D236" s="13">
        <v>1</v>
      </c>
      <c r="E236" s="13">
        <v>215</v>
      </c>
      <c r="F236" s="13">
        <f>ROUND(Source!AT218,O236)</f>
        <v>1567.47</v>
      </c>
      <c r="G236" s="13" t="s">
        <v>116</v>
      </c>
      <c r="H236" s="13" t="s">
        <v>117</v>
      </c>
      <c r="I236" s="13"/>
      <c r="J236" s="13"/>
      <c r="K236" s="13">
        <v>215</v>
      </c>
      <c r="L236" s="13">
        <v>17</v>
      </c>
      <c r="M236" s="13">
        <v>3</v>
      </c>
      <c r="N236" s="13" t="s">
        <v>3</v>
      </c>
      <c r="O236" s="13">
        <v>2</v>
      </c>
      <c r="P236" s="13">
        <f>ROUND(Source!EL218,O236)</f>
        <v>49277.59</v>
      </c>
      <c r="Q236" s="13"/>
      <c r="R236" s="13"/>
      <c r="S236" s="13"/>
      <c r="T236" s="13"/>
      <c r="U236" s="13"/>
      <c r="V236" s="13"/>
      <c r="W236" s="13">
        <v>1567.47</v>
      </c>
      <c r="X236" s="13">
        <v>1</v>
      </c>
      <c r="Y236" s="13">
        <v>1567.47</v>
      </c>
      <c r="Z236" s="13">
        <v>49277.59</v>
      </c>
      <c r="AA236" s="13">
        <v>1</v>
      </c>
      <c r="AB236" s="13">
        <v>49277.59</v>
      </c>
    </row>
    <row r="237" spans="1:28" ht="13" x14ac:dyDescent="0.3">
      <c r="A237" s="13">
        <v>50</v>
      </c>
      <c r="B237" s="13">
        <v>0</v>
      </c>
      <c r="C237" s="13">
        <v>0</v>
      </c>
      <c r="D237" s="13">
        <v>1</v>
      </c>
      <c r="E237" s="13">
        <v>217</v>
      </c>
      <c r="F237" s="13">
        <f>ROUND(Source!AU218,O237)</f>
        <v>0</v>
      </c>
      <c r="G237" s="13" t="s">
        <v>118</v>
      </c>
      <c r="H237" s="13" t="s">
        <v>119</v>
      </c>
      <c r="I237" s="13"/>
      <c r="J237" s="13"/>
      <c r="K237" s="13">
        <v>217</v>
      </c>
      <c r="L237" s="13">
        <v>18</v>
      </c>
      <c r="M237" s="13">
        <v>3</v>
      </c>
      <c r="N237" s="13" t="s">
        <v>3</v>
      </c>
      <c r="O237" s="13">
        <v>2</v>
      </c>
      <c r="P237" s="13">
        <f>ROUND(Source!EM218,O237)</f>
        <v>0</v>
      </c>
      <c r="Q237" s="13"/>
      <c r="R237" s="13"/>
      <c r="S237" s="13"/>
      <c r="T237" s="13"/>
      <c r="U237" s="13"/>
      <c r="V237" s="13"/>
      <c r="W237" s="13">
        <v>0</v>
      </c>
      <c r="X237" s="13">
        <v>1</v>
      </c>
      <c r="Y237" s="13">
        <v>0</v>
      </c>
      <c r="Z237" s="13">
        <v>0</v>
      </c>
      <c r="AA237" s="13">
        <v>1</v>
      </c>
      <c r="AB237" s="13">
        <v>0</v>
      </c>
    </row>
    <row r="238" spans="1:28" ht="13" x14ac:dyDescent="0.3">
      <c r="A238" s="13">
        <v>50</v>
      </c>
      <c r="B238" s="13">
        <v>0</v>
      </c>
      <c r="C238" s="13">
        <v>0</v>
      </c>
      <c r="D238" s="13">
        <v>1</v>
      </c>
      <c r="E238" s="13">
        <v>230</v>
      </c>
      <c r="F238" s="13">
        <f>ROUND(Source!BA218,O238)</f>
        <v>0</v>
      </c>
      <c r="G238" s="13" t="s">
        <v>120</v>
      </c>
      <c r="H238" s="13" t="s">
        <v>121</v>
      </c>
      <c r="I238" s="13"/>
      <c r="J238" s="13"/>
      <c r="K238" s="13">
        <v>230</v>
      </c>
      <c r="L238" s="13">
        <v>19</v>
      </c>
      <c r="M238" s="13">
        <v>3</v>
      </c>
      <c r="N238" s="13" t="s">
        <v>3</v>
      </c>
      <c r="O238" s="13">
        <v>2</v>
      </c>
      <c r="P238" s="13">
        <f>ROUND(Source!ES218,O238)</f>
        <v>0</v>
      </c>
      <c r="Q238" s="13"/>
      <c r="R238" s="13"/>
      <c r="S238" s="13"/>
      <c r="T238" s="13"/>
      <c r="U238" s="13"/>
      <c r="V238" s="13"/>
      <c r="W238" s="13">
        <v>0</v>
      </c>
      <c r="X238" s="13">
        <v>1</v>
      </c>
      <c r="Y238" s="13">
        <v>0</v>
      </c>
      <c r="Z238" s="13">
        <v>0</v>
      </c>
      <c r="AA238" s="13">
        <v>1</v>
      </c>
      <c r="AB238" s="13">
        <v>0</v>
      </c>
    </row>
    <row r="239" spans="1:28" ht="13" x14ac:dyDescent="0.3">
      <c r="A239" s="13">
        <v>50</v>
      </c>
      <c r="B239" s="13">
        <v>0</v>
      </c>
      <c r="C239" s="13">
        <v>0</v>
      </c>
      <c r="D239" s="13">
        <v>1</v>
      </c>
      <c r="E239" s="13">
        <v>206</v>
      </c>
      <c r="F239" s="13">
        <f>ROUND(Source!T218,O239)</f>
        <v>0</v>
      </c>
      <c r="G239" s="13" t="s">
        <v>122</v>
      </c>
      <c r="H239" s="13" t="s">
        <v>123</v>
      </c>
      <c r="I239" s="13"/>
      <c r="J239" s="13"/>
      <c r="K239" s="13">
        <v>206</v>
      </c>
      <c r="L239" s="13">
        <v>20</v>
      </c>
      <c r="M239" s="13">
        <v>3</v>
      </c>
      <c r="N239" s="13" t="s">
        <v>3</v>
      </c>
      <c r="O239" s="13">
        <v>2</v>
      </c>
      <c r="P239" s="13">
        <f>ROUND(Source!DL218,O239)</f>
        <v>0</v>
      </c>
      <c r="Q239" s="13"/>
      <c r="R239" s="13"/>
      <c r="S239" s="13"/>
      <c r="T239" s="13"/>
      <c r="U239" s="13"/>
      <c r="V239" s="13"/>
      <c r="W239" s="13">
        <v>0</v>
      </c>
      <c r="X239" s="13">
        <v>1</v>
      </c>
      <c r="Y239" s="13">
        <v>0</v>
      </c>
      <c r="Z239" s="13">
        <v>0</v>
      </c>
      <c r="AA239" s="13">
        <v>1</v>
      </c>
      <c r="AB239" s="13">
        <v>0</v>
      </c>
    </row>
    <row r="240" spans="1:28" ht="13" x14ac:dyDescent="0.3">
      <c r="A240" s="13">
        <v>50</v>
      </c>
      <c r="B240" s="13">
        <v>0</v>
      </c>
      <c r="C240" s="13">
        <v>0</v>
      </c>
      <c r="D240" s="13">
        <v>1</v>
      </c>
      <c r="E240" s="13">
        <v>207</v>
      </c>
      <c r="F240" s="13">
        <f>Source!U218</f>
        <v>17.639855999999998</v>
      </c>
      <c r="G240" s="13" t="s">
        <v>124</v>
      </c>
      <c r="H240" s="13" t="s">
        <v>125</v>
      </c>
      <c r="I240" s="13"/>
      <c r="J240" s="13"/>
      <c r="K240" s="13">
        <v>207</v>
      </c>
      <c r="L240" s="13">
        <v>21</v>
      </c>
      <c r="M240" s="13">
        <v>3</v>
      </c>
      <c r="N240" s="13" t="s">
        <v>3</v>
      </c>
      <c r="O240" s="13">
        <v>-1</v>
      </c>
      <c r="P240" s="13">
        <f>Source!DM218</f>
        <v>17.639855999999998</v>
      </c>
      <c r="Q240" s="13"/>
      <c r="R240" s="13"/>
      <c r="S240" s="13"/>
      <c r="T240" s="13"/>
      <c r="U240" s="13"/>
      <c r="V240" s="13"/>
      <c r="W240" s="13">
        <v>17.639856000000002</v>
      </c>
      <c r="X240" s="13">
        <v>1</v>
      </c>
      <c r="Y240" s="13">
        <v>17.639856000000002</v>
      </c>
      <c r="Z240" s="13">
        <v>17.639856000000002</v>
      </c>
      <c r="AA240" s="13">
        <v>1</v>
      </c>
      <c r="AB240" s="13">
        <v>17.639856000000002</v>
      </c>
    </row>
    <row r="241" spans="1:206" ht="13" x14ac:dyDescent="0.3">
      <c r="A241" s="13">
        <v>50</v>
      </c>
      <c r="B241" s="13">
        <v>0</v>
      </c>
      <c r="C241" s="13">
        <v>0</v>
      </c>
      <c r="D241" s="13">
        <v>1</v>
      </c>
      <c r="E241" s="13">
        <v>208</v>
      </c>
      <c r="F241" s="13">
        <f>Source!V218</f>
        <v>0</v>
      </c>
      <c r="G241" s="13" t="s">
        <v>126</v>
      </c>
      <c r="H241" s="13" t="s">
        <v>127</v>
      </c>
      <c r="I241" s="13"/>
      <c r="J241" s="13"/>
      <c r="K241" s="13">
        <v>208</v>
      </c>
      <c r="L241" s="13">
        <v>22</v>
      </c>
      <c r="M241" s="13">
        <v>3</v>
      </c>
      <c r="N241" s="13" t="s">
        <v>3</v>
      </c>
      <c r="O241" s="13">
        <v>-1</v>
      </c>
      <c r="P241" s="13">
        <f>Source!DN218</f>
        <v>0</v>
      </c>
      <c r="Q241" s="13"/>
      <c r="R241" s="13"/>
      <c r="S241" s="13"/>
      <c r="T241" s="13"/>
      <c r="U241" s="13"/>
      <c r="V241" s="13"/>
      <c r="W241" s="13">
        <v>0</v>
      </c>
      <c r="X241" s="13">
        <v>1</v>
      </c>
      <c r="Y241" s="13">
        <v>0</v>
      </c>
      <c r="Z241" s="13">
        <v>0</v>
      </c>
      <c r="AA241" s="13">
        <v>1</v>
      </c>
      <c r="AB241" s="13">
        <v>0</v>
      </c>
    </row>
    <row r="242" spans="1:206" ht="13" x14ac:dyDescent="0.3">
      <c r="A242" s="13">
        <v>50</v>
      </c>
      <c r="B242" s="13">
        <v>0</v>
      </c>
      <c r="C242" s="13">
        <v>0</v>
      </c>
      <c r="D242" s="13">
        <v>1</v>
      </c>
      <c r="E242" s="13">
        <v>209</v>
      </c>
      <c r="F242" s="13">
        <f>ROUND(Source!W218,O242)</f>
        <v>0</v>
      </c>
      <c r="G242" s="13" t="s">
        <v>128</v>
      </c>
      <c r="H242" s="13" t="s">
        <v>129</v>
      </c>
      <c r="I242" s="13"/>
      <c r="J242" s="13"/>
      <c r="K242" s="13">
        <v>209</v>
      </c>
      <c r="L242" s="13">
        <v>23</v>
      </c>
      <c r="M242" s="13">
        <v>3</v>
      </c>
      <c r="N242" s="13" t="s">
        <v>3</v>
      </c>
      <c r="O242" s="13">
        <v>2</v>
      </c>
      <c r="P242" s="13">
        <f>ROUND(Source!DO218,O242)</f>
        <v>0</v>
      </c>
      <c r="Q242" s="13"/>
      <c r="R242" s="13"/>
      <c r="S242" s="13"/>
      <c r="T242" s="13"/>
      <c r="U242" s="13"/>
      <c r="V242" s="13"/>
      <c r="W242" s="13">
        <v>0</v>
      </c>
      <c r="X242" s="13">
        <v>1</v>
      </c>
      <c r="Y242" s="13">
        <v>0</v>
      </c>
      <c r="Z242" s="13">
        <v>0</v>
      </c>
      <c r="AA242" s="13">
        <v>1</v>
      </c>
      <c r="AB242" s="13">
        <v>0</v>
      </c>
    </row>
    <row r="243" spans="1:206" ht="13" x14ac:dyDescent="0.3">
      <c r="A243" s="13">
        <v>50</v>
      </c>
      <c r="B243" s="13">
        <v>0</v>
      </c>
      <c r="C243" s="13">
        <v>0</v>
      </c>
      <c r="D243" s="13">
        <v>1</v>
      </c>
      <c r="E243" s="13">
        <v>233</v>
      </c>
      <c r="F243" s="13">
        <f>ROUND(Source!BD218,O243)</f>
        <v>0</v>
      </c>
      <c r="G243" s="13" t="s">
        <v>130</v>
      </c>
      <c r="H243" s="13" t="s">
        <v>131</v>
      </c>
      <c r="I243" s="13"/>
      <c r="J243" s="13"/>
      <c r="K243" s="13">
        <v>233</v>
      </c>
      <c r="L243" s="13">
        <v>24</v>
      </c>
      <c r="M243" s="13">
        <v>3</v>
      </c>
      <c r="N243" s="13" t="s">
        <v>3</v>
      </c>
      <c r="O243" s="13">
        <v>2</v>
      </c>
      <c r="P243" s="13">
        <f>ROUND(Source!EV218,O243)</f>
        <v>0</v>
      </c>
      <c r="Q243" s="13"/>
      <c r="R243" s="13"/>
      <c r="S243" s="13"/>
      <c r="T243" s="13"/>
      <c r="U243" s="13"/>
      <c r="V243" s="13"/>
      <c r="W243" s="13">
        <v>0</v>
      </c>
      <c r="X243" s="13">
        <v>1</v>
      </c>
      <c r="Y243" s="13">
        <v>0</v>
      </c>
      <c r="Z243" s="13">
        <v>0</v>
      </c>
      <c r="AA243" s="13">
        <v>1</v>
      </c>
      <c r="AB243" s="13">
        <v>0</v>
      </c>
    </row>
    <row r="244" spans="1:206" ht="13" x14ac:dyDescent="0.3">
      <c r="A244" s="13">
        <v>50</v>
      </c>
      <c r="B244" s="13">
        <v>0</v>
      </c>
      <c r="C244" s="13">
        <v>0</v>
      </c>
      <c r="D244" s="13">
        <v>1</v>
      </c>
      <c r="E244" s="13">
        <v>210</v>
      </c>
      <c r="F244" s="13">
        <f>ROUND(Source!X218,O244)</f>
        <v>273.86</v>
      </c>
      <c r="G244" s="13" t="s">
        <v>132</v>
      </c>
      <c r="H244" s="13" t="s">
        <v>133</v>
      </c>
      <c r="I244" s="13"/>
      <c r="J244" s="13"/>
      <c r="K244" s="13">
        <v>210</v>
      </c>
      <c r="L244" s="13">
        <v>25</v>
      </c>
      <c r="M244" s="13">
        <v>3</v>
      </c>
      <c r="N244" s="13" t="s">
        <v>3</v>
      </c>
      <c r="O244" s="13">
        <v>2</v>
      </c>
      <c r="P244" s="13">
        <f>ROUND(Source!DP218,O244)</f>
        <v>15432.07</v>
      </c>
      <c r="Q244" s="13"/>
      <c r="R244" s="13"/>
      <c r="S244" s="13"/>
      <c r="T244" s="13"/>
      <c r="U244" s="13"/>
      <c r="V244" s="13"/>
      <c r="W244" s="13">
        <v>273.86</v>
      </c>
      <c r="X244" s="13">
        <v>1</v>
      </c>
      <c r="Y244" s="13">
        <v>273.86</v>
      </c>
      <c r="Z244" s="13">
        <v>15432.07</v>
      </c>
      <c r="AA244" s="13">
        <v>1</v>
      </c>
      <c r="AB244" s="13">
        <v>15432.07</v>
      </c>
    </row>
    <row r="245" spans="1:206" ht="13" x14ac:dyDescent="0.3">
      <c r="A245" s="13">
        <v>50</v>
      </c>
      <c r="B245" s="13">
        <v>0</v>
      </c>
      <c r="C245" s="13">
        <v>0</v>
      </c>
      <c r="D245" s="13">
        <v>1</v>
      </c>
      <c r="E245" s="13">
        <v>211</v>
      </c>
      <c r="F245" s="13">
        <f>ROUND(Source!Y218,O245)</f>
        <v>139.97</v>
      </c>
      <c r="G245" s="13" t="s">
        <v>134</v>
      </c>
      <c r="H245" s="13" t="s">
        <v>135</v>
      </c>
      <c r="I245" s="13"/>
      <c r="J245" s="13"/>
      <c r="K245" s="13">
        <v>211</v>
      </c>
      <c r="L245" s="13">
        <v>26</v>
      </c>
      <c r="M245" s="13">
        <v>3</v>
      </c>
      <c r="N245" s="13" t="s">
        <v>3</v>
      </c>
      <c r="O245" s="13">
        <v>2</v>
      </c>
      <c r="P245" s="13">
        <f>ROUND(Source!DQ218,O245)</f>
        <v>7887.5</v>
      </c>
      <c r="Q245" s="13"/>
      <c r="R245" s="13"/>
      <c r="S245" s="13"/>
      <c r="T245" s="13"/>
      <c r="U245" s="13"/>
      <c r="V245" s="13"/>
      <c r="W245" s="13">
        <v>139.97</v>
      </c>
      <c r="X245" s="13">
        <v>1</v>
      </c>
      <c r="Y245" s="13">
        <v>139.97</v>
      </c>
      <c r="Z245" s="13">
        <v>7887.5</v>
      </c>
      <c r="AA245" s="13">
        <v>1</v>
      </c>
      <c r="AB245" s="13">
        <v>7887.5</v>
      </c>
    </row>
    <row r="246" spans="1:206" ht="13" x14ac:dyDescent="0.3">
      <c r="A246" s="13">
        <v>50</v>
      </c>
      <c r="B246" s="13">
        <v>0</v>
      </c>
      <c r="C246" s="13">
        <v>0</v>
      </c>
      <c r="D246" s="13">
        <v>1</v>
      </c>
      <c r="E246" s="13">
        <v>224</v>
      </c>
      <c r="F246" s="13">
        <f>ROUND(Source!AR218,O246)</f>
        <v>27211.26</v>
      </c>
      <c r="G246" s="13" t="s">
        <v>136</v>
      </c>
      <c r="H246" s="13" t="s">
        <v>137</v>
      </c>
      <c r="I246" s="13"/>
      <c r="J246" s="13"/>
      <c r="K246" s="13">
        <v>224</v>
      </c>
      <c r="L246" s="13">
        <v>27</v>
      </c>
      <c r="M246" s="13">
        <v>3</v>
      </c>
      <c r="N246" s="13" t="s">
        <v>3</v>
      </c>
      <c r="O246" s="13">
        <v>2</v>
      </c>
      <c r="P246" s="13">
        <f>ROUND(Source!EJ218,O246)</f>
        <v>243401.08</v>
      </c>
      <c r="Q246" s="13"/>
      <c r="R246" s="13"/>
      <c r="S246" s="13"/>
      <c r="T246" s="13"/>
      <c r="U246" s="13"/>
      <c r="V246" s="13"/>
      <c r="W246" s="13">
        <v>27211.26</v>
      </c>
      <c r="X246" s="13">
        <v>1</v>
      </c>
      <c r="Y246" s="13">
        <v>27211.26</v>
      </c>
      <c r="Z246" s="13">
        <v>243401.08</v>
      </c>
      <c r="AA246" s="13">
        <v>1</v>
      </c>
      <c r="AB246" s="13">
        <v>243401.08</v>
      </c>
    </row>
    <row r="248" spans="1:206" ht="13" x14ac:dyDescent="0.3">
      <c r="A248" s="11">
        <v>51</v>
      </c>
      <c r="B248" s="11">
        <f>B20</f>
        <v>1</v>
      </c>
      <c r="C248" s="11">
        <f>A20</f>
        <v>3</v>
      </c>
      <c r="D248" s="11">
        <f>ROW(A20)</f>
        <v>20</v>
      </c>
      <c r="E248" s="11"/>
      <c r="F248" s="11" t="str">
        <f>IF(F20&lt;&gt;"",F20,"")</f>
        <v>02-01-15</v>
      </c>
      <c r="G248" s="11" t="str">
        <f>IF(G20&lt;&gt;"",G20,"")</f>
        <v>Система контроля и управления доступом</v>
      </c>
      <c r="H248" s="11">
        <v>0</v>
      </c>
      <c r="I248" s="11"/>
      <c r="J248" s="11"/>
      <c r="K248" s="11"/>
      <c r="L248" s="11"/>
      <c r="M248" s="11"/>
      <c r="N248" s="11"/>
      <c r="O248" s="11">
        <f t="shared" ref="O248:T248" si="195">ROUND(O55+O126+O177+O218+AB248,2)</f>
        <v>475835.53</v>
      </c>
      <c r="P248" s="11">
        <f t="shared" si="195"/>
        <v>469082.56</v>
      </c>
      <c r="Q248" s="11">
        <f t="shared" si="195"/>
        <v>1297.17</v>
      </c>
      <c r="R248" s="11">
        <f t="shared" si="195"/>
        <v>144.85</v>
      </c>
      <c r="S248" s="11">
        <f t="shared" si="195"/>
        <v>5455.8</v>
      </c>
      <c r="T248" s="11">
        <f t="shared" si="195"/>
        <v>0</v>
      </c>
      <c r="U248" s="11">
        <f>U55+U126+U177+U218+AH248</f>
        <v>399.26218428000004</v>
      </c>
      <c r="V248" s="11">
        <f>V55+V126+V177+V218+AI248</f>
        <v>0</v>
      </c>
      <c r="W248" s="11">
        <f>ROUND(W55+W126+W177+W218+AJ248,2)</f>
        <v>0</v>
      </c>
      <c r="X248" s="11">
        <f>ROUND(X55+X126+X177+X218+AK248,2)</f>
        <v>5064.8</v>
      </c>
      <c r="Y248" s="11">
        <f>ROUND(Y55+Y126+Y177+Y218+AL248,2)</f>
        <v>2611.23</v>
      </c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>
        <f t="shared" ref="AO248:BD248" si="196">ROUND(AO55+AO126+AO177+AO218+BX248,2)</f>
        <v>0</v>
      </c>
      <c r="AP248" s="11">
        <f t="shared" si="196"/>
        <v>457108.89</v>
      </c>
      <c r="AQ248" s="11">
        <f t="shared" si="196"/>
        <v>0</v>
      </c>
      <c r="AR248" s="11">
        <f t="shared" si="196"/>
        <v>483511.56</v>
      </c>
      <c r="AS248" s="11">
        <f t="shared" si="196"/>
        <v>412.71</v>
      </c>
      <c r="AT248" s="11">
        <f t="shared" si="196"/>
        <v>25989.96</v>
      </c>
      <c r="AU248" s="11">
        <f t="shared" si="196"/>
        <v>0</v>
      </c>
      <c r="AV248" s="11">
        <f t="shared" si="196"/>
        <v>469082.56</v>
      </c>
      <c r="AW248" s="11">
        <f t="shared" si="196"/>
        <v>11973.67</v>
      </c>
      <c r="AX248" s="11">
        <f t="shared" si="196"/>
        <v>0</v>
      </c>
      <c r="AY248" s="11">
        <f t="shared" si="196"/>
        <v>11973.67</v>
      </c>
      <c r="AZ248" s="11">
        <f t="shared" si="196"/>
        <v>457108.89</v>
      </c>
      <c r="BA248" s="11">
        <f t="shared" si="196"/>
        <v>0</v>
      </c>
      <c r="BB248" s="11">
        <f t="shared" si="196"/>
        <v>0</v>
      </c>
      <c r="BC248" s="11">
        <f t="shared" si="196"/>
        <v>0</v>
      </c>
      <c r="BD248" s="11">
        <f t="shared" si="196"/>
        <v>0</v>
      </c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1"/>
      <c r="CZ248" s="11"/>
      <c r="DA248" s="11"/>
      <c r="DB248" s="11"/>
      <c r="DC248" s="11"/>
      <c r="DD248" s="11"/>
      <c r="DE248" s="11"/>
      <c r="DF248" s="11"/>
      <c r="DG248" s="12">
        <f t="shared" ref="DG248:DL248" si="197">ROUND(DG55+DG126+DG177+DG218+DT248,2)</f>
        <v>3902531.87</v>
      </c>
      <c r="DH248" s="12">
        <f t="shared" si="197"/>
        <v>3575004.92</v>
      </c>
      <c r="DI248" s="12">
        <f t="shared" si="197"/>
        <v>20092.62</v>
      </c>
      <c r="DJ248" s="12">
        <f t="shared" si="197"/>
        <v>8162.32</v>
      </c>
      <c r="DK248" s="12">
        <f t="shared" si="197"/>
        <v>307434.33</v>
      </c>
      <c r="DL248" s="12">
        <f t="shared" si="197"/>
        <v>0</v>
      </c>
      <c r="DM248" s="12">
        <f>DM55+DM126+DM177+DM218+DZ248</f>
        <v>399.26218428000004</v>
      </c>
      <c r="DN248" s="12">
        <f>DN55+DN126+DN177+DN218+EA248</f>
        <v>0</v>
      </c>
      <c r="DO248" s="12">
        <f>ROUND(DO55+DO126+DO177+DO218+EB248,2)</f>
        <v>0</v>
      </c>
      <c r="DP248" s="12">
        <f>ROUND(DP55+DP126+DP177+DP218+EC248,2)</f>
        <v>285401.19</v>
      </c>
      <c r="DQ248" s="12">
        <f>ROUND(DQ55+DQ126+DQ177+DQ218+ED248,2)</f>
        <v>147142.74</v>
      </c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>
        <f t="shared" ref="EG248:EV248" si="198">ROUND(EG55+EG126+EG177+EG218+FP248,2)</f>
        <v>0</v>
      </c>
      <c r="EH248" s="12">
        <f t="shared" si="198"/>
        <v>3468623.06</v>
      </c>
      <c r="EI248" s="12">
        <f t="shared" si="198"/>
        <v>0</v>
      </c>
      <c r="EJ248" s="12">
        <f t="shared" si="198"/>
        <v>4335075.8</v>
      </c>
      <c r="EK248" s="12">
        <f t="shared" si="198"/>
        <v>23255.94</v>
      </c>
      <c r="EL248" s="12">
        <f t="shared" si="198"/>
        <v>843196.8</v>
      </c>
      <c r="EM248" s="12">
        <f t="shared" si="198"/>
        <v>0</v>
      </c>
      <c r="EN248" s="12">
        <f t="shared" si="198"/>
        <v>3575004.92</v>
      </c>
      <c r="EO248" s="12">
        <f t="shared" si="198"/>
        <v>106381.86</v>
      </c>
      <c r="EP248" s="12">
        <f t="shared" si="198"/>
        <v>0</v>
      </c>
      <c r="EQ248" s="12">
        <f t="shared" si="198"/>
        <v>106381.86</v>
      </c>
      <c r="ER248" s="12">
        <f t="shared" si="198"/>
        <v>3468623.06</v>
      </c>
      <c r="ES248" s="12">
        <f t="shared" si="198"/>
        <v>0</v>
      </c>
      <c r="ET248" s="12">
        <f t="shared" si="198"/>
        <v>0</v>
      </c>
      <c r="EU248" s="12">
        <f t="shared" si="198"/>
        <v>0</v>
      </c>
      <c r="EV248" s="12">
        <f t="shared" si="198"/>
        <v>0</v>
      </c>
      <c r="EW248" s="12"/>
      <c r="EX248" s="12"/>
      <c r="EY248" s="12"/>
      <c r="EZ248" s="12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  <c r="FM248" s="12"/>
      <c r="FN248" s="12"/>
      <c r="FO248" s="12"/>
      <c r="FP248" s="12"/>
      <c r="FQ248" s="12"/>
      <c r="FR248" s="12"/>
      <c r="FS248" s="12"/>
      <c r="FT248" s="12"/>
      <c r="FU248" s="12"/>
      <c r="FV248" s="12"/>
      <c r="FW248" s="12"/>
      <c r="FX248" s="12"/>
      <c r="FY248" s="12"/>
      <c r="FZ248" s="12"/>
      <c r="GA248" s="12"/>
      <c r="GB248" s="12"/>
      <c r="GC248" s="12"/>
      <c r="GD248" s="12"/>
      <c r="GE248" s="12"/>
      <c r="GF248" s="12"/>
      <c r="GG248" s="12"/>
      <c r="GH248" s="12"/>
      <c r="GI248" s="12"/>
      <c r="GJ248" s="12"/>
      <c r="GK248" s="12"/>
      <c r="GL248" s="12"/>
      <c r="GM248" s="12"/>
      <c r="GN248" s="12"/>
      <c r="GO248" s="12"/>
      <c r="GP248" s="12"/>
      <c r="GQ248" s="12"/>
      <c r="GR248" s="12"/>
      <c r="GS248" s="12"/>
      <c r="GT248" s="12"/>
      <c r="GU248" s="12"/>
      <c r="GV248" s="12"/>
      <c r="GW248" s="12"/>
      <c r="GX248" s="12">
        <v>0</v>
      </c>
    </row>
    <row r="250" spans="1:206" ht="13" x14ac:dyDescent="0.3">
      <c r="A250" s="13">
        <v>50</v>
      </c>
      <c r="B250" s="13">
        <v>0</v>
      </c>
      <c r="C250" s="13">
        <v>0</v>
      </c>
      <c r="D250" s="13">
        <v>1</v>
      </c>
      <c r="E250" s="13">
        <v>201</v>
      </c>
      <c r="F250" s="13">
        <f>ROUND(Source!O248,O250)</f>
        <v>475835.53</v>
      </c>
      <c r="G250" s="13" t="s">
        <v>84</v>
      </c>
      <c r="H250" s="13" t="s">
        <v>85</v>
      </c>
      <c r="I250" s="13"/>
      <c r="J250" s="13"/>
      <c r="K250" s="13">
        <v>201</v>
      </c>
      <c r="L250" s="13">
        <v>1</v>
      </c>
      <c r="M250" s="13">
        <v>3</v>
      </c>
      <c r="N250" s="13" t="s">
        <v>3</v>
      </c>
      <c r="O250" s="13">
        <v>2</v>
      </c>
      <c r="P250" s="13">
        <f>ROUND(Source!DG248,O250)</f>
        <v>3902531.87</v>
      </c>
      <c r="Q250" s="13"/>
      <c r="R250" s="13"/>
      <c r="S250" s="13"/>
      <c r="T250" s="13"/>
      <c r="U250" s="13"/>
      <c r="V250" s="13"/>
      <c r="W250" s="13">
        <v>475835.53</v>
      </c>
      <c r="X250" s="13">
        <v>1</v>
      </c>
      <c r="Y250" s="13">
        <v>475835.53</v>
      </c>
      <c r="Z250" s="13">
        <v>3902531.87</v>
      </c>
      <c r="AA250" s="13">
        <v>1</v>
      </c>
      <c r="AB250" s="13">
        <v>3902531.87</v>
      </c>
    </row>
    <row r="251" spans="1:206" ht="13" x14ac:dyDescent="0.3">
      <c r="A251" s="13">
        <v>50</v>
      </c>
      <c r="B251" s="13">
        <v>0</v>
      </c>
      <c r="C251" s="13">
        <v>0</v>
      </c>
      <c r="D251" s="13">
        <v>1</v>
      </c>
      <c r="E251" s="13">
        <v>202</v>
      </c>
      <c r="F251" s="13">
        <f>ROUND(Source!P248,O251)</f>
        <v>469082.56</v>
      </c>
      <c r="G251" s="13" t="s">
        <v>86</v>
      </c>
      <c r="H251" s="13" t="s">
        <v>87</v>
      </c>
      <c r="I251" s="13"/>
      <c r="J251" s="13"/>
      <c r="K251" s="13">
        <v>202</v>
      </c>
      <c r="L251" s="13">
        <v>2</v>
      </c>
      <c r="M251" s="13">
        <v>3</v>
      </c>
      <c r="N251" s="13" t="s">
        <v>3</v>
      </c>
      <c r="O251" s="13">
        <v>2</v>
      </c>
      <c r="P251" s="13">
        <f>ROUND(Source!DH248,O251)</f>
        <v>3575004.92</v>
      </c>
      <c r="Q251" s="13"/>
      <c r="R251" s="13"/>
      <c r="S251" s="13"/>
      <c r="T251" s="13"/>
      <c r="U251" s="13"/>
      <c r="V251" s="13"/>
      <c r="W251" s="13">
        <v>469082.56</v>
      </c>
      <c r="X251" s="13">
        <v>1</v>
      </c>
      <c r="Y251" s="13">
        <v>469082.56</v>
      </c>
      <c r="Z251" s="13">
        <v>3575004.92</v>
      </c>
      <c r="AA251" s="13">
        <v>1</v>
      </c>
      <c r="AB251" s="13">
        <v>3575004.92</v>
      </c>
    </row>
    <row r="252" spans="1:206" ht="13" x14ac:dyDescent="0.3">
      <c r="A252" s="13">
        <v>50</v>
      </c>
      <c r="B252" s="13">
        <v>0</v>
      </c>
      <c r="C252" s="13">
        <v>0</v>
      </c>
      <c r="D252" s="13">
        <v>1</v>
      </c>
      <c r="E252" s="13">
        <v>222</v>
      </c>
      <c r="F252" s="13">
        <f>ROUND(Source!AO248,O252)</f>
        <v>0</v>
      </c>
      <c r="G252" s="13" t="s">
        <v>88</v>
      </c>
      <c r="H252" s="13" t="s">
        <v>89</v>
      </c>
      <c r="I252" s="13"/>
      <c r="J252" s="13"/>
      <c r="K252" s="13">
        <v>222</v>
      </c>
      <c r="L252" s="13">
        <v>3</v>
      </c>
      <c r="M252" s="13">
        <v>3</v>
      </c>
      <c r="N252" s="13" t="s">
        <v>3</v>
      </c>
      <c r="O252" s="13">
        <v>2</v>
      </c>
      <c r="P252" s="13">
        <f>ROUND(Source!EG248,O252)</f>
        <v>0</v>
      </c>
      <c r="Q252" s="13"/>
      <c r="R252" s="13"/>
      <c r="S252" s="13"/>
      <c r="T252" s="13"/>
      <c r="U252" s="13"/>
      <c r="V252" s="13"/>
      <c r="W252" s="13">
        <v>0</v>
      </c>
      <c r="X252" s="13">
        <v>1</v>
      </c>
      <c r="Y252" s="13">
        <v>0</v>
      </c>
      <c r="Z252" s="13">
        <v>0</v>
      </c>
      <c r="AA252" s="13">
        <v>1</v>
      </c>
      <c r="AB252" s="13">
        <v>0</v>
      </c>
    </row>
    <row r="253" spans="1:206" ht="13" x14ac:dyDescent="0.3">
      <c r="A253" s="13">
        <v>50</v>
      </c>
      <c r="B253" s="13">
        <v>0</v>
      </c>
      <c r="C253" s="13">
        <v>0</v>
      </c>
      <c r="D253" s="13">
        <v>1</v>
      </c>
      <c r="E253" s="13">
        <v>225</v>
      </c>
      <c r="F253" s="13">
        <f>ROUND(Source!AV248,O253)</f>
        <v>469082.56</v>
      </c>
      <c r="G253" s="13" t="s">
        <v>90</v>
      </c>
      <c r="H253" s="13" t="s">
        <v>91</v>
      </c>
      <c r="I253" s="13"/>
      <c r="J253" s="13"/>
      <c r="K253" s="13">
        <v>225</v>
      </c>
      <c r="L253" s="13">
        <v>4</v>
      </c>
      <c r="M253" s="13">
        <v>3</v>
      </c>
      <c r="N253" s="13" t="s">
        <v>3</v>
      </c>
      <c r="O253" s="13">
        <v>2</v>
      </c>
      <c r="P253" s="13">
        <f>ROUND(Source!EN248,O253)</f>
        <v>3575004.92</v>
      </c>
      <c r="Q253" s="13"/>
      <c r="R253" s="13"/>
      <c r="S253" s="13"/>
      <c r="T253" s="13"/>
      <c r="U253" s="13"/>
      <c r="V253" s="13"/>
      <c r="W253" s="13">
        <v>469082.56</v>
      </c>
      <c r="X253" s="13">
        <v>1</v>
      </c>
      <c r="Y253" s="13">
        <v>469082.56</v>
      </c>
      <c r="Z253" s="13">
        <v>3575004.92</v>
      </c>
      <c r="AA253" s="13">
        <v>1</v>
      </c>
      <c r="AB253" s="13">
        <v>3575004.92</v>
      </c>
    </row>
    <row r="254" spans="1:206" ht="13" x14ac:dyDescent="0.3">
      <c r="A254" s="13">
        <v>50</v>
      </c>
      <c r="B254" s="13">
        <v>0</v>
      </c>
      <c r="C254" s="13">
        <v>0</v>
      </c>
      <c r="D254" s="13">
        <v>1</v>
      </c>
      <c r="E254" s="13">
        <v>226</v>
      </c>
      <c r="F254" s="13">
        <f>ROUND(Source!AW248,O254)</f>
        <v>11973.67</v>
      </c>
      <c r="G254" s="13" t="s">
        <v>92</v>
      </c>
      <c r="H254" s="13" t="s">
        <v>93</v>
      </c>
      <c r="I254" s="13"/>
      <c r="J254" s="13"/>
      <c r="K254" s="13">
        <v>226</v>
      </c>
      <c r="L254" s="13">
        <v>5</v>
      </c>
      <c r="M254" s="13">
        <v>3</v>
      </c>
      <c r="N254" s="13" t="s">
        <v>3</v>
      </c>
      <c r="O254" s="13">
        <v>2</v>
      </c>
      <c r="P254" s="13">
        <f>ROUND(Source!EO248,O254)</f>
        <v>106381.86</v>
      </c>
      <c r="Q254" s="13"/>
      <c r="R254" s="13"/>
      <c r="S254" s="13"/>
      <c r="T254" s="13"/>
      <c r="U254" s="13"/>
      <c r="V254" s="13"/>
      <c r="W254" s="13">
        <v>11973.67</v>
      </c>
      <c r="X254" s="13">
        <v>1</v>
      </c>
      <c r="Y254" s="13">
        <v>11973.67</v>
      </c>
      <c r="Z254" s="13">
        <v>106381.86</v>
      </c>
      <c r="AA254" s="13">
        <v>1</v>
      </c>
      <c r="AB254" s="13">
        <v>106381.86</v>
      </c>
    </row>
    <row r="255" spans="1:206" ht="13" x14ac:dyDescent="0.3">
      <c r="A255" s="13">
        <v>50</v>
      </c>
      <c r="B255" s="13">
        <v>0</v>
      </c>
      <c r="C255" s="13">
        <v>0</v>
      </c>
      <c r="D255" s="13">
        <v>1</v>
      </c>
      <c r="E255" s="13">
        <v>227</v>
      </c>
      <c r="F255" s="13">
        <f>ROUND(Source!AX248,O255)</f>
        <v>0</v>
      </c>
      <c r="G255" s="13" t="s">
        <v>94</v>
      </c>
      <c r="H255" s="13" t="s">
        <v>95</v>
      </c>
      <c r="I255" s="13"/>
      <c r="J255" s="13"/>
      <c r="K255" s="13">
        <v>227</v>
      </c>
      <c r="L255" s="13">
        <v>6</v>
      </c>
      <c r="M255" s="13">
        <v>3</v>
      </c>
      <c r="N255" s="13" t="s">
        <v>3</v>
      </c>
      <c r="O255" s="13">
        <v>2</v>
      </c>
      <c r="P255" s="13">
        <f>ROUND(Source!EP248,O255)</f>
        <v>0</v>
      </c>
      <c r="Q255" s="13"/>
      <c r="R255" s="13"/>
      <c r="S255" s="13"/>
      <c r="T255" s="13"/>
      <c r="U255" s="13"/>
      <c r="V255" s="13"/>
      <c r="W255" s="13">
        <v>0</v>
      </c>
      <c r="X255" s="13">
        <v>1</v>
      </c>
      <c r="Y255" s="13">
        <v>0</v>
      </c>
      <c r="Z255" s="13">
        <v>0</v>
      </c>
      <c r="AA255" s="13">
        <v>1</v>
      </c>
      <c r="AB255" s="13">
        <v>0</v>
      </c>
    </row>
    <row r="256" spans="1:206" ht="13" x14ac:dyDescent="0.3">
      <c r="A256" s="13">
        <v>50</v>
      </c>
      <c r="B256" s="13">
        <v>0</v>
      </c>
      <c r="C256" s="13">
        <v>0</v>
      </c>
      <c r="D256" s="13">
        <v>1</v>
      </c>
      <c r="E256" s="13">
        <v>228</v>
      </c>
      <c r="F256" s="13">
        <f>ROUND(Source!AY248,O256)</f>
        <v>11973.67</v>
      </c>
      <c r="G256" s="13" t="s">
        <v>96</v>
      </c>
      <c r="H256" s="13" t="s">
        <v>97</v>
      </c>
      <c r="I256" s="13"/>
      <c r="J256" s="13"/>
      <c r="K256" s="13">
        <v>228</v>
      </c>
      <c r="L256" s="13">
        <v>7</v>
      </c>
      <c r="M256" s="13">
        <v>3</v>
      </c>
      <c r="N256" s="13" t="s">
        <v>3</v>
      </c>
      <c r="O256" s="13">
        <v>2</v>
      </c>
      <c r="P256" s="13">
        <f>ROUND(Source!EQ248,O256)</f>
        <v>106381.86</v>
      </c>
      <c r="Q256" s="13"/>
      <c r="R256" s="13"/>
      <c r="S256" s="13"/>
      <c r="T256" s="13"/>
      <c r="U256" s="13"/>
      <c r="V256" s="13"/>
      <c r="W256" s="13">
        <v>11973.67</v>
      </c>
      <c r="X256" s="13">
        <v>1</v>
      </c>
      <c r="Y256" s="13">
        <v>11973.67</v>
      </c>
      <c r="Z256" s="13">
        <v>106381.86</v>
      </c>
      <c r="AA256" s="13">
        <v>1</v>
      </c>
      <c r="AB256" s="13">
        <v>106381.86</v>
      </c>
    </row>
    <row r="257" spans="1:28" ht="13" x14ac:dyDescent="0.3">
      <c r="A257" s="13">
        <v>50</v>
      </c>
      <c r="B257" s="13">
        <v>0</v>
      </c>
      <c r="C257" s="13">
        <v>0</v>
      </c>
      <c r="D257" s="13">
        <v>1</v>
      </c>
      <c r="E257" s="13">
        <v>216</v>
      </c>
      <c r="F257" s="13">
        <f>ROUND(Source!AP248,O257)</f>
        <v>457108.89</v>
      </c>
      <c r="G257" s="13" t="s">
        <v>98</v>
      </c>
      <c r="H257" s="13" t="s">
        <v>99</v>
      </c>
      <c r="I257" s="13"/>
      <c r="J257" s="13"/>
      <c r="K257" s="13">
        <v>216</v>
      </c>
      <c r="L257" s="13">
        <v>8</v>
      </c>
      <c r="M257" s="13">
        <v>3</v>
      </c>
      <c r="N257" s="13" t="s">
        <v>3</v>
      </c>
      <c r="O257" s="13">
        <v>2</v>
      </c>
      <c r="P257" s="13">
        <f>ROUND(Source!EH248,O257)</f>
        <v>3468623.06</v>
      </c>
      <c r="Q257" s="13"/>
      <c r="R257" s="13"/>
      <c r="S257" s="13"/>
      <c r="T257" s="13"/>
      <c r="U257" s="13"/>
      <c r="V257" s="13"/>
      <c r="W257" s="13">
        <v>457108.89</v>
      </c>
      <c r="X257" s="13">
        <v>1</v>
      </c>
      <c r="Y257" s="13">
        <v>457108.89</v>
      </c>
      <c r="Z257" s="13">
        <v>3468623.06</v>
      </c>
      <c r="AA257" s="13">
        <v>1</v>
      </c>
      <c r="AB257" s="13">
        <v>3468623.06</v>
      </c>
    </row>
    <row r="258" spans="1:28" ht="13" x14ac:dyDescent="0.3">
      <c r="A258" s="13">
        <v>50</v>
      </c>
      <c r="B258" s="13">
        <v>0</v>
      </c>
      <c r="C258" s="13">
        <v>0</v>
      </c>
      <c r="D258" s="13">
        <v>1</v>
      </c>
      <c r="E258" s="13">
        <v>223</v>
      </c>
      <c r="F258" s="13">
        <f>ROUND(Source!AQ248,O258)</f>
        <v>0</v>
      </c>
      <c r="G258" s="13" t="s">
        <v>100</v>
      </c>
      <c r="H258" s="13" t="s">
        <v>101</v>
      </c>
      <c r="I258" s="13"/>
      <c r="J258" s="13"/>
      <c r="K258" s="13">
        <v>223</v>
      </c>
      <c r="L258" s="13">
        <v>9</v>
      </c>
      <c r="M258" s="13">
        <v>3</v>
      </c>
      <c r="N258" s="13" t="s">
        <v>3</v>
      </c>
      <c r="O258" s="13">
        <v>2</v>
      </c>
      <c r="P258" s="13">
        <f>ROUND(Source!EI248,O258)</f>
        <v>0</v>
      </c>
      <c r="Q258" s="13"/>
      <c r="R258" s="13"/>
      <c r="S258" s="13"/>
      <c r="T258" s="13"/>
      <c r="U258" s="13"/>
      <c r="V258" s="13"/>
      <c r="W258" s="13">
        <v>0</v>
      </c>
      <c r="X258" s="13">
        <v>1</v>
      </c>
      <c r="Y258" s="13">
        <v>0</v>
      </c>
      <c r="Z258" s="13">
        <v>0</v>
      </c>
      <c r="AA258" s="13">
        <v>1</v>
      </c>
      <c r="AB258" s="13">
        <v>0</v>
      </c>
    </row>
    <row r="259" spans="1:28" ht="13" x14ac:dyDescent="0.3">
      <c r="A259" s="13">
        <v>50</v>
      </c>
      <c r="B259" s="13">
        <v>0</v>
      </c>
      <c r="C259" s="13">
        <v>0</v>
      </c>
      <c r="D259" s="13">
        <v>1</v>
      </c>
      <c r="E259" s="13">
        <v>229</v>
      </c>
      <c r="F259" s="13">
        <f>ROUND(Source!AZ248,O259)</f>
        <v>457108.89</v>
      </c>
      <c r="G259" s="13" t="s">
        <v>102</v>
      </c>
      <c r="H259" s="13" t="s">
        <v>103</v>
      </c>
      <c r="I259" s="13"/>
      <c r="J259" s="13"/>
      <c r="K259" s="13">
        <v>229</v>
      </c>
      <c r="L259" s="13">
        <v>10</v>
      </c>
      <c r="M259" s="13">
        <v>3</v>
      </c>
      <c r="N259" s="13" t="s">
        <v>3</v>
      </c>
      <c r="O259" s="13">
        <v>2</v>
      </c>
      <c r="P259" s="13">
        <f>ROUND(Source!ER248,O259)</f>
        <v>3468623.06</v>
      </c>
      <c r="Q259" s="13"/>
      <c r="R259" s="13"/>
      <c r="S259" s="13"/>
      <c r="T259" s="13"/>
      <c r="U259" s="13"/>
      <c r="V259" s="13"/>
      <c r="W259" s="13">
        <v>457108.89</v>
      </c>
      <c r="X259" s="13">
        <v>1</v>
      </c>
      <c r="Y259" s="13">
        <v>457108.89</v>
      </c>
      <c r="Z259" s="13">
        <v>3468623.06</v>
      </c>
      <c r="AA259" s="13">
        <v>1</v>
      </c>
      <c r="AB259" s="13">
        <v>3468623.06</v>
      </c>
    </row>
    <row r="260" spans="1:28" ht="13" x14ac:dyDescent="0.3">
      <c r="A260" s="13">
        <v>50</v>
      </c>
      <c r="B260" s="13">
        <v>0</v>
      </c>
      <c r="C260" s="13">
        <v>0</v>
      </c>
      <c r="D260" s="13">
        <v>1</v>
      </c>
      <c r="E260" s="13">
        <v>203</v>
      </c>
      <c r="F260" s="13">
        <f>ROUND(Source!Q248,O260)</f>
        <v>1297.17</v>
      </c>
      <c r="G260" s="13" t="s">
        <v>104</v>
      </c>
      <c r="H260" s="13" t="s">
        <v>105</v>
      </c>
      <c r="I260" s="13"/>
      <c r="J260" s="13"/>
      <c r="K260" s="13">
        <v>203</v>
      </c>
      <c r="L260" s="13">
        <v>11</v>
      </c>
      <c r="M260" s="13">
        <v>3</v>
      </c>
      <c r="N260" s="13" t="s">
        <v>3</v>
      </c>
      <c r="O260" s="13">
        <v>2</v>
      </c>
      <c r="P260" s="13">
        <f>ROUND(Source!DI248,O260)</f>
        <v>20092.62</v>
      </c>
      <c r="Q260" s="13"/>
      <c r="R260" s="13"/>
      <c r="S260" s="13"/>
      <c r="T260" s="13"/>
      <c r="U260" s="13"/>
      <c r="V260" s="13"/>
      <c r="W260" s="13">
        <v>1297.17</v>
      </c>
      <c r="X260" s="13">
        <v>1</v>
      </c>
      <c r="Y260" s="13">
        <v>1297.17</v>
      </c>
      <c r="Z260" s="13">
        <v>20092.62</v>
      </c>
      <c r="AA260" s="13">
        <v>1</v>
      </c>
      <c r="AB260" s="13">
        <v>20092.62</v>
      </c>
    </row>
    <row r="261" spans="1:28" ht="13" x14ac:dyDescent="0.3">
      <c r="A261" s="13">
        <v>50</v>
      </c>
      <c r="B261" s="13">
        <v>0</v>
      </c>
      <c r="C261" s="13">
        <v>0</v>
      </c>
      <c r="D261" s="13">
        <v>1</v>
      </c>
      <c r="E261" s="13">
        <v>231</v>
      </c>
      <c r="F261" s="13">
        <f>ROUND(Source!BB248,O261)</f>
        <v>0</v>
      </c>
      <c r="G261" s="13" t="s">
        <v>106</v>
      </c>
      <c r="H261" s="13" t="s">
        <v>107</v>
      </c>
      <c r="I261" s="13"/>
      <c r="J261" s="13"/>
      <c r="K261" s="13">
        <v>231</v>
      </c>
      <c r="L261" s="13">
        <v>12</v>
      </c>
      <c r="M261" s="13">
        <v>3</v>
      </c>
      <c r="N261" s="13" t="s">
        <v>3</v>
      </c>
      <c r="O261" s="13">
        <v>2</v>
      </c>
      <c r="P261" s="13">
        <f>ROUND(Source!ET248,O261)</f>
        <v>0</v>
      </c>
      <c r="Q261" s="13"/>
      <c r="R261" s="13"/>
      <c r="S261" s="13"/>
      <c r="T261" s="13"/>
      <c r="U261" s="13"/>
      <c r="V261" s="13"/>
      <c r="W261" s="13">
        <v>0</v>
      </c>
      <c r="X261" s="13">
        <v>1</v>
      </c>
      <c r="Y261" s="13">
        <v>0</v>
      </c>
      <c r="Z261" s="13">
        <v>0</v>
      </c>
      <c r="AA261" s="13">
        <v>1</v>
      </c>
      <c r="AB261" s="13">
        <v>0</v>
      </c>
    </row>
    <row r="262" spans="1:28" ht="13" x14ac:dyDescent="0.3">
      <c r="A262" s="13">
        <v>50</v>
      </c>
      <c r="B262" s="13">
        <v>0</v>
      </c>
      <c r="C262" s="13">
        <v>0</v>
      </c>
      <c r="D262" s="13">
        <v>1</v>
      </c>
      <c r="E262" s="13">
        <v>204</v>
      </c>
      <c r="F262" s="13">
        <f>ROUND(Source!R248,O262)</f>
        <v>144.85</v>
      </c>
      <c r="G262" s="13" t="s">
        <v>108</v>
      </c>
      <c r="H262" s="13" t="s">
        <v>109</v>
      </c>
      <c r="I262" s="13"/>
      <c r="J262" s="13"/>
      <c r="K262" s="13">
        <v>204</v>
      </c>
      <c r="L262" s="13">
        <v>13</v>
      </c>
      <c r="M262" s="13">
        <v>3</v>
      </c>
      <c r="N262" s="13" t="s">
        <v>3</v>
      </c>
      <c r="O262" s="13">
        <v>2</v>
      </c>
      <c r="P262" s="13">
        <f>ROUND(Source!DJ248,O262)</f>
        <v>8162.32</v>
      </c>
      <c r="Q262" s="13"/>
      <c r="R262" s="13"/>
      <c r="S262" s="13"/>
      <c r="T262" s="13"/>
      <c r="U262" s="13"/>
      <c r="V262" s="13"/>
      <c r="W262" s="13">
        <v>144.85</v>
      </c>
      <c r="X262" s="13">
        <v>1</v>
      </c>
      <c r="Y262" s="13">
        <v>144.85</v>
      </c>
      <c r="Z262" s="13">
        <v>8162.32</v>
      </c>
      <c r="AA262" s="13">
        <v>1</v>
      </c>
      <c r="AB262" s="13">
        <v>8162.32</v>
      </c>
    </row>
    <row r="263" spans="1:28" ht="13" x14ac:dyDescent="0.3">
      <c r="A263" s="13">
        <v>50</v>
      </c>
      <c r="B263" s="13">
        <v>0</v>
      </c>
      <c r="C263" s="13">
        <v>0</v>
      </c>
      <c r="D263" s="13">
        <v>1</v>
      </c>
      <c r="E263" s="13">
        <v>205</v>
      </c>
      <c r="F263" s="13">
        <f>ROUND(Source!S248,O263)</f>
        <v>5455.8</v>
      </c>
      <c r="G263" s="13" t="s">
        <v>110</v>
      </c>
      <c r="H263" s="13" t="s">
        <v>111</v>
      </c>
      <c r="I263" s="13"/>
      <c r="J263" s="13"/>
      <c r="K263" s="13">
        <v>205</v>
      </c>
      <c r="L263" s="13">
        <v>14</v>
      </c>
      <c r="M263" s="13">
        <v>3</v>
      </c>
      <c r="N263" s="13" t="s">
        <v>3</v>
      </c>
      <c r="O263" s="13">
        <v>2</v>
      </c>
      <c r="P263" s="13">
        <f>ROUND(Source!DK248,O263)</f>
        <v>307434.33</v>
      </c>
      <c r="Q263" s="13"/>
      <c r="R263" s="13"/>
      <c r="S263" s="13"/>
      <c r="T263" s="13"/>
      <c r="U263" s="13"/>
      <c r="V263" s="13"/>
      <c r="W263" s="13">
        <v>5455.8</v>
      </c>
      <c r="X263" s="13">
        <v>1</v>
      </c>
      <c r="Y263" s="13">
        <v>5455.8</v>
      </c>
      <c r="Z263" s="13">
        <v>307434.33</v>
      </c>
      <c r="AA263" s="13">
        <v>1</v>
      </c>
      <c r="AB263" s="13">
        <v>307434.33</v>
      </c>
    </row>
    <row r="264" spans="1:28" ht="13" x14ac:dyDescent="0.3">
      <c r="A264" s="13">
        <v>50</v>
      </c>
      <c r="B264" s="13">
        <v>0</v>
      </c>
      <c r="C264" s="13">
        <v>0</v>
      </c>
      <c r="D264" s="13">
        <v>1</v>
      </c>
      <c r="E264" s="13">
        <v>232</v>
      </c>
      <c r="F264" s="13">
        <f>ROUND(Source!BC248,O264)</f>
        <v>0</v>
      </c>
      <c r="G264" s="13" t="s">
        <v>112</v>
      </c>
      <c r="H264" s="13" t="s">
        <v>113</v>
      </c>
      <c r="I264" s="13"/>
      <c r="J264" s="13"/>
      <c r="K264" s="13">
        <v>232</v>
      </c>
      <c r="L264" s="13">
        <v>15</v>
      </c>
      <c r="M264" s="13">
        <v>3</v>
      </c>
      <c r="N264" s="13" t="s">
        <v>3</v>
      </c>
      <c r="O264" s="13">
        <v>2</v>
      </c>
      <c r="P264" s="13">
        <f>ROUND(Source!EU248,O264)</f>
        <v>0</v>
      </c>
      <c r="Q264" s="13"/>
      <c r="R264" s="13"/>
      <c r="S264" s="13"/>
      <c r="T264" s="13"/>
      <c r="U264" s="13"/>
      <c r="V264" s="13"/>
      <c r="W264" s="13">
        <v>0</v>
      </c>
      <c r="X264" s="13">
        <v>1</v>
      </c>
      <c r="Y264" s="13">
        <v>0</v>
      </c>
      <c r="Z264" s="13">
        <v>0</v>
      </c>
      <c r="AA264" s="13">
        <v>1</v>
      </c>
      <c r="AB264" s="13">
        <v>0</v>
      </c>
    </row>
    <row r="265" spans="1:28" ht="13" x14ac:dyDescent="0.3">
      <c r="A265" s="13">
        <v>50</v>
      </c>
      <c r="B265" s="13">
        <v>0</v>
      </c>
      <c r="C265" s="13">
        <v>0</v>
      </c>
      <c r="D265" s="13">
        <v>1</v>
      </c>
      <c r="E265" s="13">
        <v>214</v>
      </c>
      <c r="F265" s="13">
        <f>ROUND(Source!AS248,O265)</f>
        <v>412.71</v>
      </c>
      <c r="G265" s="13" t="s">
        <v>114</v>
      </c>
      <c r="H265" s="13" t="s">
        <v>115</v>
      </c>
      <c r="I265" s="13"/>
      <c r="J265" s="13"/>
      <c r="K265" s="13">
        <v>214</v>
      </c>
      <c r="L265" s="13">
        <v>16</v>
      </c>
      <c r="M265" s="13">
        <v>3</v>
      </c>
      <c r="N265" s="13" t="s">
        <v>3</v>
      </c>
      <c r="O265" s="13">
        <v>2</v>
      </c>
      <c r="P265" s="13">
        <f>ROUND(Source!EK248,O265)</f>
        <v>23255.94</v>
      </c>
      <c r="Q265" s="13"/>
      <c r="R265" s="13"/>
      <c r="S265" s="13"/>
      <c r="T265" s="13"/>
      <c r="U265" s="13"/>
      <c r="V265" s="13"/>
      <c r="W265" s="13">
        <v>412.71</v>
      </c>
      <c r="X265" s="13">
        <v>1</v>
      </c>
      <c r="Y265" s="13">
        <v>412.71</v>
      </c>
      <c r="Z265" s="13">
        <v>23255.94</v>
      </c>
      <c r="AA265" s="13">
        <v>1</v>
      </c>
      <c r="AB265" s="13">
        <v>23255.94</v>
      </c>
    </row>
    <row r="266" spans="1:28" ht="13" x14ac:dyDescent="0.3">
      <c r="A266" s="13">
        <v>50</v>
      </c>
      <c r="B266" s="13">
        <v>0</v>
      </c>
      <c r="C266" s="13">
        <v>0</v>
      </c>
      <c r="D266" s="13">
        <v>1</v>
      </c>
      <c r="E266" s="13">
        <v>215</v>
      </c>
      <c r="F266" s="13">
        <f>ROUND(Source!AT248,O266)</f>
        <v>25989.96</v>
      </c>
      <c r="G266" s="13" t="s">
        <v>116</v>
      </c>
      <c r="H266" s="13" t="s">
        <v>117</v>
      </c>
      <c r="I266" s="13"/>
      <c r="J266" s="13"/>
      <c r="K266" s="13">
        <v>215</v>
      </c>
      <c r="L266" s="13">
        <v>17</v>
      </c>
      <c r="M266" s="13">
        <v>3</v>
      </c>
      <c r="N266" s="13" t="s">
        <v>3</v>
      </c>
      <c r="O266" s="13">
        <v>2</v>
      </c>
      <c r="P266" s="13">
        <f>ROUND(Source!EL248,O266)</f>
        <v>843196.8</v>
      </c>
      <c r="Q266" s="13"/>
      <c r="R266" s="13"/>
      <c r="S266" s="13"/>
      <c r="T266" s="13"/>
      <c r="U266" s="13"/>
      <c r="V266" s="13"/>
      <c r="W266" s="13">
        <v>25989.96</v>
      </c>
      <c r="X266" s="13">
        <v>1</v>
      </c>
      <c r="Y266" s="13">
        <v>25989.96</v>
      </c>
      <c r="Z266" s="13">
        <v>843196.8</v>
      </c>
      <c r="AA266" s="13">
        <v>1</v>
      </c>
      <c r="AB266" s="13">
        <v>843196.8</v>
      </c>
    </row>
    <row r="267" spans="1:28" ht="13" x14ac:dyDescent="0.3">
      <c r="A267" s="13">
        <v>50</v>
      </c>
      <c r="B267" s="13">
        <v>0</v>
      </c>
      <c r="C267" s="13">
        <v>0</v>
      </c>
      <c r="D267" s="13">
        <v>1</v>
      </c>
      <c r="E267" s="13">
        <v>217</v>
      </c>
      <c r="F267" s="13">
        <f>ROUND(Source!AU248,O267)</f>
        <v>0</v>
      </c>
      <c r="G267" s="13" t="s">
        <v>118</v>
      </c>
      <c r="H267" s="13" t="s">
        <v>119</v>
      </c>
      <c r="I267" s="13"/>
      <c r="J267" s="13"/>
      <c r="K267" s="13">
        <v>217</v>
      </c>
      <c r="L267" s="13">
        <v>18</v>
      </c>
      <c r="M267" s="13">
        <v>3</v>
      </c>
      <c r="N267" s="13" t="s">
        <v>3</v>
      </c>
      <c r="O267" s="13">
        <v>2</v>
      </c>
      <c r="P267" s="13">
        <f>ROUND(Source!EM248,O267)</f>
        <v>0</v>
      </c>
      <c r="Q267" s="13"/>
      <c r="R267" s="13"/>
      <c r="S267" s="13"/>
      <c r="T267" s="13"/>
      <c r="U267" s="13"/>
      <c r="V267" s="13"/>
      <c r="W267" s="13">
        <v>0</v>
      </c>
      <c r="X267" s="13">
        <v>1</v>
      </c>
      <c r="Y267" s="13">
        <v>0</v>
      </c>
      <c r="Z267" s="13">
        <v>0</v>
      </c>
      <c r="AA267" s="13">
        <v>1</v>
      </c>
      <c r="AB267" s="13">
        <v>0</v>
      </c>
    </row>
    <row r="268" spans="1:28" ht="13" x14ac:dyDescent="0.3">
      <c r="A268" s="13">
        <v>50</v>
      </c>
      <c r="B268" s="13">
        <v>0</v>
      </c>
      <c r="C268" s="13">
        <v>0</v>
      </c>
      <c r="D268" s="13">
        <v>1</v>
      </c>
      <c r="E268" s="13">
        <v>230</v>
      </c>
      <c r="F268" s="13">
        <f>ROUND(Source!BA248,O268)</f>
        <v>0</v>
      </c>
      <c r="G268" s="13" t="s">
        <v>120</v>
      </c>
      <c r="H268" s="13" t="s">
        <v>121</v>
      </c>
      <c r="I268" s="13"/>
      <c r="J268" s="13"/>
      <c r="K268" s="13">
        <v>230</v>
      </c>
      <c r="L268" s="13">
        <v>19</v>
      </c>
      <c r="M268" s="13">
        <v>3</v>
      </c>
      <c r="N268" s="13" t="s">
        <v>3</v>
      </c>
      <c r="O268" s="13">
        <v>2</v>
      </c>
      <c r="P268" s="13">
        <f>ROUND(Source!ES248,O268)</f>
        <v>0</v>
      </c>
      <c r="Q268" s="13"/>
      <c r="R268" s="13"/>
      <c r="S268" s="13"/>
      <c r="T268" s="13"/>
      <c r="U268" s="13"/>
      <c r="V268" s="13"/>
      <c r="W268" s="13">
        <v>0</v>
      </c>
      <c r="X268" s="13">
        <v>1</v>
      </c>
      <c r="Y268" s="13">
        <v>0</v>
      </c>
      <c r="Z268" s="13">
        <v>0</v>
      </c>
      <c r="AA268" s="13">
        <v>1</v>
      </c>
      <c r="AB268" s="13">
        <v>0</v>
      </c>
    </row>
    <row r="269" spans="1:28" ht="13" x14ac:dyDescent="0.3">
      <c r="A269" s="13">
        <v>50</v>
      </c>
      <c r="B269" s="13">
        <v>0</v>
      </c>
      <c r="C269" s="13">
        <v>0</v>
      </c>
      <c r="D269" s="13">
        <v>1</v>
      </c>
      <c r="E269" s="13">
        <v>206</v>
      </c>
      <c r="F269" s="13">
        <f>ROUND(Source!T248,O269)</f>
        <v>0</v>
      </c>
      <c r="G269" s="13" t="s">
        <v>122</v>
      </c>
      <c r="H269" s="13" t="s">
        <v>123</v>
      </c>
      <c r="I269" s="13"/>
      <c r="J269" s="13"/>
      <c r="K269" s="13">
        <v>206</v>
      </c>
      <c r="L269" s="13">
        <v>20</v>
      </c>
      <c r="M269" s="13">
        <v>3</v>
      </c>
      <c r="N269" s="13" t="s">
        <v>3</v>
      </c>
      <c r="O269" s="13">
        <v>2</v>
      </c>
      <c r="P269" s="13">
        <f>ROUND(Source!DL248,O269)</f>
        <v>0</v>
      </c>
      <c r="Q269" s="13"/>
      <c r="R269" s="13"/>
      <c r="S269" s="13"/>
      <c r="T269" s="13"/>
      <c r="U269" s="13"/>
      <c r="V269" s="13"/>
      <c r="W269" s="13">
        <v>0</v>
      </c>
      <c r="X269" s="13">
        <v>1</v>
      </c>
      <c r="Y269" s="13">
        <v>0</v>
      </c>
      <c r="Z269" s="13">
        <v>0</v>
      </c>
      <c r="AA269" s="13">
        <v>1</v>
      </c>
      <c r="AB269" s="13">
        <v>0</v>
      </c>
    </row>
    <row r="270" spans="1:28" ht="13" x14ac:dyDescent="0.3">
      <c r="A270" s="13">
        <v>50</v>
      </c>
      <c r="B270" s="13">
        <v>0</v>
      </c>
      <c r="C270" s="13">
        <v>0</v>
      </c>
      <c r="D270" s="13">
        <v>1</v>
      </c>
      <c r="E270" s="13">
        <v>207</v>
      </c>
      <c r="F270" s="13">
        <f>Source!U248</f>
        <v>399.26218428000004</v>
      </c>
      <c r="G270" s="13" t="s">
        <v>124</v>
      </c>
      <c r="H270" s="13" t="s">
        <v>125</v>
      </c>
      <c r="I270" s="13"/>
      <c r="J270" s="13"/>
      <c r="K270" s="13">
        <v>207</v>
      </c>
      <c r="L270" s="13">
        <v>21</v>
      </c>
      <c r="M270" s="13">
        <v>3</v>
      </c>
      <c r="N270" s="13" t="s">
        <v>3</v>
      </c>
      <c r="O270" s="13">
        <v>-1</v>
      </c>
      <c r="P270" s="13">
        <f>Source!DM248</f>
        <v>399.26218428000004</v>
      </c>
      <c r="Q270" s="13"/>
      <c r="R270" s="13"/>
      <c r="S270" s="13"/>
      <c r="T270" s="13"/>
      <c r="U270" s="13"/>
      <c r="V270" s="13"/>
      <c r="W270" s="13">
        <v>399.26218428000004</v>
      </c>
      <c r="X270" s="13">
        <v>1</v>
      </c>
      <c r="Y270" s="13">
        <v>399.26218428000004</v>
      </c>
      <c r="Z270" s="13">
        <v>399.26218428000004</v>
      </c>
      <c r="AA270" s="13">
        <v>1</v>
      </c>
      <c r="AB270" s="13">
        <v>399.26218428000004</v>
      </c>
    </row>
    <row r="271" spans="1:28" ht="13" x14ac:dyDescent="0.3">
      <c r="A271" s="13">
        <v>50</v>
      </c>
      <c r="B271" s="13">
        <v>0</v>
      </c>
      <c r="C271" s="13">
        <v>0</v>
      </c>
      <c r="D271" s="13">
        <v>1</v>
      </c>
      <c r="E271" s="13">
        <v>208</v>
      </c>
      <c r="F271" s="13">
        <f>Source!V248</f>
        <v>0</v>
      </c>
      <c r="G271" s="13" t="s">
        <v>126</v>
      </c>
      <c r="H271" s="13" t="s">
        <v>127</v>
      </c>
      <c r="I271" s="13"/>
      <c r="J271" s="13"/>
      <c r="K271" s="13">
        <v>208</v>
      </c>
      <c r="L271" s="13">
        <v>22</v>
      </c>
      <c r="M271" s="13">
        <v>3</v>
      </c>
      <c r="N271" s="13" t="s">
        <v>3</v>
      </c>
      <c r="O271" s="13">
        <v>-1</v>
      </c>
      <c r="P271" s="13">
        <f>Source!DN248</f>
        <v>0</v>
      </c>
      <c r="Q271" s="13"/>
      <c r="R271" s="13"/>
      <c r="S271" s="13"/>
      <c r="T271" s="13"/>
      <c r="U271" s="13"/>
      <c r="V271" s="13"/>
      <c r="W271" s="13">
        <v>0</v>
      </c>
      <c r="X271" s="13">
        <v>1</v>
      </c>
      <c r="Y271" s="13">
        <v>0</v>
      </c>
      <c r="Z271" s="13">
        <v>0</v>
      </c>
      <c r="AA271" s="13">
        <v>1</v>
      </c>
      <c r="AB271" s="13">
        <v>0</v>
      </c>
    </row>
    <row r="272" spans="1:28" ht="13" x14ac:dyDescent="0.3">
      <c r="A272" s="13">
        <v>50</v>
      </c>
      <c r="B272" s="13">
        <v>0</v>
      </c>
      <c r="C272" s="13">
        <v>0</v>
      </c>
      <c r="D272" s="13">
        <v>1</v>
      </c>
      <c r="E272" s="13">
        <v>209</v>
      </c>
      <c r="F272" s="13">
        <f>ROUND(Source!W248,O272)</f>
        <v>0</v>
      </c>
      <c r="G272" s="13" t="s">
        <v>128</v>
      </c>
      <c r="H272" s="13" t="s">
        <v>129</v>
      </c>
      <c r="I272" s="13"/>
      <c r="J272" s="13"/>
      <c r="K272" s="13">
        <v>209</v>
      </c>
      <c r="L272" s="13">
        <v>23</v>
      </c>
      <c r="M272" s="13">
        <v>3</v>
      </c>
      <c r="N272" s="13" t="s">
        <v>3</v>
      </c>
      <c r="O272" s="13">
        <v>2</v>
      </c>
      <c r="P272" s="13">
        <f>ROUND(Source!DO248,O272)</f>
        <v>0</v>
      </c>
      <c r="Q272" s="13"/>
      <c r="R272" s="13"/>
      <c r="S272" s="13"/>
      <c r="T272" s="13"/>
      <c r="U272" s="13"/>
      <c r="V272" s="13"/>
      <c r="W272" s="13">
        <v>0</v>
      </c>
      <c r="X272" s="13">
        <v>1</v>
      </c>
      <c r="Y272" s="13">
        <v>0</v>
      </c>
      <c r="Z272" s="13">
        <v>0</v>
      </c>
      <c r="AA272" s="13">
        <v>1</v>
      </c>
      <c r="AB272" s="13">
        <v>0</v>
      </c>
    </row>
    <row r="273" spans="1:206" ht="13" x14ac:dyDescent="0.3">
      <c r="A273" s="13">
        <v>50</v>
      </c>
      <c r="B273" s="13">
        <v>0</v>
      </c>
      <c r="C273" s="13">
        <v>0</v>
      </c>
      <c r="D273" s="13">
        <v>1</v>
      </c>
      <c r="E273" s="13">
        <v>233</v>
      </c>
      <c r="F273" s="13">
        <f>ROUND(Source!BD248,O273)</f>
        <v>0</v>
      </c>
      <c r="G273" s="13" t="s">
        <v>130</v>
      </c>
      <c r="H273" s="13" t="s">
        <v>131</v>
      </c>
      <c r="I273" s="13"/>
      <c r="J273" s="13"/>
      <c r="K273" s="13">
        <v>233</v>
      </c>
      <c r="L273" s="13">
        <v>24</v>
      </c>
      <c r="M273" s="13">
        <v>3</v>
      </c>
      <c r="N273" s="13" t="s">
        <v>3</v>
      </c>
      <c r="O273" s="13">
        <v>2</v>
      </c>
      <c r="P273" s="13">
        <f>ROUND(Source!EV248,O273)</f>
        <v>0</v>
      </c>
      <c r="Q273" s="13"/>
      <c r="R273" s="13"/>
      <c r="S273" s="13"/>
      <c r="T273" s="13"/>
      <c r="U273" s="13"/>
      <c r="V273" s="13"/>
      <c r="W273" s="13">
        <v>0</v>
      </c>
      <c r="X273" s="13">
        <v>1</v>
      </c>
      <c r="Y273" s="13">
        <v>0</v>
      </c>
      <c r="Z273" s="13">
        <v>0</v>
      </c>
      <c r="AA273" s="13">
        <v>1</v>
      </c>
      <c r="AB273" s="13">
        <v>0</v>
      </c>
    </row>
    <row r="274" spans="1:206" ht="13" x14ac:dyDescent="0.3">
      <c r="A274" s="13">
        <v>50</v>
      </c>
      <c r="B274" s="13">
        <v>0</v>
      </c>
      <c r="C274" s="13">
        <v>0</v>
      </c>
      <c r="D274" s="13">
        <v>1</v>
      </c>
      <c r="E274" s="13">
        <v>210</v>
      </c>
      <c r="F274" s="13">
        <f>ROUND(Source!X248,O274)</f>
        <v>5064.8</v>
      </c>
      <c r="G274" s="13" t="s">
        <v>132</v>
      </c>
      <c r="H274" s="13" t="s">
        <v>133</v>
      </c>
      <c r="I274" s="13"/>
      <c r="J274" s="13"/>
      <c r="K274" s="13">
        <v>210</v>
      </c>
      <c r="L274" s="13">
        <v>25</v>
      </c>
      <c r="M274" s="13">
        <v>3</v>
      </c>
      <c r="N274" s="13" t="s">
        <v>3</v>
      </c>
      <c r="O274" s="13">
        <v>2</v>
      </c>
      <c r="P274" s="13">
        <f>ROUND(Source!DP248,O274)</f>
        <v>285401.19</v>
      </c>
      <c r="Q274" s="13"/>
      <c r="R274" s="13"/>
      <c r="S274" s="13"/>
      <c r="T274" s="13"/>
      <c r="U274" s="13"/>
      <c r="V274" s="13"/>
      <c r="W274" s="13">
        <v>5064.8</v>
      </c>
      <c r="X274" s="13">
        <v>1</v>
      </c>
      <c r="Y274" s="13">
        <v>5064.8</v>
      </c>
      <c r="Z274" s="13">
        <v>285401.19</v>
      </c>
      <c r="AA274" s="13">
        <v>1</v>
      </c>
      <c r="AB274" s="13">
        <v>285401.19</v>
      </c>
    </row>
    <row r="275" spans="1:206" ht="13" x14ac:dyDescent="0.3">
      <c r="A275" s="13">
        <v>50</v>
      </c>
      <c r="B275" s="13">
        <v>0</v>
      </c>
      <c r="C275" s="13">
        <v>0</v>
      </c>
      <c r="D275" s="13">
        <v>1</v>
      </c>
      <c r="E275" s="13">
        <v>211</v>
      </c>
      <c r="F275" s="13">
        <f>ROUND(Source!Y248,O275)</f>
        <v>2611.23</v>
      </c>
      <c r="G275" s="13" t="s">
        <v>134</v>
      </c>
      <c r="H275" s="13" t="s">
        <v>135</v>
      </c>
      <c r="I275" s="13"/>
      <c r="J275" s="13"/>
      <c r="K275" s="13">
        <v>211</v>
      </c>
      <c r="L275" s="13">
        <v>26</v>
      </c>
      <c r="M275" s="13">
        <v>3</v>
      </c>
      <c r="N275" s="13" t="s">
        <v>3</v>
      </c>
      <c r="O275" s="13">
        <v>2</v>
      </c>
      <c r="P275" s="13">
        <f>ROUND(Source!DQ248,O275)</f>
        <v>147142.74</v>
      </c>
      <c r="Q275" s="13"/>
      <c r="R275" s="13"/>
      <c r="S275" s="13"/>
      <c r="T275" s="13"/>
      <c r="U275" s="13"/>
      <c r="V275" s="13"/>
      <c r="W275" s="13">
        <v>2611.23</v>
      </c>
      <c r="X275" s="13">
        <v>1</v>
      </c>
      <c r="Y275" s="13">
        <v>2611.23</v>
      </c>
      <c r="Z275" s="13">
        <v>147142.74</v>
      </c>
      <c r="AA275" s="13">
        <v>1</v>
      </c>
      <c r="AB275" s="13">
        <v>147142.74</v>
      </c>
    </row>
    <row r="276" spans="1:206" ht="13" x14ac:dyDescent="0.3">
      <c r="A276" s="13">
        <v>50</v>
      </c>
      <c r="B276" s="13">
        <v>0</v>
      </c>
      <c r="C276" s="13">
        <v>0</v>
      </c>
      <c r="D276" s="13">
        <v>1</v>
      </c>
      <c r="E276" s="13">
        <v>224</v>
      </c>
      <c r="F276" s="13">
        <f>ROUND(Source!AR248,O276)</f>
        <v>483511.56</v>
      </c>
      <c r="G276" s="13" t="s">
        <v>136</v>
      </c>
      <c r="H276" s="13" t="s">
        <v>137</v>
      </c>
      <c r="I276" s="13"/>
      <c r="J276" s="13"/>
      <c r="K276" s="13">
        <v>224</v>
      </c>
      <c r="L276" s="13">
        <v>27</v>
      </c>
      <c r="M276" s="13">
        <v>3</v>
      </c>
      <c r="N276" s="13" t="s">
        <v>3</v>
      </c>
      <c r="O276" s="13">
        <v>2</v>
      </c>
      <c r="P276" s="13">
        <f>ROUND(Source!EJ248,O276)</f>
        <v>4335075.8</v>
      </c>
      <c r="Q276" s="13"/>
      <c r="R276" s="13"/>
      <c r="S276" s="13"/>
      <c r="T276" s="13"/>
      <c r="U276" s="13"/>
      <c r="V276" s="13"/>
      <c r="W276" s="13">
        <v>483511.56</v>
      </c>
      <c r="X276" s="13">
        <v>1</v>
      </c>
      <c r="Y276" s="13">
        <v>483511.56</v>
      </c>
      <c r="Z276" s="13">
        <v>4335075.8</v>
      </c>
      <c r="AA276" s="13">
        <v>1</v>
      </c>
      <c r="AB276" s="13">
        <v>4335075.8</v>
      </c>
    </row>
    <row r="278" spans="1:206" ht="13" x14ac:dyDescent="0.3">
      <c r="A278" s="11">
        <v>51</v>
      </c>
      <c r="B278" s="11">
        <f>B12</f>
        <v>317</v>
      </c>
      <c r="C278" s="11">
        <f>A12</f>
        <v>1</v>
      </c>
      <c r="D278" s="11">
        <f>ROW(A12)</f>
        <v>12</v>
      </c>
      <c r="E278" s="11"/>
      <c r="F278" s="11" t="str">
        <f>IF(F12&lt;&gt;"",F12,"")</f>
        <v>02-01-15</v>
      </c>
      <c r="G278" s="11" t="str">
        <f>IF(G12&lt;&gt;"",G12,"")</f>
        <v>02-01-15 СКУД 16.07.26</v>
      </c>
      <c r="H278" s="11">
        <v>0</v>
      </c>
      <c r="I278" s="11"/>
      <c r="J278" s="11"/>
      <c r="K278" s="11"/>
      <c r="L278" s="11"/>
      <c r="M278" s="11"/>
      <c r="N278" s="11"/>
      <c r="O278" s="11">
        <f t="shared" ref="O278:T278" si="199">ROUND(O248,2)</f>
        <v>475835.53</v>
      </c>
      <c r="P278" s="11">
        <f t="shared" si="199"/>
        <v>469082.56</v>
      </c>
      <c r="Q278" s="11">
        <f t="shared" si="199"/>
        <v>1297.17</v>
      </c>
      <c r="R278" s="11">
        <f t="shared" si="199"/>
        <v>144.85</v>
      </c>
      <c r="S278" s="11">
        <f t="shared" si="199"/>
        <v>5455.8</v>
      </c>
      <c r="T278" s="11">
        <f t="shared" si="199"/>
        <v>0</v>
      </c>
      <c r="U278" s="11">
        <f>U248</f>
        <v>399.26218428000004</v>
      </c>
      <c r="V278" s="11">
        <f>V248</f>
        <v>0</v>
      </c>
      <c r="W278" s="11">
        <f>ROUND(W248,2)</f>
        <v>0</v>
      </c>
      <c r="X278" s="11">
        <f>ROUND(X248,2)</f>
        <v>5064.8</v>
      </c>
      <c r="Y278" s="11">
        <f>ROUND(Y248,2)</f>
        <v>2611.23</v>
      </c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>
        <f t="shared" ref="AO278:BD278" si="200">ROUND(AO248,2)</f>
        <v>0</v>
      </c>
      <c r="AP278" s="11">
        <f t="shared" si="200"/>
        <v>457108.89</v>
      </c>
      <c r="AQ278" s="11">
        <f t="shared" si="200"/>
        <v>0</v>
      </c>
      <c r="AR278" s="11">
        <f t="shared" si="200"/>
        <v>483511.56</v>
      </c>
      <c r="AS278" s="11">
        <f t="shared" si="200"/>
        <v>412.71</v>
      </c>
      <c r="AT278" s="11">
        <f t="shared" si="200"/>
        <v>25989.96</v>
      </c>
      <c r="AU278" s="11">
        <f t="shared" si="200"/>
        <v>0</v>
      </c>
      <c r="AV278" s="11">
        <f t="shared" si="200"/>
        <v>469082.56</v>
      </c>
      <c r="AW278" s="11">
        <f t="shared" si="200"/>
        <v>11973.67</v>
      </c>
      <c r="AX278" s="11">
        <f t="shared" si="200"/>
        <v>0</v>
      </c>
      <c r="AY278" s="11">
        <f t="shared" si="200"/>
        <v>11973.67</v>
      </c>
      <c r="AZ278" s="11">
        <f t="shared" si="200"/>
        <v>457108.89</v>
      </c>
      <c r="BA278" s="11">
        <f t="shared" si="200"/>
        <v>0</v>
      </c>
      <c r="BB278" s="11">
        <f t="shared" si="200"/>
        <v>0</v>
      </c>
      <c r="BC278" s="11">
        <f t="shared" si="200"/>
        <v>0</v>
      </c>
      <c r="BD278" s="11">
        <f t="shared" si="200"/>
        <v>0</v>
      </c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1"/>
      <c r="CZ278" s="11"/>
      <c r="DA278" s="11"/>
      <c r="DB278" s="11"/>
      <c r="DC278" s="11"/>
      <c r="DD278" s="11"/>
      <c r="DE278" s="11"/>
      <c r="DF278" s="11"/>
      <c r="DG278" s="12">
        <f t="shared" ref="DG278:DL278" si="201">ROUND(DG248,2)</f>
        <v>3902531.87</v>
      </c>
      <c r="DH278" s="12">
        <f t="shared" si="201"/>
        <v>3575004.92</v>
      </c>
      <c r="DI278" s="12">
        <f t="shared" si="201"/>
        <v>20092.62</v>
      </c>
      <c r="DJ278" s="12">
        <f t="shared" si="201"/>
        <v>8162.32</v>
      </c>
      <c r="DK278" s="12">
        <f t="shared" si="201"/>
        <v>307434.33</v>
      </c>
      <c r="DL278" s="12">
        <f t="shared" si="201"/>
        <v>0</v>
      </c>
      <c r="DM278" s="12">
        <f>DM248</f>
        <v>399.26218428000004</v>
      </c>
      <c r="DN278" s="12">
        <f>DN248</f>
        <v>0</v>
      </c>
      <c r="DO278" s="12">
        <f>ROUND(DO248,2)</f>
        <v>0</v>
      </c>
      <c r="DP278" s="12">
        <f>ROUND(DP248,2)</f>
        <v>285401.19</v>
      </c>
      <c r="DQ278" s="12">
        <f>ROUND(DQ248,2)</f>
        <v>147142.74</v>
      </c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>
        <f t="shared" ref="EG278:EV278" si="202">ROUND(EG248,2)</f>
        <v>0</v>
      </c>
      <c r="EH278" s="12">
        <f t="shared" si="202"/>
        <v>3468623.06</v>
      </c>
      <c r="EI278" s="12">
        <f t="shared" si="202"/>
        <v>0</v>
      </c>
      <c r="EJ278" s="12">
        <f t="shared" si="202"/>
        <v>4335075.8</v>
      </c>
      <c r="EK278" s="12">
        <f t="shared" si="202"/>
        <v>23255.94</v>
      </c>
      <c r="EL278" s="12">
        <f t="shared" si="202"/>
        <v>843196.8</v>
      </c>
      <c r="EM278" s="12">
        <f t="shared" si="202"/>
        <v>0</v>
      </c>
      <c r="EN278" s="12">
        <f t="shared" si="202"/>
        <v>3575004.92</v>
      </c>
      <c r="EO278" s="12">
        <f t="shared" si="202"/>
        <v>106381.86</v>
      </c>
      <c r="EP278" s="12">
        <f t="shared" si="202"/>
        <v>0</v>
      </c>
      <c r="EQ278" s="12">
        <f t="shared" si="202"/>
        <v>106381.86</v>
      </c>
      <c r="ER278" s="12">
        <f t="shared" si="202"/>
        <v>3468623.06</v>
      </c>
      <c r="ES278" s="12">
        <f t="shared" si="202"/>
        <v>0</v>
      </c>
      <c r="ET278" s="12">
        <f t="shared" si="202"/>
        <v>0</v>
      </c>
      <c r="EU278" s="12">
        <f t="shared" si="202"/>
        <v>0</v>
      </c>
      <c r="EV278" s="12">
        <f t="shared" si="202"/>
        <v>0</v>
      </c>
      <c r="EW278" s="12"/>
      <c r="EX278" s="12"/>
      <c r="EY278" s="12"/>
      <c r="EZ278" s="12"/>
      <c r="FA278" s="12"/>
      <c r="FB278" s="12"/>
      <c r="FC278" s="12"/>
      <c r="FD278" s="12"/>
      <c r="FE278" s="12"/>
      <c r="FF278" s="12"/>
      <c r="FG278" s="12"/>
      <c r="FH278" s="12"/>
      <c r="FI278" s="12"/>
      <c r="FJ278" s="12"/>
      <c r="FK278" s="12"/>
      <c r="FL278" s="12"/>
      <c r="FM278" s="12"/>
      <c r="FN278" s="12"/>
      <c r="FO278" s="12"/>
      <c r="FP278" s="12"/>
      <c r="FQ278" s="12"/>
      <c r="FR278" s="12"/>
      <c r="FS278" s="12"/>
      <c r="FT278" s="12"/>
      <c r="FU278" s="12"/>
      <c r="FV278" s="12"/>
      <c r="FW278" s="12"/>
      <c r="FX278" s="12"/>
      <c r="FY278" s="12"/>
      <c r="FZ278" s="12"/>
      <c r="GA278" s="12"/>
      <c r="GB278" s="12"/>
      <c r="GC278" s="12"/>
      <c r="GD278" s="12"/>
      <c r="GE278" s="12"/>
      <c r="GF278" s="12"/>
      <c r="GG278" s="12"/>
      <c r="GH278" s="12"/>
      <c r="GI278" s="12"/>
      <c r="GJ278" s="12"/>
      <c r="GK278" s="12"/>
      <c r="GL278" s="12"/>
      <c r="GM278" s="12"/>
      <c r="GN278" s="12"/>
      <c r="GO278" s="12"/>
      <c r="GP278" s="12"/>
      <c r="GQ278" s="12"/>
      <c r="GR278" s="12"/>
      <c r="GS278" s="12"/>
      <c r="GT278" s="12"/>
      <c r="GU278" s="12"/>
      <c r="GV278" s="12"/>
      <c r="GW278" s="12"/>
      <c r="GX278" s="12">
        <v>0</v>
      </c>
    </row>
    <row r="280" spans="1:206" ht="13" x14ac:dyDescent="0.3">
      <c r="A280" s="13">
        <v>50</v>
      </c>
      <c r="B280" s="13">
        <v>0</v>
      </c>
      <c r="C280" s="13">
        <v>0</v>
      </c>
      <c r="D280" s="13">
        <v>1</v>
      </c>
      <c r="E280" s="13">
        <v>201</v>
      </c>
      <c r="F280" s="13">
        <f>ROUND(Source!O278,O280)</f>
        <v>475835.53</v>
      </c>
      <c r="G280" s="13" t="s">
        <v>84</v>
      </c>
      <c r="H280" s="13" t="s">
        <v>85</v>
      </c>
      <c r="I280" s="13"/>
      <c r="J280" s="13"/>
      <c r="K280" s="13">
        <v>201</v>
      </c>
      <c r="L280" s="13">
        <v>1</v>
      </c>
      <c r="M280" s="13">
        <v>3</v>
      </c>
      <c r="N280" s="13" t="s">
        <v>3</v>
      </c>
      <c r="O280" s="13">
        <v>2</v>
      </c>
      <c r="P280" s="13">
        <f>ROUND(Source!DG278,O280)</f>
        <v>3902531.87</v>
      </c>
      <c r="Q280" s="13"/>
      <c r="R280" s="13"/>
      <c r="S280" s="13"/>
      <c r="T280" s="13"/>
      <c r="U280" s="13"/>
      <c r="V280" s="13"/>
      <c r="W280" s="13">
        <v>475835.53</v>
      </c>
      <c r="X280" s="13">
        <v>1</v>
      </c>
      <c r="Y280" s="13">
        <v>475835.53</v>
      </c>
      <c r="Z280" s="13">
        <v>3902531.87</v>
      </c>
      <c r="AA280" s="13">
        <v>1</v>
      </c>
      <c r="AB280" s="13">
        <v>3902531.87</v>
      </c>
    </row>
    <row r="281" spans="1:206" ht="13" x14ac:dyDescent="0.3">
      <c r="A281" s="13">
        <v>50</v>
      </c>
      <c r="B281" s="13">
        <v>0</v>
      </c>
      <c r="C281" s="13">
        <v>0</v>
      </c>
      <c r="D281" s="13">
        <v>1</v>
      </c>
      <c r="E281" s="13">
        <v>202</v>
      </c>
      <c r="F281" s="13">
        <f>ROUND(Source!P278,O281)</f>
        <v>469082.56</v>
      </c>
      <c r="G281" s="13" t="s">
        <v>86</v>
      </c>
      <c r="H281" s="13" t="s">
        <v>87</v>
      </c>
      <c r="I281" s="13"/>
      <c r="J281" s="13"/>
      <c r="K281" s="13">
        <v>202</v>
      </c>
      <c r="L281" s="13">
        <v>2</v>
      </c>
      <c r="M281" s="13">
        <v>3</v>
      </c>
      <c r="N281" s="13" t="s">
        <v>3</v>
      </c>
      <c r="O281" s="13">
        <v>2</v>
      </c>
      <c r="P281" s="13">
        <f>ROUND(Source!DH278,O281)</f>
        <v>3575004.92</v>
      </c>
      <c r="Q281" s="13"/>
      <c r="R281" s="13"/>
      <c r="S281" s="13"/>
      <c r="T281" s="13"/>
      <c r="U281" s="13"/>
      <c r="V281" s="13"/>
      <c r="W281" s="13">
        <v>469082.56</v>
      </c>
      <c r="X281" s="13">
        <v>1</v>
      </c>
      <c r="Y281" s="13">
        <v>469082.56</v>
      </c>
      <c r="Z281" s="13">
        <v>3575004.92</v>
      </c>
      <c r="AA281" s="13">
        <v>1</v>
      </c>
      <c r="AB281" s="13">
        <v>3575004.92</v>
      </c>
    </row>
    <row r="282" spans="1:206" ht="13" x14ac:dyDescent="0.3">
      <c r="A282" s="13">
        <v>50</v>
      </c>
      <c r="B282" s="13">
        <v>0</v>
      </c>
      <c r="C282" s="13">
        <v>0</v>
      </c>
      <c r="D282" s="13">
        <v>1</v>
      </c>
      <c r="E282" s="13">
        <v>222</v>
      </c>
      <c r="F282" s="13">
        <f>ROUND(Source!AO278,O282)</f>
        <v>0</v>
      </c>
      <c r="G282" s="13" t="s">
        <v>88</v>
      </c>
      <c r="H282" s="13" t="s">
        <v>89</v>
      </c>
      <c r="I282" s="13"/>
      <c r="J282" s="13"/>
      <c r="K282" s="13">
        <v>222</v>
      </c>
      <c r="L282" s="13">
        <v>3</v>
      </c>
      <c r="M282" s="13">
        <v>3</v>
      </c>
      <c r="N282" s="13" t="s">
        <v>3</v>
      </c>
      <c r="O282" s="13">
        <v>2</v>
      </c>
      <c r="P282" s="13">
        <f>ROUND(Source!EG278,O282)</f>
        <v>0</v>
      </c>
      <c r="Q282" s="13"/>
      <c r="R282" s="13"/>
      <c r="S282" s="13"/>
      <c r="T282" s="13"/>
      <c r="U282" s="13"/>
      <c r="V282" s="13"/>
      <c r="W282" s="13">
        <v>0</v>
      </c>
      <c r="X282" s="13">
        <v>1</v>
      </c>
      <c r="Y282" s="13">
        <v>0</v>
      </c>
      <c r="Z282" s="13">
        <v>0</v>
      </c>
      <c r="AA282" s="13">
        <v>1</v>
      </c>
      <c r="AB282" s="13">
        <v>0</v>
      </c>
    </row>
    <row r="283" spans="1:206" ht="13" x14ac:dyDescent="0.3">
      <c r="A283" s="13">
        <v>50</v>
      </c>
      <c r="B283" s="13">
        <v>0</v>
      </c>
      <c r="C283" s="13">
        <v>0</v>
      </c>
      <c r="D283" s="13">
        <v>1</v>
      </c>
      <c r="E283" s="13">
        <v>225</v>
      </c>
      <c r="F283" s="13">
        <f>ROUND(Source!AV278,O283)</f>
        <v>469082.56</v>
      </c>
      <c r="G283" s="13" t="s">
        <v>90</v>
      </c>
      <c r="H283" s="13" t="s">
        <v>91</v>
      </c>
      <c r="I283" s="13"/>
      <c r="J283" s="13"/>
      <c r="K283" s="13">
        <v>225</v>
      </c>
      <c r="L283" s="13">
        <v>4</v>
      </c>
      <c r="M283" s="13">
        <v>3</v>
      </c>
      <c r="N283" s="13" t="s">
        <v>3</v>
      </c>
      <c r="O283" s="13">
        <v>2</v>
      </c>
      <c r="P283" s="13">
        <f>ROUND(Source!EN278,O283)</f>
        <v>3575004.92</v>
      </c>
      <c r="Q283" s="13"/>
      <c r="R283" s="13"/>
      <c r="S283" s="13"/>
      <c r="T283" s="13"/>
      <c r="U283" s="13"/>
      <c r="V283" s="13"/>
      <c r="W283" s="13">
        <v>469082.56</v>
      </c>
      <c r="X283" s="13">
        <v>1</v>
      </c>
      <c r="Y283" s="13">
        <v>469082.56</v>
      </c>
      <c r="Z283" s="13">
        <v>3575004.92</v>
      </c>
      <c r="AA283" s="13">
        <v>1</v>
      </c>
      <c r="AB283" s="13">
        <v>3575004.92</v>
      </c>
    </row>
    <row r="284" spans="1:206" ht="13" x14ac:dyDescent="0.3">
      <c r="A284" s="13">
        <v>50</v>
      </c>
      <c r="B284" s="13">
        <v>0</v>
      </c>
      <c r="C284" s="13">
        <v>0</v>
      </c>
      <c r="D284" s="13">
        <v>1</v>
      </c>
      <c r="E284" s="13">
        <v>226</v>
      </c>
      <c r="F284" s="13">
        <f>ROUND(Source!AW278,O284)</f>
        <v>11973.67</v>
      </c>
      <c r="G284" s="13" t="s">
        <v>92</v>
      </c>
      <c r="H284" s="13" t="s">
        <v>93</v>
      </c>
      <c r="I284" s="13"/>
      <c r="J284" s="13"/>
      <c r="K284" s="13">
        <v>226</v>
      </c>
      <c r="L284" s="13">
        <v>5</v>
      </c>
      <c r="M284" s="13">
        <v>3</v>
      </c>
      <c r="N284" s="13" t="s">
        <v>3</v>
      </c>
      <c r="O284" s="13">
        <v>2</v>
      </c>
      <c r="P284" s="13">
        <f>ROUND(Source!EO278,O284)</f>
        <v>106381.86</v>
      </c>
      <c r="Q284" s="13"/>
      <c r="R284" s="13"/>
      <c r="S284" s="13"/>
      <c r="T284" s="13"/>
      <c r="U284" s="13"/>
      <c r="V284" s="13"/>
      <c r="W284" s="13">
        <v>11973.67</v>
      </c>
      <c r="X284" s="13">
        <v>1</v>
      </c>
      <c r="Y284" s="13">
        <v>11973.67</v>
      </c>
      <c r="Z284" s="13">
        <v>106381.86</v>
      </c>
      <c r="AA284" s="13">
        <v>1</v>
      </c>
      <c r="AB284" s="13">
        <v>106381.86</v>
      </c>
    </row>
    <row r="285" spans="1:206" ht="13" x14ac:dyDescent="0.3">
      <c r="A285" s="13">
        <v>50</v>
      </c>
      <c r="B285" s="13">
        <v>0</v>
      </c>
      <c r="C285" s="13">
        <v>0</v>
      </c>
      <c r="D285" s="13">
        <v>1</v>
      </c>
      <c r="E285" s="13">
        <v>227</v>
      </c>
      <c r="F285" s="13">
        <f>ROUND(Source!AX278,O285)</f>
        <v>0</v>
      </c>
      <c r="G285" s="13" t="s">
        <v>94</v>
      </c>
      <c r="H285" s="13" t="s">
        <v>95</v>
      </c>
      <c r="I285" s="13"/>
      <c r="J285" s="13"/>
      <c r="K285" s="13">
        <v>227</v>
      </c>
      <c r="L285" s="13">
        <v>6</v>
      </c>
      <c r="M285" s="13">
        <v>3</v>
      </c>
      <c r="N285" s="13" t="s">
        <v>3</v>
      </c>
      <c r="O285" s="13">
        <v>2</v>
      </c>
      <c r="P285" s="13">
        <f>ROUND(Source!EP278,O285)</f>
        <v>0</v>
      </c>
      <c r="Q285" s="13"/>
      <c r="R285" s="13"/>
      <c r="S285" s="13"/>
      <c r="T285" s="13"/>
      <c r="U285" s="13"/>
      <c r="V285" s="13"/>
      <c r="W285" s="13">
        <v>0</v>
      </c>
      <c r="X285" s="13">
        <v>1</v>
      </c>
      <c r="Y285" s="13">
        <v>0</v>
      </c>
      <c r="Z285" s="13">
        <v>0</v>
      </c>
      <c r="AA285" s="13">
        <v>1</v>
      </c>
      <c r="AB285" s="13">
        <v>0</v>
      </c>
    </row>
    <row r="286" spans="1:206" ht="13" x14ac:dyDescent="0.3">
      <c r="A286" s="13">
        <v>50</v>
      </c>
      <c r="B286" s="13">
        <v>0</v>
      </c>
      <c r="C286" s="13">
        <v>0</v>
      </c>
      <c r="D286" s="13">
        <v>1</v>
      </c>
      <c r="E286" s="13">
        <v>228</v>
      </c>
      <c r="F286" s="13">
        <f>ROUND(Source!AY278,O286)</f>
        <v>11973.67</v>
      </c>
      <c r="G286" s="13" t="s">
        <v>96</v>
      </c>
      <c r="H286" s="13" t="s">
        <v>97</v>
      </c>
      <c r="I286" s="13"/>
      <c r="J286" s="13"/>
      <c r="K286" s="13">
        <v>228</v>
      </c>
      <c r="L286" s="13">
        <v>7</v>
      </c>
      <c r="M286" s="13">
        <v>3</v>
      </c>
      <c r="N286" s="13" t="s">
        <v>3</v>
      </c>
      <c r="O286" s="13">
        <v>2</v>
      </c>
      <c r="P286" s="13">
        <f>ROUND(Source!EQ278,O286)</f>
        <v>106381.86</v>
      </c>
      <c r="Q286" s="13"/>
      <c r="R286" s="13"/>
      <c r="S286" s="13"/>
      <c r="T286" s="13"/>
      <c r="U286" s="13"/>
      <c r="V286" s="13"/>
      <c r="W286" s="13">
        <v>11973.67</v>
      </c>
      <c r="X286" s="13">
        <v>1</v>
      </c>
      <c r="Y286" s="13">
        <v>11973.67</v>
      </c>
      <c r="Z286" s="13">
        <v>106381.86</v>
      </c>
      <c r="AA286" s="13">
        <v>1</v>
      </c>
      <c r="AB286" s="13">
        <v>106381.86</v>
      </c>
    </row>
    <row r="287" spans="1:206" ht="13" x14ac:dyDescent="0.3">
      <c r="A287" s="13">
        <v>50</v>
      </c>
      <c r="B287" s="13">
        <v>0</v>
      </c>
      <c r="C287" s="13">
        <v>0</v>
      </c>
      <c r="D287" s="13">
        <v>1</v>
      </c>
      <c r="E287" s="13">
        <v>216</v>
      </c>
      <c r="F287" s="13">
        <f>ROUND(Source!AP278,O287)</f>
        <v>457108.89</v>
      </c>
      <c r="G287" s="13" t="s">
        <v>98</v>
      </c>
      <c r="H287" s="13" t="s">
        <v>99</v>
      </c>
      <c r="I287" s="13"/>
      <c r="J287" s="13"/>
      <c r="K287" s="13">
        <v>216</v>
      </c>
      <c r="L287" s="13">
        <v>8</v>
      </c>
      <c r="M287" s="13">
        <v>3</v>
      </c>
      <c r="N287" s="13" t="s">
        <v>3</v>
      </c>
      <c r="O287" s="13">
        <v>2</v>
      </c>
      <c r="P287" s="13">
        <f>ROUND(Source!EH278,O287)</f>
        <v>3468623.06</v>
      </c>
      <c r="Q287" s="13"/>
      <c r="R287" s="13"/>
      <c r="S287" s="13"/>
      <c r="T287" s="13"/>
      <c r="U287" s="13"/>
      <c r="V287" s="13"/>
      <c r="W287" s="13">
        <v>457108.89</v>
      </c>
      <c r="X287" s="13">
        <v>1</v>
      </c>
      <c r="Y287" s="13">
        <v>457108.89</v>
      </c>
      <c r="Z287" s="13">
        <v>3468623.06</v>
      </c>
      <c r="AA287" s="13">
        <v>1</v>
      </c>
      <c r="AB287" s="13">
        <v>3468623.06</v>
      </c>
    </row>
    <row r="288" spans="1:206" ht="13" x14ac:dyDescent="0.3">
      <c r="A288" s="13">
        <v>50</v>
      </c>
      <c r="B288" s="13">
        <v>0</v>
      </c>
      <c r="C288" s="13">
        <v>0</v>
      </c>
      <c r="D288" s="13">
        <v>1</v>
      </c>
      <c r="E288" s="13">
        <v>223</v>
      </c>
      <c r="F288" s="13">
        <f>ROUND(Source!AQ278,O288)</f>
        <v>0</v>
      </c>
      <c r="G288" s="13" t="s">
        <v>100</v>
      </c>
      <c r="H288" s="13" t="s">
        <v>101</v>
      </c>
      <c r="I288" s="13"/>
      <c r="J288" s="13"/>
      <c r="K288" s="13">
        <v>223</v>
      </c>
      <c r="L288" s="13">
        <v>9</v>
      </c>
      <c r="M288" s="13">
        <v>3</v>
      </c>
      <c r="N288" s="13" t="s">
        <v>3</v>
      </c>
      <c r="O288" s="13">
        <v>2</v>
      </c>
      <c r="P288" s="13">
        <f>ROUND(Source!EI278,O288)</f>
        <v>0</v>
      </c>
      <c r="Q288" s="13"/>
      <c r="R288" s="13"/>
      <c r="S288" s="13"/>
      <c r="T288" s="13"/>
      <c r="U288" s="13"/>
      <c r="V288" s="13"/>
      <c r="W288" s="13">
        <v>0</v>
      </c>
      <c r="X288" s="13">
        <v>1</v>
      </c>
      <c r="Y288" s="13">
        <v>0</v>
      </c>
      <c r="Z288" s="13">
        <v>0</v>
      </c>
      <c r="AA288" s="13">
        <v>1</v>
      </c>
      <c r="AB288" s="13">
        <v>0</v>
      </c>
    </row>
    <row r="289" spans="1:28" ht="13" x14ac:dyDescent="0.3">
      <c r="A289" s="13">
        <v>50</v>
      </c>
      <c r="B289" s="13">
        <v>0</v>
      </c>
      <c r="C289" s="13">
        <v>0</v>
      </c>
      <c r="D289" s="13">
        <v>1</v>
      </c>
      <c r="E289" s="13">
        <v>229</v>
      </c>
      <c r="F289" s="13">
        <f>ROUND(Source!AZ278,O289)</f>
        <v>457108.89</v>
      </c>
      <c r="G289" s="13" t="s">
        <v>102</v>
      </c>
      <c r="H289" s="13" t="s">
        <v>103</v>
      </c>
      <c r="I289" s="13"/>
      <c r="J289" s="13"/>
      <c r="K289" s="13">
        <v>229</v>
      </c>
      <c r="L289" s="13">
        <v>10</v>
      </c>
      <c r="M289" s="13">
        <v>3</v>
      </c>
      <c r="N289" s="13" t="s">
        <v>3</v>
      </c>
      <c r="O289" s="13">
        <v>2</v>
      </c>
      <c r="P289" s="13">
        <f>ROUND(Source!ER278,O289)</f>
        <v>3468623.06</v>
      </c>
      <c r="Q289" s="13"/>
      <c r="R289" s="13"/>
      <c r="S289" s="13"/>
      <c r="T289" s="13"/>
      <c r="U289" s="13"/>
      <c r="V289" s="13"/>
      <c r="W289" s="13">
        <v>457108.89</v>
      </c>
      <c r="X289" s="13">
        <v>1</v>
      </c>
      <c r="Y289" s="13">
        <v>457108.89</v>
      </c>
      <c r="Z289" s="13">
        <v>3468623.06</v>
      </c>
      <c r="AA289" s="13">
        <v>1</v>
      </c>
      <c r="AB289" s="13">
        <v>3468623.06</v>
      </c>
    </row>
    <row r="290" spans="1:28" ht="13" x14ac:dyDescent="0.3">
      <c r="A290" s="13">
        <v>50</v>
      </c>
      <c r="B290" s="13">
        <v>0</v>
      </c>
      <c r="C290" s="13">
        <v>0</v>
      </c>
      <c r="D290" s="13">
        <v>1</v>
      </c>
      <c r="E290" s="13">
        <v>203</v>
      </c>
      <c r="F290" s="13">
        <f>ROUND(Source!Q278,O290)</f>
        <v>1297.17</v>
      </c>
      <c r="G290" s="13" t="s">
        <v>104</v>
      </c>
      <c r="H290" s="13" t="s">
        <v>105</v>
      </c>
      <c r="I290" s="13"/>
      <c r="J290" s="13"/>
      <c r="K290" s="13">
        <v>203</v>
      </c>
      <c r="L290" s="13">
        <v>11</v>
      </c>
      <c r="M290" s="13">
        <v>3</v>
      </c>
      <c r="N290" s="13" t="s">
        <v>3</v>
      </c>
      <c r="O290" s="13">
        <v>2</v>
      </c>
      <c r="P290" s="13">
        <f>ROUND(Source!DI278,O290)</f>
        <v>20092.62</v>
      </c>
      <c r="Q290" s="13"/>
      <c r="R290" s="13"/>
      <c r="S290" s="13"/>
      <c r="T290" s="13"/>
      <c r="U290" s="13"/>
      <c r="V290" s="13"/>
      <c r="W290" s="13">
        <v>1297.17</v>
      </c>
      <c r="X290" s="13">
        <v>1</v>
      </c>
      <c r="Y290" s="13">
        <v>1297.17</v>
      </c>
      <c r="Z290" s="13">
        <v>20092.62</v>
      </c>
      <c r="AA290" s="13">
        <v>1</v>
      </c>
      <c r="AB290" s="13">
        <v>20092.62</v>
      </c>
    </row>
    <row r="291" spans="1:28" ht="13" x14ac:dyDescent="0.3">
      <c r="A291" s="13">
        <v>50</v>
      </c>
      <c r="B291" s="13">
        <v>0</v>
      </c>
      <c r="C291" s="13">
        <v>0</v>
      </c>
      <c r="D291" s="13">
        <v>1</v>
      </c>
      <c r="E291" s="13">
        <v>231</v>
      </c>
      <c r="F291" s="13">
        <f>ROUND(Source!BB278,O291)</f>
        <v>0</v>
      </c>
      <c r="G291" s="13" t="s">
        <v>106</v>
      </c>
      <c r="H291" s="13" t="s">
        <v>107</v>
      </c>
      <c r="I291" s="13"/>
      <c r="J291" s="13"/>
      <c r="K291" s="13">
        <v>231</v>
      </c>
      <c r="L291" s="13">
        <v>12</v>
      </c>
      <c r="M291" s="13">
        <v>3</v>
      </c>
      <c r="N291" s="13" t="s">
        <v>3</v>
      </c>
      <c r="O291" s="13">
        <v>2</v>
      </c>
      <c r="P291" s="13">
        <f>ROUND(Source!ET278,O291)</f>
        <v>0</v>
      </c>
      <c r="Q291" s="13"/>
      <c r="R291" s="13"/>
      <c r="S291" s="13"/>
      <c r="T291" s="13"/>
      <c r="U291" s="13"/>
      <c r="V291" s="13"/>
      <c r="W291" s="13">
        <v>0</v>
      </c>
      <c r="X291" s="13">
        <v>1</v>
      </c>
      <c r="Y291" s="13">
        <v>0</v>
      </c>
      <c r="Z291" s="13">
        <v>0</v>
      </c>
      <c r="AA291" s="13">
        <v>1</v>
      </c>
      <c r="AB291" s="13">
        <v>0</v>
      </c>
    </row>
    <row r="292" spans="1:28" ht="13" x14ac:dyDescent="0.3">
      <c r="A292" s="13">
        <v>50</v>
      </c>
      <c r="B292" s="13">
        <v>0</v>
      </c>
      <c r="C292" s="13">
        <v>0</v>
      </c>
      <c r="D292" s="13">
        <v>1</v>
      </c>
      <c r="E292" s="13">
        <v>204</v>
      </c>
      <c r="F292" s="13">
        <f>ROUND(Source!R278,O292)</f>
        <v>144.85</v>
      </c>
      <c r="G292" s="13" t="s">
        <v>108</v>
      </c>
      <c r="H292" s="13" t="s">
        <v>109</v>
      </c>
      <c r="I292" s="13"/>
      <c r="J292" s="13"/>
      <c r="K292" s="13">
        <v>204</v>
      </c>
      <c r="L292" s="13">
        <v>13</v>
      </c>
      <c r="M292" s="13">
        <v>3</v>
      </c>
      <c r="N292" s="13" t="s">
        <v>3</v>
      </c>
      <c r="O292" s="13">
        <v>2</v>
      </c>
      <c r="P292" s="13">
        <f>ROUND(Source!DJ278,O292)</f>
        <v>8162.32</v>
      </c>
      <c r="Q292" s="13"/>
      <c r="R292" s="13"/>
      <c r="S292" s="13"/>
      <c r="T292" s="13"/>
      <c r="U292" s="13"/>
      <c r="V292" s="13"/>
      <c r="W292" s="13">
        <v>144.85</v>
      </c>
      <c r="X292" s="13">
        <v>1</v>
      </c>
      <c r="Y292" s="13">
        <v>144.85</v>
      </c>
      <c r="Z292" s="13">
        <v>8162.32</v>
      </c>
      <c r="AA292" s="13">
        <v>1</v>
      </c>
      <c r="AB292" s="13">
        <v>8162.32</v>
      </c>
    </row>
    <row r="293" spans="1:28" ht="13" x14ac:dyDescent="0.3">
      <c r="A293" s="13">
        <v>50</v>
      </c>
      <c r="B293" s="13">
        <v>0</v>
      </c>
      <c r="C293" s="13">
        <v>0</v>
      </c>
      <c r="D293" s="13">
        <v>1</v>
      </c>
      <c r="E293" s="13">
        <v>205</v>
      </c>
      <c r="F293" s="13">
        <f>ROUND(Source!S278,O293)</f>
        <v>5455.8</v>
      </c>
      <c r="G293" s="13" t="s">
        <v>110</v>
      </c>
      <c r="H293" s="13" t="s">
        <v>111</v>
      </c>
      <c r="I293" s="13"/>
      <c r="J293" s="13"/>
      <c r="K293" s="13">
        <v>205</v>
      </c>
      <c r="L293" s="13">
        <v>14</v>
      </c>
      <c r="M293" s="13">
        <v>3</v>
      </c>
      <c r="N293" s="13" t="s">
        <v>3</v>
      </c>
      <c r="O293" s="13">
        <v>2</v>
      </c>
      <c r="P293" s="13">
        <f>ROUND(Source!DK278,O293)</f>
        <v>307434.33</v>
      </c>
      <c r="Q293" s="13"/>
      <c r="R293" s="13"/>
      <c r="S293" s="13"/>
      <c r="T293" s="13"/>
      <c r="U293" s="13"/>
      <c r="V293" s="13"/>
      <c r="W293" s="13">
        <v>5455.8</v>
      </c>
      <c r="X293" s="13">
        <v>1</v>
      </c>
      <c r="Y293" s="13">
        <v>5455.8</v>
      </c>
      <c r="Z293" s="13">
        <v>307434.33</v>
      </c>
      <c r="AA293" s="13">
        <v>1</v>
      </c>
      <c r="AB293" s="13">
        <v>307434.33</v>
      </c>
    </row>
    <row r="294" spans="1:28" ht="13" x14ac:dyDescent="0.3">
      <c r="A294" s="13">
        <v>50</v>
      </c>
      <c r="B294" s="13">
        <v>0</v>
      </c>
      <c r="C294" s="13">
        <v>0</v>
      </c>
      <c r="D294" s="13">
        <v>1</v>
      </c>
      <c r="E294" s="13">
        <v>232</v>
      </c>
      <c r="F294" s="13">
        <f>ROUND(Source!BC278,O294)</f>
        <v>0</v>
      </c>
      <c r="G294" s="13" t="s">
        <v>112</v>
      </c>
      <c r="H294" s="13" t="s">
        <v>113</v>
      </c>
      <c r="I294" s="13"/>
      <c r="J294" s="13"/>
      <c r="K294" s="13">
        <v>232</v>
      </c>
      <c r="L294" s="13">
        <v>15</v>
      </c>
      <c r="M294" s="13">
        <v>3</v>
      </c>
      <c r="N294" s="13" t="s">
        <v>3</v>
      </c>
      <c r="O294" s="13">
        <v>2</v>
      </c>
      <c r="P294" s="13">
        <f>ROUND(Source!EU278,O294)</f>
        <v>0</v>
      </c>
      <c r="Q294" s="13"/>
      <c r="R294" s="13"/>
      <c r="S294" s="13"/>
      <c r="T294" s="13"/>
      <c r="U294" s="13"/>
      <c r="V294" s="13"/>
      <c r="W294" s="13">
        <v>0</v>
      </c>
      <c r="X294" s="13">
        <v>1</v>
      </c>
      <c r="Y294" s="13">
        <v>0</v>
      </c>
      <c r="Z294" s="13">
        <v>0</v>
      </c>
      <c r="AA294" s="13">
        <v>1</v>
      </c>
      <c r="AB294" s="13">
        <v>0</v>
      </c>
    </row>
    <row r="295" spans="1:28" ht="13" x14ac:dyDescent="0.3">
      <c r="A295" s="13">
        <v>50</v>
      </c>
      <c r="B295" s="13">
        <v>0</v>
      </c>
      <c r="C295" s="13">
        <v>0</v>
      </c>
      <c r="D295" s="13">
        <v>1</v>
      </c>
      <c r="E295" s="13">
        <v>214</v>
      </c>
      <c r="F295" s="13">
        <f>ROUND(Source!AS278,O295)</f>
        <v>412.71</v>
      </c>
      <c r="G295" s="13" t="s">
        <v>114</v>
      </c>
      <c r="H295" s="13" t="s">
        <v>115</v>
      </c>
      <c r="I295" s="13"/>
      <c r="J295" s="13"/>
      <c r="K295" s="13">
        <v>214</v>
      </c>
      <c r="L295" s="13">
        <v>16</v>
      </c>
      <c r="M295" s="13">
        <v>3</v>
      </c>
      <c r="N295" s="13" t="s">
        <v>3</v>
      </c>
      <c r="O295" s="13">
        <v>2</v>
      </c>
      <c r="P295" s="13">
        <f>ROUND(Source!EK278,O295)</f>
        <v>23255.94</v>
      </c>
      <c r="Q295" s="13"/>
      <c r="R295" s="13"/>
      <c r="S295" s="13"/>
      <c r="T295" s="13"/>
      <c r="U295" s="13"/>
      <c r="V295" s="13"/>
      <c r="W295" s="13">
        <v>412.71</v>
      </c>
      <c r="X295" s="13">
        <v>1</v>
      </c>
      <c r="Y295" s="13">
        <v>412.71</v>
      </c>
      <c r="Z295" s="13">
        <v>23255.94</v>
      </c>
      <c r="AA295" s="13">
        <v>1</v>
      </c>
      <c r="AB295" s="13">
        <v>23255.94</v>
      </c>
    </row>
    <row r="296" spans="1:28" ht="13" x14ac:dyDescent="0.3">
      <c r="A296" s="13">
        <v>50</v>
      </c>
      <c r="B296" s="13">
        <v>0</v>
      </c>
      <c r="C296" s="13">
        <v>0</v>
      </c>
      <c r="D296" s="13">
        <v>1</v>
      </c>
      <c r="E296" s="13">
        <v>215</v>
      </c>
      <c r="F296" s="13">
        <f>ROUND(Source!AT278,O296)</f>
        <v>25989.96</v>
      </c>
      <c r="G296" s="13" t="s">
        <v>116</v>
      </c>
      <c r="H296" s="13" t="s">
        <v>117</v>
      </c>
      <c r="I296" s="13"/>
      <c r="J296" s="13"/>
      <c r="K296" s="13">
        <v>215</v>
      </c>
      <c r="L296" s="13">
        <v>17</v>
      </c>
      <c r="M296" s="13">
        <v>3</v>
      </c>
      <c r="N296" s="13" t="s">
        <v>3</v>
      </c>
      <c r="O296" s="13">
        <v>2</v>
      </c>
      <c r="P296" s="13">
        <f>ROUND(Source!EL278,O296)</f>
        <v>843196.8</v>
      </c>
      <c r="Q296" s="13"/>
      <c r="R296" s="13"/>
      <c r="S296" s="13"/>
      <c r="T296" s="13"/>
      <c r="U296" s="13"/>
      <c r="V296" s="13"/>
      <c r="W296" s="13">
        <v>25989.96</v>
      </c>
      <c r="X296" s="13">
        <v>1</v>
      </c>
      <c r="Y296" s="13">
        <v>25989.96</v>
      </c>
      <c r="Z296" s="13">
        <v>843196.8</v>
      </c>
      <c r="AA296" s="13">
        <v>1</v>
      </c>
      <c r="AB296" s="13">
        <v>843196.8</v>
      </c>
    </row>
    <row r="297" spans="1:28" ht="13" x14ac:dyDescent="0.3">
      <c r="A297" s="13">
        <v>50</v>
      </c>
      <c r="B297" s="13">
        <v>0</v>
      </c>
      <c r="C297" s="13">
        <v>0</v>
      </c>
      <c r="D297" s="13">
        <v>1</v>
      </c>
      <c r="E297" s="13">
        <v>217</v>
      </c>
      <c r="F297" s="13">
        <f>ROUND(Source!AU278,O297)</f>
        <v>0</v>
      </c>
      <c r="G297" s="13" t="s">
        <v>118</v>
      </c>
      <c r="H297" s="13" t="s">
        <v>119</v>
      </c>
      <c r="I297" s="13"/>
      <c r="J297" s="13"/>
      <c r="K297" s="13">
        <v>217</v>
      </c>
      <c r="L297" s="13">
        <v>18</v>
      </c>
      <c r="M297" s="13">
        <v>3</v>
      </c>
      <c r="N297" s="13" t="s">
        <v>3</v>
      </c>
      <c r="O297" s="13">
        <v>2</v>
      </c>
      <c r="P297" s="13">
        <f>ROUND(Source!EM278,O297)</f>
        <v>0</v>
      </c>
      <c r="Q297" s="13"/>
      <c r="R297" s="13"/>
      <c r="S297" s="13"/>
      <c r="T297" s="13"/>
      <c r="U297" s="13"/>
      <c r="V297" s="13"/>
      <c r="W297" s="13">
        <v>0</v>
      </c>
      <c r="X297" s="13">
        <v>1</v>
      </c>
      <c r="Y297" s="13">
        <v>0</v>
      </c>
      <c r="Z297" s="13">
        <v>0</v>
      </c>
      <c r="AA297" s="13">
        <v>1</v>
      </c>
      <c r="AB297" s="13">
        <v>0</v>
      </c>
    </row>
    <row r="298" spans="1:28" ht="13" x14ac:dyDescent="0.3">
      <c r="A298" s="13">
        <v>50</v>
      </c>
      <c r="B298" s="13">
        <v>0</v>
      </c>
      <c r="C298" s="13">
        <v>0</v>
      </c>
      <c r="D298" s="13">
        <v>1</v>
      </c>
      <c r="E298" s="13">
        <v>230</v>
      </c>
      <c r="F298" s="13">
        <f>ROUND(Source!BA278,O298)</f>
        <v>0</v>
      </c>
      <c r="G298" s="13" t="s">
        <v>120</v>
      </c>
      <c r="H298" s="13" t="s">
        <v>121</v>
      </c>
      <c r="I298" s="13"/>
      <c r="J298" s="13"/>
      <c r="K298" s="13">
        <v>230</v>
      </c>
      <c r="L298" s="13">
        <v>19</v>
      </c>
      <c r="M298" s="13">
        <v>3</v>
      </c>
      <c r="N298" s="13" t="s">
        <v>3</v>
      </c>
      <c r="O298" s="13">
        <v>2</v>
      </c>
      <c r="P298" s="13">
        <f>ROUND(Source!ES278,O298)</f>
        <v>0</v>
      </c>
      <c r="Q298" s="13"/>
      <c r="R298" s="13"/>
      <c r="S298" s="13"/>
      <c r="T298" s="13"/>
      <c r="U298" s="13"/>
      <c r="V298" s="13"/>
      <c r="W298" s="13">
        <v>0</v>
      </c>
      <c r="X298" s="13">
        <v>1</v>
      </c>
      <c r="Y298" s="13">
        <v>0</v>
      </c>
      <c r="Z298" s="13">
        <v>0</v>
      </c>
      <c r="AA298" s="13">
        <v>1</v>
      </c>
      <c r="AB298" s="13">
        <v>0</v>
      </c>
    </row>
    <row r="299" spans="1:28" ht="13" x14ac:dyDescent="0.3">
      <c r="A299" s="13">
        <v>50</v>
      </c>
      <c r="B299" s="13">
        <v>0</v>
      </c>
      <c r="C299" s="13">
        <v>0</v>
      </c>
      <c r="D299" s="13">
        <v>1</v>
      </c>
      <c r="E299" s="13">
        <v>206</v>
      </c>
      <c r="F299" s="13">
        <f>ROUND(Source!T278,O299)</f>
        <v>0</v>
      </c>
      <c r="G299" s="13" t="s">
        <v>122</v>
      </c>
      <c r="H299" s="13" t="s">
        <v>123</v>
      </c>
      <c r="I299" s="13"/>
      <c r="J299" s="13"/>
      <c r="K299" s="13">
        <v>206</v>
      </c>
      <c r="L299" s="13">
        <v>20</v>
      </c>
      <c r="M299" s="13">
        <v>3</v>
      </c>
      <c r="N299" s="13" t="s">
        <v>3</v>
      </c>
      <c r="O299" s="13">
        <v>2</v>
      </c>
      <c r="P299" s="13">
        <f>ROUND(Source!DL278,O299)</f>
        <v>0</v>
      </c>
      <c r="Q299" s="13"/>
      <c r="R299" s="13"/>
      <c r="S299" s="13"/>
      <c r="T299" s="13"/>
      <c r="U299" s="13"/>
      <c r="V299" s="13"/>
      <c r="W299" s="13">
        <v>0</v>
      </c>
      <c r="X299" s="13">
        <v>1</v>
      </c>
      <c r="Y299" s="13">
        <v>0</v>
      </c>
      <c r="Z299" s="13">
        <v>0</v>
      </c>
      <c r="AA299" s="13">
        <v>1</v>
      </c>
      <c r="AB299" s="13">
        <v>0</v>
      </c>
    </row>
    <row r="300" spans="1:28" ht="13" x14ac:dyDescent="0.3">
      <c r="A300" s="13">
        <v>50</v>
      </c>
      <c r="B300" s="13">
        <v>0</v>
      </c>
      <c r="C300" s="13">
        <v>0</v>
      </c>
      <c r="D300" s="13">
        <v>1</v>
      </c>
      <c r="E300" s="13">
        <v>207</v>
      </c>
      <c r="F300" s="13">
        <f>Source!U278</f>
        <v>399.26218428000004</v>
      </c>
      <c r="G300" s="13" t="s">
        <v>124</v>
      </c>
      <c r="H300" s="13" t="s">
        <v>125</v>
      </c>
      <c r="I300" s="13"/>
      <c r="J300" s="13"/>
      <c r="K300" s="13">
        <v>207</v>
      </c>
      <c r="L300" s="13">
        <v>21</v>
      </c>
      <c r="M300" s="13">
        <v>3</v>
      </c>
      <c r="N300" s="13" t="s">
        <v>3</v>
      </c>
      <c r="O300" s="13">
        <v>-1</v>
      </c>
      <c r="P300" s="13">
        <f>Source!DM278</f>
        <v>399.26218428000004</v>
      </c>
      <c r="Q300" s="13"/>
      <c r="R300" s="13"/>
      <c r="S300" s="13"/>
      <c r="T300" s="13"/>
      <c r="U300" s="13"/>
      <c r="V300" s="13"/>
      <c r="W300" s="13">
        <v>399.26218428000004</v>
      </c>
      <c r="X300" s="13">
        <v>1</v>
      </c>
      <c r="Y300" s="13">
        <v>399.26218428000004</v>
      </c>
      <c r="Z300" s="13">
        <v>399.26218428000004</v>
      </c>
      <c r="AA300" s="13">
        <v>1</v>
      </c>
      <c r="AB300" s="13">
        <v>399.26218428000004</v>
      </c>
    </row>
    <row r="301" spans="1:28" ht="13" x14ac:dyDescent="0.3">
      <c r="A301" s="13">
        <v>50</v>
      </c>
      <c r="B301" s="13">
        <v>0</v>
      </c>
      <c r="C301" s="13">
        <v>0</v>
      </c>
      <c r="D301" s="13">
        <v>1</v>
      </c>
      <c r="E301" s="13">
        <v>208</v>
      </c>
      <c r="F301" s="13">
        <f>Source!V278</f>
        <v>0</v>
      </c>
      <c r="G301" s="13" t="s">
        <v>126</v>
      </c>
      <c r="H301" s="13" t="s">
        <v>127</v>
      </c>
      <c r="I301" s="13"/>
      <c r="J301" s="13"/>
      <c r="K301" s="13">
        <v>208</v>
      </c>
      <c r="L301" s="13">
        <v>22</v>
      </c>
      <c r="M301" s="13">
        <v>3</v>
      </c>
      <c r="N301" s="13" t="s">
        <v>3</v>
      </c>
      <c r="O301" s="13">
        <v>-1</v>
      </c>
      <c r="P301" s="13">
        <f>Source!DN278</f>
        <v>0</v>
      </c>
      <c r="Q301" s="13"/>
      <c r="R301" s="13"/>
      <c r="S301" s="13"/>
      <c r="T301" s="13"/>
      <c r="U301" s="13"/>
      <c r="V301" s="13"/>
      <c r="W301" s="13">
        <v>0</v>
      </c>
      <c r="X301" s="13">
        <v>1</v>
      </c>
      <c r="Y301" s="13">
        <v>0</v>
      </c>
      <c r="Z301" s="13">
        <v>0</v>
      </c>
      <c r="AA301" s="13">
        <v>1</v>
      </c>
      <c r="AB301" s="13">
        <v>0</v>
      </c>
    </row>
    <row r="302" spans="1:28" ht="13" x14ac:dyDescent="0.3">
      <c r="A302" s="13">
        <v>50</v>
      </c>
      <c r="B302" s="13">
        <v>0</v>
      </c>
      <c r="C302" s="13">
        <v>0</v>
      </c>
      <c r="D302" s="13">
        <v>1</v>
      </c>
      <c r="E302" s="13">
        <v>209</v>
      </c>
      <c r="F302" s="13">
        <f>ROUND(Source!W278,O302)</f>
        <v>0</v>
      </c>
      <c r="G302" s="13" t="s">
        <v>128</v>
      </c>
      <c r="H302" s="13" t="s">
        <v>129</v>
      </c>
      <c r="I302" s="13"/>
      <c r="J302" s="13"/>
      <c r="K302" s="13">
        <v>209</v>
      </c>
      <c r="L302" s="13">
        <v>23</v>
      </c>
      <c r="M302" s="13">
        <v>3</v>
      </c>
      <c r="N302" s="13" t="s">
        <v>3</v>
      </c>
      <c r="O302" s="13">
        <v>2</v>
      </c>
      <c r="P302" s="13">
        <f>ROUND(Source!DO278,O302)</f>
        <v>0</v>
      </c>
      <c r="Q302" s="13"/>
      <c r="R302" s="13"/>
      <c r="S302" s="13"/>
      <c r="T302" s="13"/>
      <c r="U302" s="13"/>
      <c r="V302" s="13"/>
      <c r="W302" s="13">
        <v>0</v>
      </c>
      <c r="X302" s="13">
        <v>1</v>
      </c>
      <c r="Y302" s="13">
        <v>0</v>
      </c>
      <c r="Z302" s="13">
        <v>0</v>
      </c>
      <c r="AA302" s="13">
        <v>1</v>
      </c>
      <c r="AB302" s="13">
        <v>0</v>
      </c>
    </row>
    <row r="303" spans="1:28" ht="13" x14ac:dyDescent="0.3">
      <c r="A303" s="13">
        <v>50</v>
      </c>
      <c r="B303" s="13">
        <v>0</v>
      </c>
      <c r="C303" s="13">
        <v>0</v>
      </c>
      <c r="D303" s="13">
        <v>1</v>
      </c>
      <c r="E303" s="13">
        <v>233</v>
      </c>
      <c r="F303" s="13">
        <f>ROUND(Source!BD278,O303)</f>
        <v>0</v>
      </c>
      <c r="G303" s="13" t="s">
        <v>130</v>
      </c>
      <c r="H303" s="13" t="s">
        <v>131</v>
      </c>
      <c r="I303" s="13"/>
      <c r="J303" s="13"/>
      <c r="K303" s="13">
        <v>233</v>
      </c>
      <c r="L303" s="13">
        <v>24</v>
      </c>
      <c r="M303" s="13">
        <v>3</v>
      </c>
      <c r="N303" s="13" t="s">
        <v>3</v>
      </c>
      <c r="O303" s="13">
        <v>2</v>
      </c>
      <c r="P303" s="13">
        <f>ROUND(Source!EV278,O303)</f>
        <v>0</v>
      </c>
      <c r="Q303" s="13"/>
      <c r="R303" s="13"/>
      <c r="S303" s="13"/>
      <c r="T303" s="13"/>
      <c r="U303" s="13"/>
      <c r="V303" s="13"/>
      <c r="W303" s="13">
        <v>0</v>
      </c>
      <c r="X303" s="13">
        <v>1</v>
      </c>
      <c r="Y303" s="13">
        <v>0</v>
      </c>
      <c r="Z303" s="13">
        <v>0</v>
      </c>
      <c r="AA303" s="13">
        <v>1</v>
      </c>
      <c r="AB303" s="13">
        <v>0</v>
      </c>
    </row>
    <row r="304" spans="1:28" ht="13" x14ac:dyDescent="0.3">
      <c r="A304" s="13">
        <v>50</v>
      </c>
      <c r="B304" s="13">
        <v>0</v>
      </c>
      <c r="C304" s="13">
        <v>0</v>
      </c>
      <c r="D304" s="13">
        <v>1</v>
      </c>
      <c r="E304" s="13">
        <v>210</v>
      </c>
      <c r="F304" s="13">
        <f>ROUND(Source!X278,O304)</f>
        <v>5064.8</v>
      </c>
      <c r="G304" s="13" t="s">
        <v>132</v>
      </c>
      <c r="H304" s="13" t="s">
        <v>133</v>
      </c>
      <c r="I304" s="13"/>
      <c r="J304" s="13"/>
      <c r="K304" s="13">
        <v>210</v>
      </c>
      <c r="L304" s="13">
        <v>25</v>
      </c>
      <c r="M304" s="13">
        <v>3</v>
      </c>
      <c r="N304" s="13" t="s">
        <v>3</v>
      </c>
      <c r="O304" s="13">
        <v>2</v>
      </c>
      <c r="P304" s="13">
        <f>ROUND(Source!DP278,O304)</f>
        <v>285401.19</v>
      </c>
      <c r="Q304" s="13"/>
      <c r="R304" s="13"/>
      <c r="S304" s="13"/>
      <c r="T304" s="13"/>
      <c r="U304" s="13"/>
      <c r="V304" s="13"/>
      <c r="W304" s="13">
        <v>5064.8</v>
      </c>
      <c r="X304" s="13">
        <v>1</v>
      </c>
      <c r="Y304" s="13">
        <v>5064.8</v>
      </c>
      <c r="Z304" s="13">
        <v>285401.19</v>
      </c>
      <c r="AA304" s="13">
        <v>1</v>
      </c>
      <c r="AB304" s="13">
        <v>285401.19</v>
      </c>
    </row>
    <row r="305" spans="1:50" ht="13" x14ac:dyDescent="0.3">
      <c r="A305" s="13">
        <v>50</v>
      </c>
      <c r="B305" s="13">
        <v>0</v>
      </c>
      <c r="C305" s="13">
        <v>0</v>
      </c>
      <c r="D305" s="13">
        <v>1</v>
      </c>
      <c r="E305" s="13">
        <v>211</v>
      </c>
      <c r="F305" s="13">
        <f>ROUND(Source!Y278,O305)</f>
        <v>2611.23</v>
      </c>
      <c r="G305" s="13" t="s">
        <v>134</v>
      </c>
      <c r="H305" s="13" t="s">
        <v>135</v>
      </c>
      <c r="I305" s="13"/>
      <c r="J305" s="13"/>
      <c r="K305" s="13">
        <v>211</v>
      </c>
      <c r="L305" s="13">
        <v>26</v>
      </c>
      <c r="M305" s="13">
        <v>3</v>
      </c>
      <c r="N305" s="13" t="s">
        <v>3</v>
      </c>
      <c r="O305" s="13">
        <v>2</v>
      </c>
      <c r="P305" s="13">
        <f>ROUND(Source!DQ278,O305)</f>
        <v>147142.74</v>
      </c>
      <c r="Q305" s="13"/>
      <c r="R305" s="13"/>
      <c r="S305" s="13"/>
      <c r="T305" s="13"/>
      <c r="U305" s="13"/>
      <c r="V305" s="13"/>
      <c r="W305" s="13">
        <v>2611.23</v>
      </c>
      <c r="X305" s="13">
        <v>1</v>
      </c>
      <c r="Y305" s="13">
        <v>2611.23</v>
      </c>
      <c r="Z305" s="13">
        <v>147142.74</v>
      </c>
      <c r="AA305" s="13">
        <v>1</v>
      </c>
      <c r="AB305" s="13">
        <v>147142.74</v>
      </c>
    </row>
    <row r="306" spans="1:50" ht="13" x14ac:dyDescent="0.3">
      <c r="A306" s="13">
        <v>50</v>
      </c>
      <c r="B306" s="13">
        <v>0</v>
      </c>
      <c r="C306" s="13">
        <v>0</v>
      </c>
      <c r="D306" s="13">
        <v>1</v>
      </c>
      <c r="E306" s="13">
        <v>224</v>
      </c>
      <c r="F306" s="13">
        <f>ROUND(Source!AR278,O306)</f>
        <v>483511.56</v>
      </c>
      <c r="G306" s="13" t="s">
        <v>136</v>
      </c>
      <c r="H306" s="13" t="s">
        <v>137</v>
      </c>
      <c r="I306" s="13"/>
      <c r="J306" s="13"/>
      <c r="K306" s="13">
        <v>224</v>
      </c>
      <c r="L306" s="13">
        <v>27</v>
      </c>
      <c r="M306" s="13">
        <v>3</v>
      </c>
      <c r="N306" s="13" t="s">
        <v>3</v>
      </c>
      <c r="O306" s="13">
        <v>2</v>
      </c>
      <c r="P306" s="13">
        <f>ROUND(Source!EJ278,O306)</f>
        <v>4335075.8</v>
      </c>
      <c r="Q306" s="13"/>
      <c r="R306" s="13"/>
      <c r="S306" s="13"/>
      <c r="T306" s="13"/>
      <c r="U306" s="13"/>
      <c r="V306" s="13"/>
      <c r="W306" s="13">
        <v>483511.56</v>
      </c>
      <c r="X306" s="13">
        <v>1</v>
      </c>
      <c r="Y306" s="13">
        <v>483511.56</v>
      </c>
      <c r="Z306" s="13">
        <v>4335075.8</v>
      </c>
      <c r="AA306" s="13">
        <v>1</v>
      </c>
      <c r="AB306" s="13">
        <v>4335075.8</v>
      </c>
    </row>
    <row r="309" spans="1:50" x14ac:dyDescent="0.25">
      <c r="A309" s="3">
        <v>70</v>
      </c>
      <c r="B309" s="3">
        <v>1</v>
      </c>
      <c r="D309" s="3">
        <v>1</v>
      </c>
      <c r="E309" s="3" t="s">
        <v>244</v>
      </c>
      <c r="F309" s="3" t="s">
        <v>245</v>
      </c>
      <c r="G309" s="3">
        <v>0</v>
      </c>
      <c r="H309" s="3">
        <v>0</v>
      </c>
      <c r="I309" s="3" t="s">
        <v>3</v>
      </c>
      <c r="J309" s="3">
        <v>1</v>
      </c>
      <c r="K309" s="3">
        <v>0</v>
      </c>
      <c r="L309" s="3" t="s">
        <v>3</v>
      </c>
      <c r="M309" s="3" t="s">
        <v>3</v>
      </c>
      <c r="N309" s="3">
        <v>0</v>
      </c>
      <c r="O309" s="3">
        <v>0</v>
      </c>
      <c r="P309" s="3" t="s">
        <v>3</v>
      </c>
    </row>
    <row r="310" spans="1:50" x14ac:dyDescent="0.25">
      <c r="A310" s="3">
        <v>70</v>
      </c>
      <c r="B310" s="3">
        <v>1</v>
      </c>
      <c r="D310" s="3">
        <v>2</v>
      </c>
      <c r="E310" s="3" t="s">
        <v>246</v>
      </c>
      <c r="F310" s="3" t="s">
        <v>247</v>
      </c>
      <c r="G310" s="3">
        <v>1</v>
      </c>
      <c r="H310" s="3">
        <v>0</v>
      </c>
      <c r="I310" s="3" t="s">
        <v>3</v>
      </c>
      <c r="J310" s="3">
        <v>1</v>
      </c>
      <c r="K310" s="3">
        <v>0</v>
      </c>
      <c r="L310" s="3" t="s">
        <v>3</v>
      </c>
      <c r="M310" s="3" t="s">
        <v>3</v>
      </c>
      <c r="N310" s="3">
        <v>0</v>
      </c>
      <c r="O310" s="3">
        <v>1</v>
      </c>
      <c r="P310" s="3" t="s">
        <v>3</v>
      </c>
    </row>
    <row r="311" spans="1:50" x14ac:dyDescent="0.25">
      <c r="A311" s="3">
        <v>70</v>
      </c>
      <c r="B311" s="3">
        <v>1</v>
      </c>
      <c r="D311" s="3">
        <v>3</v>
      </c>
      <c r="E311" s="3" t="s">
        <v>248</v>
      </c>
      <c r="F311" s="3" t="s">
        <v>249</v>
      </c>
      <c r="G311" s="3">
        <v>1</v>
      </c>
      <c r="H311" s="3">
        <v>0</v>
      </c>
      <c r="I311" s="3" t="s">
        <v>3</v>
      </c>
      <c r="J311" s="3">
        <v>0</v>
      </c>
      <c r="K311" s="3">
        <v>0</v>
      </c>
      <c r="L311" s="3" t="s">
        <v>3</v>
      </c>
      <c r="M311" s="3" t="s">
        <v>3</v>
      </c>
      <c r="N311" s="3">
        <v>0</v>
      </c>
      <c r="O311" s="3">
        <v>1</v>
      </c>
      <c r="P311" s="3" t="s">
        <v>3</v>
      </c>
    </row>
    <row r="312" spans="1:50" x14ac:dyDescent="0.25">
      <c r="A312" s="3">
        <v>70</v>
      </c>
      <c r="B312" s="3">
        <v>1</v>
      </c>
      <c r="D312" s="3">
        <v>4</v>
      </c>
      <c r="E312" s="3" t="s">
        <v>250</v>
      </c>
      <c r="F312" s="3" t="s">
        <v>251</v>
      </c>
      <c r="G312" s="3">
        <v>1</v>
      </c>
      <c r="H312" s="3">
        <v>0</v>
      </c>
      <c r="I312" s="3" t="s">
        <v>3</v>
      </c>
      <c r="J312" s="3">
        <v>0</v>
      </c>
      <c r="K312" s="3">
        <v>0</v>
      </c>
      <c r="L312" s="3" t="s">
        <v>3</v>
      </c>
      <c r="M312" s="3" t="s">
        <v>3</v>
      </c>
      <c r="N312" s="3">
        <v>0</v>
      </c>
      <c r="O312" s="3">
        <v>1</v>
      </c>
      <c r="P312" s="3" t="s">
        <v>3</v>
      </c>
    </row>
    <row r="313" spans="1:50" x14ac:dyDescent="0.25">
      <c r="A313" s="3">
        <v>70</v>
      </c>
      <c r="B313" s="3">
        <v>1</v>
      </c>
      <c r="D313" s="3">
        <v>5</v>
      </c>
      <c r="E313" s="3" t="s">
        <v>252</v>
      </c>
      <c r="F313" s="3" t="s">
        <v>253</v>
      </c>
      <c r="G313" s="3">
        <v>0</v>
      </c>
      <c r="H313" s="3">
        <v>0</v>
      </c>
      <c r="I313" s="3" t="s">
        <v>3</v>
      </c>
      <c r="J313" s="3">
        <v>0</v>
      </c>
      <c r="K313" s="3">
        <v>0</v>
      </c>
      <c r="L313" s="3" t="s">
        <v>3</v>
      </c>
      <c r="M313" s="3" t="s">
        <v>3</v>
      </c>
      <c r="N313" s="3">
        <v>0</v>
      </c>
      <c r="O313" s="3">
        <v>0</v>
      </c>
      <c r="P313" s="3" t="s">
        <v>3</v>
      </c>
    </row>
    <row r="315" spans="1:50" x14ac:dyDescent="0.25">
      <c r="A315" s="3">
        <v>-1</v>
      </c>
    </row>
    <row r="317" spans="1:50" ht="13" x14ac:dyDescent="0.3">
      <c r="A317" s="12">
        <v>75</v>
      </c>
      <c r="B317" s="12" t="s">
        <v>254</v>
      </c>
      <c r="C317" s="12">
        <v>2000</v>
      </c>
      <c r="D317" s="12">
        <v>0</v>
      </c>
      <c r="E317" s="12">
        <v>1</v>
      </c>
      <c r="F317" s="12">
        <v>0</v>
      </c>
      <c r="G317" s="12">
        <v>0</v>
      </c>
      <c r="H317" s="12">
        <v>1</v>
      </c>
      <c r="I317" s="12">
        <v>1</v>
      </c>
      <c r="J317" s="12">
        <v>3</v>
      </c>
      <c r="K317" s="12">
        <v>0</v>
      </c>
      <c r="L317" s="12">
        <v>0</v>
      </c>
      <c r="M317" s="12">
        <v>0</v>
      </c>
      <c r="N317" s="12">
        <v>55936046</v>
      </c>
      <c r="O317" s="12">
        <v>1</v>
      </c>
    </row>
    <row r="318" spans="1:50" x14ac:dyDescent="0.25">
      <c r="A318" s="14">
        <v>1</v>
      </c>
      <c r="B318" s="14" t="s">
        <v>255</v>
      </c>
      <c r="C318" s="14" t="s">
        <v>256</v>
      </c>
      <c r="D318" s="14">
        <v>2000</v>
      </c>
      <c r="E318" s="14">
        <v>1</v>
      </c>
      <c r="F318" s="14">
        <v>1</v>
      </c>
      <c r="G318" s="14">
        <v>1</v>
      </c>
      <c r="H318" s="14">
        <v>0</v>
      </c>
      <c r="I318" s="14">
        <v>2</v>
      </c>
      <c r="J318" s="14">
        <v>1</v>
      </c>
      <c r="K318" s="14">
        <v>1</v>
      </c>
      <c r="L318" s="14">
        <v>1</v>
      </c>
      <c r="M318" s="14">
        <v>1</v>
      </c>
      <c r="N318" s="14">
        <v>1</v>
      </c>
      <c r="O318" s="14">
        <v>1</v>
      </c>
      <c r="P318" s="14">
        <v>1</v>
      </c>
      <c r="Q318" s="14">
        <v>1</v>
      </c>
      <c r="R318" s="14" t="s">
        <v>3</v>
      </c>
      <c r="S318" s="14" t="s">
        <v>3</v>
      </c>
      <c r="T318" s="14" t="s">
        <v>3</v>
      </c>
      <c r="U318" s="14" t="s">
        <v>3</v>
      </c>
      <c r="V318" s="14" t="s">
        <v>3</v>
      </c>
      <c r="W318" s="14" t="s">
        <v>3</v>
      </c>
      <c r="X318" s="14" t="s">
        <v>3</v>
      </c>
      <c r="Y318" s="14" t="s">
        <v>3</v>
      </c>
      <c r="Z318" s="14" t="s">
        <v>3</v>
      </c>
      <c r="AA318" s="14" t="s">
        <v>201</v>
      </c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>
        <v>55936047</v>
      </c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</row>
    <row r="319" spans="1:50" ht="13" x14ac:dyDescent="0.3">
      <c r="A319" s="12">
        <v>75</v>
      </c>
      <c r="B319" s="12" t="s">
        <v>257</v>
      </c>
      <c r="C319" s="12">
        <v>2026</v>
      </c>
      <c r="D319" s="12">
        <v>1</v>
      </c>
      <c r="E319" s="12">
        <v>0</v>
      </c>
      <c r="F319" s="12"/>
      <c r="G319" s="12">
        <v>0</v>
      </c>
      <c r="H319" s="12">
        <v>1</v>
      </c>
      <c r="I319" s="12">
        <v>1</v>
      </c>
      <c r="J319" s="12">
        <v>1</v>
      </c>
      <c r="K319" s="12">
        <v>0</v>
      </c>
      <c r="L319" s="12">
        <v>0</v>
      </c>
      <c r="M319" s="12">
        <v>1</v>
      </c>
      <c r="N319" s="12">
        <v>55936048</v>
      </c>
      <c r="O319" s="12">
        <v>2</v>
      </c>
    </row>
    <row r="320" spans="1:50" x14ac:dyDescent="0.25">
      <c r="A320" s="14">
        <v>1</v>
      </c>
      <c r="B320" s="14" t="s">
        <v>255</v>
      </c>
      <c r="C320" s="14" t="s">
        <v>256</v>
      </c>
      <c r="D320" s="14">
        <v>2026</v>
      </c>
      <c r="E320" s="14">
        <v>1</v>
      </c>
      <c r="F320" s="14">
        <v>1</v>
      </c>
      <c r="G320" s="14">
        <v>1</v>
      </c>
      <c r="H320" s="14">
        <v>0</v>
      </c>
      <c r="I320" s="14">
        <v>2</v>
      </c>
      <c r="J320" s="14">
        <v>1</v>
      </c>
      <c r="K320" s="14">
        <v>9.84</v>
      </c>
      <c r="L320" s="14">
        <v>7.57</v>
      </c>
      <c r="M320" s="14">
        <v>1</v>
      </c>
      <c r="N320" s="14">
        <v>1</v>
      </c>
      <c r="O320" s="14">
        <v>9.84</v>
      </c>
      <c r="P320" s="14">
        <v>7.57</v>
      </c>
      <c r="Q320" s="14">
        <v>1</v>
      </c>
      <c r="R320" s="14" t="s">
        <v>3</v>
      </c>
      <c r="S320" s="14" t="s">
        <v>3</v>
      </c>
      <c r="T320" s="14" t="s">
        <v>3</v>
      </c>
      <c r="U320" s="14" t="s">
        <v>3</v>
      </c>
      <c r="V320" s="14" t="s">
        <v>3</v>
      </c>
      <c r="W320" s="14" t="s">
        <v>3</v>
      </c>
      <c r="X320" s="14" t="s">
        <v>3</v>
      </c>
      <c r="Y320" s="14" t="s">
        <v>3</v>
      </c>
      <c r="Z320" s="14" t="s">
        <v>3</v>
      </c>
      <c r="AA320" s="14" t="s">
        <v>258</v>
      </c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>
        <v>55936049</v>
      </c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</row>
    <row r="321" spans="1:50" x14ac:dyDescent="0.25">
      <c r="A321" s="14">
        <v>1</v>
      </c>
      <c r="B321" s="14" t="s">
        <v>255</v>
      </c>
      <c r="C321" s="14" t="s">
        <v>259</v>
      </c>
      <c r="D321" s="14">
        <v>2026</v>
      </c>
      <c r="E321" s="14">
        <v>1</v>
      </c>
      <c r="F321" s="14">
        <v>1</v>
      </c>
      <c r="G321" s="14">
        <v>1</v>
      </c>
      <c r="H321" s="14">
        <v>0</v>
      </c>
      <c r="I321" s="14">
        <v>2</v>
      </c>
      <c r="J321" s="14">
        <v>1</v>
      </c>
      <c r="K321" s="14">
        <v>9.84</v>
      </c>
      <c r="L321" s="14">
        <v>7.57</v>
      </c>
      <c r="M321" s="14">
        <v>1</v>
      </c>
      <c r="N321" s="14">
        <v>1</v>
      </c>
      <c r="O321" s="14">
        <v>9.84</v>
      </c>
      <c r="P321" s="14">
        <v>7.57</v>
      </c>
      <c r="Q321" s="14">
        <v>1</v>
      </c>
      <c r="R321" s="14" t="s">
        <v>3</v>
      </c>
      <c r="S321" s="14" t="s">
        <v>3</v>
      </c>
      <c r="T321" s="14" t="s">
        <v>3</v>
      </c>
      <c r="U321" s="14" t="s">
        <v>3</v>
      </c>
      <c r="V321" s="14" t="s">
        <v>3</v>
      </c>
      <c r="W321" s="14" t="s">
        <v>3</v>
      </c>
      <c r="X321" s="14" t="s">
        <v>3</v>
      </c>
      <c r="Y321" s="14" t="s">
        <v>3</v>
      </c>
      <c r="Z321" s="14" t="s">
        <v>3</v>
      </c>
      <c r="AA321" s="14" t="s">
        <v>260</v>
      </c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>
        <v>55936050</v>
      </c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</row>
    <row r="325" spans="1:50" x14ac:dyDescent="0.25">
      <c r="A325" s="3">
        <v>65</v>
      </c>
      <c r="C325" s="3">
        <v>1</v>
      </c>
      <c r="D325" s="3">
        <v>0</v>
      </c>
      <c r="E325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5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33" x14ac:dyDescent="0.25">
      <c r="A1">
        <v>0</v>
      </c>
      <c r="B1" t="s">
        <v>0</v>
      </c>
      <c r="D1" t="s">
        <v>261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5</v>
      </c>
    </row>
    <row r="4" spans="1:133" ht="13" x14ac:dyDescent="0.3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5" spans="1:133" ht="13" x14ac:dyDescent="0.3">
      <c r="A5" s="1">
        <v>8</v>
      </c>
      <c r="B5" s="1">
        <v>1</v>
      </c>
      <c r="C5" s="1">
        <v>-1</v>
      </c>
      <c r="D5" s="1"/>
      <c r="E5" s="1"/>
      <c r="F5" s="1"/>
      <c r="G5" s="1" t="s">
        <v>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>
        <v>0</v>
      </c>
    </row>
    <row r="12" spans="1:133" ht="13" x14ac:dyDescent="0.3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10</v>
      </c>
      <c r="BZ12" s="1" t="s">
        <v>11</v>
      </c>
      <c r="CA12" s="1" t="s">
        <v>12</v>
      </c>
      <c r="CB12" s="1" t="s">
        <v>12</v>
      </c>
      <c r="CC12" s="1" t="s">
        <v>12</v>
      </c>
      <c r="CD12" s="1" t="s">
        <v>12</v>
      </c>
      <c r="CE12" s="1" t="s">
        <v>13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82</v>
      </c>
      <c r="CL12" s="1"/>
      <c r="CM12" s="1"/>
      <c r="CN12" s="1"/>
      <c r="CO12" s="1"/>
      <c r="CP12" s="1"/>
      <c r="CQ12" s="1" t="s">
        <v>14</v>
      </c>
      <c r="CR12" s="1" t="s">
        <v>15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ht="13" x14ac:dyDescent="0.3">
      <c r="A14" s="1">
        <v>22</v>
      </c>
      <c r="B14" s="1">
        <v>1</v>
      </c>
      <c r="C14" s="1">
        <v>0</v>
      </c>
      <c r="D14" s="1">
        <v>55936046</v>
      </c>
      <c r="E14" s="1">
        <v>55936048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5">
      <c r="A16" s="7">
        <v>3</v>
      </c>
      <c r="B16" s="7">
        <v>1</v>
      </c>
      <c r="C16" s="7" t="s">
        <v>5</v>
      </c>
      <c r="D16" s="7" t="s">
        <v>16</v>
      </c>
      <c r="E16" s="8">
        <f>ROUND((Source!F265)/1000,2)</f>
        <v>0.41</v>
      </c>
      <c r="F16" s="8">
        <f>ROUND((Source!F266)/1000,2)</f>
        <v>25.99</v>
      </c>
      <c r="G16" s="8">
        <f>ROUND((Source!F257)/1000,2)</f>
        <v>457.11</v>
      </c>
      <c r="H16" s="8">
        <f>ROUND((Source!F267)/1000+(Source!F268)/1000,2)</f>
        <v>0</v>
      </c>
      <c r="I16" s="8">
        <f>E16+F16+G16+H16</f>
        <v>483.51</v>
      </c>
      <c r="J16" s="8">
        <f>ROUND((Source!F263+Source!F262)/1000,2)</f>
        <v>5.6</v>
      </c>
      <c r="K16" s="8">
        <v>944.92</v>
      </c>
      <c r="L16" s="8">
        <v>0</v>
      </c>
      <c r="M16" s="8">
        <v>0</v>
      </c>
      <c r="N16" s="8">
        <f>I16+L16+M16</f>
        <v>483.51</v>
      </c>
      <c r="T16" s="9">
        <f>ROUND((Source!P265)/1000,2)</f>
        <v>23.26</v>
      </c>
      <c r="U16" s="9">
        <f>ROUND((Source!P266)/1000,2)</f>
        <v>843.2</v>
      </c>
      <c r="V16" s="9">
        <f>ROUND((Source!P257)/1000,2)</f>
        <v>3468.62</v>
      </c>
      <c r="W16" s="9">
        <f>ROUND((Source!P267)/1000+(Source!P268)/1000,2)</f>
        <v>0</v>
      </c>
      <c r="X16" s="9">
        <f>T16+U16+V16+W16</f>
        <v>4335.08</v>
      </c>
      <c r="Y16" s="9">
        <f>ROUND((Source!P263+Source!P262)/1000,2)</f>
        <v>315.60000000000002</v>
      </c>
      <c r="Z16" s="9">
        <v>7477.54</v>
      </c>
      <c r="AA16" s="9">
        <v>0</v>
      </c>
      <c r="AB16" s="9">
        <v>0</v>
      </c>
      <c r="AC16" s="9">
        <f>X16+AA16+AB16</f>
        <v>4335.08</v>
      </c>
      <c r="AI16" s="7">
        <v>0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475835.53</v>
      </c>
      <c r="AU16" s="8">
        <v>469082.56</v>
      </c>
      <c r="AV16" s="8">
        <v>0</v>
      </c>
      <c r="AW16" s="8">
        <v>457108.89</v>
      </c>
      <c r="AX16" s="8">
        <v>0</v>
      </c>
      <c r="AY16" s="8">
        <v>1297.17</v>
      </c>
      <c r="AZ16" s="8">
        <v>144.85</v>
      </c>
      <c r="BA16" s="8">
        <v>5455.8</v>
      </c>
      <c r="BB16" s="8">
        <v>412.71</v>
      </c>
      <c r="BC16" s="8">
        <v>25989.96</v>
      </c>
      <c r="BD16" s="8">
        <v>0</v>
      </c>
      <c r="BE16" s="8">
        <v>0</v>
      </c>
      <c r="BF16" s="8">
        <v>399.26218428000004</v>
      </c>
      <c r="BG16" s="8">
        <v>0</v>
      </c>
      <c r="BH16" s="8">
        <v>0</v>
      </c>
      <c r="BI16" s="8">
        <v>5064.8</v>
      </c>
      <c r="BJ16" s="8">
        <v>2611.23</v>
      </c>
      <c r="BK16" s="8">
        <v>483511.56</v>
      </c>
      <c r="BR16" s="9">
        <v>3902531.87</v>
      </c>
      <c r="BS16" s="9">
        <v>3575004.92</v>
      </c>
      <c r="BT16" s="9">
        <v>0</v>
      </c>
      <c r="BU16" s="9">
        <v>3468623.06</v>
      </c>
      <c r="BV16" s="9">
        <v>0</v>
      </c>
      <c r="BW16" s="9">
        <v>20092.62</v>
      </c>
      <c r="BX16" s="9">
        <v>8162.32</v>
      </c>
      <c r="BY16" s="9">
        <v>307434.33</v>
      </c>
      <c r="BZ16" s="9">
        <v>23255.94</v>
      </c>
      <c r="CA16" s="9">
        <v>843196.8</v>
      </c>
      <c r="CB16" s="9">
        <v>0</v>
      </c>
      <c r="CC16" s="9">
        <v>0</v>
      </c>
      <c r="CD16" s="9">
        <v>399.26218428000004</v>
      </c>
      <c r="CE16" s="9">
        <v>0</v>
      </c>
      <c r="CF16" s="9">
        <v>0</v>
      </c>
      <c r="CG16" s="9">
        <v>285401.19</v>
      </c>
      <c r="CH16" s="9">
        <v>147142.74</v>
      </c>
      <c r="CI16" s="9">
        <v>4335075.8</v>
      </c>
    </row>
    <row r="18" spans="1:29" x14ac:dyDescent="0.25">
      <c r="A18">
        <v>51</v>
      </c>
      <c r="E18">
        <v>0.41</v>
      </c>
      <c r="F18">
        <v>25.99</v>
      </c>
      <c r="G18">
        <v>457.11</v>
      </c>
      <c r="H18">
        <v>0</v>
      </c>
      <c r="I18">
        <v>483.51</v>
      </c>
      <c r="J18">
        <v>5.6</v>
      </c>
      <c r="K18">
        <v>944.92</v>
      </c>
      <c r="L18">
        <v>0</v>
      </c>
      <c r="M18">
        <v>0</v>
      </c>
      <c r="N18">
        <v>483.51</v>
      </c>
      <c r="T18">
        <v>23.26</v>
      </c>
      <c r="U18">
        <v>843.2</v>
      </c>
      <c r="V18">
        <v>3468.62</v>
      </c>
      <c r="W18">
        <v>0</v>
      </c>
      <c r="X18">
        <v>4335.08</v>
      </c>
      <c r="Y18">
        <v>315.60000000000002</v>
      </c>
      <c r="Z18">
        <v>7477.54</v>
      </c>
      <c r="AA18">
        <v>0</v>
      </c>
      <c r="AB18">
        <v>0</v>
      </c>
      <c r="AC18">
        <v>4335.08</v>
      </c>
    </row>
    <row r="20" spans="1:29" ht="13" x14ac:dyDescent="0.3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475835.53</v>
      </c>
      <c r="G20" s="5" t="s">
        <v>84</v>
      </c>
      <c r="H20" s="5" t="s">
        <v>85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3902531.87</v>
      </c>
    </row>
    <row r="21" spans="1:29" ht="13" x14ac:dyDescent="0.3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469082.56</v>
      </c>
      <c r="G21" s="5" t="s">
        <v>86</v>
      </c>
      <c r="H21" s="5" t="s">
        <v>87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3575004.92</v>
      </c>
    </row>
    <row r="22" spans="1:29" ht="13" x14ac:dyDescent="0.3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88</v>
      </c>
      <c r="H22" s="5" t="s">
        <v>89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ht="13" x14ac:dyDescent="0.3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469082.56</v>
      </c>
      <c r="G23" s="5" t="s">
        <v>90</v>
      </c>
      <c r="H23" s="5" t="s">
        <v>91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3575004.92</v>
      </c>
    </row>
    <row r="24" spans="1:29" ht="13" x14ac:dyDescent="0.3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11973.67</v>
      </c>
      <c r="G24" s="5" t="s">
        <v>92</v>
      </c>
      <c r="H24" s="5" t="s">
        <v>93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106381.86</v>
      </c>
    </row>
    <row r="25" spans="1:29" ht="13" x14ac:dyDescent="0.3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94</v>
      </c>
      <c r="H25" s="5" t="s">
        <v>95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ht="13" x14ac:dyDescent="0.3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11973.67</v>
      </c>
      <c r="G26" s="5" t="s">
        <v>96</v>
      </c>
      <c r="H26" s="5" t="s">
        <v>97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106381.86</v>
      </c>
    </row>
    <row r="27" spans="1:29" ht="13" x14ac:dyDescent="0.3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457108.89</v>
      </c>
      <c r="G27" s="5" t="s">
        <v>98</v>
      </c>
      <c r="H27" s="5" t="s">
        <v>99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3468623.06</v>
      </c>
    </row>
    <row r="28" spans="1:29" ht="13" x14ac:dyDescent="0.3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100</v>
      </c>
      <c r="H28" s="5" t="s">
        <v>101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ht="13" x14ac:dyDescent="0.3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457108.89</v>
      </c>
      <c r="G29" s="5" t="s">
        <v>102</v>
      </c>
      <c r="H29" s="5" t="s">
        <v>103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3468623.06</v>
      </c>
    </row>
    <row r="30" spans="1:29" ht="13" x14ac:dyDescent="0.3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1297.17</v>
      </c>
      <c r="G30" s="5" t="s">
        <v>104</v>
      </c>
      <c r="H30" s="5" t="s">
        <v>105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20092.62</v>
      </c>
    </row>
    <row r="31" spans="1:29" ht="13" x14ac:dyDescent="0.3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106</v>
      </c>
      <c r="H31" s="5" t="s">
        <v>107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ht="13" x14ac:dyDescent="0.3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144.85</v>
      </c>
      <c r="G32" s="5" t="s">
        <v>108</v>
      </c>
      <c r="H32" s="5" t="s">
        <v>109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8162.32</v>
      </c>
    </row>
    <row r="33" spans="1:16" ht="13" x14ac:dyDescent="0.3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5455.8</v>
      </c>
      <c r="G33" s="5" t="s">
        <v>110</v>
      </c>
      <c r="H33" s="5" t="s">
        <v>111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307434.33</v>
      </c>
    </row>
    <row r="34" spans="1:16" ht="13" x14ac:dyDescent="0.3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112</v>
      </c>
      <c r="H34" s="5" t="s">
        <v>113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ht="13" x14ac:dyDescent="0.3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412.71</v>
      </c>
      <c r="G35" s="5" t="s">
        <v>114</v>
      </c>
      <c r="H35" s="5" t="s">
        <v>115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23255.94</v>
      </c>
    </row>
    <row r="36" spans="1:16" ht="13" x14ac:dyDescent="0.3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25989.96</v>
      </c>
      <c r="G36" s="5" t="s">
        <v>116</v>
      </c>
      <c r="H36" s="5" t="s">
        <v>117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843196.8</v>
      </c>
    </row>
    <row r="37" spans="1:16" ht="13" x14ac:dyDescent="0.3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118</v>
      </c>
      <c r="H37" s="5" t="s">
        <v>119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ht="13" x14ac:dyDescent="0.3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120</v>
      </c>
      <c r="H38" s="5" t="s">
        <v>121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ht="13" x14ac:dyDescent="0.3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122</v>
      </c>
      <c r="H39" s="5" t="s">
        <v>123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ht="13" x14ac:dyDescent="0.3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399.26218428000004</v>
      </c>
      <c r="G40" s="5" t="s">
        <v>124</v>
      </c>
      <c r="H40" s="5" t="s">
        <v>125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399.26218428000004</v>
      </c>
    </row>
    <row r="41" spans="1:16" ht="13" x14ac:dyDescent="0.3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126</v>
      </c>
      <c r="H41" s="5" t="s">
        <v>127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ht="13" x14ac:dyDescent="0.3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128</v>
      </c>
      <c r="H42" s="5" t="s">
        <v>129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ht="13" x14ac:dyDescent="0.3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130</v>
      </c>
      <c r="H43" s="5" t="s">
        <v>131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ht="13" x14ac:dyDescent="0.3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5064.8</v>
      </c>
      <c r="G44" s="5" t="s">
        <v>132</v>
      </c>
      <c r="H44" s="5" t="s">
        <v>133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285401.19</v>
      </c>
    </row>
    <row r="45" spans="1:16" ht="13" x14ac:dyDescent="0.3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2611.23</v>
      </c>
      <c r="G45" s="5" t="s">
        <v>134</v>
      </c>
      <c r="H45" s="5" t="s">
        <v>135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147142.74</v>
      </c>
    </row>
    <row r="46" spans="1:16" ht="13" x14ac:dyDescent="0.3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483511.56</v>
      </c>
      <c r="G46" s="5" t="s">
        <v>136</v>
      </c>
      <c r="H46" s="5" t="s">
        <v>137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4335075.8</v>
      </c>
    </row>
    <row r="48" spans="1:16" x14ac:dyDescent="0.25">
      <c r="A48">
        <v>-1</v>
      </c>
    </row>
    <row r="51" spans="1:50" ht="13" x14ac:dyDescent="0.3">
      <c r="A51" s="4">
        <v>75</v>
      </c>
      <c r="B51" s="4" t="s">
        <v>254</v>
      </c>
      <c r="C51" s="4">
        <v>2000</v>
      </c>
      <c r="D51" s="4">
        <v>0</v>
      </c>
      <c r="E51" s="4">
        <v>1</v>
      </c>
      <c r="F51" s="4">
        <v>0</v>
      </c>
      <c r="G51" s="4">
        <v>0</v>
      </c>
      <c r="H51" s="4">
        <v>1</v>
      </c>
      <c r="I51" s="4">
        <v>1</v>
      </c>
      <c r="J51" s="4">
        <v>3</v>
      </c>
      <c r="K51" s="4">
        <v>0</v>
      </c>
      <c r="L51" s="4">
        <v>0</v>
      </c>
      <c r="M51" s="4">
        <v>0</v>
      </c>
      <c r="N51" s="4">
        <v>55936046</v>
      </c>
      <c r="O51" s="4">
        <v>1</v>
      </c>
    </row>
    <row r="52" spans="1:50" x14ac:dyDescent="0.25">
      <c r="A52" s="6">
        <v>1</v>
      </c>
      <c r="B52" s="6" t="s">
        <v>255</v>
      </c>
      <c r="C52" s="6" t="s">
        <v>256</v>
      </c>
      <c r="D52" s="6">
        <v>2000</v>
      </c>
      <c r="E52" s="6">
        <v>1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1</v>
      </c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201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55936047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ht="13" x14ac:dyDescent="0.3">
      <c r="A53" s="4">
        <v>75</v>
      </c>
      <c r="B53" s="4" t="s">
        <v>257</v>
      </c>
      <c r="C53" s="4">
        <v>2026</v>
      </c>
      <c r="D53" s="4">
        <v>1</v>
      </c>
      <c r="E53" s="4">
        <v>0</v>
      </c>
      <c r="F53" s="4"/>
      <c r="G53" s="4">
        <v>0</v>
      </c>
      <c r="H53" s="4">
        <v>1</v>
      </c>
      <c r="I53" s="4">
        <v>1</v>
      </c>
      <c r="J53" s="4">
        <v>1</v>
      </c>
      <c r="K53" s="4">
        <v>0</v>
      </c>
      <c r="L53" s="4">
        <v>0</v>
      </c>
      <c r="M53" s="4">
        <v>1</v>
      </c>
      <c r="N53" s="4">
        <v>55936048</v>
      </c>
      <c r="O53" s="4">
        <v>2</v>
      </c>
    </row>
    <row r="54" spans="1:50" x14ac:dyDescent="0.25">
      <c r="A54" s="6">
        <v>1</v>
      </c>
      <c r="B54" s="6" t="s">
        <v>255</v>
      </c>
      <c r="C54" s="6" t="s">
        <v>256</v>
      </c>
      <c r="D54" s="6">
        <v>2026</v>
      </c>
      <c r="E54" s="6">
        <v>1</v>
      </c>
      <c r="F54" s="6">
        <v>1</v>
      </c>
      <c r="G54" s="6">
        <v>1</v>
      </c>
      <c r="H54" s="6">
        <v>0</v>
      </c>
      <c r="I54" s="6">
        <v>2</v>
      </c>
      <c r="J54" s="6">
        <v>1</v>
      </c>
      <c r="K54" s="6">
        <v>9.84</v>
      </c>
      <c r="L54" s="6">
        <v>7.57</v>
      </c>
      <c r="M54" s="6">
        <v>1</v>
      </c>
      <c r="N54" s="6">
        <v>1</v>
      </c>
      <c r="O54" s="6">
        <v>9.84</v>
      </c>
      <c r="P54" s="6">
        <v>7.57</v>
      </c>
      <c r="Q54" s="6">
        <v>1</v>
      </c>
      <c r="R54" s="6" t="s">
        <v>3</v>
      </c>
      <c r="S54" s="6" t="s">
        <v>3</v>
      </c>
      <c r="T54" s="6" t="s">
        <v>3</v>
      </c>
      <c r="U54" s="6" t="s">
        <v>3</v>
      </c>
      <c r="V54" s="6" t="s">
        <v>3</v>
      </c>
      <c r="W54" s="6" t="s">
        <v>3</v>
      </c>
      <c r="X54" s="6" t="s">
        <v>3</v>
      </c>
      <c r="Y54" s="6" t="s">
        <v>3</v>
      </c>
      <c r="Z54" s="6" t="s">
        <v>3</v>
      </c>
      <c r="AA54" s="6" t="s">
        <v>258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>
        <v>55936049</v>
      </c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spans="1:50" x14ac:dyDescent="0.25">
      <c r="A55" s="6">
        <v>1</v>
      </c>
      <c r="B55" s="6" t="s">
        <v>255</v>
      </c>
      <c r="C55" s="6" t="s">
        <v>259</v>
      </c>
      <c r="D55" s="6">
        <v>2026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9.84</v>
      </c>
      <c r="L55" s="6">
        <v>7.57</v>
      </c>
      <c r="M55" s="6">
        <v>1</v>
      </c>
      <c r="N55" s="6">
        <v>1</v>
      </c>
      <c r="O55" s="6">
        <v>9.84</v>
      </c>
      <c r="P55" s="6">
        <v>7.57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260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55936050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212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19" x14ac:dyDescent="0.25">
      <c r="A1">
        <f>ROW(Source!A28)</f>
        <v>28</v>
      </c>
      <c r="B1">
        <v>55936046</v>
      </c>
      <c r="C1">
        <v>55984232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262</v>
      </c>
      <c r="J1" t="s">
        <v>3</v>
      </c>
      <c r="K1" t="s">
        <v>263</v>
      </c>
      <c r="L1">
        <v>1191</v>
      </c>
      <c r="N1">
        <v>1013</v>
      </c>
      <c r="O1" t="s">
        <v>264</v>
      </c>
      <c r="P1" t="s">
        <v>264</v>
      </c>
      <c r="Q1">
        <v>1</v>
      </c>
      <c r="W1">
        <v>0</v>
      </c>
      <c r="X1">
        <v>476480486</v>
      </c>
      <c r="Y1">
        <f>((AT1*1.2)*0.3)</f>
        <v>10.785599999999999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29.96</v>
      </c>
      <c r="AU1" t="s">
        <v>25</v>
      </c>
      <c r="AV1">
        <v>1</v>
      </c>
      <c r="AW1">
        <v>2</v>
      </c>
      <c r="AX1">
        <v>55984237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21.571200000000001</v>
      </c>
      <c r="CW1">
        <v>0</v>
      </c>
      <c r="CX1">
        <f>ROUND(Y1*Source!I28,9)</f>
        <v>21.571200000000001</v>
      </c>
      <c r="CY1">
        <f>AD1</f>
        <v>0</v>
      </c>
      <c r="CZ1">
        <f>AH1</f>
        <v>0</v>
      </c>
      <c r="DA1">
        <f>AL1</f>
        <v>1</v>
      </c>
      <c r="DB1">
        <f>ROUND(((ROUND(AT1*CZ1,2)*1.2)*0.3),6)</f>
        <v>0</v>
      </c>
      <c r="DC1">
        <f>ROUND(((ROUND(AT1*AG1,2)*1.2)*0.3),6)</f>
        <v>0</v>
      </c>
      <c r="DD1" t="s">
        <v>3</v>
      </c>
      <c r="DE1" t="s">
        <v>3</v>
      </c>
      <c r="DF1">
        <f t="shared" ref="DF1:DF7" si="0">ROUND(ROUND(AE1,2)*CX1,2)</f>
        <v>0</v>
      </c>
      <c r="DG1">
        <f>ROUND(ROUND(AF1,2)*CX1,2)</f>
        <v>0</v>
      </c>
      <c r="DH1">
        <f>ROUND(ROUND(AG1,2)*CX1,2)</f>
        <v>0</v>
      </c>
      <c r="DI1">
        <f t="shared" ref="DI1:DI64" si="1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5">
      <c r="A2">
        <f>ROW(Source!A28)</f>
        <v>28</v>
      </c>
      <c r="B2">
        <v>55936046</v>
      </c>
      <c r="C2">
        <v>55984232</v>
      </c>
      <c r="D2">
        <v>55490209</v>
      </c>
      <c r="E2">
        <v>1</v>
      </c>
      <c r="F2">
        <v>1</v>
      </c>
      <c r="G2">
        <v>1081</v>
      </c>
      <c r="H2">
        <v>2</v>
      </c>
      <c r="I2" t="s">
        <v>265</v>
      </c>
      <c r="J2" t="s">
        <v>266</v>
      </c>
      <c r="K2" t="s">
        <v>267</v>
      </c>
      <c r="L2">
        <v>1368</v>
      </c>
      <c r="N2">
        <v>1011</v>
      </c>
      <c r="O2" t="s">
        <v>268</v>
      </c>
      <c r="P2" t="s">
        <v>268</v>
      </c>
      <c r="Q2">
        <v>1</v>
      </c>
      <c r="W2">
        <v>0</v>
      </c>
      <c r="X2">
        <v>874612079</v>
      </c>
      <c r="Y2">
        <f>((AT2*1.2)*0.3)</f>
        <v>3.5999999999999999E-3</v>
      </c>
      <c r="AA2">
        <v>0</v>
      </c>
      <c r="AB2">
        <v>87.01</v>
      </c>
      <c r="AC2">
        <v>13.21</v>
      </c>
      <c r="AD2">
        <v>0</v>
      </c>
      <c r="AE2">
        <v>0</v>
      </c>
      <c r="AF2">
        <v>83.1</v>
      </c>
      <c r="AG2">
        <v>12.62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0.01</v>
      </c>
      <c r="AU2" t="s">
        <v>25</v>
      </c>
      <c r="AV2">
        <v>0</v>
      </c>
      <c r="AW2">
        <v>2</v>
      </c>
      <c r="AX2">
        <v>55984238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ROUND(Y2*Source!I28*DO2,9)</f>
        <v>9.0864E-2</v>
      </c>
      <c r="CX2">
        <f>ROUND(Y2*Source!I28,9)</f>
        <v>7.1999999999999998E-3</v>
      </c>
      <c r="CY2">
        <f>AB2</f>
        <v>87.01</v>
      </c>
      <c r="CZ2">
        <f>AF2</f>
        <v>83.1</v>
      </c>
      <c r="DA2">
        <f>AJ2</f>
        <v>1</v>
      </c>
      <c r="DB2">
        <f>ROUND(((ROUND(AT2*CZ2,2)*1.2)*0.3),6)</f>
        <v>0.29880000000000001</v>
      </c>
      <c r="DC2">
        <f>ROUND(((ROUND(AT2*AG2,2)*1.2)*0.3),6)</f>
        <v>4.6800000000000001E-2</v>
      </c>
      <c r="DD2" t="s">
        <v>3</v>
      </c>
      <c r="DE2" t="s">
        <v>3</v>
      </c>
      <c r="DF2">
        <f t="shared" si="0"/>
        <v>0</v>
      </c>
      <c r="DG2">
        <f>ROUND(ROUND(AF2,2)*CX2,2)</f>
        <v>0.6</v>
      </c>
      <c r="DH2">
        <f>ROUND(ROUND(AG2,2)*CX2,2)</f>
        <v>0.09</v>
      </c>
      <c r="DI2">
        <f t="shared" si="1"/>
        <v>0</v>
      </c>
      <c r="DJ2">
        <f>DG2</f>
        <v>0.6</v>
      </c>
      <c r="DK2">
        <v>0</v>
      </c>
      <c r="DL2" t="s">
        <v>269</v>
      </c>
      <c r="DM2">
        <v>0</v>
      </c>
      <c r="DN2" t="s">
        <v>264</v>
      </c>
      <c r="DO2">
        <v>12.62</v>
      </c>
    </row>
    <row r="3" spans="1:119" x14ac:dyDescent="0.25">
      <c r="A3">
        <f>ROW(Source!A28)</f>
        <v>28</v>
      </c>
      <c r="B3">
        <v>55936046</v>
      </c>
      <c r="C3">
        <v>55984232</v>
      </c>
      <c r="D3">
        <v>55490296</v>
      </c>
      <c r="E3">
        <v>1</v>
      </c>
      <c r="F3">
        <v>1</v>
      </c>
      <c r="G3">
        <v>1081</v>
      </c>
      <c r="H3">
        <v>2</v>
      </c>
      <c r="I3" t="s">
        <v>270</v>
      </c>
      <c r="J3" t="s">
        <v>271</v>
      </c>
      <c r="K3" t="s">
        <v>272</v>
      </c>
      <c r="L3">
        <v>1368</v>
      </c>
      <c r="N3">
        <v>1011</v>
      </c>
      <c r="O3" t="s">
        <v>268</v>
      </c>
      <c r="P3" t="s">
        <v>268</v>
      </c>
      <c r="Q3">
        <v>1</v>
      </c>
      <c r="W3">
        <v>0</v>
      </c>
      <c r="X3">
        <v>-643591644</v>
      </c>
      <c r="Y3">
        <f>((AT3*1.2)*0.3)</f>
        <v>0.20879999999999999</v>
      </c>
      <c r="AA3">
        <v>0</v>
      </c>
      <c r="AB3">
        <v>0.49</v>
      </c>
      <c r="AC3">
        <v>0</v>
      </c>
      <c r="AD3">
        <v>0</v>
      </c>
      <c r="AE3">
        <v>0</v>
      </c>
      <c r="AF3">
        <v>0.47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0.57999999999999996</v>
      </c>
      <c r="AU3" t="s">
        <v>25</v>
      </c>
      <c r="AV3">
        <v>0</v>
      </c>
      <c r="AW3">
        <v>2</v>
      </c>
      <c r="AX3">
        <v>55984239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f>ROUND(Y3*Source!I28*DO3,9)</f>
        <v>0</v>
      </c>
      <c r="CX3">
        <f>ROUND(Y3*Source!I28,9)</f>
        <v>0.41760000000000003</v>
      </c>
      <c r="CY3">
        <f>AB3</f>
        <v>0.49</v>
      </c>
      <c r="CZ3">
        <f>AF3</f>
        <v>0.47</v>
      </c>
      <c r="DA3">
        <f>AJ3</f>
        <v>1</v>
      </c>
      <c r="DB3">
        <f>ROUND(((ROUND(AT3*CZ3,2)*1.2)*0.3),6)</f>
        <v>9.7199999999999995E-2</v>
      </c>
      <c r="DC3">
        <f>ROUND(((ROUND(AT3*AG3,2)*1.2)*0.3),6)</f>
        <v>0</v>
      </c>
      <c r="DD3" t="s">
        <v>3</v>
      </c>
      <c r="DE3" t="s">
        <v>3</v>
      </c>
      <c r="DF3">
        <f t="shared" si="0"/>
        <v>0</v>
      </c>
      <c r="DG3">
        <f>ROUND(ROUND(AF3,2)*CX3,2)</f>
        <v>0.2</v>
      </c>
      <c r="DH3">
        <f>ROUND(ROUND(AG3,2)*CX3,2)</f>
        <v>0</v>
      </c>
      <c r="DI3">
        <f t="shared" si="1"/>
        <v>0</v>
      </c>
      <c r="DJ3">
        <f>DG3</f>
        <v>0.2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5">
      <c r="A4">
        <f>ROW(Source!A28)</f>
        <v>28</v>
      </c>
      <c r="B4">
        <v>55936046</v>
      </c>
      <c r="C4">
        <v>55984232</v>
      </c>
      <c r="D4">
        <v>55460882</v>
      </c>
      <c r="E4">
        <v>1</v>
      </c>
      <c r="F4">
        <v>1</v>
      </c>
      <c r="G4">
        <v>1081</v>
      </c>
      <c r="H4">
        <v>3</v>
      </c>
      <c r="I4" t="s">
        <v>273</v>
      </c>
      <c r="J4" t="s">
        <v>274</v>
      </c>
      <c r="K4" t="s">
        <v>275</v>
      </c>
      <c r="L4">
        <v>1348</v>
      </c>
      <c r="N4">
        <v>1009</v>
      </c>
      <c r="O4" t="s">
        <v>223</v>
      </c>
      <c r="P4" t="s">
        <v>223</v>
      </c>
      <c r="Q4">
        <v>1000</v>
      </c>
      <c r="W4">
        <v>0</v>
      </c>
      <c r="X4">
        <v>-1448166212</v>
      </c>
      <c r="Y4">
        <f>((AT4*1)*0)</f>
        <v>0</v>
      </c>
      <c r="AA4">
        <v>14327.51</v>
      </c>
      <c r="AB4">
        <v>0</v>
      </c>
      <c r="AC4">
        <v>0</v>
      </c>
      <c r="AD4">
        <v>0</v>
      </c>
      <c r="AE4">
        <v>14327.51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9.0000000000000006E-5</v>
      </c>
      <c r="AU4" t="s">
        <v>24</v>
      </c>
      <c r="AV4">
        <v>0</v>
      </c>
      <c r="AW4">
        <v>2</v>
      </c>
      <c r="AX4">
        <v>55984240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v>0</v>
      </c>
      <c r="CX4">
        <f>ROUND(Y4*Source!I28,9)</f>
        <v>0</v>
      </c>
      <c r="CY4">
        <f>AA4</f>
        <v>14327.51</v>
      </c>
      <c r="CZ4">
        <f>AE4</f>
        <v>14327.51</v>
      </c>
      <c r="DA4">
        <f>AI4</f>
        <v>1</v>
      </c>
      <c r="DB4">
        <f>ROUND(((ROUND(AT4*CZ4,2)*1)*0),6)</f>
        <v>0</v>
      </c>
      <c r="DC4">
        <f>ROUND(((ROUND(AT4*AG4,2)*1)*0),6)</f>
        <v>0</v>
      </c>
      <c r="DD4" t="s">
        <v>3</v>
      </c>
      <c r="DE4" t="s">
        <v>3</v>
      </c>
      <c r="DF4">
        <f t="shared" si="0"/>
        <v>0</v>
      </c>
      <c r="DG4">
        <f>ROUND(ROUND(AF4,2)*CX4,2)</f>
        <v>0</v>
      </c>
      <c r="DH4">
        <f>ROUND(ROUND(AG4,2)*CX4,2)</f>
        <v>0</v>
      </c>
      <c r="DI4">
        <f t="shared" si="1"/>
        <v>0</v>
      </c>
      <c r="DJ4">
        <f>DF4</f>
        <v>0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5">
      <c r="A5">
        <f>ROW(Source!A29)</f>
        <v>29</v>
      </c>
      <c r="B5">
        <v>55936048</v>
      </c>
      <c r="C5">
        <v>55984232</v>
      </c>
      <c r="D5">
        <v>55424304</v>
      </c>
      <c r="E5">
        <v>1081</v>
      </c>
      <c r="F5">
        <v>1</v>
      </c>
      <c r="G5">
        <v>1081</v>
      </c>
      <c r="H5">
        <v>1</v>
      </c>
      <c r="I5" t="s">
        <v>262</v>
      </c>
      <c r="J5" t="s">
        <v>3</v>
      </c>
      <c r="K5" t="s">
        <v>263</v>
      </c>
      <c r="L5">
        <v>1191</v>
      </c>
      <c r="N5">
        <v>1013</v>
      </c>
      <c r="O5" t="s">
        <v>264</v>
      </c>
      <c r="P5" t="s">
        <v>264</v>
      </c>
      <c r="Q5">
        <v>1</v>
      </c>
      <c r="W5">
        <v>0</v>
      </c>
      <c r="X5">
        <v>476480486</v>
      </c>
      <c r="Y5">
        <f>((AT5*1.2)*0.3)</f>
        <v>10.785599999999999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5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29.96</v>
      </c>
      <c r="AU5" t="s">
        <v>25</v>
      </c>
      <c r="AV5">
        <v>1</v>
      </c>
      <c r="AW5">
        <v>2</v>
      </c>
      <c r="AX5">
        <v>55984237</v>
      </c>
      <c r="AY5">
        <v>1</v>
      </c>
      <c r="AZ5">
        <v>0</v>
      </c>
      <c r="BA5">
        <v>6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U5">
        <f>ROUND(AT5*Source!I29*AH5*AL5,2)</f>
        <v>0</v>
      </c>
      <c r="CV5">
        <f>ROUND(Y5*Source!I29,9)</f>
        <v>21.571200000000001</v>
      </c>
      <c r="CW5">
        <v>0</v>
      </c>
      <c r="CX5">
        <f>ROUND(Y5*Source!I29,9)</f>
        <v>21.571200000000001</v>
      </c>
      <c r="CY5">
        <f>AD5</f>
        <v>0</v>
      </c>
      <c r="CZ5">
        <f>AH5</f>
        <v>0</v>
      </c>
      <c r="DA5">
        <f>AL5</f>
        <v>1</v>
      </c>
      <c r="DB5">
        <f>ROUND(((ROUND(AT5*CZ5,2)*1.2)*0.3),6)</f>
        <v>0</v>
      </c>
      <c r="DC5">
        <f>ROUND(((ROUND(AT5*AG5,2)*1.2)*0.3),6)</f>
        <v>0</v>
      </c>
      <c r="DD5" t="s">
        <v>3</v>
      </c>
      <c r="DE5" t="s">
        <v>3</v>
      </c>
      <c r="DF5">
        <f t="shared" si="0"/>
        <v>0</v>
      </c>
      <c r="DG5">
        <f>ROUND(ROUND(AF5,2)*CX5,2)</f>
        <v>0</v>
      </c>
      <c r="DH5">
        <f>ROUND(ROUND(AG5,2)*CX5,2)</f>
        <v>0</v>
      </c>
      <c r="DI5">
        <f t="shared" si="1"/>
        <v>0</v>
      </c>
      <c r="DJ5">
        <f>DI5</f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5">
      <c r="A6">
        <f>ROW(Source!A29)</f>
        <v>29</v>
      </c>
      <c r="B6">
        <v>55936048</v>
      </c>
      <c r="C6">
        <v>55984232</v>
      </c>
      <c r="D6">
        <v>55490209</v>
      </c>
      <c r="E6">
        <v>1</v>
      </c>
      <c r="F6">
        <v>1</v>
      </c>
      <c r="G6">
        <v>1081</v>
      </c>
      <c r="H6">
        <v>2</v>
      </c>
      <c r="I6" t="s">
        <v>265</v>
      </c>
      <c r="J6" t="s">
        <v>266</v>
      </c>
      <c r="K6" t="s">
        <v>267</v>
      </c>
      <c r="L6">
        <v>1368</v>
      </c>
      <c r="N6">
        <v>1011</v>
      </c>
      <c r="O6" t="s">
        <v>268</v>
      </c>
      <c r="P6" t="s">
        <v>268</v>
      </c>
      <c r="Q6">
        <v>1</v>
      </c>
      <c r="W6">
        <v>0</v>
      </c>
      <c r="X6">
        <v>874612079</v>
      </c>
      <c r="Y6">
        <f>((AT6*1.2)*0.3)</f>
        <v>3.5999999999999999E-3</v>
      </c>
      <c r="AA6">
        <v>0</v>
      </c>
      <c r="AB6">
        <v>1485.19</v>
      </c>
      <c r="AC6">
        <v>744.56</v>
      </c>
      <c r="AD6">
        <v>0</v>
      </c>
      <c r="AE6">
        <v>0</v>
      </c>
      <c r="AF6">
        <v>83.1</v>
      </c>
      <c r="AG6">
        <v>12.62</v>
      </c>
      <c r="AH6">
        <v>0</v>
      </c>
      <c r="AI6">
        <v>1</v>
      </c>
      <c r="AJ6">
        <v>17.07</v>
      </c>
      <c r="AK6">
        <v>56.35</v>
      </c>
      <c r="AL6">
        <v>1</v>
      </c>
      <c r="AM6">
        <v>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0.01</v>
      </c>
      <c r="AU6" t="s">
        <v>25</v>
      </c>
      <c r="AV6">
        <v>0</v>
      </c>
      <c r="AW6">
        <v>2</v>
      </c>
      <c r="AX6">
        <v>55984238</v>
      </c>
      <c r="AY6">
        <v>1</v>
      </c>
      <c r="AZ6">
        <v>0</v>
      </c>
      <c r="BA6">
        <v>7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f>ROUND(Y6*Source!I29*DO6,9)</f>
        <v>9.0864E-2</v>
      </c>
      <c r="CX6">
        <f>ROUND(Y6*Source!I29,9)</f>
        <v>7.1999999999999998E-3</v>
      </c>
      <c r="CY6">
        <f>AB6</f>
        <v>1485.19</v>
      </c>
      <c r="CZ6">
        <f>AF6</f>
        <v>83.1</v>
      </c>
      <c r="DA6">
        <f>AJ6</f>
        <v>17.07</v>
      </c>
      <c r="DB6">
        <f>ROUND(((ROUND(AT6*CZ6,2)*1.2)*0.3),6)</f>
        <v>0.29880000000000001</v>
      </c>
      <c r="DC6">
        <f>ROUND(((ROUND(AT6*AG6,2)*1.2)*0.3),6)</f>
        <v>4.6800000000000001E-2</v>
      </c>
      <c r="DD6" t="s">
        <v>3</v>
      </c>
      <c r="DE6" t="s">
        <v>3</v>
      </c>
      <c r="DF6">
        <f t="shared" si="0"/>
        <v>0</v>
      </c>
      <c r="DG6">
        <f>ROUND(ROUND(AF6*AJ6,2)*CX6,2)</f>
        <v>10.210000000000001</v>
      </c>
      <c r="DH6">
        <f>ROUND(ROUND(AG6*AK6,2)*CX6,2)</f>
        <v>5.12</v>
      </c>
      <c r="DI6">
        <f t="shared" si="1"/>
        <v>0</v>
      </c>
      <c r="DJ6">
        <f>DG6</f>
        <v>10.210000000000001</v>
      </c>
      <c r="DK6">
        <v>0</v>
      </c>
      <c r="DL6" t="s">
        <v>269</v>
      </c>
      <c r="DM6">
        <v>0</v>
      </c>
      <c r="DN6" t="s">
        <v>264</v>
      </c>
      <c r="DO6">
        <v>12.62</v>
      </c>
    </row>
    <row r="7" spans="1:119" x14ac:dyDescent="0.25">
      <c r="A7">
        <f>ROW(Source!A29)</f>
        <v>29</v>
      </c>
      <c r="B7">
        <v>55936048</v>
      </c>
      <c r="C7">
        <v>55984232</v>
      </c>
      <c r="D7">
        <v>55490296</v>
      </c>
      <c r="E7">
        <v>1</v>
      </c>
      <c r="F7">
        <v>1</v>
      </c>
      <c r="G7">
        <v>1081</v>
      </c>
      <c r="H7">
        <v>2</v>
      </c>
      <c r="I7" t="s">
        <v>270</v>
      </c>
      <c r="J7" t="s">
        <v>271</v>
      </c>
      <c r="K7" t="s">
        <v>272</v>
      </c>
      <c r="L7">
        <v>1368</v>
      </c>
      <c r="N7">
        <v>1011</v>
      </c>
      <c r="O7" t="s">
        <v>268</v>
      </c>
      <c r="P7" t="s">
        <v>268</v>
      </c>
      <c r="Q7">
        <v>1</v>
      </c>
      <c r="W7">
        <v>0</v>
      </c>
      <c r="X7">
        <v>-643591644</v>
      </c>
      <c r="Y7">
        <f>((AT7*1.2)*0.3)</f>
        <v>0.20879999999999999</v>
      </c>
      <c r="AA7">
        <v>0</v>
      </c>
      <c r="AB7">
        <v>4.75</v>
      </c>
      <c r="AC7">
        <v>0</v>
      </c>
      <c r="AD7">
        <v>0</v>
      </c>
      <c r="AE7">
        <v>0</v>
      </c>
      <c r="AF7">
        <v>0.47</v>
      </c>
      <c r="AG7">
        <v>0</v>
      </c>
      <c r="AH7">
        <v>0</v>
      </c>
      <c r="AI7">
        <v>1</v>
      </c>
      <c r="AJ7">
        <v>9.66</v>
      </c>
      <c r="AK7">
        <v>1</v>
      </c>
      <c r="AL7">
        <v>1</v>
      </c>
      <c r="AM7">
        <v>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0.57999999999999996</v>
      </c>
      <c r="AU7" t="s">
        <v>25</v>
      </c>
      <c r="AV7">
        <v>0</v>
      </c>
      <c r="AW7">
        <v>2</v>
      </c>
      <c r="AX7">
        <v>55984239</v>
      </c>
      <c r="AY7">
        <v>1</v>
      </c>
      <c r="AZ7">
        <v>0</v>
      </c>
      <c r="BA7">
        <v>8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f>ROUND(Y7*Source!I29*DO7,9)</f>
        <v>0</v>
      </c>
      <c r="CX7">
        <f>ROUND(Y7*Source!I29,9)</f>
        <v>0.41760000000000003</v>
      </c>
      <c r="CY7">
        <f>AB7</f>
        <v>4.75</v>
      </c>
      <c r="CZ7">
        <f>AF7</f>
        <v>0.47</v>
      </c>
      <c r="DA7">
        <f>AJ7</f>
        <v>9.66</v>
      </c>
      <c r="DB7">
        <f>ROUND(((ROUND(AT7*CZ7,2)*1.2)*0.3),6)</f>
        <v>9.7199999999999995E-2</v>
      </c>
      <c r="DC7">
        <f>ROUND(((ROUND(AT7*AG7,2)*1.2)*0.3),6)</f>
        <v>0</v>
      </c>
      <c r="DD7" t="s">
        <v>3</v>
      </c>
      <c r="DE7" t="s">
        <v>3</v>
      </c>
      <c r="DF7">
        <f t="shared" si="0"/>
        <v>0</v>
      </c>
      <c r="DG7">
        <f>ROUND(ROUND(AF7*AJ7,2)*CX7,2)</f>
        <v>1.9</v>
      </c>
      <c r="DH7">
        <f t="shared" ref="DH7:DH24" si="2">ROUND(ROUND(AG7,2)*CX7,2)</f>
        <v>0</v>
      </c>
      <c r="DI7">
        <f t="shared" si="1"/>
        <v>0</v>
      </c>
      <c r="DJ7">
        <f>DG7</f>
        <v>1.9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5">
      <c r="A8">
        <f>ROW(Source!A29)</f>
        <v>29</v>
      </c>
      <c r="B8">
        <v>55936048</v>
      </c>
      <c r="C8">
        <v>55984232</v>
      </c>
      <c r="D8">
        <v>55460882</v>
      </c>
      <c r="E8">
        <v>1</v>
      </c>
      <c r="F8">
        <v>1</v>
      </c>
      <c r="G8">
        <v>1081</v>
      </c>
      <c r="H8">
        <v>3</v>
      </c>
      <c r="I8" t="s">
        <v>273</v>
      </c>
      <c r="J8" t="s">
        <v>274</v>
      </c>
      <c r="K8" t="s">
        <v>275</v>
      </c>
      <c r="L8">
        <v>1348</v>
      </c>
      <c r="N8">
        <v>1009</v>
      </c>
      <c r="O8" t="s">
        <v>223</v>
      </c>
      <c r="P8" t="s">
        <v>223</v>
      </c>
      <c r="Q8">
        <v>1000</v>
      </c>
      <c r="W8">
        <v>0</v>
      </c>
      <c r="X8">
        <v>-1448166212</v>
      </c>
      <c r="Y8">
        <f>((AT8*1)*0)</f>
        <v>0</v>
      </c>
      <c r="AA8">
        <v>109175.63</v>
      </c>
      <c r="AB8">
        <v>0</v>
      </c>
      <c r="AC8">
        <v>0</v>
      </c>
      <c r="AD8">
        <v>0</v>
      </c>
      <c r="AE8">
        <v>14327.51</v>
      </c>
      <c r="AF8">
        <v>0</v>
      </c>
      <c r="AG8">
        <v>0</v>
      </c>
      <c r="AH8">
        <v>0</v>
      </c>
      <c r="AI8">
        <v>7.62</v>
      </c>
      <c r="AJ8">
        <v>1</v>
      </c>
      <c r="AK8">
        <v>1</v>
      </c>
      <c r="AL8">
        <v>1</v>
      </c>
      <c r="AM8">
        <v>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9.0000000000000006E-5</v>
      </c>
      <c r="AU8" t="s">
        <v>24</v>
      </c>
      <c r="AV8">
        <v>0</v>
      </c>
      <c r="AW8">
        <v>2</v>
      </c>
      <c r="AX8">
        <v>55984240</v>
      </c>
      <c r="AY8">
        <v>1</v>
      </c>
      <c r="AZ8">
        <v>0</v>
      </c>
      <c r="BA8">
        <v>9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ROUND(Y8*Source!I29,9)</f>
        <v>0</v>
      </c>
      <c r="CY8">
        <f>AA8</f>
        <v>109175.63</v>
      </c>
      <c r="CZ8">
        <f>AE8</f>
        <v>14327.51</v>
      </c>
      <c r="DA8">
        <f>AI8</f>
        <v>7.62</v>
      </c>
      <c r="DB8">
        <f>ROUND(((ROUND(AT8*CZ8,2)*1)*0),6)</f>
        <v>0</v>
      </c>
      <c r="DC8">
        <f>ROUND(((ROUND(AT8*AG8,2)*1)*0),6)</f>
        <v>0</v>
      </c>
      <c r="DD8" t="s">
        <v>3</v>
      </c>
      <c r="DE8" t="s">
        <v>3</v>
      </c>
      <c r="DF8">
        <f>ROUND(ROUND(AE8*AI8,2)*CX8,2)</f>
        <v>0</v>
      </c>
      <c r="DG8">
        <f t="shared" ref="DG8:DG24" si="3">ROUND(ROUND(AF8,2)*CX8,2)</f>
        <v>0</v>
      </c>
      <c r="DH8">
        <f t="shared" si="2"/>
        <v>0</v>
      </c>
      <c r="DI8">
        <f t="shared" si="1"/>
        <v>0</v>
      </c>
      <c r="DJ8">
        <f>DF8</f>
        <v>0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5">
      <c r="A9">
        <f>ROW(Source!A30)</f>
        <v>30</v>
      </c>
      <c r="B9">
        <v>55936046</v>
      </c>
      <c r="C9">
        <v>55984242</v>
      </c>
      <c r="D9">
        <v>55424304</v>
      </c>
      <c r="E9">
        <v>1081</v>
      </c>
      <c r="F9">
        <v>1</v>
      </c>
      <c r="G9">
        <v>1081</v>
      </c>
      <c r="H9">
        <v>1</v>
      </c>
      <c r="I9" t="s">
        <v>262</v>
      </c>
      <c r="J9" t="s">
        <v>3</v>
      </c>
      <c r="K9" t="s">
        <v>263</v>
      </c>
      <c r="L9">
        <v>1191</v>
      </c>
      <c r="N9">
        <v>1013</v>
      </c>
      <c r="O9" t="s">
        <v>264</v>
      </c>
      <c r="P9" t="s">
        <v>264</v>
      </c>
      <c r="Q9">
        <v>1</v>
      </c>
      <c r="W9">
        <v>0</v>
      </c>
      <c r="X9">
        <v>476480486</v>
      </c>
      <c r="Y9">
        <f>((AT9*1.2)*0.3)</f>
        <v>0.3024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-2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0.84</v>
      </c>
      <c r="AU9" t="s">
        <v>25</v>
      </c>
      <c r="AV9">
        <v>1</v>
      </c>
      <c r="AW9">
        <v>2</v>
      </c>
      <c r="AX9">
        <v>55984244</v>
      </c>
      <c r="AY9">
        <v>1</v>
      </c>
      <c r="AZ9">
        <v>0</v>
      </c>
      <c r="BA9">
        <v>11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U9">
        <f>ROUND(AT9*Source!I30*AH9*AL9,2)</f>
        <v>0</v>
      </c>
      <c r="CV9">
        <f>ROUND(Y9*Source!I30,9)</f>
        <v>6.3503999999999996</v>
      </c>
      <c r="CW9">
        <v>0</v>
      </c>
      <c r="CX9">
        <f>ROUND(Y9*Source!I30,9)</f>
        <v>6.3503999999999996</v>
      </c>
      <c r="CY9">
        <f>AD9</f>
        <v>0</v>
      </c>
      <c r="CZ9">
        <f>AH9</f>
        <v>0</v>
      </c>
      <c r="DA9">
        <f>AL9</f>
        <v>1</v>
      </c>
      <c r="DB9">
        <f>ROUND(((ROUND(AT9*CZ9,2)*1.2)*0.3),6)</f>
        <v>0</v>
      </c>
      <c r="DC9">
        <f>ROUND(((ROUND(AT9*AG9,2)*1.2)*0.3),6)</f>
        <v>0</v>
      </c>
      <c r="DD9" t="s">
        <v>3</v>
      </c>
      <c r="DE9" t="s">
        <v>3</v>
      </c>
      <c r="DF9">
        <f t="shared" ref="DF9:DF15" si="4">ROUND(ROUND(AE9,2)*CX9,2)</f>
        <v>0</v>
      </c>
      <c r="DG9">
        <f t="shared" si="3"/>
        <v>0</v>
      </c>
      <c r="DH9">
        <f t="shared" si="2"/>
        <v>0</v>
      </c>
      <c r="DI9">
        <f t="shared" si="1"/>
        <v>0</v>
      </c>
      <c r="DJ9">
        <f>DI9</f>
        <v>0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5">
      <c r="A10">
        <f>ROW(Source!A31)</f>
        <v>31</v>
      </c>
      <c r="B10">
        <v>55936048</v>
      </c>
      <c r="C10">
        <v>55984242</v>
      </c>
      <c r="D10">
        <v>55424304</v>
      </c>
      <c r="E10">
        <v>1081</v>
      </c>
      <c r="F10">
        <v>1</v>
      </c>
      <c r="G10">
        <v>1081</v>
      </c>
      <c r="H10">
        <v>1</v>
      </c>
      <c r="I10" t="s">
        <v>262</v>
      </c>
      <c r="J10" t="s">
        <v>3</v>
      </c>
      <c r="K10" t="s">
        <v>263</v>
      </c>
      <c r="L10">
        <v>1191</v>
      </c>
      <c r="N10">
        <v>1013</v>
      </c>
      <c r="O10" t="s">
        <v>264</v>
      </c>
      <c r="P10" t="s">
        <v>264</v>
      </c>
      <c r="Q10">
        <v>1</v>
      </c>
      <c r="W10">
        <v>0</v>
      </c>
      <c r="X10">
        <v>476480486</v>
      </c>
      <c r="Y10">
        <f>((AT10*1.2)*0.3)</f>
        <v>0.3024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5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0.84</v>
      </c>
      <c r="AU10" t="s">
        <v>25</v>
      </c>
      <c r="AV10">
        <v>1</v>
      </c>
      <c r="AW10">
        <v>2</v>
      </c>
      <c r="AX10">
        <v>55984244</v>
      </c>
      <c r="AY10">
        <v>1</v>
      </c>
      <c r="AZ10">
        <v>0</v>
      </c>
      <c r="BA10">
        <v>12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U10">
        <f>ROUND(AT10*Source!I31*AH10*AL10,2)</f>
        <v>0</v>
      </c>
      <c r="CV10">
        <f>ROUND(Y10*Source!I31,9)</f>
        <v>6.3503999999999996</v>
      </c>
      <c r="CW10">
        <v>0</v>
      </c>
      <c r="CX10">
        <f>ROUND(Y10*Source!I31,9)</f>
        <v>6.3503999999999996</v>
      </c>
      <c r="CY10">
        <f>AD10</f>
        <v>0</v>
      </c>
      <c r="CZ10">
        <f>AH10</f>
        <v>0</v>
      </c>
      <c r="DA10">
        <f>AL10</f>
        <v>1</v>
      </c>
      <c r="DB10">
        <f>ROUND(((ROUND(AT10*CZ10,2)*1.2)*0.3),6)</f>
        <v>0</v>
      </c>
      <c r="DC10">
        <f>ROUND(((ROUND(AT10*AG10,2)*1.2)*0.3),6)</f>
        <v>0</v>
      </c>
      <c r="DD10" t="s">
        <v>3</v>
      </c>
      <c r="DE10" t="s">
        <v>3</v>
      </c>
      <c r="DF10">
        <f t="shared" si="4"/>
        <v>0</v>
      </c>
      <c r="DG10">
        <f t="shared" si="3"/>
        <v>0</v>
      </c>
      <c r="DH10">
        <f t="shared" si="2"/>
        <v>0</v>
      </c>
      <c r="DI10">
        <f t="shared" si="1"/>
        <v>0</v>
      </c>
      <c r="DJ10">
        <f>DI10</f>
        <v>0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5">
      <c r="A11">
        <f>ROW(Source!A32)</f>
        <v>32</v>
      </c>
      <c r="B11">
        <v>55936046</v>
      </c>
      <c r="C11">
        <v>55984245</v>
      </c>
      <c r="D11">
        <v>55424304</v>
      </c>
      <c r="E11">
        <v>1081</v>
      </c>
      <c r="F11">
        <v>1</v>
      </c>
      <c r="G11">
        <v>1081</v>
      </c>
      <c r="H11">
        <v>1</v>
      </c>
      <c r="I11" t="s">
        <v>262</v>
      </c>
      <c r="J11" t="s">
        <v>3</v>
      </c>
      <c r="K11" t="s">
        <v>263</v>
      </c>
      <c r="L11">
        <v>1191</v>
      </c>
      <c r="N11">
        <v>1013</v>
      </c>
      <c r="O11" t="s">
        <v>264</v>
      </c>
      <c r="P11" t="s">
        <v>264</v>
      </c>
      <c r="Q11">
        <v>1</v>
      </c>
      <c r="W11">
        <v>0</v>
      </c>
      <c r="X11">
        <v>476480486</v>
      </c>
      <c r="Y11">
        <f>((AT11*1.2)*0.3)</f>
        <v>1.1447999999999998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3.18</v>
      </c>
      <c r="AU11" t="s">
        <v>25</v>
      </c>
      <c r="AV11">
        <v>1</v>
      </c>
      <c r="AW11">
        <v>2</v>
      </c>
      <c r="AX11">
        <v>55984250</v>
      </c>
      <c r="AY11">
        <v>1</v>
      </c>
      <c r="AZ11">
        <v>0</v>
      </c>
      <c r="BA11">
        <v>13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U11">
        <f>ROUND(AT11*Source!I32*AH11*AL11,2)</f>
        <v>0</v>
      </c>
      <c r="CV11">
        <f>ROUND(Y11*Source!I32,9)</f>
        <v>22.896000000000001</v>
      </c>
      <c r="CW11">
        <v>0</v>
      </c>
      <c r="CX11">
        <f>ROUND(Y11*Source!I32,9)</f>
        <v>22.896000000000001</v>
      </c>
      <c r="CY11">
        <f>AD11</f>
        <v>0</v>
      </c>
      <c r="CZ11">
        <f>AH11</f>
        <v>0</v>
      </c>
      <c r="DA11">
        <f>AL11</f>
        <v>1</v>
      </c>
      <c r="DB11">
        <f>ROUND(((ROUND(AT11*CZ11,2)*1.2)*0.3),6)</f>
        <v>0</v>
      </c>
      <c r="DC11">
        <f>ROUND(((ROUND(AT11*AG11,2)*1.2)*0.3),6)</f>
        <v>0</v>
      </c>
      <c r="DD11" t="s">
        <v>3</v>
      </c>
      <c r="DE11" t="s">
        <v>3</v>
      </c>
      <c r="DF11">
        <f t="shared" si="4"/>
        <v>0</v>
      </c>
      <c r="DG11">
        <f t="shared" si="3"/>
        <v>0</v>
      </c>
      <c r="DH11">
        <f t="shared" si="2"/>
        <v>0</v>
      </c>
      <c r="DI11">
        <f t="shared" si="1"/>
        <v>0</v>
      </c>
      <c r="DJ11">
        <f>DI11</f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5">
      <c r="A12">
        <f>ROW(Source!A32)</f>
        <v>32</v>
      </c>
      <c r="B12">
        <v>55936046</v>
      </c>
      <c r="C12">
        <v>55984245</v>
      </c>
      <c r="D12">
        <v>55461074</v>
      </c>
      <c r="E12">
        <v>1</v>
      </c>
      <c r="F12">
        <v>1</v>
      </c>
      <c r="G12">
        <v>1081</v>
      </c>
      <c r="H12">
        <v>3</v>
      </c>
      <c r="I12" t="s">
        <v>276</v>
      </c>
      <c r="J12" t="s">
        <v>277</v>
      </c>
      <c r="K12" t="s">
        <v>278</v>
      </c>
      <c r="L12">
        <v>1346</v>
      </c>
      <c r="N12">
        <v>1009</v>
      </c>
      <c r="O12" t="s">
        <v>238</v>
      </c>
      <c r="P12" t="s">
        <v>238</v>
      </c>
      <c r="Q12">
        <v>1</v>
      </c>
      <c r="W12">
        <v>0</v>
      </c>
      <c r="X12">
        <v>-861631226</v>
      </c>
      <c r="Y12">
        <f>((AT12*1)*0)</f>
        <v>0</v>
      </c>
      <c r="AA12">
        <v>27.62</v>
      </c>
      <c r="AB12">
        <v>0</v>
      </c>
      <c r="AC12">
        <v>0</v>
      </c>
      <c r="AD12">
        <v>0</v>
      </c>
      <c r="AE12">
        <v>27.62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-2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6.2700000000000004E-3</v>
      </c>
      <c r="AU12" t="s">
        <v>24</v>
      </c>
      <c r="AV12">
        <v>0</v>
      </c>
      <c r="AW12">
        <v>2</v>
      </c>
      <c r="AX12">
        <v>55984251</v>
      </c>
      <c r="AY12">
        <v>1</v>
      </c>
      <c r="AZ12">
        <v>0</v>
      </c>
      <c r="BA12">
        <v>14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v>0</v>
      </c>
      <c r="CX12">
        <f>ROUND(Y12*Source!I32,9)</f>
        <v>0</v>
      </c>
      <c r="CY12">
        <f>AA12</f>
        <v>27.62</v>
      </c>
      <c r="CZ12">
        <f>AE12</f>
        <v>27.62</v>
      </c>
      <c r="DA12">
        <f>AI12</f>
        <v>1</v>
      </c>
      <c r="DB12">
        <f>ROUND(((ROUND(AT12*CZ12,2)*1)*0),6)</f>
        <v>0</v>
      </c>
      <c r="DC12">
        <f>ROUND(((ROUND(AT12*AG12,2)*1)*0),6)</f>
        <v>0</v>
      </c>
      <c r="DD12" t="s">
        <v>3</v>
      </c>
      <c r="DE12" t="s">
        <v>3</v>
      </c>
      <c r="DF12">
        <f t="shared" si="4"/>
        <v>0</v>
      </c>
      <c r="DG12">
        <f t="shared" si="3"/>
        <v>0</v>
      </c>
      <c r="DH12">
        <f t="shared" si="2"/>
        <v>0</v>
      </c>
      <c r="DI12">
        <f t="shared" si="1"/>
        <v>0</v>
      </c>
      <c r="DJ12">
        <f>DF12</f>
        <v>0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5">
      <c r="A13">
        <f>ROW(Source!A32)</f>
        <v>32</v>
      </c>
      <c r="B13">
        <v>55936046</v>
      </c>
      <c r="C13">
        <v>55984245</v>
      </c>
      <c r="D13">
        <v>55459793</v>
      </c>
      <c r="E13">
        <v>1</v>
      </c>
      <c r="F13">
        <v>1</v>
      </c>
      <c r="G13">
        <v>1081</v>
      </c>
      <c r="H13">
        <v>3</v>
      </c>
      <c r="I13" t="s">
        <v>279</v>
      </c>
      <c r="J13" t="s">
        <v>280</v>
      </c>
      <c r="K13" t="s">
        <v>281</v>
      </c>
      <c r="L13">
        <v>1348</v>
      </c>
      <c r="N13">
        <v>1009</v>
      </c>
      <c r="O13" t="s">
        <v>223</v>
      </c>
      <c r="P13" t="s">
        <v>223</v>
      </c>
      <c r="Q13">
        <v>1000</v>
      </c>
      <c r="W13">
        <v>0</v>
      </c>
      <c r="X13">
        <v>-761454284</v>
      </c>
      <c r="Y13">
        <f>((AT13*1)*0)</f>
        <v>0</v>
      </c>
      <c r="AA13">
        <v>64123.05</v>
      </c>
      <c r="AB13">
        <v>0</v>
      </c>
      <c r="AC13">
        <v>0</v>
      </c>
      <c r="AD13">
        <v>0</v>
      </c>
      <c r="AE13">
        <v>64123.05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1.0000000000000001E-5</v>
      </c>
      <c r="AU13" t="s">
        <v>24</v>
      </c>
      <c r="AV13">
        <v>0</v>
      </c>
      <c r="AW13">
        <v>2</v>
      </c>
      <c r="AX13">
        <v>55984252</v>
      </c>
      <c r="AY13">
        <v>1</v>
      </c>
      <c r="AZ13">
        <v>0</v>
      </c>
      <c r="BA13">
        <v>15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v>0</v>
      </c>
      <c r="CX13">
        <f>ROUND(Y13*Source!I32,9)</f>
        <v>0</v>
      </c>
      <c r="CY13">
        <f>AA13</f>
        <v>64123.05</v>
      </c>
      <c r="CZ13">
        <f>AE13</f>
        <v>64123.05</v>
      </c>
      <c r="DA13">
        <f>AI13</f>
        <v>1</v>
      </c>
      <c r="DB13">
        <f>ROUND(((ROUND(AT13*CZ13,2)*1)*0),6)</f>
        <v>0</v>
      </c>
      <c r="DC13">
        <f>ROUND(((ROUND(AT13*AG13,2)*1)*0),6)</f>
        <v>0</v>
      </c>
      <c r="DD13" t="s">
        <v>3</v>
      </c>
      <c r="DE13" t="s">
        <v>3</v>
      </c>
      <c r="DF13">
        <f t="shared" si="4"/>
        <v>0</v>
      </c>
      <c r="DG13">
        <f t="shared" si="3"/>
        <v>0</v>
      </c>
      <c r="DH13">
        <f t="shared" si="2"/>
        <v>0</v>
      </c>
      <c r="DI13">
        <f t="shared" si="1"/>
        <v>0</v>
      </c>
      <c r="DJ13">
        <f>DF13</f>
        <v>0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5">
      <c r="A14">
        <f>ROW(Source!A32)</f>
        <v>32</v>
      </c>
      <c r="B14">
        <v>55936046</v>
      </c>
      <c r="C14">
        <v>55984245</v>
      </c>
      <c r="D14">
        <v>55469253</v>
      </c>
      <c r="E14">
        <v>1</v>
      </c>
      <c r="F14">
        <v>1</v>
      </c>
      <c r="G14">
        <v>1081</v>
      </c>
      <c r="H14">
        <v>3</v>
      </c>
      <c r="I14" t="s">
        <v>282</v>
      </c>
      <c r="J14" t="s">
        <v>283</v>
      </c>
      <c r="K14" t="s">
        <v>284</v>
      </c>
      <c r="L14">
        <v>1354</v>
      </c>
      <c r="N14">
        <v>1010</v>
      </c>
      <c r="O14" t="s">
        <v>159</v>
      </c>
      <c r="P14" t="s">
        <v>159</v>
      </c>
      <c r="Q14">
        <v>1</v>
      </c>
      <c r="W14">
        <v>0</v>
      </c>
      <c r="X14">
        <v>-32785108</v>
      </c>
      <c r="Y14">
        <f>((AT14*1)*0)</f>
        <v>0</v>
      </c>
      <c r="AA14">
        <v>15.25</v>
      </c>
      <c r="AB14">
        <v>0</v>
      </c>
      <c r="AC14">
        <v>0</v>
      </c>
      <c r="AD14">
        <v>0</v>
      </c>
      <c r="AE14">
        <v>15.25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-2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0.1</v>
      </c>
      <c r="AU14" t="s">
        <v>24</v>
      </c>
      <c r="AV14">
        <v>0</v>
      </c>
      <c r="AW14">
        <v>2</v>
      </c>
      <c r="AX14">
        <v>55984253</v>
      </c>
      <c r="AY14">
        <v>1</v>
      </c>
      <c r="AZ14">
        <v>0</v>
      </c>
      <c r="BA14">
        <v>16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ROUND(Y14*Source!I32,9)</f>
        <v>0</v>
      </c>
      <c r="CY14">
        <f>AA14</f>
        <v>15.25</v>
      </c>
      <c r="CZ14">
        <f>AE14</f>
        <v>15.25</v>
      </c>
      <c r="DA14">
        <f>AI14</f>
        <v>1</v>
      </c>
      <c r="DB14">
        <f>ROUND(((ROUND(AT14*CZ14,2)*1)*0),6)</f>
        <v>0</v>
      </c>
      <c r="DC14">
        <f>ROUND(((ROUND(AT14*AG14,2)*1)*0),6)</f>
        <v>0</v>
      </c>
      <c r="DD14" t="s">
        <v>3</v>
      </c>
      <c r="DE14" t="s">
        <v>3</v>
      </c>
      <c r="DF14">
        <f t="shared" si="4"/>
        <v>0</v>
      </c>
      <c r="DG14">
        <f t="shared" si="3"/>
        <v>0</v>
      </c>
      <c r="DH14">
        <f t="shared" si="2"/>
        <v>0</v>
      </c>
      <c r="DI14">
        <f t="shared" si="1"/>
        <v>0</v>
      </c>
      <c r="DJ14">
        <f>DF14</f>
        <v>0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5">
      <c r="A15">
        <f>ROW(Source!A33)</f>
        <v>33</v>
      </c>
      <c r="B15">
        <v>55936048</v>
      </c>
      <c r="C15">
        <v>55984245</v>
      </c>
      <c r="D15">
        <v>55424304</v>
      </c>
      <c r="E15">
        <v>1081</v>
      </c>
      <c r="F15">
        <v>1</v>
      </c>
      <c r="G15">
        <v>1081</v>
      </c>
      <c r="H15">
        <v>1</v>
      </c>
      <c r="I15" t="s">
        <v>262</v>
      </c>
      <c r="J15" t="s">
        <v>3</v>
      </c>
      <c r="K15" t="s">
        <v>263</v>
      </c>
      <c r="L15">
        <v>1191</v>
      </c>
      <c r="N15">
        <v>1013</v>
      </c>
      <c r="O15" t="s">
        <v>264</v>
      </c>
      <c r="P15" t="s">
        <v>264</v>
      </c>
      <c r="Q15">
        <v>1</v>
      </c>
      <c r="W15">
        <v>0</v>
      </c>
      <c r="X15">
        <v>476480486</v>
      </c>
      <c r="Y15">
        <f>((AT15*1.2)*0.3)</f>
        <v>1.1447999999999998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5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3.18</v>
      </c>
      <c r="AU15" t="s">
        <v>25</v>
      </c>
      <c r="AV15">
        <v>1</v>
      </c>
      <c r="AW15">
        <v>2</v>
      </c>
      <c r="AX15">
        <v>55984250</v>
      </c>
      <c r="AY15">
        <v>1</v>
      </c>
      <c r="AZ15">
        <v>0</v>
      </c>
      <c r="BA15">
        <v>18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U15">
        <f>ROUND(AT15*Source!I33*AH15*AL15,2)</f>
        <v>0</v>
      </c>
      <c r="CV15">
        <f>ROUND(Y15*Source!I33,9)</f>
        <v>22.896000000000001</v>
      </c>
      <c r="CW15">
        <v>0</v>
      </c>
      <c r="CX15">
        <f>ROUND(Y15*Source!I33,9)</f>
        <v>22.896000000000001</v>
      </c>
      <c r="CY15">
        <f>AD15</f>
        <v>0</v>
      </c>
      <c r="CZ15">
        <f>AH15</f>
        <v>0</v>
      </c>
      <c r="DA15">
        <f>AL15</f>
        <v>1</v>
      </c>
      <c r="DB15">
        <f>ROUND(((ROUND(AT15*CZ15,2)*1.2)*0.3),6)</f>
        <v>0</v>
      </c>
      <c r="DC15">
        <f>ROUND(((ROUND(AT15*AG15,2)*1.2)*0.3),6)</f>
        <v>0</v>
      </c>
      <c r="DD15" t="s">
        <v>3</v>
      </c>
      <c r="DE15" t="s">
        <v>3</v>
      </c>
      <c r="DF15">
        <f t="shared" si="4"/>
        <v>0</v>
      </c>
      <c r="DG15">
        <f t="shared" si="3"/>
        <v>0</v>
      </c>
      <c r="DH15">
        <f t="shared" si="2"/>
        <v>0</v>
      </c>
      <c r="DI15">
        <f t="shared" si="1"/>
        <v>0</v>
      </c>
      <c r="DJ15">
        <f>DI15</f>
        <v>0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5">
      <c r="A16">
        <f>ROW(Source!A33)</f>
        <v>33</v>
      </c>
      <c r="B16">
        <v>55936048</v>
      </c>
      <c r="C16">
        <v>55984245</v>
      </c>
      <c r="D16">
        <v>55461074</v>
      </c>
      <c r="E16">
        <v>1</v>
      </c>
      <c r="F16">
        <v>1</v>
      </c>
      <c r="G16">
        <v>1081</v>
      </c>
      <c r="H16">
        <v>3</v>
      </c>
      <c r="I16" t="s">
        <v>276</v>
      </c>
      <c r="J16" t="s">
        <v>277</v>
      </c>
      <c r="K16" t="s">
        <v>278</v>
      </c>
      <c r="L16">
        <v>1346</v>
      </c>
      <c r="N16">
        <v>1009</v>
      </c>
      <c r="O16" t="s">
        <v>238</v>
      </c>
      <c r="P16" t="s">
        <v>238</v>
      </c>
      <c r="Q16">
        <v>1</v>
      </c>
      <c r="W16">
        <v>0</v>
      </c>
      <c r="X16">
        <v>-861631226</v>
      </c>
      <c r="Y16">
        <f>((AT16*1)*0)</f>
        <v>0</v>
      </c>
      <c r="AA16">
        <v>163.51</v>
      </c>
      <c r="AB16">
        <v>0</v>
      </c>
      <c r="AC16">
        <v>0</v>
      </c>
      <c r="AD16">
        <v>0</v>
      </c>
      <c r="AE16">
        <v>27.62</v>
      </c>
      <c r="AF16">
        <v>0</v>
      </c>
      <c r="AG16">
        <v>0</v>
      </c>
      <c r="AH16">
        <v>0</v>
      </c>
      <c r="AI16">
        <v>5.92</v>
      </c>
      <c r="AJ16">
        <v>1</v>
      </c>
      <c r="AK16">
        <v>1</v>
      </c>
      <c r="AL16">
        <v>1</v>
      </c>
      <c r="AM16">
        <v>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6.2700000000000004E-3</v>
      </c>
      <c r="AU16" t="s">
        <v>24</v>
      </c>
      <c r="AV16">
        <v>0</v>
      </c>
      <c r="AW16">
        <v>2</v>
      </c>
      <c r="AX16">
        <v>55984251</v>
      </c>
      <c r="AY16">
        <v>1</v>
      </c>
      <c r="AZ16">
        <v>0</v>
      </c>
      <c r="BA16">
        <v>19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v>0</v>
      </c>
      <c r="CX16">
        <f>ROUND(Y16*Source!I33,9)</f>
        <v>0</v>
      </c>
      <c r="CY16">
        <f>AA16</f>
        <v>163.51</v>
      </c>
      <c r="CZ16">
        <f>AE16</f>
        <v>27.62</v>
      </c>
      <c r="DA16">
        <f>AI16</f>
        <v>5.92</v>
      </c>
      <c r="DB16">
        <f>ROUND(((ROUND(AT16*CZ16,2)*1)*0),6)</f>
        <v>0</v>
      </c>
      <c r="DC16">
        <f>ROUND(((ROUND(AT16*AG16,2)*1)*0),6)</f>
        <v>0</v>
      </c>
      <c r="DD16" t="s">
        <v>3</v>
      </c>
      <c r="DE16" t="s">
        <v>3</v>
      </c>
      <c r="DF16">
        <f>ROUND(ROUND(AE16*AI16,2)*CX16,2)</f>
        <v>0</v>
      </c>
      <c r="DG16">
        <f t="shared" si="3"/>
        <v>0</v>
      </c>
      <c r="DH16">
        <f t="shared" si="2"/>
        <v>0</v>
      </c>
      <c r="DI16">
        <f t="shared" si="1"/>
        <v>0</v>
      </c>
      <c r="DJ16">
        <f>DF16</f>
        <v>0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5">
      <c r="A17">
        <f>ROW(Source!A33)</f>
        <v>33</v>
      </c>
      <c r="B17">
        <v>55936048</v>
      </c>
      <c r="C17">
        <v>55984245</v>
      </c>
      <c r="D17">
        <v>55459793</v>
      </c>
      <c r="E17">
        <v>1</v>
      </c>
      <c r="F17">
        <v>1</v>
      </c>
      <c r="G17">
        <v>1081</v>
      </c>
      <c r="H17">
        <v>3</v>
      </c>
      <c r="I17" t="s">
        <v>279</v>
      </c>
      <c r="J17" t="s">
        <v>280</v>
      </c>
      <c r="K17" t="s">
        <v>281</v>
      </c>
      <c r="L17">
        <v>1348</v>
      </c>
      <c r="N17">
        <v>1009</v>
      </c>
      <c r="O17" t="s">
        <v>223</v>
      </c>
      <c r="P17" t="s">
        <v>223</v>
      </c>
      <c r="Q17">
        <v>1000</v>
      </c>
      <c r="W17">
        <v>0</v>
      </c>
      <c r="X17">
        <v>-761454284</v>
      </c>
      <c r="Y17">
        <f>((AT17*1)*0)</f>
        <v>0</v>
      </c>
      <c r="AA17">
        <v>1930745.04</v>
      </c>
      <c r="AB17">
        <v>0</v>
      </c>
      <c r="AC17">
        <v>0</v>
      </c>
      <c r="AD17">
        <v>0</v>
      </c>
      <c r="AE17">
        <v>64123.05</v>
      </c>
      <c r="AF17">
        <v>0</v>
      </c>
      <c r="AG17">
        <v>0</v>
      </c>
      <c r="AH17">
        <v>0</v>
      </c>
      <c r="AI17">
        <v>30.11</v>
      </c>
      <c r="AJ17">
        <v>1</v>
      </c>
      <c r="AK17">
        <v>1</v>
      </c>
      <c r="AL17">
        <v>1</v>
      </c>
      <c r="AM17">
        <v>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1.0000000000000001E-5</v>
      </c>
      <c r="AU17" t="s">
        <v>24</v>
      </c>
      <c r="AV17">
        <v>0</v>
      </c>
      <c r="AW17">
        <v>2</v>
      </c>
      <c r="AX17">
        <v>55984252</v>
      </c>
      <c r="AY17">
        <v>1</v>
      </c>
      <c r="AZ17">
        <v>0</v>
      </c>
      <c r="BA17">
        <v>20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v>0</v>
      </c>
      <c r="CX17">
        <f>ROUND(Y17*Source!I33,9)</f>
        <v>0</v>
      </c>
      <c r="CY17">
        <f>AA17</f>
        <v>1930745.04</v>
      </c>
      <c r="CZ17">
        <f>AE17</f>
        <v>64123.05</v>
      </c>
      <c r="DA17">
        <f>AI17</f>
        <v>30.11</v>
      </c>
      <c r="DB17">
        <f>ROUND(((ROUND(AT17*CZ17,2)*1)*0),6)</f>
        <v>0</v>
      </c>
      <c r="DC17">
        <f>ROUND(((ROUND(AT17*AG17,2)*1)*0),6)</f>
        <v>0</v>
      </c>
      <c r="DD17" t="s">
        <v>3</v>
      </c>
      <c r="DE17" t="s">
        <v>3</v>
      </c>
      <c r="DF17">
        <f>ROUND(ROUND(AE17*AI17,2)*CX17,2)</f>
        <v>0</v>
      </c>
      <c r="DG17">
        <f t="shared" si="3"/>
        <v>0</v>
      </c>
      <c r="DH17">
        <f t="shared" si="2"/>
        <v>0</v>
      </c>
      <c r="DI17">
        <f t="shared" si="1"/>
        <v>0</v>
      </c>
      <c r="DJ17">
        <f>DF17</f>
        <v>0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5">
      <c r="A18">
        <f>ROW(Source!A33)</f>
        <v>33</v>
      </c>
      <c r="B18">
        <v>55936048</v>
      </c>
      <c r="C18">
        <v>55984245</v>
      </c>
      <c r="D18">
        <v>55469253</v>
      </c>
      <c r="E18">
        <v>1</v>
      </c>
      <c r="F18">
        <v>1</v>
      </c>
      <c r="G18">
        <v>1081</v>
      </c>
      <c r="H18">
        <v>3</v>
      </c>
      <c r="I18" t="s">
        <v>282</v>
      </c>
      <c r="J18" t="s">
        <v>283</v>
      </c>
      <c r="K18" t="s">
        <v>284</v>
      </c>
      <c r="L18">
        <v>1354</v>
      </c>
      <c r="N18">
        <v>1010</v>
      </c>
      <c r="O18" t="s">
        <v>159</v>
      </c>
      <c r="P18" t="s">
        <v>159</v>
      </c>
      <c r="Q18">
        <v>1</v>
      </c>
      <c r="W18">
        <v>0</v>
      </c>
      <c r="X18">
        <v>-32785108</v>
      </c>
      <c r="Y18">
        <f>((AT18*1)*0)</f>
        <v>0</v>
      </c>
      <c r="AA18">
        <v>36.14</v>
      </c>
      <c r="AB18">
        <v>0</v>
      </c>
      <c r="AC18">
        <v>0</v>
      </c>
      <c r="AD18">
        <v>0</v>
      </c>
      <c r="AE18">
        <v>15.25</v>
      </c>
      <c r="AF18">
        <v>0</v>
      </c>
      <c r="AG18">
        <v>0</v>
      </c>
      <c r="AH18">
        <v>0</v>
      </c>
      <c r="AI18">
        <v>2.37</v>
      </c>
      <c r="AJ18">
        <v>1</v>
      </c>
      <c r="AK18">
        <v>1</v>
      </c>
      <c r="AL18">
        <v>1</v>
      </c>
      <c r="AM18">
        <v>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0.1</v>
      </c>
      <c r="AU18" t="s">
        <v>24</v>
      </c>
      <c r="AV18">
        <v>0</v>
      </c>
      <c r="AW18">
        <v>2</v>
      </c>
      <c r="AX18">
        <v>55984253</v>
      </c>
      <c r="AY18">
        <v>1</v>
      </c>
      <c r="AZ18">
        <v>0</v>
      </c>
      <c r="BA18">
        <v>21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ROUND(Y18*Source!I33,9)</f>
        <v>0</v>
      </c>
      <c r="CY18">
        <f>AA18</f>
        <v>36.14</v>
      </c>
      <c r="CZ18">
        <f>AE18</f>
        <v>15.25</v>
      </c>
      <c r="DA18">
        <f>AI18</f>
        <v>2.37</v>
      </c>
      <c r="DB18">
        <f>ROUND(((ROUND(AT18*CZ18,2)*1)*0),6)</f>
        <v>0</v>
      </c>
      <c r="DC18">
        <f>ROUND(((ROUND(AT18*AG18,2)*1)*0),6)</f>
        <v>0</v>
      </c>
      <c r="DD18" t="s">
        <v>3</v>
      </c>
      <c r="DE18" t="s">
        <v>3</v>
      </c>
      <c r="DF18">
        <f>ROUND(ROUND(AE18*AI18,2)*CX18,2)</f>
        <v>0</v>
      </c>
      <c r="DG18">
        <f t="shared" si="3"/>
        <v>0</v>
      </c>
      <c r="DH18">
        <f t="shared" si="2"/>
        <v>0</v>
      </c>
      <c r="DI18">
        <f t="shared" si="1"/>
        <v>0</v>
      </c>
      <c r="DJ18">
        <f>DF18</f>
        <v>0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5">
      <c r="A19">
        <f>ROW(Source!A34)</f>
        <v>34</v>
      </c>
      <c r="B19">
        <v>55936046</v>
      </c>
      <c r="C19">
        <v>55984255</v>
      </c>
      <c r="D19">
        <v>55424304</v>
      </c>
      <c r="E19">
        <v>1081</v>
      </c>
      <c r="F19">
        <v>1</v>
      </c>
      <c r="G19">
        <v>1081</v>
      </c>
      <c r="H19">
        <v>1</v>
      </c>
      <c r="I19" t="s">
        <v>262</v>
      </c>
      <c r="J19" t="s">
        <v>3</v>
      </c>
      <c r="K19" t="s">
        <v>263</v>
      </c>
      <c r="L19">
        <v>1191</v>
      </c>
      <c r="N19">
        <v>1013</v>
      </c>
      <c r="O19" t="s">
        <v>264</v>
      </c>
      <c r="P19" t="s">
        <v>264</v>
      </c>
      <c r="Q19">
        <v>1</v>
      </c>
      <c r="W19">
        <v>0</v>
      </c>
      <c r="X19">
        <v>476480486</v>
      </c>
      <c r="Y19">
        <f>((AT19*1.2)*0.3)</f>
        <v>5.2704000000000004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-2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14.64</v>
      </c>
      <c r="AU19" t="s">
        <v>25</v>
      </c>
      <c r="AV19">
        <v>1</v>
      </c>
      <c r="AW19">
        <v>2</v>
      </c>
      <c r="AX19">
        <v>55984261</v>
      </c>
      <c r="AY19">
        <v>1</v>
      </c>
      <c r="AZ19">
        <v>0</v>
      </c>
      <c r="BA19">
        <v>23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U19">
        <f>ROUND(AT19*Source!I34*AH19*AL19,2)</f>
        <v>0</v>
      </c>
      <c r="CV19">
        <f>ROUND(Y19*Source!I34,9)</f>
        <v>18.446400000000001</v>
      </c>
      <c r="CW19">
        <v>0</v>
      </c>
      <c r="CX19">
        <f>ROUND(Y19*Source!I34,9)</f>
        <v>18.446400000000001</v>
      </c>
      <c r="CY19">
        <f>AD19</f>
        <v>0</v>
      </c>
      <c r="CZ19">
        <f>AH19</f>
        <v>0</v>
      </c>
      <c r="DA19">
        <f>AL19</f>
        <v>1</v>
      </c>
      <c r="DB19">
        <f>ROUND(((ROUND(AT19*CZ19,2)*1.2)*0.3),6)</f>
        <v>0</v>
      </c>
      <c r="DC19">
        <f>ROUND(((ROUND(AT19*AG19,2)*1.2)*0.3),6)</f>
        <v>0</v>
      </c>
      <c r="DD19" t="s">
        <v>3</v>
      </c>
      <c r="DE19" t="s">
        <v>3</v>
      </c>
      <c r="DF19">
        <f t="shared" ref="DF19:DF27" si="5">ROUND(ROUND(AE19,2)*CX19,2)</f>
        <v>0</v>
      </c>
      <c r="DG19">
        <f t="shared" si="3"/>
        <v>0</v>
      </c>
      <c r="DH19">
        <f t="shared" si="2"/>
        <v>0</v>
      </c>
      <c r="DI19">
        <f t="shared" si="1"/>
        <v>0</v>
      </c>
      <c r="DJ19">
        <f>DI19</f>
        <v>0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5">
      <c r="A20">
        <f>ROW(Source!A34)</f>
        <v>34</v>
      </c>
      <c r="B20">
        <v>55936046</v>
      </c>
      <c r="C20">
        <v>55984255</v>
      </c>
      <c r="D20">
        <v>55490209</v>
      </c>
      <c r="E20">
        <v>1</v>
      </c>
      <c r="F20">
        <v>1</v>
      </c>
      <c r="G20">
        <v>1081</v>
      </c>
      <c r="H20">
        <v>2</v>
      </c>
      <c r="I20" t="s">
        <v>265</v>
      </c>
      <c r="J20" t="s">
        <v>266</v>
      </c>
      <c r="K20" t="s">
        <v>267</v>
      </c>
      <c r="L20">
        <v>1368</v>
      </c>
      <c r="N20">
        <v>1011</v>
      </c>
      <c r="O20" t="s">
        <v>268</v>
      </c>
      <c r="P20" t="s">
        <v>268</v>
      </c>
      <c r="Q20">
        <v>1</v>
      </c>
      <c r="W20">
        <v>0</v>
      </c>
      <c r="X20">
        <v>874612079</v>
      </c>
      <c r="Y20">
        <f>((AT20*1.2)*0.3)</f>
        <v>2.1599999999999998E-2</v>
      </c>
      <c r="AA20">
        <v>0</v>
      </c>
      <c r="AB20">
        <v>87.01</v>
      </c>
      <c r="AC20">
        <v>13.21</v>
      </c>
      <c r="AD20">
        <v>0</v>
      </c>
      <c r="AE20">
        <v>0</v>
      </c>
      <c r="AF20">
        <v>83.1</v>
      </c>
      <c r="AG20">
        <v>12.62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-2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0.06</v>
      </c>
      <c r="AU20" t="s">
        <v>25</v>
      </c>
      <c r="AV20">
        <v>0</v>
      </c>
      <c r="AW20">
        <v>2</v>
      </c>
      <c r="AX20">
        <v>55984262</v>
      </c>
      <c r="AY20">
        <v>1</v>
      </c>
      <c r="AZ20">
        <v>0</v>
      </c>
      <c r="BA20">
        <v>24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f>ROUND(Y20*Source!I34*DO20,9)</f>
        <v>0.95407200000000003</v>
      </c>
      <c r="CX20">
        <f>ROUND(Y20*Source!I34,9)</f>
        <v>7.5600000000000001E-2</v>
      </c>
      <c r="CY20">
        <f>AB20</f>
        <v>87.01</v>
      </c>
      <c r="CZ20">
        <f>AF20</f>
        <v>83.1</v>
      </c>
      <c r="DA20">
        <f>AJ20</f>
        <v>1</v>
      </c>
      <c r="DB20">
        <f>ROUND(((ROUND(AT20*CZ20,2)*1.2)*0.3),6)</f>
        <v>1.7964</v>
      </c>
      <c r="DC20">
        <f>ROUND(((ROUND(AT20*AG20,2)*1.2)*0.3),6)</f>
        <v>0.27360000000000001</v>
      </c>
      <c r="DD20" t="s">
        <v>3</v>
      </c>
      <c r="DE20" t="s">
        <v>3</v>
      </c>
      <c r="DF20">
        <f t="shared" si="5"/>
        <v>0</v>
      </c>
      <c r="DG20">
        <f t="shared" si="3"/>
        <v>6.28</v>
      </c>
      <c r="DH20">
        <f t="shared" si="2"/>
        <v>0.95</v>
      </c>
      <c r="DI20">
        <f t="shared" si="1"/>
        <v>0</v>
      </c>
      <c r="DJ20">
        <f>DG20</f>
        <v>6.28</v>
      </c>
      <c r="DK20">
        <v>0</v>
      </c>
      <c r="DL20" t="s">
        <v>269</v>
      </c>
      <c r="DM20">
        <v>0</v>
      </c>
      <c r="DN20" t="s">
        <v>264</v>
      </c>
      <c r="DO20">
        <v>12.62</v>
      </c>
    </row>
    <row r="21" spans="1:119" x14ac:dyDescent="0.25">
      <c r="A21">
        <f>ROW(Source!A34)</f>
        <v>34</v>
      </c>
      <c r="B21">
        <v>55936046</v>
      </c>
      <c r="C21">
        <v>55984255</v>
      </c>
      <c r="D21">
        <v>55490330</v>
      </c>
      <c r="E21">
        <v>1</v>
      </c>
      <c r="F21">
        <v>1</v>
      </c>
      <c r="G21">
        <v>1081</v>
      </c>
      <c r="H21">
        <v>2</v>
      </c>
      <c r="I21" t="s">
        <v>285</v>
      </c>
      <c r="J21" t="s">
        <v>286</v>
      </c>
      <c r="K21" t="s">
        <v>287</v>
      </c>
      <c r="L21">
        <v>1368</v>
      </c>
      <c r="N21">
        <v>1011</v>
      </c>
      <c r="O21" t="s">
        <v>268</v>
      </c>
      <c r="P21" t="s">
        <v>268</v>
      </c>
      <c r="Q21">
        <v>1</v>
      </c>
      <c r="W21">
        <v>0</v>
      </c>
      <c r="X21">
        <v>-2083101341</v>
      </c>
      <c r="Y21">
        <f>((AT21*1.2)*0.3)</f>
        <v>0.29159999999999997</v>
      </c>
      <c r="AA21">
        <v>0</v>
      </c>
      <c r="AB21">
        <v>0.84</v>
      </c>
      <c r="AC21">
        <v>0</v>
      </c>
      <c r="AD21">
        <v>0</v>
      </c>
      <c r="AE21">
        <v>0</v>
      </c>
      <c r="AF21">
        <v>0.8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-2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0.81</v>
      </c>
      <c r="AU21" t="s">
        <v>25</v>
      </c>
      <c r="AV21">
        <v>0</v>
      </c>
      <c r="AW21">
        <v>2</v>
      </c>
      <c r="AX21">
        <v>55984263</v>
      </c>
      <c r="AY21">
        <v>1</v>
      </c>
      <c r="AZ21">
        <v>0</v>
      </c>
      <c r="BA21">
        <v>25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f>ROUND(Y21*Source!I34*DO21,9)</f>
        <v>0</v>
      </c>
      <c r="CX21">
        <f>ROUND(Y21*Source!I34,9)</f>
        <v>1.0206</v>
      </c>
      <c r="CY21">
        <f>AB21</f>
        <v>0.84</v>
      </c>
      <c r="CZ21">
        <f>AF21</f>
        <v>0.8</v>
      </c>
      <c r="DA21">
        <f>AJ21</f>
        <v>1</v>
      </c>
      <c r="DB21">
        <f>ROUND(((ROUND(AT21*CZ21,2)*1.2)*0.3),6)</f>
        <v>0.23400000000000001</v>
      </c>
      <c r="DC21">
        <f>ROUND(((ROUND(AT21*AG21,2)*1.2)*0.3),6)</f>
        <v>0</v>
      </c>
      <c r="DD21" t="s">
        <v>3</v>
      </c>
      <c r="DE21" t="s">
        <v>3</v>
      </c>
      <c r="DF21">
        <f t="shared" si="5"/>
        <v>0</v>
      </c>
      <c r="DG21">
        <f t="shared" si="3"/>
        <v>0.82</v>
      </c>
      <c r="DH21">
        <f t="shared" si="2"/>
        <v>0</v>
      </c>
      <c r="DI21">
        <f t="shared" si="1"/>
        <v>0</v>
      </c>
      <c r="DJ21">
        <f>DG21</f>
        <v>0.82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5">
      <c r="A22">
        <f>ROW(Source!A34)</f>
        <v>34</v>
      </c>
      <c r="B22">
        <v>55936046</v>
      </c>
      <c r="C22">
        <v>55984255</v>
      </c>
      <c r="D22">
        <v>55490296</v>
      </c>
      <c r="E22">
        <v>1</v>
      </c>
      <c r="F22">
        <v>1</v>
      </c>
      <c r="G22">
        <v>1081</v>
      </c>
      <c r="H22">
        <v>2</v>
      </c>
      <c r="I22" t="s">
        <v>270</v>
      </c>
      <c r="J22" t="s">
        <v>271</v>
      </c>
      <c r="K22" t="s">
        <v>272</v>
      </c>
      <c r="L22">
        <v>1368</v>
      </c>
      <c r="N22">
        <v>1011</v>
      </c>
      <c r="O22" t="s">
        <v>268</v>
      </c>
      <c r="P22" t="s">
        <v>268</v>
      </c>
      <c r="Q22">
        <v>1</v>
      </c>
      <c r="W22">
        <v>0</v>
      </c>
      <c r="X22">
        <v>-643591644</v>
      </c>
      <c r="Y22">
        <f>((AT22*1.2)*0.3)</f>
        <v>0.33480000000000004</v>
      </c>
      <c r="AA22">
        <v>0</v>
      </c>
      <c r="AB22">
        <v>0.49</v>
      </c>
      <c r="AC22">
        <v>0</v>
      </c>
      <c r="AD22">
        <v>0</v>
      </c>
      <c r="AE22">
        <v>0</v>
      </c>
      <c r="AF22">
        <v>0.47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-2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0.93</v>
      </c>
      <c r="AU22" t="s">
        <v>25</v>
      </c>
      <c r="AV22">
        <v>0</v>
      </c>
      <c r="AW22">
        <v>2</v>
      </c>
      <c r="AX22">
        <v>55984264</v>
      </c>
      <c r="AY22">
        <v>1</v>
      </c>
      <c r="AZ22">
        <v>0</v>
      </c>
      <c r="BA22">
        <v>26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f>ROUND(Y22*Source!I34*DO22,9)</f>
        <v>0</v>
      </c>
      <c r="CX22">
        <f>ROUND(Y22*Source!I34,9)</f>
        <v>1.1718</v>
      </c>
      <c r="CY22">
        <f>AB22</f>
        <v>0.49</v>
      </c>
      <c r="CZ22">
        <f>AF22</f>
        <v>0.47</v>
      </c>
      <c r="DA22">
        <f>AJ22</f>
        <v>1</v>
      </c>
      <c r="DB22">
        <f>ROUND(((ROUND(AT22*CZ22,2)*1.2)*0.3),6)</f>
        <v>0.15840000000000001</v>
      </c>
      <c r="DC22">
        <f>ROUND(((ROUND(AT22*AG22,2)*1.2)*0.3),6)</f>
        <v>0</v>
      </c>
      <c r="DD22" t="s">
        <v>3</v>
      </c>
      <c r="DE22" t="s">
        <v>3</v>
      </c>
      <c r="DF22">
        <f t="shared" si="5"/>
        <v>0</v>
      </c>
      <c r="DG22">
        <f t="shared" si="3"/>
        <v>0.55000000000000004</v>
      </c>
      <c r="DH22">
        <f t="shared" si="2"/>
        <v>0</v>
      </c>
      <c r="DI22">
        <f t="shared" si="1"/>
        <v>0</v>
      </c>
      <c r="DJ22">
        <f>DG22</f>
        <v>0.55000000000000004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5">
      <c r="A23">
        <f>ROW(Source!A34)</f>
        <v>34</v>
      </c>
      <c r="B23">
        <v>55936046</v>
      </c>
      <c r="C23">
        <v>55984255</v>
      </c>
      <c r="D23">
        <v>55460882</v>
      </c>
      <c r="E23">
        <v>1</v>
      </c>
      <c r="F23">
        <v>1</v>
      </c>
      <c r="G23">
        <v>1081</v>
      </c>
      <c r="H23">
        <v>3</v>
      </c>
      <c r="I23" t="s">
        <v>273</v>
      </c>
      <c r="J23" t="s">
        <v>274</v>
      </c>
      <c r="K23" t="s">
        <v>275</v>
      </c>
      <c r="L23">
        <v>1348</v>
      </c>
      <c r="N23">
        <v>1009</v>
      </c>
      <c r="O23" t="s">
        <v>223</v>
      </c>
      <c r="P23" t="s">
        <v>223</v>
      </c>
      <c r="Q23">
        <v>1000</v>
      </c>
      <c r="W23">
        <v>0</v>
      </c>
      <c r="X23">
        <v>-1448166212</v>
      </c>
      <c r="Y23">
        <f>((AT23*1)*0)</f>
        <v>0</v>
      </c>
      <c r="AA23">
        <v>14327.51</v>
      </c>
      <c r="AB23">
        <v>0</v>
      </c>
      <c r="AC23">
        <v>0</v>
      </c>
      <c r="AD23">
        <v>0</v>
      </c>
      <c r="AE23">
        <v>14327.51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-2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1.7000000000000001E-4</v>
      </c>
      <c r="AU23" t="s">
        <v>24</v>
      </c>
      <c r="AV23">
        <v>0</v>
      </c>
      <c r="AW23">
        <v>2</v>
      </c>
      <c r="AX23">
        <v>55984265</v>
      </c>
      <c r="AY23">
        <v>1</v>
      </c>
      <c r="AZ23">
        <v>0</v>
      </c>
      <c r="BA23">
        <v>27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v>0</v>
      </c>
      <c r="CX23">
        <f>ROUND(Y23*Source!I34,9)</f>
        <v>0</v>
      </c>
      <c r="CY23">
        <f>AA23</f>
        <v>14327.51</v>
      </c>
      <c r="CZ23">
        <f>AE23</f>
        <v>14327.51</v>
      </c>
      <c r="DA23">
        <f>AI23</f>
        <v>1</v>
      </c>
      <c r="DB23">
        <f>ROUND(((ROUND(AT23*CZ23,2)*1)*0),6)</f>
        <v>0</v>
      </c>
      <c r="DC23">
        <f>ROUND(((ROUND(AT23*AG23,2)*1)*0),6)</f>
        <v>0</v>
      </c>
      <c r="DD23" t="s">
        <v>3</v>
      </c>
      <c r="DE23" t="s">
        <v>3</v>
      </c>
      <c r="DF23">
        <f t="shared" si="5"/>
        <v>0</v>
      </c>
      <c r="DG23">
        <f t="shared" si="3"/>
        <v>0</v>
      </c>
      <c r="DH23">
        <f t="shared" si="2"/>
        <v>0</v>
      </c>
      <c r="DI23">
        <f t="shared" si="1"/>
        <v>0</v>
      </c>
      <c r="DJ23">
        <f>DF23</f>
        <v>0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5">
      <c r="A24">
        <f>ROW(Source!A35)</f>
        <v>35</v>
      </c>
      <c r="B24">
        <v>55936048</v>
      </c>
      <c r="C24">
        <v>55984255</v>
      </c>
      <c r="D24">
        <v>55424304</v>
      </c>
      <c r="E24">
        <v>1081</v>
      </c>
      <c r="F24">
        <v>1</v>
      </c>
      <c r="G24">
        <v>1081</v>
      </c>
      <c r="H24">
        <v>1</v>
      </c>
      <c r="I24" t="s">
        <v>262</v>
      </c>
      <c r="J24" t="s">
        <v>3</v>
      </c>
      <c r="K24" t="s">
        <v>263</v>
      </c>
      <c r="L24">
        <v>1191</v>
      </c>
      <c r="N24">
        <v>1013</v>
      </c>
      <c r="O24" t="s">
        <v>264</v>
      </c>
      <c r="P24" t="s">
        <v>264</v>
      </c>
      <c r="Q24">
        <v>1</v>
      </c>
      <c r="W24">
        <v>0</v>
      </c>
      <c r="X24">
        <v>476480486</v>
      </c>
      <c r="Y24">
        <f>((AT24*1.2)*0.3)</f>
        <v>5.2704000000000004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5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14.64</v>
      </c>
      <c r="AU24" t="s">
        <v>25</v>
      </c>
      <c r="AV24">
        <v>1</v>
      </c>
      <c r="AW24">
        <v>2</v>
      </c>
      <c r="AX24">
        <v>55984261</v>
      </c>
      <c r="AY24">
        <v>1</v>
      </c>
      <c r="AZ24">
        <v>0</v>
      </c>
      <c r="BA24">
        <v>29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U24">
        <f>ROUND(AT24*Source!I35*AH24*AL24,2)</f>
        <v>0</v>
      </c>
      <c r="CV24">
        <f>ROUND(Y24*Source!I35,9)</f>
        <v>18.446400000000001</v>
      </c>
      <c r="CW24">
        <v>0</v>
      </c>
      <c r="CX24">
        <f>ROUND(Y24*Source!I35,9)</f>
        <v>18.446400000000001</v>
      </c>
      <c r="CY24">
        <f>AD24</f>
        <v>0</v>
      </c>
      <c r="CZ24">
        <f>AH24</f>
        <v>0</v>
      </c>
      <c r="DA24">
        <f>AL24</f>
        <v>1</v>
      </c>
      <c r="DB24">
        <f>ROUND(((ROUND(AT24*CZ24,2)*1.2)*0.3),6)</f>
        <v>0</v>
      </c>
      <c r="DC24">
        <f>ROUND(((ROUND(AT24*AG24,2)*1.2)*0.3),6)</f>
        <v>0</v>
      </c>
      <c r="DD24" t="s">
        <v>3</v>
      </c>
      <c r="DE24" t="s">
        <v>3</v>
      </c>
      <c r="DF24">
        <f t="shared" si="5"/>
        <v>0</v>
      </c>
      <c r="DG24">
        <f t="shared" si="3"/>
        <v>0</v>
      </c>
      <c r="DH24">
        <f t="shared" si="2"/>
        <v>0</v>
      </c>
      <c r="DI24">
        <f t="shared" si="1"/>
        <v>0</v>
      </c>
      <c r="DJ24">
        <f>DI24</f>
        <v>0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5">
      <c r="A25">
        <f>ROW(Source!A35)</f>
        <v>35</v>
      </c>
      <c r="B25">
        <v>55936048</v>
      </c>
      <c r="C25">
        <v>55984255</v>
      </c>
      <c r="D25">
        <v>55490209</v>
      </c>
      <c r="E25">
        <v>1</v>
      </c>
      <c r="F25">
        <v>1</v>
      </c>
      <c r="G25">
        <v>1081</v>
      </c>
      <c r="H25">
        <v>2</v>
      </c>
      <c r="I25" t="s">
        <v>265</v>
      </c>
      <c r="J25" t="s">
        <v>266</v>
      </c>
      <c r="K25" t="s">
        <v>267</v>
      </c>
      <c r="L25">
        <v>1368</v>
      </c>
      <c r="N25">
        <v>1011</v>
      </c>
      <c r="O25" t="s">
        <v>268</v>
      </c>
      <c r="P25" t="s">
        <v>268</v>
      </c>
      <c r="Q25">
        <v>1</v>
      </c>
      <c r="W25">
        <v>0</v>
      </c>
      <c r="X25">
        <v>874612079</v>
      </c>
      <c r="Y25">
        <f>((AT25*1.2)*0.3)</f>
        <v>2.1599999999999998E-2</v>
      </c>
      <c r="AA25">
        <v>0</v>
      </c>
      <c r="AB25">
        <v>1485.19</v>
      </c>
      <c r="AC25">
        <v>744.56</v>
      </c>
      <c r="AD25">
        <v>0</v>
      </c>
      <c r="AE25">
        <v>0</v>
      </c>
      <c r="AF25">
        <v>83.1</v>
      </c>
      <c r="AG25">
        <v>12.62</v>
      </c>
      <c r="AH25">
        <v>0</v>
      </c>
      <c r="AI25">
        <v>1</v>
      </c>
      <c r="AJ25">
        <v>17.07</v>
      </c>
      <c r="AK25">
        <v>56.35</v>
      </c>
      <c r="AL25">
        <v>1</v>
      </c>
      <c r="AM25">
        <v>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0.06</v>
      </c>
      <c r="AU25" t="s">
        <v>25</v>
      </c>
      <c r="AV25">
        <v>0</v>
      </c>
      <c r="AW25">
        <v>2</v>
      </c>
      <c r="AX25">
        <v>55984262</v>
      </c>
      <c r="AY25">
        <v>1</v>
      </c>
      <c r="AZ25">
        <v>0</v>
      </c>
      <c r="BA25">
        <v>30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f>ROUND(Y25*Source!I35*DO25,9)</f>
        <v>0.95407200000000003</v>
      </c>
      <c r="CX25">
        <f>ROUND(Y25*Source!I35,9)</f>
        <v>7.5600000000000001E-2</v>
      </c>
      <c r="CY25">
        <f>AB25</f>
        <v>1485.19</v>
      </c>
      <c r="CZ25">
        <f>AF25</f>
        <v>83.1</v>
      </c>
      <c r="DA25">
        <f>AJ25</f>
        <v>17.07</v>
      </c>
      <c r="DB25">
        <f>ROUND(((ROUND(AT25*CZ25,2)*1.2)*0.3),6)</f>
        <v>1.7964</v>
      </c>
      <c r="DC25">
        <f>ROUND(((ROUND(AT25*AG25,2)*1.2)*0.3),6)</f>
        <v>0.27360000000000001</v>
      </c>
      <c r="DD25" t="s">
        <v>3</v>
      </c>
      <c r="DE25" t="s">
        <v>3</v>
      </c>
      <c r="DF25">
        <f t="shared" si="5"/>
        <v>0</v>
      </c>
      <c r="DG25">
        <f>ROUND(ROUND(AF25*AJ25,2)*CX25,2)</f>
        <v>107.24</v>
      </c>
      <c r="DH25">
        <f>ROUND(ROUND(AG25*AK25,2)*CX25,2)</f>
        <v>53.76</v>
      </c>
      <c r="DI25">
        <f t="shared" si="1"/>
        <v>0</v>
      </c>
      <c r="DJ25">
        <f>DG25</f>
        <v>107.24</v>
      </c>
      <c r="DK25">
        <v>0</v>
      </c>
      <c r="DL25" t="s">
        <v>269</v>
      </c>
      <c r="DM25">
        <v>0</v>
      </c>
      <c r="DN25" t="s">
        <v>264</v>
      </c>
      <c r="DO25">
        <v>12.62</v>
      </c>
    </row>
    <row r="26" spans="1:119" x14ac:dyDescent="0.25">
      <c r="A26">
        <f>ROW(Source!A35)</f>
        <v>35</v>
      </c>
      <c r="B26">
        <v>55936048</v>
      </c>
      <c r="C26">
        <v>55984255</v>
      </c>
      <c r="D26">
        <v>55490330</v>
      </c>
      <c r="E26">
        <v>1</v>
      </c>
      <c r="F26">
        <v>1</v>
      </c>
      <c r="G26">
        <v>1081</v>
      </c>
      <c r="H26">
        <v>2</v>
      </c>
      <c r="I26" t="s">
        <v>285</v>
      </c>
      <c r="J26" t="s">
        <v>286</v>
      </c>
      <c r="K26" t="s">
        <v>287</v>
      </c>
      <c r="L26">
        <v>1368</v>
      </c>
      <c r="N26">
        <v>1011</v>
      </c>
      <c r="O26" t="s">
        <v>268</v>
      </c>
      <c r="P26" t="s">
        <v>268</v>
      </c>
      <c r="Q26">
        <v>1</v>
      </c>
      <c r="W26">
        <v>0</v>
      </c>
      <c r="X26">
        <v>-2083101341</v>
      </c>
      <c r="Y26">
        <f>((AT26*1.2)*0.3)</f>
        <v>0.29159999999999997</v>
      </c>
      <c r="AA26">
        <v>0</v>
      </c>
      <c r="AB26">
        <v>7.92</v>
      </c>
      <c r="AC26">
        <v>0</v>
      </c>
      <c r="AD26">
        <v>0</v>
      </c>
      <c r="AE26">
        <v>0</v>
      </c>
      <c r="AF26">
        <v>0.8</v>
      </c>
      <c r="AG26">
        <v>0</v>
      </c>
      <c r="AH26">
        <v>0</v>
      </c>
      <c r="AI26">
        <v>1</v>
      </c>
      <c r="AJ26">
        <v>9.4600000000000009</v>
      </c>
      <c r="AK26">
        <v>1</v>
      </c>
      <c r="AL26">
        <v>1</v>
      </c>
      <c r="AM26">
        <v>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0.81</v>
      </c>
      <c r="AU26" t="s">
        <v>25</v>
      </c>
      <c r="AV26">
        <v>0</v>
      </c>
      <c r="AW26">
        <v>2</v>
      </c>
      <c r="AX26">
        <v>55984263</v>
      </c>
      <c r="AY26">
        <v>1</v>
      </c>
      <c r="AZ26">
        <v>0</v>
      </c>
      <c r="BA26">
        <v>31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f>ROUND(Y26*Source!I35*DO26,9)</f>
        <v>0</v>
      </c>
      <c r="CX26">
        <f>ROUND(Y26*Source!I35,9)</f>
        <v>1.0206</v>
      </c>
      <c r="CY26">
        <f>AB26</f>
        <v>7.92</v>
      </c>
      <c r="CZ26">
        <f>AF26</f>
        <v>0.8</v>
      </c>
      <c r="DA26">
        <f>AJ26</f>
        <v>9.4600000000000009</v>
      </c>
      <c r="DB26">
        <f>ROUND(((ROUND(AT26*CZ26,2)*1.2)*0.3),6)</f>
        <v>0.23400000000000001</v>
      </c>
      <c r="DC26">
        <f>ROUND(((ROUND(AT26*AG26,2)*1.2)*0.3),6)</f>
        <v>0</v>
      </c>
      <c r="DD26" t="s">
        <v>3</v>
      </c>
      <c r="DE26" t="s">
        <v>3</v>
      </c>
      <c r="DF26">
        <f t="shared" si="5"/>
        <v>0</v>
      </c>
      <c r="DG26">
        <f>ROUND(ROUND(AF26*AJ26,2)*CX26,2)</f>
        <v>7.73</v>
      </c>
      <c r="DH26">
        <f t="shared" ref="DH26:DH40" si="6">ROUND(ROUND(AG26,2)*CX26,2)</f>
        <v>0</v>
      </c>
      <c r="DI26">
        <f t="shared" si="1"/>
        <v>0</v>
      </c>
      <c r="DJ26">
        <f>DG26</f>
        <v>7.73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5">
      <c r="A27">
        <f>ROW(Source!A35)</f>
        <v>35</v>
      </c>
      <c r="B27">
        <v>55936048</v>
      </c>
      <c r="C27">
        <v>55984255</v>
      </c>
      <c r="D27">
        <v>55490296</v>
      </c>
      <c r="E27">
        <v>1</v>
      </c>
      <c r="F27">
        <v>1</v>
      </c>
      <c r="G27">
        <v>1081</v>
      </c>
      <c r="H27">
        <v>2</v>
      </c>
      <c r="I27" t="s">
        <v>270</v>
      </c>
      <c r="J27" t="s">
        <v>271</v>
      </c>
      <c r="K27" t="s">
        <v>272</v>
      </c>
      <c r="L27">
        <v>1368</v>
      </c>
      <c r="N27">
        <v>1011</v>
      </c>
      <c r="O27" t="s">
        <v>268</v>
      </c>
      <c r="P27" t="s">
        <v>268</v>
      </c>
      <c r="Q27">
        <v>1</v>
      </c>
      <c r="W27">
        <v>0</v>
      </c>
      <c r="X27">
        <v>-643591644</v>
      </c>
      <c r="Y27">
        <f>((AT27*1.2)*0.3)</f>
        <v>0.33480000000000004</v>
      </c>
      <c r="AA27">
        <v>0</v>
      </c>
      <c r="AB27">
        <v>4.75</v>
      </c>
      <c r="AC27">
        <v>0</v>
      </c>
      <c r="AD27">
        <v>0</v>
      </c>
      <c r="AE27">
        <v>0</v>
      </c>
      <c r="AF27">
        <v>0.47</v>
      </c>
      <c r="AG27">
        <v>0</v>
      </c>
      <c r="AH27">
        <v>0</v>
      </c>
      <c r="AI27">
        <v>1</v>
      </c>
      <c r="AJ27">
        <v>9.66</v>
      </c>
      <c r="AK27">
        <v>1</v>
      </c>
      <c r="AL27">
        <v>1</v>
      </c>
      <c r="AM27">
        <v>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0.93</v>
      </c>
      <c r="AU27" t="s">
        <v>25</v>
      </c>
      <c r="AV27">
        <v>0</v>
      </c>
      <c r="AW27">
        <v>2</v>
      </c>
      <c r="AX27">
        <v>55984264</v>
      </c>
      <c r="AY27">
        <v>1</v>
      </c>
      <c r="AZ27">
        <v>0</v>
      </c>
      <c r="BA27">
        <v>32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f>ROUND(Y27*Source!I35*DO27,9)</f>
        <v>0</v>
      </c>
      <c r="CX27">
        <f>ROUND(Y27*Source!I35,9)</f>
        <v>1.1718</v>
      </c>
      <c r="CY27">
        <f>AB27</f>
        <v>4.75</v>
      </c>
      <c r="CZ27">
        <f>AF27</f>
        <v>0.47</v>
      </c>
      <c r="DA27">
        <f>AJ27</f>
        <v>9.66</v>
      </c>
      <c r="DB27">
        <f>ROUND(((ROUND(AT27*CZ27,2)*1.2)*0.3),6)</f>
        <v>0.15840000000000001</v>
      </c>
      <c r="DC27">
        <f>ROUND(((ROUND(AT27*AG27,2)*1.2)*0.3),6)</f>
        <v>0</v>
      </c>
      <c r="DD27" t="s">
        <v>3</v>
      </c>
      <c r="DE27" t="s">
        <v>3</v>
      </c>
      <c r="DF27">
        <f t="shared" si="5"/>
        <v>0</v>
      </c>
      <c r="DG27">
        <f>ROUND(ROUND(AF27*AJ27,2)*CX27,2)</f>
        <v>5.32</v>
      </c>
      <c r="DH27">
        <f t="shared" si="6"/>
        <v>0</v>
      </c>
      <c r="DI27">
        <f t="shared" si="1"/>
        <v>0</v>
      </c>
      <c r="DJ27">
        <f>DG27</f>
        <v>5.32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5">
      <c r="A28">
        <f>ROW(Source!A35)</f>
        <v>35</v>
      </c>
      <c r="B28">
        <v>55936048</v>
      </c>
      <c r="C28">
        <v>55984255</v>
      </c>
      <c r="D28">
        <v>55460882</v>
      </c>
      <c r="E28">
        <v>1</v>
      </c>
      <c r="F28">
        <v>1</v>
      </c>
      <c r="G28">
        <v>1081</v>
      </c>
      <c r="H28">
        <v>3</v>
      </c>
      <c r="I28" t="s">
        <v>273</v>
      </c>
      <c r="J28" t="s">
        <v>274</v>
      </c>
      <c r="K28" t="s">
        <v>275</v>
      </c>
      <c r="L28">
        <v>1348</v>
      </c>
      <c r="N28">
        <v>1009</v>
      </c>
      <c r="O28" t="s">
        <v>223</v>
      </c>
      <c r="P28" t="s">
        <v>223</v>
      </c>
      <c r="Q28">
        <v>1000</v>
      </c>
      <c r="W28">
        <v>0</v>
      </c>
      <c r="X28">
        <v>-1448166212</v>
      </c>
      <c r="Y28">
        <f>((AT28*1)*0)</f>
        <v>0</v>
      </c>
      <c r="AA28">
        <v>109175.63</v>
      </c>
      <c r="AB28">
        <v>0</v>
      </c>
      <c r="AC28">
        <v>0</v>
      </c>
      <c r="AD28">
        <v>0</v>
      </c>
      <c r="AE28">
        <v>14327.51</v>
      </c>
      <c r="AF28">
        <v>0</v>
      </c>
      <c r="AG28">
        <v>0</v>
      </c>
      <c r="AH28">
        <v>0</v>
      </c>
      <c r="AI28">
        <v>7.62</v>
      </c>
      <c r="AJ28">
        <v>1</v>
      </c>
      <c r="AK28">
        <v>1</v>
      </c>
      <c r="AL28">
        <v>1</v>
      </c>
      <c r="AM28">
        <v>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1.7000000000000001E-4</v>
      </c>
      <c r="AU28" t="s">
        <v>24</v>
      </c>
      <c r="AV28">
        <v>0</v>
      </c>
      <c r="AW28">
        <v>2</v>
      </c>
      <c r="AX28">
        <v>55984265</v>
      </c>
      <c r="AY28">
        <v>1</v>
      </c>
      <c r="AZ28">
        <v>0</v>
      </c>
      <c r="BA28">
        <v>33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ROUND(Y28*Source!I35,9)</f>
        <v>0</v>
      </c>
      <c r="CY28">
        <f>AA28</f>
        <v>109175.63</v>
      </c>
      <c r="CZ28">
        <f>AE28</f>
        <v>14327.51</v>
      </c>
      <c r="DA28">
        <f>AI28</f>
        <v>7.62</v>
      </c>
      <c r="DB28">
        <f>ROUND(((ROUND(AT28*CZ28,2)*1)*0),6)</f>
        <v>0</v>
      </c>
      <c r="DC28">
        <f>ROUND(((ROUND(AT28*AG28,2)*1)*0),6)</f>
        <v>0</v>
      </c>
      <c r="DD28" t="s">
        <v>3</v>
      </c>
      <c r="DE28" t="s">
        <v>3</v>
      </c>
      <c r="DF28">
        <f>ROUND(ROUND(AE28*AI28,2)*CX28,2)</f>
        <v>0</v>
      </c>
      <c r="DG28">
        <f t="shared" ref="DG28:DG40" si="7">ROUND(ROUND(AF28,2)*CX28,2)</f>
        <v>0</v>
      </c>
      <c r="DH28">
        <f t="shared" si="6"/>
        <v>0</v>
      </c>
      <c r="DI28">
        <f t="shared" si="1"/>
        <v>0</v>
      </c>
      <c r="DJ28">
        <f>DF28</f>
        <v>0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5">
      <c r="A29">
        <f>ROW(Source!A36)</f>
        <v>36</v>
      </c>
      <c r="B29">
        <v>55936046</v>
      </c>
      <c r="C29">
        <v>55984267</v>
      </c>
      <c r="D29">
        <v>55424304</v>
      </c>
      <c r="E29">
        <v>1081</v>
      </c>
      <c r="F29">
        <v>1</v>
      </c>
      <c r="G29">
        <v>1081</v>
      </c>
      <c r="H29">
        <v>1</v>
      </c>
      <c r="I29" t="s">
        <v>262</v>
      </c>
      <c r="J29" t="s">
        <v>3</v>
      </c>
      <c r="K29" t="s">
        <v>263</v>
      </c>
      <c r="L29">
        <v>1191</v>
      </c>
      <c r="N29">
        <v>1013</v>
      </c>
      <c r="O29" t="s">
        <v>264</v>
      </c>
      <c r="P29" t="s">
        <v>264</v>
      </c>
      <c r="Q29">
        <v>1</v>
      </c>
      <c r="W29">
        <v>0</v>
      </c>
      <c r="X29">
        <v>476480486</v>
      </c>
      <c r="Y29">
        <f>((AT29*1.2)*0.3)</f>
        <v>0.36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-2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1</v>
      </c>
      <c r="AU29" t="s">
        <v>25</v>
      </c>
      <c r="AV29">
        <v>1</v>
      </c>
      <c r="AW29">
        <v>2</v>
      </c>
      <c r="AX29">
        <v>55984271</v>
      </c>
      <c r="AY29">
        <v>1</v>
      </c>
      <c r="AZ29">
        <v>0</v>
      </c>
      <c r="BA29">
        <v>35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U29">
        <f>ROUND(AT29*Source!I36*AH29*AL29,2)</f>
        <v>0</v>
      </c>
      <c r="CV29">
        <f>ROUND(Y29*Source!I36,9)</f>
        <v>2.52</v>
      </c>
      <c r="CW29">
        <v>0</v>
      </c>
      <c r="CX29">
        <f>ROUND(Y29*Source!I36,9)</f>
        <v>2.52</v>
      </c>
      <c r="CY29">
        <f>AD29</f>
        <v>0</v>
      </c>
      <c r="CZ29">
        <f>AH29</f>
        <v>0</v>
      </c>
      <c r="DA29">
        <f>AL29</f>
        <v>1</v>
      </c>
      <c r="DB29">
        <f>ROUND(((ROUND(AT29*CZ29,2)*1.2)*0.3),6)</f>
        <v>0</v>
      </c>
      <c r="DC29">
        <f>ROUND(((ROUND(AT29*AG29,2)*1.2)*0.3),6)</f>
        <v>0</v>
      </c>
      <c r="DD29" t="s">
        <v>3</v>
      </c>
      <c r="DE29" t="s">
        <v>3</v>
      </c>
      <c r="DF29">
        <f>ROUND(ROUND(AE29,2)*CX29,2)</f>
        <v>0</v>
      </c>
      <c r="DG29">
        <f t="shared" si="7"/>
        <v>0</v>
      </c>
      <c r="DH29">
        <f t="shared" si="6"/>
        <v>0</v>
      </c>
      <c r="DI29">
        <f t="shared" si="1"/>
        <v>0</v>
      </c>
      <c r="DJ29">
        <f>DI29</f>
        <v>0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5">
      <c r="A30">
        <f>ROW(Source!A36)</f>
        <v>36</v>
      </c>
      <c r="B30">
        <v>55936046</v>
      </c>
      <c r="C30">
        <v>55984267</v>
      </c>
      <c r="D30">
        <v>55459793</v>
      </c>
      <c r="E30">
        <v>1</v>
      </c>
      <c r="F30">
        <v>1</v>
      </c>
      <c r="G30">
        <v>1081</v>
      </c>
      <c r="H30">
        <v>3</v>
      </c>
      <c r="I30" t="s">
        <v>279</v>
      </c>
      <c r="J30" t="s">
        <v>280</v>
      </c>
      <c r="K30" t="s">
        <v>281</v>
      </c>
      <c r="L30">
        <v>1348</v>
      </c>
      <c r="N30">
        <v>1009</v>
      </c>
      <c r="O30" t="s">
        <v>223</v>
      </c>
      <c r="P30" t="s">
        <v>223</v>
      </c>
      <c r="Q30">
        <v>1000</v>
      </c>
      <c r="W30">
        <v>0</v>
      </c>
      <c r="X30">
        <v>-761454284</v>
      </c>
      <c r="Y30">
        <f>((AT30*1)*0)</f>
        <v>0</v>
      </c>
      <c r="AA30">
        <v>64123.05</v>
      </c>
      <c r="AB30">
        <v>0</v>
      </c>
      <c r="AC30">
        <v>0</v>
      </c>
      <c r="AD30">
        <v>0</v>
      </c>
      <c r="AE30">
        <v>64123.05</v>
      </c>
      <c r="AF30">
        <v>0</v>
      </c>
      <c r="AG30">
        <v>0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-2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1.0000000000000001E-5</v>
      </c>
      <c r="AU30" t="s">
        <v>24</v>
      </c>
      <c r="AV30">
        <v>0</v>
      </c>
      <c r="AW30">
        <v>2</v>
      </c>
      <c r="AX30">
        <v>55984272</v>
      </c>
      <c r="AY30">
        <v>1</v>
      </c>
      <c r="AZ30">
        <v>0</v>
      </c>
      <c r="BA30">
        <v>36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v>0</v>
      </c>
      <c r="CX30">
        <f>ROUND(Y30*Source!I36,9)</f>
        <v>0</v>
      </c>
      <c r="CY30">
        <f>AA30</f>
        <v>64123.05</v>
      </c>
      <c r="CZ30">
        <f>AE30</f>
        <v>64123.05</v>
      </c>
      <c r="DA30">
        <f>AI30</f>
        <v>1</v>
      </c>
      <c r="DB30">
        <f>ROUND(((ROUND(AT30*CZ30,2)*1)*0),6)</f>
        <v>0</v>
      </c>
      <c r="DC30">
        <f>ROUND(((ROUND(AT30*AG30,2)*1)*0),6)</f>
        <v>0</v>
      </c>
      <c r="DD30" t="s">
        <v>3</v>
      </c>
      <c r="DE30" t="s">
        <v>3</v>
      </c>
      <c r="DF30">
        <f>ROUND(ROUND(AE30,2)*CX30,2)</f>
        <v>0</v>
      </c>
      <c r="DG30">
        <f t="shared" si="7"/>
        <v>0</v>
      </c>
      <c r="DH30">
        <f t="shared" si="6"/>
        <v>0</v>
      </c>
      <c r="DI30">
        <f t="shared" si="1"/>
        <v>0</v>
      </c>
      <c r="DJ30">
        <f>DF30</f>
        <v>0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5">
      <c r="A31">
        <f>ROW(Source!A36)</f>
        <v>36</v>
      </c>
      <c r="B31">
        <v>55936046</v>
      </c>
      <c r="C31">
        <v>55984267</v>
      </c>
      <c r="D31">
        <v>55487942</v>
      </c>
      <c r="E31">
        <v>1</v>
      </c>
      <c r="F31">
        <v>1</v>
      </c>
      <c r="G31">
        <v>1081</v>
      </c>
      <c r="H31">
        <v>3</v>
      </c>
      <c r="I31" t="s">
        <v>288</v>
      </c>
      <c r="J31" t="s">
        <v>289</v>
      </c>
      <c r="K31" t="s">
        <v>290</v>
      </c>
      <c r="L31">
        <v>1303</v>
      </c>
      <c r="N31">
        <v>1003</v>
      </c>
      <c r="O31" t="s">
        <v>291</v>
      </c>
      <c r="P31" t="s">
        <v>291</v>
      </c>
      <c r="Q31">
        <v>1000</v>
      </c>
      <c r="W31">
        <v>0</v>
      </c>
      <c r="X31">
        <v>-1692873835</v>
      </c>
      <c r="Y31">
        <f>((AT31*1)*0)</f>
        <v>0</v>
      </c>
      <c r="AA31">
        <v>516.63</v>
      </c>
      <c r="AB31">
        <v>0</v>
      </c>
      <c r="AC31">
        <v>0</v>
      </c>
      <c r="AD31">
        <v>0</v>
      </c>
      <c r="AE31">
        <v>516.63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-2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2E-3</v>
      </c>
      <c r="AU31" t="s">
        <v>24</v>
      </c>
      <c r="AV31">
        <v>0</v>
      </c>
      <c r="AW31">
        <v>2</v>
      </c>
      <c r="AX31">
        <v>55984273</v>
      </c>
      <c r="AY31">
        <v>1</v>
      </c>
      <c r="AZ31">
        <v>0</v>
      </c>
      <c r="BA31">
        <v>37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V31">
        <v>0</v>
      </c>
      <c r="CW31">
        <v>0</v>
      </c>
      <c r="CX31">
        <f>ROUND(Y31*Source!I36,9)</f>
        <v>0</v>
      </c>
      <c r="CY31">
        <f>AA31</f>
        <v>516.63</v>
      </c>
      <c r="CZ31">
        <f>AE31</f>
        <v>516.63</v>
      </c>
      <c r="DA31">
        <f>AI31</f>
        <v>1</v>
      </c>
      <c r="DB31">
        <f>ROUND(((ROUND(AT31*CZ31,2)*1)*0),6)</f>
        <v>0</v>
      </c>
      <c r="DC31">
        <f>ROUND(((ROUND(AT31*AG31,2)*1)*0),6)</f>
        <v>0</v>
      </c>
      <c r="DD31" t="s">
        <v>3</v>
      </c>
      <c r="DE31" t="s">
        <v>3</v>
      </c>
      <c r="DF31">
        <f>ROUND(ROUND(AE31,2)*CX31,2)</f>
        <v>0</v>
      </c>
      <c r="DG31">
        <f t="shared" si="7"/>
        <v>0</v>
      </c>
      <c r="DH31">
        <f t="shared" si="6"/>
        <v>0</v>
      </c>
      <c r="DI31">
        <f t="shared" si="1"/>
        <v>0</v>
      </c>
      <c r="DJ31">
        <f>DF31</f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5">
      <c r="A32">
        <f>ROW(Source!A37)</f>
        <v>37</v>
      </c>
      <c r="B32">
        <v>55936048</v>
      </c>
      <c r="C32">
        <v>55984267</v>
      </c>
      <c r="D32">
        <v>55424304</v>
      </c>
      <c r="E32">
        <v>1081</v>
      </c>
      <c r="F32">
        <v>1</v>
      </c>
      <c r="G32">
        <v>1081</v>
      </c>
      <c r="H32">
        <v>1</v>
      </c>
      <c r="I32" t="s">
        <v>262</v>
      </c>
      <c r="J32" t="s">
        <v>3</v>
      </c>
      <c r="K32" t="s">
        <v>263</v>
      </c>
      <c r="L32">
        <v>1191</v>
      </c>
      <c r="N32">
        <v>1013</v>
      </c>
      <c r="O32" t="s">
        <v>264</v>
      </c>
      <c r="P32" t="s">
        <v>264</v>
      </c>
      <c r="Q32">
        <v>1</v>
      </c>
      <c r="W32">
        <v>0</v>
      </c>
      <c r="X32">
        <v>476480486</v>
      </c>
      <c r="Y32">
        <f>((AT32*1.2)*0.3)</f>
        <v>0.36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5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1</v>
      </c>
      <c r="AU32" t="s">
        <v>25</v>
      </c>
      <c r="AV32">
        <v>1</v>
      </c>
      <c r="AW32">
        <v>2</v>
      </c>
      <c r="AX32">
        <v>55984271</v>
      </c>
      <c r="AY32">
        <v>1</v>
      </c>
      <c r="AZ32">
        <v>0</v>
      </c>
      <c r="BA32">
        <v>39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U32">
        <f>ROUND(AT32*Source!I37*AH32*AL32,2)</f>
        <v>0</v>
      </c>
      <c r="CV32">
        <f>ROUND(Y32*Source!I37,9)</f>
        <v>2.52</v>
      </c>
      <c r="CW32">
        <v>0</v>
      </c>
      <c r="CX32">
        <f>ROUND(Y32*Source!I37,9)</f>
        <v>2.52</v>
      </c>
      <c r="CY32">
        <f>AD32</f>
        <v>0</v>
      </c>
      <c r="CZ32">
        <f>AH32</f>
        <v>0</v>
      </c>
      <c r="DA32">
        <f>AL32</f>
        <v>1</v>
      </c>
      <c r="DB32">
        <f>ROUND(((ROUND(AT32*CZ32,2)*1.2)*0.3),6)</f>
        <v>0</v>
      </c>
      <c r="DC32">
        <f>ROUND(((ROUND(AT32*AG32,2)*1.2)*0.3),6)</f>
        <v>0</v>
      </c>
      <c r="DD32" t="s">
        <v>3</v>
      </c>
      <c r="DE32" t="s">
        <v>3</v>
      </c>
      <c r="DF32">
        <f>ROUND(ROUND(AE32,2)*CX32,2)</f>
        <v>0</v>
      </c>
      <c r="DG32">
        <f t="shared" si="7"/>
        <v>0</v>
      </c>
      <c r="DH32">
        <f t="shared" si="6"/>
        <v>0</v>
      </c>
      <c r="DI32">
        <f t="shared" si="1"/>
        <v>0</v>
      </c>
      <c r="DJ32">
        <f>DI32</f>
        <v>0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5">
      <c r="A33">
        <f>ROW(Source!A37)</f>
        <v>37</v>
      </c>
      <c r="B33">
        <v>55936048</v>
      </c>
      <c r="C33">
        <v>55984267</v>
      </c>
      <c r="D33">
        <v>55459793</v>
      </c>
      <c r="E33">
        <v>1</v>
      </c>
      <c r="F33">
        <v>1</v>
      </c>
      <c r="G33">
        <v>1081</v>
      </c>
      <c r="H33">
        <v>3</v>
      </c>
      <c r="I33" t="s">
        <v>279</v>
      </c>
      <c r="J33" t="s">
        <v>280</v>
      </c>
      <c r="K33" t="s">
        <v>281</v>
      </c>
      <c r="L33">
        <v>1348</v>
      </c>
      <c r="N33">
        <v>1009</v>
      </c>
      <c r="O33" t="s">
        <v>223</v>
      </c>
      <c r="P33" t="s">
        <v>223</v>
      </c>
      <c r="Q33">
        <v>1000</v>
      </c>
      <c r="W33">
        <v>0</v>
      </c>
      <c r="X33">
        <v>-761454284</v>
      </c>
      <c r="Y33">
        <f>((AT33*1)*0)</f>
        <v>0</v>
      </c>
      <c r="AA33">
        <v>1930745.04</v>
      </c>
      <c r="AB33">
        <v>0</v>
      </c>
      <c r="AC33">
        <v>0</v>
      </c>
      <c r="AD33">
        <v>0</v>
      </c>
      <c r="AE33">
        <v>64123.05</v>
      </c>
      <c r="AF33">
        <v>0</v>
      </c>
      <c r="AG33">
        <v>0</v>
      </c>
      <c r="AH33">
        <v>0</v>
      </c>
      <c r="AI33">
        <v>30.11</v>
      </c>
      <c r="AJ33">
        <v>1</v>
      </c>
      <c r="AK33">
        <v>1</v>
      </c>
      <c r="AL33">
        <v>1</v>
      </c>
      <c r="AM33">
        <v>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1.0000000000000001E-5</v>
      </c>
      <c r="AU33" t="s">
        <v>24</v>
      </c>
      <c r="AV33">
        <v>0</v>
      </c>
      <c r="AW33">
        <v>2</v>
      </c>
      <c r="AX33">
        <v>55984272</v>
      </c>
      <c r="AY33">
        <v>1</v>
      </c>
      <c r="AZ33">
        <v>0</v>
      </c>
      <c r="BA33">
        <v>40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v>0</v>
      </c>
      <c r="CX33">
        <f>ROUND(Y33*Source!I37,9)</f>
        <v>0</v>
      </c>
      <c r="CY33">
        <f>AA33</f>
        <v>1930745.04</v>
      </c>
      <c r="CZ33">
        <f>AE33</f>
        <v>64123.05</v>
      </c>
      <c r="DA33">
        <f>AI33</f>
        <v>30.11</v>
      </c>
      <c r="DB33">
        <f>ROUND(((ROUND(AT33*CZ33,2)*1)*0),6)</f>
        <v>0</v>
      </c>
      <c r="DC33">
        <f>ROUND(((ROUND(AT33*AG33,2)*1)*0),6)</f>
        <v>0</v>
      </c>
      <c r="DD33" t="s">
        <v>3</v>
      </c>
      <c r="DE33" t="s">
        <v>3</v>
      </c>
      <c r="DF33">
        <f>ROUND(ROUND(AE33*AI33,2)*CX33,2)</f>
        <v>0</v>
      </c>
      <c r="DG33">
        <f t="shared" si="7"/>
        <v>0</v>
      </c>
      <c r="DH33">
        <f t="shared" si="6"/>
        <v>0</v>
      </c>
      <c r="DI33">
        <f t="shared" si="1"/>
        <v>0</v>
      </c>
      <c r="DJ33">
        <f>DF33</f>
        <v>0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5">
      <c r="A34">
        <f>ROW(Source!A37)</f>
        <v>37</v>
      </c>
      <c r="B34">
        <v>55936048</v>
      </c>
      <c r="C34">
        <v>55984267</v>
      </c>
      <c r="D34">
        <v>55487942</v>
      </c>
      <c r="E34">
        <v>1</v>
      </c>
      <c r="F34">
        <v>1</v>
      </c>
      <c r="G34">
        <v>1081</v>
      </c>
      <c r="H34">
        <v>3</v>
      </c>
      <c r="I34" t="s">
        <v>288</v>
      </c>
      <c r="J34" t="s">
        <v>289</v>
      </c>
      <c r="K34" t="s">
        <v>290</v>
      </c>
      <c r="L34">
        <v>1303</v>
      </c>
      <c r="N34">
        <v>1003</v>
      </c>
      <c r="O34" t="s">
        <v>291</v>
      </c>
      <c r="P34" t="s">
        <v>291</v>
      </c>
      <c r="Q34">
        <v>1000</v>
      </c>
      <c r="W34">
        <v>0</v>
      </c>
      <c r="X34">
        <v>-1692873835</v>
      </c>
      <c r="Y34">
        <f>((AT34*1)*0)</f>
        <v>0</v>
      </c>
      <c r="AA34">
        <v>5269.63</v>
      </c>
      <c r="AB34">
        <v>0</v>
      </c>
      <c r="AC34">
        <v>0</v>
      </c>
      <c r="AD34">
        <v>0</v>
      </c>
      <c r="AE34">
        <v>516.63</v>
      </c>
      <c r="AF34">
        <v>0</v>
      </c>
      <c r="AG34">
        <v>0</v>
      </c>
      <c r="AH34">
        <v>0</v>
      </c>
      <c r="AI34">
        <v>10.199999999999999</v>
      </c>
      <c r="AJ34">
        <v>1</v>
      </c>
      <c r="AK34">
        <v>1</v>
      </c>
      <c r="AL34">
        <v>1</v>
      </c>
      <c r="AM34">
        <v>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2E-3</v>
      </c>
      <c r="AU34" t="s">
        <v>24</v>
      </c>
      <c r="AV34">
        <v>0</v>
      </c>
      <c r="AW34">
        <v>2</v>
      </c>
      <c r="AX34">
        <v>55984273</v>
      </c>
      <c r="AY34">
        <v>1</v>
      </c>
      <c r="AZ34">
        <v>0</v>
      </c>
      <c r="BA34">
        <v>41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ROUND(Y34*Source!I37,9)</f>
        <v>0</v>
      </c>
      <c r="CY34">
        <f>AA34</f>
        <v>5269.63</v>
      </c>
      <c r="CZ34">
        <f>AE34</f>
        <v>516.63</v>
      </c>
      <c r="DA34">
        <f>AI34</f>
        <v>10.199999999999999</v>
      </c>
      <c r="DB34">
        <f>ROUND(((ROUND(AT34*CZ34,2)*1)*0),6)</f>
        <v>0</v>
      </c>
      <c r="DC34">
        <f>ROUND(((ROUND(AT34*AG34,2)*1)*0),6)</f>
        <v>0</v>
      </c>
      <c r="DD34" t="s">
        <v>3</v>
      </c>
      <c r="DE34" t="s">
        <v>3</v>
      </c>
      <c r="DF34">
        <f>ROUND(ROUND(AE34*AI34,2)*CX34,2)</f>
        <v>0</v>
      </c>
      <c r="DG34">
        <f t="shared" si="7"/>
        <v>0</v>
      </c>
      <c r="DH34">
        <f t="shared" si="6"/>
        <v>0</v>
      </c>
      <c r="DI34">
        <f t="shared" si="1"/>
        <v>0</v>
      </c>
      <c r="DJ34">
        <f>DF34</f>
        <v>0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5">
      <c r="A35">
        <f>ROW(Source!A38)</f>
        <v>38</v>
      </c>
      <c r="B35">
        <v>55936046</v>
      </c>
      <c r="C35">
        <v>55984275</v>
      </c>
      <c r="D35">
        <v>55424304</v>
      </c>
      <c r="E35">
        <v>1081</v>
      </c>
      <c r="F35">
        <v>1</v>
      </c>
      <c r="G35">
        <v>1081</v>
      </c>
      <c r="H35">
        <v>1</v>
      </c>
      <c r="I35" t="s">
        <v>262</v>
      </c>
      <c r="J35" t="s">
        <v>3</v>
      </c>
      <c r="K35" t="s">
        <v>263</v>
      </c>
      <c r="L35">
        <v>1191</v>
      </c>
      <c r="N35">
        <v>1013</v>
      </c>
      <c r="O35" t="s">
        <v>264</v>
      </c>
      <c r="P35" t="s">
        <v>264</v>
      </c>
      <c r="Q35">
        <v>1</v>
      </c>
      <c r="W35">
        <v>0</v>
      </c>
      <c r="X35">
        <v>476480486</v>
      </c>
      <c r="Y35">
        <f>((AT35*1.2)*0.3)</f>
        <v>5.2704000000000004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-2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14.64</v>
      </c>
      <c r="AU35" t="s">
        <v>25</v>
      </c>
      <c r="AV35">
        <v>1</v>
      </c>
      <c r="AW35">
        <v>2</v>
      </c>
      <c r="AX35">
        <v>55984281</v>
      </c>
      <c r="AY35">
        <v>1</v>
      </c>
      <c r="AZ35">
        <v>0</v>
      </c>
      <c r="BA35">
        <v>43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U35">
        <f>ROUND(AT35*Source!I38*AH35*AL35,2)</f>
        <v>0</v>
      </c>
      <c r="CV35">
        <f>ROUND(Y35*Source!I38,9)</f>
        <v>1.5811200000000001</v>
      </c>
      <c r="CW35">
        <v>0</v>
      </c>
      <c r="CX35">
        <f>ROUND(Y35*Source!I38,9)</f>
        <v>1.5811200000000001</v>
      </c>
      <c r="CY35">
        <f>AD35</f>
        <v>0</v>
      </c>
      <c r="CZ35">
        <f>AH35</f>
        <v>0</v>
      </c>
      <c r="DA35">
        <f>AL35</f>
        <v>1</v>
      </c>
      <c r="DB35">
        <f>ROUND(((ROUND(AT35*CZ35,2)*1.2)*0.3),6)</f>
        <v>0</v>
      </c>
      <c r="DC35">
        <f>ROUND(((ROUND(AT35*AG35,2)*1.2)*0.3),6)</f>
        <v>0</v>
      </c>
      <c r="DD35" t="s">
        <v>3</v>
      </c>
      <c r="DE35" t="s">
        <v>3</v>
      </c>
      <c r="DF35">
        <f t="shared" ref="DF35:DF43" si="8">ROUND(ROUND(AE35,2)*CX35,2)</f>
        <v>0</v>
      </c>
      <c r="DG35">
        <f t="shared" si="7"/>
        <v>0</v>
      </c>
      <c r="DH35">
        <f t="shared" si="6"/>
        <v>0</v>
      </c>
      <c r="DI35">
        <f t="shared" si="1"/>
        <v>0</v>
      </c>
      <c r="DJ35">
        <f>DI35</f>
        <v>0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5">
      <c r="A36">
        <f>ROW(Source!A38)</f>
        <v>38</v>
      </c>
      <c r="B36">
        <v>55936046</v>
      </c>
      <c r="C36">
        <v>55984275</v>
      </c>
      <c r="D36">
        <v>55490209</v>
      </c>
      <c r="E36">
        <v>1</v>
      </c>
      <c r="F36">
        <v>1</v>
      </c>
      <c r="G36">
        <v>1081</v>
      </c>
      <c r="H36">
        <v>2</v>
      </c>
      <c r="I36" t="s">
        <v>265</v>
      </c>
      <c r="J36" t="s">
        <v>266</v>
      </c>
      <c r="K36" t="s">
        <v>267</v>
      </c>
      <c r="L36">
        <v>1368</v>
      </c>
      <c r="N36">
        <v>1011</v>
      </c>
      <c r="O36" t="s">
        <v>268</v>
      </c>
      <c r="P36" t="s">
        <v>268</v>
      </c>
      <c r="Q36">
        <v>1</v>
      </c>
      <c r="W36">
        <v>0</v>
      </c>
      <c r="X36">
        <v>874612079</v>
      </c>
      <c r="Y36">
        <f>((AT36*1.2)*0.3)</f>
        <v>2.1599999999999998E-2</v>
      </c>
      <c r="AA36">
        <v>0</v>
      </c>
      <c r="AB36">
        <v>87.01</v>
      </c>
      <c r="AC36">
        <v>13.21</v>
      </c>
      <c r="AD36">
        <v>0</v>
      </c>
      <c r="AE36">
        <v>0</v>
      </c>
      <c r="AF36">
        <v>83.1</v>
      </c>
      <c r="AG36">
        <v>12.62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-2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0.06</v>
      </c>
      <c r="AU36" t="s">
        <v>25</v>
      </c>
      <c r="AV36">
        <v>0</v>
      </c>
      <c r="AW36">
        <v>2</v>
      </c>
      <c r="AX36">
        <v>55984282</v>
      </c>
      <c r="AY36">
        <v>1</v>
      </c>
      <c r="AZ36">
        <v>0</v>
      </c>
      <c r="BA36">
        <v>44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f>ROUND(Y36*Source!I38*DO36,9)</f>
        <v>8.1777600000000006E-2</v>
      </c>
      <c r="CX36">
        <f>ROUND(Y36*Source!I38,9)</f>
        <v>6.4799999999999996E-3</v>
      </c>
      <c r="CY36">
        <f>AB36</f>
        <v>87.01</v>
      </c>
      <c r="CZ36">
        <f>AF36</f>
        <v>83.1</v>
      </c>
      <c r="DA36">
        <f>AJ36</f>
        <v>1</v>
      </c>
      <c r="DB36">
        <f>ROUND(((ROUND(AT36*CZ36,2)*1.2)*0.3),6)</f>
        <v>1.7964</v>
      </c>
      <c r="DC36">
        <f>ROUND(((ROUND(AT36*AG36,2)*1.2)*0.3),6)</f>
        <v>0.27360000000000001</v>
      </c>
      <c r="DD36" t="s">
        <v>3</v>
      </c>
      <c r="DE36" t="s">
        <v>3</v>
      </c>
      <c r="DF36">
        <f t="shared" si="8"/>
        <v>0</v>
      </c>
      <c r="DG36">
        <f t="shared" si="7"/>
        <v>0.54</v>
      </c>
      <c r="DH36">
        <f t="shared" si="6"/>
        <v>0.08</v>
      </c>
      <c r="DI36">
        <f t="shared" si="1"/>
        <v>0</v>
      </c>
      <c r="DJ36">
        <f>DG36</f>
        <v>0.54</v>
      </c>
      <c r="DK36">
        <v>0</v>
      </c>
      <c r="DL36" t="s">
        <v>269</v>
      </c>
      <c r="DM36">
        <v>0</v>
      </c>
      <c r="DN36" t="s">
        <v>264</v>
      </c>
      <c r="DO36">
        <v>12.62</v>
      </c>
    </row>
    <row r="37" spans="1:119" x14ac:dyDescent="0.25">
      <c r="A37">
        <f>ROW(Source!A38)</f>
        <v>38</v>
      </c>
      <c r="B37">
        <v>55936046</v>
      </c>
      <c r="C37">
        <v>55984275</v>
      </c>
      <c r="D37">
        <v>55490330</v>
      </c>
      <c r="E37">
        <v>1</v>
      </c>
      <c r="F37">
        <v>1</v>
      </c>
      <c r="G37">
        <v>1081</v>
      </c>
      <c r="H37">
        <v>2</v>
      </c>
      <c r="I37" t="s">
        <v>285</v>
      </c>
      <c r="J37" t="s">
        <v>286</v>
      </c>
      <c r="K37" t="s">
        <v>287</v>
      </c>
      <c r="L37">
        <v>1368</v>
      </c>
      <c r="N37">
        <v>1011</v>
      </c>
      <c r="O37" t="s">
        <v>268</v>
      </c>
      <c r="P37" t="s">
        <v>268</v>
      </c>
      <c r="Q37">
        <v>1</v>
      </c>
      <c r="W37">
        <v>0</v>
      </c>
      <c r="X37">
        <v>-2083101341</v>
      </c>
      <c r="Y37">
        <f>((AT37*1.2)*0.3)</f>
        <v>0.29159999999999997</v>
      </c>
      <c r="AA37">
        <v>0</v>
      </c>
      <c r="AB37">
        <v>0.84</v>
      </c>
      <c r="AC37">
        <v>0</v>
      </c>
      <c r="AD37">
        <v>0</v>
      </c>
      <c r="AE37">
        <v>0</v>
      </c>
      <c r="AF37">
        <v>0.8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0.81</v>
      </c>
      <c r="AU37" t="s">
        <v>25</v>
      </c>
      <c r="AV37">
        <v>0</v>
      </c>
      <c r="AW37">
        <v>2</v>
      </c>
      <c r="AX37">
        <v>55984283</v>
      </c>
      <c r="AY37">
        <v>1</v>
      </c>
      <c r="AZ37">
        <v>0</v>
      </c>
      <c r="BA37">
        <v>45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V37">
        <v>0</v>
      </c>
      <c r="CW37">
        <f>ROUND(Y37*Source!I38*DO37,9)</f>
        <v>0</v>
      </c>
      <c r="CX37">
        <f>ROUND(Y37*Source!I38,9)</f>
        <v>8.7480000000000002E-2</v>
      </c>
      <c r="CY37">
        <f>AB37</f>
        <v>0.84</v>
      </c>
      <c r="CZ37">
        <f>AF37</f>
        <v>0.8</v>
      </c>
      <c r="DA37">
        <f>AJ37</f>
        <v>1</v>
      </c>
      <c r="DB37">
        <f>ROUND(((ROUND(AT37*CZ37,2)*1.2)*0.3),6)</f>
        <v>0.23400000000000001</v>
      </c>
      <c r="DC37">
        <f>ROUND(((ROUND(AT37*AG37,2)*1.2)*0.3),6)</f>
        <v>0</v>
      </c>
      <c r="DD37" t="s">
        <v>3</v>
      </c>
      <c r="DE37" t="s">
        <v>3</v>
      </c>
      <c r="DF37">
        <f t="shared" si="8"/>
        <v>0</v>
      </c>
      <c r="DG37">
        <f t="shared" si="7"/>
        <v>7.0000000000000007E-2</v>
      </c>
      <c r="DH37">
        <f t="shared" si="6"/>
        <v>0</v>
      </c>
      <c r="DI37">
        <f t="shared" si="1"/>
        <v>0</v>
      </c>
      <c r="DJ37">
        <f>DG37</f>
        <v>7.0000000000000007E-2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5">
      <c r="A38">
        <f>ROW(Source!A38)</f>
        <v>38</v>
      </c>
      <c r="B38">
        <v>55936046</v>
      </c>
      <c r="C38">
        <v>55984275</v>
      </c>
      <c r="D38">
        <v>55490296</v>
      </c>
      <c r="E38">
        <v>1</v>
      </c>
      <c r="F38">
        <v>1</v>
      </c>
      <c r="G38">
        <v>1081</v>
      </c>
      <c r="H38">
        <v>2</v>
      </c>
      <c r="I38" t="s">
        <v>270</v>
      </c>
      <c r="J38" t="s">
        <v>271</v>
      </c>
      <c r="K38" t="s">
        <v>272</v>
      </c>
      <c r="L38">
        <v>1368</v>
      </c>
      <c r="N38">
        <v>1011</v>
      </c>
      <c r="O38" t="s">
        <v>268</v>
      </c>
      <c r="P38" t="s">
        <v>268</v>
      </c>
      <c r="Q38">
        <v>1</v>
      </c>
      <c r="W38">
        <v>0</v>
      </c>
      <c r="X38">
        <v>-643591644</v>
      </c>
      <c r="Y38">
        <f>((AT38*1.2)*0.3)</f>
        <v>0.33480000000000004</v>
      </c>
      <c r="AA38">
        <v>0</v>
      </c>
      <c r="AB38">
        <v>0.49</v>
      </c>
      <c r="AC38">
        <v>0</v>
      </c>
      <c r="AD38">
        <v>0</v>
      </c>
      <c r="AE38">
        <v>0</v>
      </c>
      <c r="AF38">
        <v>0.47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-2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0.93</v>
      </c>
      <c r="AU38" t="s">
        <v>25</v>
      </c>
      <c r="AV38">
        <v>0</v>
      </c>
      <c r="AW38">
        <v>2</v>
      </c>
      <c r="AX38">
        <v>55984284</v>
      </c>
      <c r="AY38">
        <v>1</v>
      </c>
      <c r="AZ38">
        <v>0</v>
      </c>
      <c r="BA38">
        <v>46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f>ROUND(Y38*Source!I38*DO38,9)</f>
        <v>0</v>
      </c>
      <c r="CX38">
        <f>ROUND(Y38*Source!I38,9)</f>
        <v>0.10044</v>
      </c>
      <c r="CY38">
        <f>AB38</f>
        <v>0.49</v>
      </c>
      <c r="CZ38">
        <f>AF38</f>
        <v>0.47</v>
      </c>
      <c r="DA38">
        <f>AJ38</f>
        <v>1</v>
      </c>
      <c r="DB38">
        <f>ROUND(((ROUND(AT38*CZ38,2)*1.2)*0.3),6)</f>
        <v>0.15840000000000001</v>
      </c>
      <c r="DC38">
        <f>ROUND(((ROUND(AT38*AG38,2)*1.2)*0.3),6)</f>
        <v>0</v>
      </c>
      <c r="DD38" t="s">
        <v>3</v>
      </c>
      <c r="DE38" t="s">
        <v>3</v>
      </c>
      <c r="DF38">
        <f t="shared" si="8"/>
        <v>0</v>
      </c>
      <c r="DG38">
        <f t="shared" si="7"/>
        <v>0.05</v>
      </c>
      <c r="DH38">
        <f t="shared" si="6"/>
        <v>0</v>
      </c>
      <c r="DI38">
        <f t="shared" si="1"/>
        <v>0</v>
      </c>
      <c r="DJ38">
        <f>DG38</f>
        <v>0.05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5">
      <c r="A39">
        <f>ROW(Source!A38)</f>
        <v>38</v>
      </c>
      <c r="B39">
        <v>55936046</v>
      </c>
      <c r="C39">
        <v>55984275</v>
      </c>
      <c r="D39">
        <v>55460882</v>
      </c>
      <c r="E39">
        <v>1</v>
      </c>
      <c r="F39">
        <v>1</v>
      </c>
      <c r="G39">
        <v>1081</v>
      </c>
      <c r="H39">
        <v>3</v>
      </c>
      <c r="I39" t="s">
        <v>273</v>
      </c>
      <c r="J39" t="s">
        <v>274</v>
      </c>
      <c r="K39" t="s">
        <v>275</v>
      </c>
      <c r="L39">
        <v>1348</v>
      </c>
      <c r="N39">
        <v>1009</v>
      </c>
      <c r="O39" t="s">
        <v>223</v>
      </c>
      <c r="P39" t="s">
        <v>223</v>
      </c>
      <c r="Q39">
        <v>1000</v>
      </c>
      <c r="W39">
        <v>0</v>
      </c>
      <c r="X39">
        <v>-1448166212</v>
      </c>
      <c r="Y39">
        <f>((AT39*1)*0)</f>
        <v>0</v>
      </c>
      <c r="AA39">
        <v>14327.51</v>
      </c>
      <c r="AB39">
        <v>0</v>
      </c>
      <c r="AC39">
        <v>0</v>
      </c>
      <c r="AD39">
        <v>0</v>
      </c>
      <c r="AE39">
        <v>14327.51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1.7000000000000001E-4</v>
      </c>
      <c r="AU39" t="s">
        <v>24</v>
      </c>
      <c r="AV39">
        <v>0</v>
      </c>
      <c r="AW39">
        <v>2</v>
      </c>
      <c r="AX39">
        <v>55984285</v>
      </c>
      <c r="AY39">
        <v>1</v>
      </c>
      <c r="AZ39">
        <v>0</v>
      </c>
      <c r="BA39">
        <v>47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v>0</v>
      </c>
      <c r="CX39">
        <f>ROUND(Y39*Source!I38,9)</f>
        <v>0</v>
      </c>
      <c r="CY39">
        <f>AA39</f>
        <v>14327.51</v>
      </c>
      <c r="CZ39">
        <f>AE39</f>
        <v>14327.51</v>
      </c>
      <c r="DA39">
        <f>AI39</f>
        <v>1</v>
      </c>
      <c r="DB39">
        <f>ROUND(((ROUND(AT39*CZ39,2)*1)*0),6)</f>
        <v>0</v>
      </c>
      <c r="DC39">
        <f>ROUND(((ROUND(AT39*AG39,2)*1)*0),6)</f>
        <v>0</v>
      </c>
      <c r="DD39" t="s">
        <v>3</v>
      </c>
      <c r="DE39" t="s">
        <v>3</v>
      </c>
      <c r="DF39">
        <f t="shared" si="8"/>
        <v>0</v>
      </c>
      <c r="DG39">
        <f t="shared" si="7"/>
        <v>0</v>
      </c>
      <c r="DH39">
        <f t="shared" si="6"/>
        <v>0</v>
      </c>
      <c r="DI39">
        <f t="shared" si="1"/>
        <v>0</v>
      </c>
      <c r="DJ39">
        <f>DF39</f>
        <v>0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5">
      <c r="A40">
        <f>ROW(Source!A39)</f>
        <v>39</v>
      </c>
      <c r="B40">
        <v>55936048</v>
      </c>
      <c r="C40">
        <v>55984275</v>
      </c>
      <c r="D40">
        <v>55424304</v>
      </c>
      <c r="E40">
        <v>1081</v>
      </c>
      <c r="F40">
        <v>1</v>
      </c>
      <c r="G40">
        <v>1081</v>
      </c>
      <c r="H40">
        <v>1</v>
      </c>
      <c r="I40" t="s">
        <v>262</v>
      </c>
      <c r="J40" t="s">
        <v>3</v>
      </c>
      <c r="K40" t="s">
        <v>263</v>
      </c>
      <c r="L40">
        <v>1191</v>
      </c>
      <c r="N40">
        <v>1013</v>
      </c>
      <c r="O40" t="s">
        <v>264</v>
      </c>
      <c r="P40" t="s">
        <v>264</v>
      </c>
      <c r="Q40">
        <v>1</v>
      </c>
      <c r="W40">
        <v>0</v>
      </c>
      <c r="X40">
        <v>476480486</v>
      </c>
      <c r="Y40">
        <f>((AT40*1.2)*0.3)</f>
        <v>5.2704000000000004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5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14.64</v>
      </c>
      <c r="AU40" t="s">
        <v>25</v>
      </c>
      <c r="AV40">
        <v>1</v>
      </c>
      <c r="AW40">
        <v>2</v>
      </c>
      <c r="AX40">
        <v>55984281</v>
      </c>
      <c r="AY40">
        <v>1</v>
      </c>
      <c r="AZ40">
        <v>0</v>
      </c>
      <c r="BA40">
        <v>49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U40">
        <f>ROUND(AT40*Source!I39*AH40*AL40,2)</f>
        <v>0</v>
      </c>
      <c r="CV40">
        <f>ROUND(Y40*Source!I39,9)</f>
        <v>1.5811200000000001</v>
      </c>
      <c r="CW40">
        <v>0</v>
      </c>
      <c r="CX40">
        <f>ROUND(Y40*Source!I39,9)</f>
        <v>1.5811200000000001</v>
      </c>
      <c r="CY40">
        <f>AD40</f>
        <v>0</v>
      </c>
      <c r="CZ40">
        <f>AH40</f>
        <v>0</v>
      </c>
      <c r="DA40">
        <f>AL40</f>
        <v>1</v>
      </c>
      <c r="DB40">
        <f>ROUND(((ROUND(AT40*CZ40,2)*1.2)*0.3),6)</f>
        <v>0</v>
      </c>
      <c r="DC40">
        <f>ROUND(((ROUND(AT40*AG40,2)*1.2)*0.3),6)</f>
        <v>0</v>
      </c>
      <c r="DD40" t="s">
        <v>3</v>
      </c>
      <c r="DE40" t="s">
        <v>3</v>
      </c>
      <c r="DF40">
        <f t="shared" si="8"/>
        <v>0</v>
      </c>
      <c r="DG40">
        <f t="shared" si="7"/>
        <v>0</v>
      </c>
      <c r="DH40">
        <f t="shared" si="6"/>
        <v>0</v>
      </c>
      <c r="DI40">
        <f t="shared" si="1"/>
        <v>0</v>
      </c>
      <c r="DJ40">
        <f>DI40</f>
        <v>0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5">
      <c r="A41">
        <f>ROW(Source!A39)</f>
        <v>39</v>
      </c>
      <c r="B41">
        <v>55936048</v>
      </c>
      <c r="C41">
        <v>55984275</v>
      </c>
      <c r="D41">
        <v>55490209</v>
      </c>
      <c r="E41">
        <v>1</v>
      </c>
      <c r="F41">
        <v>1</v>
      </c>
      <c r="G41">
        <v>1081</v>
      </c>
      <c r="H41">
        <v>2</v>
      </c>
      <c r="I41" t="s">
        <v>265</v>
      </c>
      <c r="J41" t="s">
        <v>266</v>
      </c>
      <c r="K41" t="s">
        <v>267</v>
      </c>
      <c r="L41">
        <v>1368</v>
      </c>
      <c r="N41">
        <v>1011</v>
      </c>
      <c r="O41" t="s">
        <v>268</v>
      </c>
      <c r="P41" t="s">
        <v>268</v>
      </c>
      <c r="Q41">
        <v>1</v>
      </c>
      <c r="W41">
        <v>0</v>
      </c>
      <c r="X41">
        <v>874612079</v>
      </c>
      <c r="Y41">
        <f>((AT41*1.2)*0.3)</f>
        <v>2.1599999999999998E-2</v>
      </c>
      <c r="AA41">
        <v>0</v>
      </c>
      <c r="AB41">
        <v>1485.19</v>
      </c>
      <c r="AC41">
        <v>744.56</v>
      </c>
      <c r="AD41">
        <v>0</v>
      </c>
      <c r="AE41">
        <v>0</v>
      </c>
      <c r="AF41">
        <v>83.1</v>
      </c>
      <c r="AG41">
        <v>12.62</v>
      </c>
      <c r="AH41">
        <v>0</v>
      </c>
      <c r="AI41">
        <v>1</v>
      </c>
      <c r="AJ41">
        <v>17.07</v>
      </c>
      <c r="AK41">
        <v>56.35</v>
      </c>
      <c r="AL41">
        <v>1</v>
      </c>
      <c r="AM41">
        <v>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0.06</v>
      </c>
      <c r="AU41" t="s">
        <v>25</v>
      </c>
      <c r="AV41">
        <v>0</v>
      </c>
      <c r="AW41">
        <v>2</v>
      </c>
      <c r="AX41">
        <v>55984282</v>
      </c>
      <c r="AY41">
        <v>1</v>
      </c>
      <c r="AZ41">
        <v>0</v>
      </c>
      <c r="BA41">
        <v>50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V41">
        <v>0</v>
      </c>
      <c r="CW41">
        <f>ROUND(Y41*Source!I39*DO41,9)</f>
        <v>8.1777600000000006E-2</v>
      </c>
      <c r="CX41">
        <f>ROUND(Y41*Source!I39,9)</f>
        <v>6.4799999999999996E-3</v>
      </c>
      <c r="CY41">
        <f>AB41</f>
        <v>1485.19</v>
      </c>
      <c r="CZ41">
        <f>AF41</f>
        <v>83.1</v>
      </c>
      <c r="DA41">
        <f>AJ41</f>
        <v>17.07</v>
      </c>
      <c r="DB41">
        <f>ROUND(((ROUND(AT41*CZ41,2)*1.2)*0.3),6)</f>
        <v>1.7964</v>
      </c>
      <c r="DC41">
        <f>ROUND(((ROUND(AT41*AG41,2)*1.2)*0.3),6)</f>
        <v>0.27360000000000001</v>
      </c>
      <c r="DD41" t="s">
        <v>3</v>
      </c>
      <c r="DE41" t="s">
        <v>3</v>
      </c>
      <c r="DF41">
        <f t="shared" si="8"/>
        <v>0</v>
      </c>
      <c r="DG41">
        <f>ROUND(ROUND(AF41*AJ41,2)*CX41,2)</f>
        <v>9.19</v>
      </c>
      <c r="DH41">
        <f>ROUND(ROUND(AG41*AK41,2)*CX41,2)</f>
        <v>4.6100000000000003</v>
      </c>
      <c r="DI41">
        <f t="shared" si="1"/>
        <v>0</v>
      </c>
      <c r="DJ41">
        <f>DG41</f>
        <v>9.19</v>
      </c>
      <c r="DK41">
        <v>0</v>
      </c>
      <c r="DL41" t="s">
        <v>269</v>
      </c>
      <c r="DM41">
        <v>0</v>
      </c>
      <c r="DN41" t="s">
        <v>264</v>
      </c>
      <c r="DO41">
        <v>12.62</v>
      </c>
    </row>
    <row r="42" spans="1:119" x14ac:dyDescent="0.25">
      <c r="A42">
        <f>ROW(Source!A39)</f>
        <v>39</v>
      </c>
      <c r="B42">
        <v>55936048</v>
      </c>
      <c r="C42">
        <v>55984275</v>
      </c>
      <c r="D42">
        <v>55490330</v>
      </c>
      <c r="E42">
        <v>1</v>
      </c>
      <c r="F42">
        <v>1</v>
      </c>
      <c r="G42">
        <v>1081</v>
      </c>
      <c r="H42">
        <v>2</v>
      </c>
      <c r="I42" t="s">
        <v>285</v>
      </c>
      <c r="J42" t="s">
        <v>286</v>
      </c>
      <c r="K42" t="s">
        <v>287</v>
      </c>
      <c r="L42">
        <v>1368</v>
      </c>
      <c r="N42">
        <v>1011</v>
      </c>
      <c r="O42" t="s">
        <v>268</v>
      </c>
      <c r="P42" t="s">
        <v>268</v>
      </c>
      <c r="Q42">
        <v>1</v>
      </c>
      <c r="W42">
        <v>0</v>
      </c>
      <c r="X42">
        <v>-2083101341</v>
      </c>
      <c r="Y42">
        <f>((AT42*1.2)*0.3)</f>
        <v>0.29159999999999997</v>
      </c>
      <c r="AA42">
        <v>0</v>
      </c>
      <c r="AB42">
        <v>7.92</v>
      </c>
      <c r="AC42">
        <v>0</v>
      </c>
      <c r="AD42">
        <v>0</v>
      </c>
      <c r="AE42">
        <v>0</v>
      </c>
      <c r="AF42">
        <v>0.8</v>
      </c>
      <c r="AG42">
        <v>0</v>
      </c>
      <c r="AH42">
        <v>0</v>
      </c>
      <c r="AI42">
        <v>1</v>
      </c>
      <c r="AJ42">
        <v>9.4600000000000009</v>
      </c>
      <c r="AK42">
        <v>1</v>
      </c>
      <c r="AL42">
        <v>1</v>
      </c>
      <c r="AM42">
        <v>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0.81</v>
      </c>
      <c r="AU42" t="s">
        <v>25</v>
      </c>
      <c r="AV42">
        <v>0</v>
      </c>
      <c r="AW42">
        <v>2</v>
      </c>
      <c r="AX42">
        <v>55984283</v>
      </c>
      <c r="AY42">
        <v>1</v>
      </c>
      <c r="AZ42">
        <v>0</v>
      </c>
      <c r="BA42">
        <v>51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f>ROUND(Y42*Source!I39*DO42,9)</f>
        <v>0</v>
      </c>
      <c r="CX42">
        <f>ROUND(Y42*Source!I39,9)</f>
        <v>8.7480000000000002E-2</v>
      </c>
      <c r="CY42">
        <f>AB42</f>
        <v>7.92</v>
      </c>
      <c r="CZ42">
        <f>AF42</f>
        <v>0.8</v>
      </c>
      <c r="DA42">
        <f>AJ42</f>
        <v>9.4600000000000009</v>
      </c>
      <c r="DB42">
        <f>ROUND(((ROUND(AT42*CZ42,2)*1.2)*0.3),6)</f>
        <v>0.23400000000000001</v>
      </c>
      <c r="DC42">
        <f>ROUND(((ROUND(AT42*AG42,2)*1.2)*0.3),6)</f>
        <v>0</v>
      </c>
      <c r="DD42" t="s">
        <v>3</v>
      </c>
      <c r="DE42" t="s">
        <v>3</v>
      </c>
      <c r="DF42">
        <f t="shared" si="8"/>
        <v>0</v>
      </c>
      <c r="DG42">
        <f>ROUND(ROUND(AF42*AJ42,2)*CX42,2)</f>
        <v>0.66</v>
      </c>
      <c r="DH42">
        <f t="shared" ref="DH42:DH50" si="9">ROUND(ROUND(AG42,2)*CX42,2)</f>
        <v>0</v>
      </c>
      <c r="DI42">
        <f t="shared" si="1"/>
        <v>0</v>
      </c>
      <c r="DJ42">
        <f>DG42</f>
        <v>0.66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5">
      <c r="A43">
        <f>ROW(Source!A39)</f>
        <v>39</v>
      </c>
      <c r="B43">
        <v>55936048</v>
      </c>
      <c r="C43">
        <v>55984275</v>
      </c>
      <c r="D43">
        <v>55490296</v>
      </c>
      <c r="E43">
        <v>1</v>
      </c>
      <c r="F43">
        <v>1</v>
      </c>
      <c r="G43">
        <v>1081</v>
      </c>
      <c r="H43">
        <v>2</v>
      </c>
      <c r="I43" t="s">
        <v>270</v>
      </c>
      <c r="J43" t="s">
        <v>271</v>
      </c>
      <c r="K43" t="s">
        <v>272</v>
      </c>
      <c r="L43">
        <v>1368</v>
      </c>
      <c r="N43">
        <v>1011</v>
      </c>
      <c r="O43" t="s">
        <v>268</v>
      </c>
      <c r="P43" t="s">
        <v>268</v>
      </c>
      <c r="Q43">
        <v>1</v>
      </c>
      <c r="W43">
        <v>0</v>
      </c>
      <c r="X43">
        <v>-643591644</v>
      </c>
      <c r="Y43">
        <f>((AT43*1.2)*0.3)</f>
        <v>0.33480000000000004</v>
      </c>
      <c r="AA43">
        <v>0</v>
      </c>
      <c r="AB43">
        <v>4.75</v>
      </c>
      <c r="AC43">
        <v>0</v>
      </c>
      <c r="AD43">
        <v>0</v>
      </c>
      <c r="AE43">
        <v>0</v>
      </c>
      <c r="AF43">
        <v>0.47</v>
      </c>
      <c r="AG43">
        <v>0</v>
      </c>
      <c r="AH43">
        <v>0</v>
      </c>
      <c r="AI43">
        <v>1</v>
      </c>
      <c r="AJ43">
        <v>9.66</v>
      </c>
      <c r="AK43">
        <v>1</v>
      </c>
      <c r="AL43">
        <v>1</v>
      </c>
      <c r="AM43">
        <v>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0.93</v>
      </c>
      <c r="AU43" t="s">
        <v>25</v>
      </c>
      <c r="AV43">
        <v>0</v>
      </c>
      <c r="AW43">
        <v>2</v>
      </c>
      <c r="AX43">
        <v>55984284</v>
      </c>
      <c r="AY43">
        <v>1</v>
      </c>
      <c r="AZ43">
        <v>0</v>
      </c>
      <c r="BA43">
        <v>52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f>ROUND(Y43*Source!I39*DO43,9)</f>
        <v>0</v>
      </c>
      <c r="CX43">
        <f>ROUND(Y43*Source!I39,9)</f>
        <v>0.10044</v>
      </c>
      <c r="CY43">
        <f>AB43</f>
        <v>4.75</v>
      </c>
      <c r="CZ43">
        <f>AF43</f>
        <v>0.47</v>
      </c>
      <c r="DA43">
        <f>AJ43</f>
        <v>9.66</v>
      </c>
      <c r="DB43">
        <f>ROUND(((ROUND(AT43*CZ43,2)*1.2)*0.3),6)</f>
        <v>0.15840000000000001</v>
      </c>
      <c r="DC43">
        <f>ROUND(((ROUND(AT43*AG43,2)*1.2)*0.3),6)</f>
        <v>0</v>
      </c>
      <c r="DD43" t="s">
        <v>3</v>
      </c>
      <c r="DE43" t="s">
        <v>3</v>
      </c>
      <c r="DF43">
        <f t="shared" si="8"/>
        <v>0</v>
      </c>
      <c r="DG43">
        <f>ROUND(ROUND(AF43*AJ43,2)*CX43,2)</f>
        <v>0.46</v>
      </c>
      <c r="DH43">
        <f t="shared" si="9"/>
        <v>0</v>
      </c>
      <c r="DI43">
        <f t="shared" si="1"/>
        <v>0</v>
      </c>
      <c r="DJ43">
        <f>DG43</f>
        <v>0.46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5">
      <c r="A44">
        <f>ROW(Source!A39)</f>
        <v>39</v>
      </c>
      <c r="B44">
        <v>55936048</v>
      </c>
      <c r="C44">
        <v>55984275</v>
      </c>
      <c r="D44">
        <v>55460882</v>
      </c>
      <c r="E44">
        <v>1</v>
      </c>
      <c r="F44">
        <v>1</v>
      </c>
      <c r="G44">
        <v>1081</v>
      </c>
      <c r="H44">
        <v>3</v>
      </c>
      <c r="I44" t="s">
        <v>273</v>
      </c>
      <c r="J44" t="s">
        <v>274</v>
      </c>
      <c r="K44" t="s">
        <v>275</v>
      </c>
      <c r="L44">
        <v>1348</v>
      </c>
      <c r="N44">
        <v>1009</v>
      </c>
      <c r="O44" t="s">
        <v>223</v>
      </c>
      <c r="P44" t="s">
        <v>223</v>
      </c>
      <c r="Q44">
        <v>1000</v>
      </c>
      <c r="W44">
        <v>0</v>
      </c>
      <c r="X44">
        <v>-1448166212</v>
      </c>
      <c r="Y44">
        <f>((AT44*1)*0)</f>
        <v>0</v>
      </c>
      <c r="AA44">
        <v>109175.63</v>
      </c>
      <c r="AB44">
        <v>0</v>
      </c>
      <c r="AC44">
        <v>0</v>
      </c>
      <c r="AD44">
        <v>0</v>
      </c>
      <c r="AE44">
        <v>14327.51</v>
      </c>
      <c r="AF44">
        <v>0</v>
      </c>
      <c r="AG44">
        <v>0</v>
      </c>
      <c r="AH44">
        <v>0</v>
      </c>
      <c r="AI44">
        <v>7.62</v>
      </c>
      <c r="AJ44">
        <v>1</v>
      </c>
      <c r="AK44">
        <v>1</v>
      </c>
      <c r="AL44">
        <v>1</v>
      </c>
      <c r="AM44">
        <v>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1.7000000000000001E-4</v>
      </c>
      <c r="AU44" t="s">
        <v>24</v>
      </c>
      <c r="AV44">
        <v>0</v>
      </c>
      <c r="AW44">
        <v>2</v>
      </c>
      <c r="AX44">
        <v>55984285</v>
      </c>
      <c r="AY44">
        <v>1</v>
      </c>
      <c r="AZ44">
        <v>0</v>
      </c>
      <c r="BA44">
        <v>53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v>0</v>
      </c>
      <c r="CX44">
        <f>ROUND(Y44*Source!I39,9)</f>
        <v>0</v>
      </c>
      <c r="CY44">
        <f>AA44</f>
        <v>109175.63</v>
      </c>
      <c r="CZ44">
        <f>AE44</f>
        <v>14327.51</v>
      </c>
      <c r="DA44">
        <f>AI44</f>
        <v>7.62</v>
      </c>
      <c r="DB44">
        <f>ROUND(((ROUND(AT44*CZ44,2)*1)*0),6)</f>
        <v>0</v>
      </c>
      <c r="DC44">
        <f>ROUND(((ROUND(AT44*AG44,2)*1)*0),6)</f>
        <v>0</v>
      </c>
      <c r="DD44" t="s">
        <v>3</v>
      </c>
      <c r="DE44" t="s">
        <v>3</v>
      </c>
      <c r="DF44">
        <f>ROUND(ROUND(AE44*AI44,2)*CX44,2)</f>
        <v>0</v>
      </c>
      <c r="DG44">
        <f t="shared" ref="DG44:DG50" si="10">ROUND(ROUND(AF44,2)*CX44,2)</f>
        <v>0</v>
      </c>
      <c r="DH44">
        <f t="shared" si="9"/>
        <v>0</v>
      </c>
      <c r="DI44">
        <f t="shared" si="1"/>
        <v>0</v>
      </c>
      <c r="DJ44">
        <f>DF44</f>
        <v>0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5">
      <c r="A45">
        <f>ROW(Source!A40)</f>
        <v>40</v>
      </c>
      <c r="B45">
        <v>55936046</v>
      </c>
      <c r="C45">
        <v>55984287</v>
      </c>
      <c r="D45">
        <v>55424304</v>
      </c>
      <c r="E45">
        <v>1081</v>
      </c>
      <c r="F45">
        <v>1</v>
      </c>
      <c r="G45">
        <v>1081</v>
      </c>
      <c r="H45">
        <v>1</v>
      </c>
      <c r="I45" t="s">
        <v>262</v>
      </c>
      <c r="J45" t="s">
        <v>3</v>
      </c>
      <c r="K45" t="s">
        <v>263</v>
      </c>
      <c r="L45">
        <v>1191</v>
      </c>
      <c r="N45">
        <v>1013</v>
      </c>
      <c r="O45" t="s">
        <v>264</v>
      </c>
      <c r="P45" t="s">
        <v>264</v>
      </c>
      <c r="Q45">
        <v>1</v>
      </c>
      <c r="W45">
        <v>0</v>
      </c>
      <c r="X45">
        <v>476480486</v>
      </c>
      <c r="Y45">
        <f>((AT45*1.2)*0.3)</f>
        <v>5.2704000000000004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-2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14.64</v>
      </c>
      <c r="AU45" t="s">
        <v>25</v>
      </c>
      <c r="AV45">
        <v>1</v>
      </c>
      <c r="AW45">
        <v>2</v>
      </c>
      <c r="AX45">
        <v>55984293</v>
      </c>
      <c r="AY45">
        <v>1</v>
      </c>
      <c r="AZ45">
        <v>0</v>
      </c>
      <c r="BA45">
        <v>55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U45">
        <f>ROUND(AT45*Source!I40*AH45*AL45,2)</f>
        <v>0</v>
      </c>
      <c r="CV45">
        <f>ROUND(Y45*Source!I40,9)</f>
        <v>0.52703999999999995</v>
      </c>
      <c r="CW45">
        <v>0</v>
      </c>
      <c r="CX45">
        <f>ROUND(Y45*Source!I40,9)</f>
        <v>0.52703999999999995</v>
      </c>
      <c r="CY45">
        <f>AD45</f>
        <v>0</v>
      </c>
      <c r="CZ45">
        <f>AH45</f>
        <v>0</v>
      </c>
      <c r="DA45">
        <f>AL45</f>
        <v>1</v>
      </c>
      <c r="DB45">
        <f>ROUND(((ROUND(AT45*CZ45,2)*1.2)*0.3),6)</f>
        <v>0</v>
      </c>
      <c r="DC45">
        <f>ROUND(((ROUND(AT45*AG45,2)*1.2)*0.3),6)</f>
        <v>0</v>
      </c>
      <c r="DD45" t="s">
        <v>3</v>
      </c>
      <c r="DE45" t="s">
        <v>3</v>
      </c>
      <c r="DF45">
        <f t="shared" ref="DF45:DF53" si="11">ROUND(ROUND(AE45,2)*CX45,2)</f>
        <v>0</v>
      </c>
      <c r="DG45">
        <f t="shared" si="10"/>
        <v>0</v>
      </c>
      <c r="DH45">
        <f t="shared" si="9"/>
        <v>0</v>
      </c>
      <c r="DI45">
        <f t="shared" si="1"/>
        <v>0</v>
      </c>
      <c r="DJ45">
        <f>DI45</f>
        <v>0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5">
      <c r="A46">
        <f>ROW(Source!A40)</f>
        <v>40</v>
      </c>
      <c r="B46">
        <v>55936046</v>
      </c>
      <c r="C46">
        <v>55984287</v>
      </c>
      <c r="D46">
        <v>55490209</v>
      </c>
      <c r="E46">
        <v>1</v>
      </c>
      <c r="F46">
        <v>1</v>
      </c>
      <c r="G46">
        <v>1081</v>
      </c>
      <c r="H46">
        <v>2</v>
      </c>
      <c r="I46" t="s">
        <v>265</v>
      </c>
      <c r="J46" t="s">
        <v>266</v>
      </c>
      <c r="K46" t="s">
        <v>267</v>
      </c>
      <c r="L46">
        <v>1368</v>
      </c>
      <c r="N46">
        <v>1011</v>
      </c>
      <c r="O46" t="s">
        <v>268</v>
      </c>
      <c r="P46" t="s">
        <v>268</v>
      </c>
      <c r="Q46">
        <v>1</v>
      </c>
      <c r="W46">
        <v>0</v>
      </c>
      <c r="X46">
        <v>874612079</v>
      </c>
      <c r="Y46">
        <f>((AT46*1.2)*0.3)</f>
        <v>2.1599999999999998E-2</v>
      </c>
      <c r="AA46">
        <v>0</v>
      </c>
      <c r="AB46">
        <v>87.01</v>
      </c>
      <c r="AC46">
        <v>13.21</v>
      </c>
      <c r="AD46">
        <v>0</v>
      </c>
      <c r="AE46">
        <v>0</v>
      </c>
      <c r="AF46">
        <v>83.1</v>
      </c>
      <c r="AG46">
        <v>12.62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-2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0.06</v>
      </c>
      <c r="AU46" t="s">
        <v>25</v>
      </c>
      <c r="AV46">
        <v>0</v>
      </c>
      <c r="AW46">
        <v>2</v>
      </c>
      <c r="AX46">
        <v>55984294</v>
      </c>
      <c r="AY46">
        <v>1</v>
      </c>
      <c r="AZ46">
        <v>0</v>
      </c>
      <c r="BA46">
        <v>56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f>ROUND(Y46*Source!I40*DO46,9)</f>
        <v>2.7259200000000001E-2</v>
      </c>
      <c r="CX46">
        <f>ROUND(Y46*Source!I40,9)</f>
        <v>2.16E-3</v>
      </c>
      <c r="CY46">
        <f>AB46</f>
        <v>87.01</v>
      </c>
      <c r="CZ46">
        <f>AF46</f>
        <v>83.1</v>
      </c>
      <c r="DA46">
        <f>AJ46</f>
        <v>1</v>
      </c>
      <c r="DB46">
        <f>ROUND(((ROUND(AT46*CZ46,2)*1.2)*0.3),6)</f>
        <v>1.7964</v>
      </c>
      <c r="DC46">
        <f>ROUND(((ROUND(AT46*AG46,2)*1.2)*0.3),6)</f>
        <v>0.27360000000000001</v>
      </c>
      <c r="DD46" t="s">
        <v>3</v>
      </c>
      <c r="DE46" t="s">
        <v>3</v>
      </c>
      <c r="DF46">
        <f t="shared" si="11"/>
        <v>0</v>
      </c>
      <c r="DG46">
        <f t="shared" si="10"/>
        <v>0.18</v>
      </c>
      <c r="DH46">
        <f t="shared" si="9"/>
        <v>0.03</v>
      </c>
      <c r="DI46">
        <f t="shared" si="1"/>
        <v>0</v>
      </c>
      <c r="DJ46">
        <f>DG46</f>
        <v>0.18</v>
      </c>
      <c r="DK46">
        <v>0</v>
      </c>
      <c r="DL46" t="s">
        <v>269</v>
      </c>
      <c r="DM46">
        <v>0</v>
      </c>
      <c r="DN46" t="s">
        <v>264</v>
      </c>
      <c r="DO46">
        <v>12.62</v>
      </c>
    </row>
    <row r="47" spans="1:119" x14ac:dyDescent="0.25">
      <c r="A47">
        <f>ROW(Source!A40)</f>
        <v>40</v>
      </c>
      <c r="B47">
        <v>55936046</v>
      </c>
      <c r="C47">
        <v>55984287</v>
      </c>
      <c r="D47">
        <v>55490330</v>
      </c>
      <c r="E47">
        <v>1</v>
      </c>
      <c r="F47">
        <v>1</v>
      </c>
      <c r="G47">
        <v>1081</v>
      </c>
      <c r="H47">
        <v>2</v>
      </c>
      <c r="I47" t="s">
        <v>285</v>
      </c>
      <c r="J47" t="s">
        <v>286</v>
      </c>
      <c r="K47" t="s">
        <v>287</v>
      </c>
      <c r="L47">
        <v>1368</v>
      </c>
      <c r="N47">
        <v>1011</v>
      </c>
      <c r="O47" t="s">
        <v>268</v>
      </c>
      <c r="P47" t="s">
        <v>268</v>
      </c>
      <c r="Q47">
        <v>1</v>
      </c>
      <c r="W47">
        <v>0</v>
      </c>
      <c r="X47">
        <v>-2083101341</v>
      </c>
      <c r="Y47">
        <f>((AT47*1.2)*0.3)</f>
        <v>0.29159999999999997</v>
      </c>
      <c r="AA47">
        <v>0</v>
      </c>
      <c r="AB47">
        <v>0.84</v>
      </c>
      <c r="AC47">
        <v>0</v>
      </c>
      <c r="AD47">
        <v>0</v>
      </c>
      <c r="AE47">
        <v>0</v>
      </c>
      <c r="AF47">
        <v>0.8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0.81</v>
      </c>
      <c r="AU47" t="s">
        <v>25</v>
      </c>
      <c r="AV47">
        <v>0</v>
      </c>
      <c r="AW47">
        <v>2</v>
      </c>
      <c r="AX47">
        <v>55984295</v>
      </c>
      <c r="AY47">
        <v>1</v>
      </c>
      <c r="AZ47">
        <v>0</v>
      </c>
      <c r="BA47">
        <v>57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f>ROUND(Y47*Source!I40*DO47,9)</f>
        <v>0</v>
      </c>
      <c r="CX47">
        <f>ROUND(Y47*Source!I40,9)</f>
        <v>2.9159999999999998E-2</v>
      </c>
      <c r="CY47">
        <f>AB47</f>
        <v>0.84</v>
      </c>
      <c r="CZ47">
        <f>AF47</f>
        <v>0.8</v>
      </c>
      <c r="DA47">
        <f>AJ47</f>
        <v>1</v>
      </c>
      <c r="DB47">
        <f>ROUND(((ROUND(AT47*CZ47,2)*1.2)*0.3),6)</f>
        <v>0.23400000000000001</v>
      </c>
      <c r="DC47">
        <f>ROUND(((ROUND(AT47*AG47,2)*1.2)*0.3),6)</f>
        <v>0</v>
      </c>
      <c r="DD47" t="s">
        <v>3</v>
      </c>
      <c r="DE47" t="s">
        <v>3</v>
      </c>
      <c r="DF47">
        <f t="shared" si="11"/>
        <v>0</v>
      </c>
      <c r="DG47">
        <f t="shared" si="10"/>
        <v>0.02</v>
      </c>
      <c r="DH47">
        <f t="shared" si="9"/>
        <v>0</v>
      </c>
      <c r="DI47">
        <f t="shared" si="1"/>
        <v>0</v>
      </c>
      <c r="DJ47">
        <f>DG47</f>
        <v>0.02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5">
      <c r="A48">
        <f>ROW(Source!A40)</f>
        <v>40</v>
      </c>
      <c r="B48">
        <v>55936046</v>
      </c>
      <c r="C48">
        <v>55984287</v>
      </c>
      <c r="D48">
        <v>55490296</v>
      </c>
      <c r="E48">
        <v>1</v>
      </c>
      <c r="F48">
        <v>1</v>
      </c>
      <c r="G48">
        <v>1081</v>
      </c>
      <c r="H48">
        <v>2</v>
      </c>
      <c r="I48" t="s">
        <v>270</v>
      </c>
      <c r="J48" t="s">
        <v>271</v>
      </c>
      <c r="K48" t="s">
        <v>272</v>
      </c>
      <c r="L48">
        <v>1368</v>
      </c>
      <c r="N48">
        <v>1011</v>
      </c>
      <c r="O48" t="s">
        <v>268</v>
      </c>
      <c r="P48" t="s">
        <v>268</v>
      </c>
      <c r="Q48">
        <v>1</v>
      </c>
      <c r="W48">
        <v>0</v>
      </c>
      <c r="X48">
        <v>-643591644</v>
      </c>
      <c r="Y48">
        <f>((AT48*1.2)*0.3)</f>
        <v>0.33480000000000004</v>
      </c>
      <c r="AA48">
        <v>0</v>
      </c>
      <c r="AB48">
        <v>0.49</v>
      </c>
      <c r="AC48">
        <v>0</v>
      </c>
      <c r="AD48">
        <v>0</v>
      </c>
      <c r="AE48">
        <v>0</v>
      </c>
      <c r="AF48">
        <v>0.47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-2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0.93</v>
      </c>
      <c r="AU48" t="s">
        <v>25</v>
      </c>
      <c r="AV48">
        <v>0</v>
      </c>
      <c r="AW48">
        <v>2</v>
      </c>
      <c r="AX48">
        <v>55984296</v>
      </c>
      <c r="AY48">
        <v>1</v>
      </c>
      <c r="AZ48">
        <v>0</v>
      </c>
      <c r="BA48">
        <v>58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f>ROUND(Y48*Source!I40*DO48,9)</f>
        <v>0</v>
      </c>
      <c r="CX48">
        <f>ROUND(Y48*Source!I40,9)</f>
        <v>3.3480000000000003E-2</v>
      </c>
      <c r="CY48">
        <f>AB48</f>
        <v>0.49</v>
      </c>
      <c r="CZ48">
        <f>AF48</f>
        <v>0.47</v>
      </c>
      <c r="DA48">
        <f>AJ48</f>
        <v>1</v>
      </c>
      <c r="DB48">
        <f>ROUND(((ROUND(AT48*CZ48,2)*1.2)*0.3),6)</f>
        <v>0.15840000000000001</v>
      </c>
      <c r="DC48">
        <f>ROUND(((ROUND(AT48*AG48,2)*1.2)*0.3),6)</f>
        <v>0</v>
      </c>
      <c r="DD48" t="s">
        <v>3</v>
      </c>
      <c r="DE48" t="s">
        <v>3</v>
      </c>
      <c r="DF48">
        <f t="shared" si="11"/>
        <v>0</v>
      </c>
      <c r="DG48">
        <f t="shared" si="10"/>
        <v>0.02</v>
      </c>
      <c r="DH48">
        <f t="shared" si="9"/>
        <v>0</v>
      </c>
      <c r="DI48">
        <f t="shared" si="1"/>
        <v>0</v>
      </c>
      <c r="DJ48">
        <f>DG48</f>
        <v>0.02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5">
      <c r="A49">
        <f>ROW(Source!A40)</f>
        <v>40</v>
      </c>
      <c r="B49">
        <v>55936046</v>
      </c>
      <c r="C49">
        <v>55984287</v>
      </c>
      <c r="D49">
        <v>55460882</v>
      </c>
      <c r="E49">
        <v>1</v>
      </c>
      <c r="F49">
        <v>1</v>
      </c>
      <c r="G49">
        <v>1081</v>
      </c>
      <c r="H49">
        <v>3</v>
      </c>
      <c r="I49" t="s">
        <v>273</v>
      </c>
      <c r="J49" t="s">
        <v>274</v>
      </c>
      <c r="K49" t="s">
        <v>275</v>
      </c>
      <c r="L49">
        <v>1348</v>
      </c>
      <c r="N49">
        <v>1009</v>
      </c>
      <c r="O49" t="s">
        <v>223</v>
      </c>
      <c r="P49" t="s">
        <v>223</v>
      </c>
      <c r="Q49">
        <v>1000</v>
      </c>
      <c r="W49">
        <v>0</v>
      </c>
      <c r="X49">
        <v>-1448166212</v>
      </c>
      <c r="Y49">
        <f>((AT49*1)*0)</f>
        <v>0</v>
      </c>
      <c r="AA49">
        <v>14327.51</v>
      </c>
      <c r="AB49">
        <v>0</v>
      </c>
      <c r="AC49">
        <v>0</v>
      </c>
      <c r="AD49">
        <v>0</v>
      </c>
      <c r="AE49">
        <v>14327.51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1.7000000000000001E-4</v>
      </c>
      <c r="AU49" t="s">
        <v>24</v>
      </c>
      <c r="AV49">
        <v>0</v>
      </c>
      <c r="AW49">
        <v>2</v>
      </c>
      <c r="AX49">
        <v>55984297</v>
      </c>
      <c r="AY49">
        <v>1</v>
      </c>
      <c r="AZ49">
        <v>0</v>
      </c>
      <c r="BA49">
        <v>59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V49">
        <v>0</v>
      </c>
      <c r="CW49">
        <v>0</v>
      </c>
      <c r="CX49">
        <f>ROUND(Y49*Source!I40,9)</f>
        <v>0</v>
      </c>
      <c r="CY49">
        <f>AA49</f>
        <v>14327.51</v>
      </c>
      <c r="CZ49">
        <f>AE49</f>
        <v>14327.51</v>
      </c>
      <c r="DA49">
        <f>AI49</f>
        <v>1</v>
      </c>
      <c r="DB49">
        <f>ROUND(((ROUND(AT49*CZ49,2)*1)*0),6)</f>
        <v>0</v>
      </c>
      <c r="DC49">
        <f>ROUND(((ROUND(AT49*AG49,2)*1)*0),6)</f>
        <v>0</v>
      </c>
      <c r="DD49" t="s">
        <v>3</v>
      </c>
      <c r="DE49" t="s">
        <v>3</v>
      </c>
      <c r="DF49">
        <f t="shared" si="11"/>
        <v>0</v>
      </c>
      <c r="DG49">
        <f t="shared" si="10"/>
        <v>0</v>
      </c>
      <c r="DH49">
        <f t="shared" si="9"/>
        <v>0</v>
      </c>
      <c r="DI49">
        <f t="shared" si="1"/>
        <v>0</v>
      </c>
      <c r="DJ49">
        <f>DF49</f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5">
      <c r="A50">
        <f>ROW(Source!A41)</f>
        <v>41</v>
      </c>
      <c r="B50">
        <v>55936048</v>
      </c>
      <c r="C50">
        <v>55984287</v>
      </c>
      <c r="D50">
        <v>55424304</v>
      </c>
      <c r="E50">
        <v>1081</v>
      </c>
      <c r="F50">
        <v>1</v>
      </c>
      <c r="G50">
        <v>1081</v>
      </c>
      <c r="H50">
        <v>1</v>
      </c>
      <c r="I50" t="s">
        <v>262</v>
      </c>
      <c r="J50" t="s">
        <v>3</v>
      </c>
      <c r="K50" t="s">
        <v>263</v>
      </c>
      <c r="L50">
        <v>1191</v>
      </c>
      <c r="N50">
        <v>1013</v>
      </c>
      <c r="O50" t="s">
        <v>264</v>
      </c>
      <c r="P50" t="s">
        <v>264</v>
      </c>
      <c r="Q50">
        <v>1</v>
      </c>
      <c r="W50">
        <v>0</v>
      </c>
      <c r="X50">
        <v>476480486</v>
      </c>
      <c r="Y50">
        <f>((AT50*1.2)*0.3)</f>
        <v>5.2704000000000004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5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14.64</v>
      </c>
      <c r="AU50" t="s">
        <v>25</v>
      </c>
      <c r="AV50">
        <v>1</v>
      </c>
      <c r="AW50">
        <v>2</v>
      </c>
      <c r="AX50">
        <v>55984293</v>
      </c>
      <c r="AY50">
        <v>1</v>
      </c>
      <c r="AZ50">
        <v>0</v>
      </c>
      <c r="BA50">
        <v>61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U50">
        <f>ROUND(AT50*Source!I41*AH50*AL50,2)</f>
        <v>0</v>
      </c>
      <c r="CV50">
        <f>ROUND(Y50*Source!I41,9)</f>
        <v>0.52703999999999995</v>
      </c>
      <c r="CW50">
        <v>0</v>
      </c>
      <c r="CX50">
        <f>ROUND(Y50*Source!I41,9)</f>
        <v>0.52703999999999995</v>
      </c>
      <c r="CY50">
        <f>AD50</f>
        <v>0</v>
      </c>
      <c r="CZ50">
        <f>AH50</f>
        <v>0</v>
      </c>
      <c r="DA50">
        <f>AL50</f>
        <v>1</v>
      </c>
      <c r="DB50">
        <f>ROUND(((ROUND(AT50*CZ50,2)*1.2)*0.3),6)</f>
        <v>0</v>
      </c>
      <c r="DC50">
        <f>ROUND(((ROUND(AT50*AG50,2)*1.2)*0.3),6)</f>
        <v>0</v>
      </c>
      <c r="DD50" t="s">
        <v>3</v>
      </c>
      <c r="DE50" t="s">
        <v>3</v>
      </c>
      <c r="DF50">
        <f t="shared" si="11"/>
        <v>0</v>
      </c>
      <c r="DG50">
        <f t="shared" si="10"/>
        <v>0</v>
      </c>
      <c r="DH50">
        <f t="shared" si="9"/>
        <v>0</v>
      </c>
      <c r="DI50">
        <f t="shared" si="1"/>
        <v>0</v>
      </c>
      <c r="DJ50">
        <f>DI50</f>
        <v>0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5">
      <c r="A51">
        <f>ROW(Source!A41)</f>
        <v>41</v>
      </c>
      <c r="B51">
        <v>55936048</v>
      </c>
      <c r="C51">
        <v>55984287</v>
      </c>
      <c r="D51">
        <v>55490209</v>
      </c>
      <c r="E51">
        <v>1</v>
      </c>
      <c r="F51">
        <v>1</v>
      </c>
      <c r="G51">
        <v>1081</v>
      </c>
      <c r="H51">
        <v>2</v>
      </c>
      <c r="I51" t="s">
        <v>265</v>
      </c>
      <c r="J51" t="s">
        <v>266</v>
      </c>
      <c r="K51" t="s">
        <v>267</v>
      </c>
      <c r="L51">
        <v>1368</v>
      </c>
      <c r="N51">
        <v>1011</v>
      </c>
      <c r="O51" t="s">
        <v>268</v>
      </c>
      <c r="P51" t="s">
        <v>268</v>
      </c>
      <c r="Q51">
        <v>1</v>
      </c>
      <c r="W51">
        <v>0</v>
      </c>
      <c r="X51">
        <v>874612079</v>
      </c>
      <c r="Y51">
        <f>((AT51*1.2)*0.3)</f>
        <v>2.1599999999999998E-2</v>
      </c>
      <c r="AA51">
        <v>0</v>
      </c>
      <c r="AB51">
        <v>1485.19</v>
      </c>
      <c r="AC51">
        <v>744.56</v>
      </c>
      <c r="AD51">
        <v>0</v>
      </c>
      <c r="AE51">
        <v>0</v>
      </c>
      <c r="AF51">
        <v>83.1</v>
      </c>
      <c r="AG51">
        <v>12.62</v>
      </c>
      <c r="AH51">
        <v>0</v>
      </c>
      <c r="AI51">
        <v>1</v>
      </c>
      <c r="AJ51">
        <v>17.07</v>
      </c>
      <c r="AK51">
        <v>56.35</v>
      </c>
      <c r="AL51">
        <v>1</v>
      </c>
      <c r="AM51">
        <v>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0.06</v>
      </c>
      <c r="AU51" t="s">
        <v>25</v>
      </c>
      <c r="AV51">
        <v>0</v>
      </c>
      <c r="AW51">
        <v>2</v>
      </c>
      <c r="AX51">
        <v>55984294</v>
      </c>
      <c r="AY51">
        <v>1</v>
      </c>
      <c r="AZ51">
        <v>0</v>
      </c>
      <c r="BA51">
        <v>62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f>ROUND(Y51*Source!I41*DO51,9)</f>
        <v>2.7259200000000001E-2</v>
      </c>
      <c r="CX51">
        <f>ROUND(Y51*Source!I41,9)</f>
        <v>2.16E-3</v>
      </c>
      <c r="CY51">
        <f>AB51</f>
        <v>1485.19</v>
      </c>
      <c r="CZ51">
        <f>AF51</f>
        <v>83.1</v>
      </c>
      <c r="DA51">
        <f>AJ51</f>
        <v>17.07</v>
      </c>
      <c r="DB51">
        <f>ROUND(((ROUND(AT51*CZ51,2)*1.2)*0.3),6)</f>
        <v>1.7964</v>
      </c>
      <c r="DC51">
        <f>ROUND(((ROUND(AT51*AG51,2)*1.2)*0.3),6)</f>
        <v>0.27360000000000001</v>
      </c>
      <c r="DD51" t="s">
        <v>3</v>
      </c>
      <c r="DE51" t="s">
        <v>3</v>
      </c>
      <c r="DF51">
        <f t="shared" si="11"/>
        <v>0</v>
      </c>
      <c r="DG51">
        <f>ROUND(ROUND(AF51*AJ51,2)*CX51,2)</f>
        <v>3.06</v>
      </c>
      <c r="DH51">
        <f>ROUND(ROUND(AG51*AK51,2)*CX51,2)</f>
        <v>1.54</v>
      </c>
      <c r="DI51">
        <f t="shared" si="1"/>
        <v>0</v>
      </c>
      <c r="DJ51">
        <f>DG51</f>
        <v>3.06</v>
      </c>
      <c r="DK51">
        <v>0</v>
      </c>
      <c r="DL51" t="s">
        <v>269</v>
      </c>
      <c r="DM51">
        <v>0</v>
      </c>
      <c r="DN51" t="s">
        <v>264</v>
      </c>
      <c r="DO51">
        <v>12.62</v>
      </c>
    </row>
    <row r="52" spans="1:119" x14ac:dyDescent="0.25">
      <c r="A52">
        <f>ROW(Source!A41)</f>
        <v>41</v>
      </c>
      <c r="B52">
        <v>55936048</v>
      </c>
      <c r="C52">
        <v>55984287</v>
      </c>
      <c r="D52">
        <v>55490330</v>
      </c>
      <c r="E52">
        <v>1</v>
      </c>
      <c r="F52">
        <v>1</v>
      </c>
      <c r="G52">
        <v>1081</v>
      </c>
      <c r="H52">
        <v>2</v>
      </c>
      <c r="I52" t="s">
        <v>285</v>
      </c>
      <c r="J52" t="s">
        <v>286</v>
      </c>
      <c r="K52" t="s">
        <v>287</v>
      </c>
      <c r="L52">
        <v>1368</v>
      </c>
      <c r="N52">
        <v>1011</v>
      </c>
      <c r="O52" t="s">
        <v>268</v>
      </c>
      <c r="P52" t="s">
        <v>268</v>
      </c>
      <c r="Q52">
        <v>1</v>
      </c>
      <c r="W52">
        <v>0</v>
      </c>
      <c r="X52">
        <v>-2083101341</v>
      </c>
      <c r="Y52">
        <f>((AT52*1.2)*0.3)</f>
        <v>0.29159999999999997</v>
      </c>
      <c r="AA52">
        <v>0</v>
      </c>
      <c r="AB52">
        <v>7.92</v>
      </c>
      <c r="AC52">
        <v>0</v>
      </c>
      <c r="AD52">
        <v>0</v>
      </c>
      <c r="AE52">
        <v>0</v>
      </c>
      <c r="AF52">
        <v>0.8</v>
      </c>
      <c r="AG52">
        <v>0</v>
      </c>
      <c r="AH52">
        <v>0</v>
      </c>
      <c r="AI52">
        <v>1</v>
      </c>
      <c r="AJ52">
        <v>9.4600000000000009</v>
      </c>
      <c r="AK52">
        <v>1</v>
      </c>
      <c r="AL52">
        <v>1</v>
      </c>
      <c r="AM52">
        <v>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0.81</v>
      </c>
      <c r="AU52" t="s">
        <v>25</v>
      </c>
      <c r="AV52">
        <v>0</v>
      </c>
      <c r="AW52">
        <v>2</v>
      </c>
      <c r="AX52">
        <v>55984295</v>
      </c>
      <c r="AY52">
        <v>1</v>
      </c>
      <c r="AZ52">
        <v>0</v>
      </c>
      <c r="BA52">
        <v>63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f>ROUND(Y52*Source!I41*DO52,9)</f>
        <v>0</v>
      </c>
      <c r="CX52">
        <f>ROUND(Y52*Source!I41,9)</f>
        <v>2.9159999999999998E-2</v>
      </c>
      <c r="CY52">
        <f>AB52</f>
        <v>7.92</v>
      </c>
      <c r="CZ52">
        <f>AF52</f>
        <v>0.8</v>
      </c>
      <c r="DA52">
        <f>AJ52</f>
        <v>9.4600000000000009</v>
      </c>
      <c r="DB52">
        <f>ROUND(((ROUND(AT52*CZ52,2)*1.2)*0.3),6)</f>
        <v>0.23400000000000001</v>
      </c>
      <c r="DC52">
        <f>ROUND(((ROUND(AT52*AG52,2)*1.2)*0.3),6)</f>
        <v>0</v>
      </c>
      <c r="DD52" t="s">
        <v>3</v>
      </c>
      <c r="DE52" t="s">
        <v>3</v>
      </c>
      <c r="DF52">
        <f t="shared" si="11"/>
        <v>0</v>
      </c>
      <c r="DG52">
        <f>ROUND(ROUND(AF52*AJ52,2)*CX52,2)</f>
        <v>0.22</v>
      </c>
      <c r="DH52">
        <f t="shared" ref="DH52:DH60" si="12">ROUND(ROUND(AG52,2)*CX52,2)</f>
        <v>0</v>
      </c>
      <c r="DI52">
        <f t="shared" si="1"/>
        <v>0</v>
      </c>
      <c r="DJ52">
        <f>DG52</f>
        <v>0.22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5">
      <c r="A53">
        <f>ROW(Source!A41)</f>
        <v>41</v>
      </c>
      <c r="B53">
        <v>55936048</v>
      </c>
      <c r="C53">
        <v>55984287</v>
      </c>
      <c r="D53">
        <v>55490296</v>
      </c>
      <c r="E53">
        <v>1</v>
      </c>
      <c r="F53">
        <v>1</v>
      </c>
      <c r="G53">
        <v>1081</v>
      </c>
      <c r="H53">
        <v>2</v>
      </c>
      <c r="I53" t="s">
        <v>270</v>
      </c>
      <c r="J53" t="s">
        <v>271</v>
      </c>
      <c r="K53" t="s">
        <v>272</v>
      </c>
      <c r="L53">
        <v>1368</v>
      </c>
      <c r="N53">
        <v>1011</v>
      </c>
      <c r="O53" t="s">
        <v>268</v>
      </c>
      <c r="P53" t="s">
        <v>268</v>
      </c>
      <c r="Q53">
        <v>1</v>
      </c>
      <c r="W53">
        <v>0</v>
      </c>
      <c r="X53">
        <v>-643591644</v>
      </c>
      <c r="Y53">
        <f>((AT53*1.2)*0.3)</f>
        <v>0.33480000000000004</v>
      </c>
      <c r="AA53">
        <v>0</v>
      </c>
      <c r="AB53">
        <v>4.75</v>
      </c>
      <c r="AC53">
        <v>0</v>
      </c>
      <c r="AD53">
        <v>0</v>
      </c>
      <c r="AE53">
        <v>0</v>
      </c>
      <c r="AF53">
        <v>0.47</v>
      </c>
      <c r="AG53">
        <v>0</v>
      </c>
      <c r="AH53">
        <v>0</v>
      </c>
      <c r="AI53">
        <v>1</v>
      </c>
      <c r="AJ53">
        <v>9.66</v>
      </c>
      <c r="AK53">
        <v>1</v>
      </c>
      <c r="AL53">
        <v>1</v>
      </c>
      <c r="AM53">
        <v>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0.93</v>
      </c>
      <c r="AU53" t="s">
        <v>25</v>
      </c>
      <c r="AV53">
        <v>0</v>
      </c>
      <c r="AW53">
        <v>2</v>
      </c>
      <c r="AX53">
        <v>55984296</v>
      </c>
      <c r="AY53">
        <v>1</v>
      </c>
      <c r="AZ53">
        <v>0</v>
      </c>
      <c r="BA53">
        <v>64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f>ROUND(Y53*Source!I41*DO53,9)</f>
        <v>0</v>
      </c>
      <c r="CX53">
        <f>ROUND(Y53*Source!I41,9)</f>
        <v>3.3480000000000003E-2</v>
      </c>
      <c r="CY53">
        <f>AB53</f>
        <v>4.75</v>
      </c>
      <c r="CZ53">
        <f>AF53</f>
        <v>0.47</v>
      </c>
      <c r="DA53">
        <f>AJ53</f>
        <v>9.66</v>
      </c>
      <c r="DB53">
        <f>ROUND(((ROUND(AT53*CZ53,2)*1.2)*0.3),6)</f>
        <v>0.15840000000000001</v>
      </c>
      <c r="DC53">
        <f>ROUND(((ROUND(AT53*AG53,2)*1.2)*0.3),6)</f>
        <v>0</v>
      </c>
      <c r="DD53" t="s">
        <v>3</v>
      </c>
      <c r="DE53" t="s">
        <v>3</v>
      </c>
      <c r="DF53">
        <f t="shared" si="11"/>
        <v>0</v>
      </c>
      <c r="DG53">
        <f>ROUND(ROUND(AF53*AJ53,2)*CX53,2)</f>
        <v>0.15</v>
      </c>
      <c r="DH53">
        <f t="shared" si="12"/>
        <v>0</v>
      </c>
      <c r="DI53">
        <f t="shared" si="1"/>
        <v>0</v>
      </c>
      <c r="DJ53">
        <f>DG53</f>
        <v>0.15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5">
      <c r="A54">
        <f>ROW(Source!A41)</f>
        <v>41</v>
      </c>
      <c r="B54">
        <v>55936048</v>
      </c>
      <c r="C54">
        <v>55984287</v>
      </c>
      <c r="D54">
        <v>55460882</v>
      </c>
      <c r="E54">
        <v>1</v>
      </c>
      <c r="F54">
        <v>1</v>
      </c>
      <c r="G54">
        <v>1081</v>
      </c>
      <c r="H54">
        <v>3</v>
      </c>
      <c r="I54" t="s">
        <v>273</v>
      </c>
      <c r="J54" t="s">
        <v>274</v>
      </c>
      <c r="K54" t="s">
        <v>275</v>
      </c>
      <c r="L54">
        <v>1348</v>
      </c>
      <c r="N54">
        <v>1009</v>
      </c>
      <c r="O54" t="s">
        <v>223</v>
      </c>
      <c r="P54" t="s">
        <v>223</v>
      </c>
      <c r="Q54">
        <v>1000</v>
      </c>
      <c r="W54">
        <v>0</v>
      </c>
      <c r="X54">
        <v>-1448166212</v>
      </c>
      <c r="Y54">
        <f>((AT54*1)*0)</f>
        <v>0</v>
      </c>
      <c r="AA54">
        <v>109175.63</v>
      </c>
      <c r="AB54">
        <v>0</v>
      </c>
      <c r="AC54">
        <v>0</v>
      </c>
      <c r="AD54">
        <v>0</v>
      </c>
      <c r="AE54">
        <v>14327.51</v>
      </c>
      <c r="AF54">
        <v>0</v>
      </c>
      <c r="AG54">
        <v>0</v>
      </c>
      <c r="AH54">
        <v>0</v>
      </c>
      <c r="AI54">
        <v>7.62</v>
      </c>
      <c r="AJ54">
        <v>1</v>
      </c>
      <c r="AK54">
        <v>1</v>
      </c>
      <c r="AL54">
        <v>1</v>
      </c>
      <c r="AM54">
        <v>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1.7000000000000001E-4</v>
      </c>
      <c r="AU54" t="s">
        <v>24</v>
      </c>
      <c r="AV54">
        <v>0</v>
      </c>
      <c r="AW54">
        <v>2</v>
      </c>
      <c r="AX54">
        <v>55984297</v>
      </c>
      <c r="AY54">
        <v>1</v>
      </c>
      <c r="AZ54">
        <v>0</v>
      </c>
      <c r="BA54">
        <v>65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v>0</v>
      </c>
      <c r="CX54">
        <f>ROUND(Y54*Source!I41,9)</f>
        <v>0</v>
      </c>
      <c r="CY54">
        <f>AA54</f>
        <v>109175.63</v>
      </c>
      <c r="CZ54">
        <f>AE54</f>
        <v>14327.51</v>
      </c>
      <c r="DA54">
        <f>AI54</f>
        <v>7.62</v>
      </c>
      <c r="DB54">
        <f>ROUND(((ROUND(AT54*CZ54,2)*1)*0),6)</f>
        <v>0</v>
      </c>
      <c r="DC54">
        <f>ROUND(((ROUND(AT54*AG54,2)*1)*0),6)</f>
        <v>0</v>
      </c>
      <c r="DD54" t="s">
        <v>3</v>
      </c>
      <c r="DE54" t="s">
        <v>3</v>
      </c>
      <c r="DF54">
        <f>ROUND(ROUND(AE54*AI54,2)*CX54,2)</f>
        <v>0</v>
      </c>
      <c r="DG54">
        <f t="shared" ref="DG54:DG60" si="13">ROUND(ROUND(AF54,2)*CX54,2)</f>
        <v>0</v>
      </c>
      <c r="DH54">
        <f t="shared" si="12"/>
        <v>0</v>
      </c>
      <c r="DI54">
        <f t="shared" si="1"/>
        <v>0</v>
      </c>
      <c r="DJ54">
        <f>DF54</f>
        <v>0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5">
      <c r="A55">
        <f>ROW(Source!A42)</f>
        <v>42</v>
      </c>
      <c r="B55">
        <v>55936046</v>
      </c>
      <c r="C55">
        <v>55984299</v>
      </c>
      <c r="D55">
        <v>55424304</v>
      </c>
      <c r="E55">
        <v>1081</v>
      </c>
      <c r="F55">
        <v>1</v>
      </c>
      <c r="G55">
        <v>1081</v>
      </c>
      <c r="H55">
        <v>1</v>
      </c>
      <c r="I55" t="s">
        <v>262</v>
      </c>
      <c r="J55" t="s">
        <v>3</v>
      </c>
      <c r="K55" t="s">
        <v>263</v>
      </c>
      <c r="L55">
        <v>1191</v>
      </c>
      <c r="N55">
        <v>1013</v>
      </c>
      <c r="O55" t="s">
        <v>264</v>
      </c>
      <c r="P55" t="s">
        <v>264</v>
      </c>
      <c r="Q55">
        <v>1</v>
      </c>
      <c r="W55">
        <v>0</v>
      </c>
      <c r="X55">
        <v>476480486</v>
      </c>
      <c r="Y55">
        <f>((AT55*1.2)*0.3)</f>
        <v>0.48599999999999999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-2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1.35</v>
      </c>
      <c r="AU55" t="s">
        <v>25</v>
      </c>
      <c r="AV55">
        <v>1</v>
      </c>
      <c r="AW55">
        <v>2</v>
      </c>
      <c r="AX55">
        <v>55984305</v>
      </c>
      <c r="AY55">
        <v>1</v>
      </c>
      <c r="AZ55">
        <v>0</v>
      </c>
      <c r="BA55">
        <v>67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U55">
        <f>ROUND(AT55*Source!I42*AH55*AL55,2)</f>
        <v>0</v>
      </c>
      <c r="CV55">
        <f>ROUND(Y55*Source!I42,9)</f>
        <v>0.48599999999999999</v>
      </c>
      <c r="CW55">
        <v>0</v>
      </c>
      <c r="CX55">
        <f>ROUND(Y55*Source!I42,9)</f>
        <v>0.48599999999999999</v>
      </c>
      <c r="CY55">
        <f>AD55</f>
        <v>0</v>
      </c>
      <c r="CZ55">
        <f>AH55</f>
        <v>0</v>
      </c>
      <c r="DA55">
        <f>AL55</f>
        <v>1</v>
      </c>
      <c r="DB55">
        <f>ROUND(((ROUND(AT55*CZ55,2)*1.2)*0.3),6)</f>
        <v>0</v>
      </c>
      <c r="DC55">
        <f>ROUND(((ROUND(AT55*AG55,2)*1.2)*0.3),6)</f>
        <v>0</v>
      </c>
      <c r="DD55" t="s">
        <v>3</v>
      </c>
      <c r="DE55" t="s">
        <v>3</v>
      </c>
      <c r="DF55">
        <f t="shared" ref="DF55:DF62" si="14">ROUND(ROUND(AE55,2)*CX55,2)</f>
        <v>0</v>
      </c>
      <c r="DG55">
        <f t="shared" si="13"/>
        <v>0</v>
      </c>
      <c r="DH55">
        <f t="shared" si="12"/>
        <v>0</v>
      </c>
      <c r="DI55">
        <f t="shared" si="1"/>
        <v>0</v>
      </c>
      <c r="DJ55">
        <f>DI55</f>
        <v>0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5">
      <c r="A56">
        <f>ROW(Source!A42)</f>
        <v>42</v>
      </c>
      <c r="B56">
        <v>55936046</v>
      </c>
      <c r="C56">
        <v>55984299</v>
      </c>
      <c r="D56">
        <v>55490209</v>
      </c>
      <c r="E56">
        <v>1</v>
      </c>
      <c r="F56">
        <v>1</v>
      </c>
      <c r="G56">
        <v>1081</v>
      </c>
      <c r="H56">
        <v>2</v>
      </c>
      <c r="I56" t="s">
        <v>265</v>
      </c>
      <c r="J56" t="s">
        <v>266</v>
      </c>
      <c r="K56" t="s">
        <v>267</v>
      </c>
      <c r="L56">
        <v>1368</v>
      </c>
      <c r="N56">
        <v>1011</v>
      </c>
      <c r="O56" t="s">
        <v>268</v>
      </c>
      <c r="P56" t="s">
        <v>268</v>
      </c>
      <c r="Q56">
        <v>1</v>
      </c>
      <c r="W56">
        <v>0</v>
      </c>
      <c r="X56">
        <v>874612079</v>
      </c>
      <c r="Y56">
        <f>((AT56*1.2)*0.3)</f>
        <v>3.5999999999999999E-3</v>
      </c>
      <c r="AA56">
        <v>0</v>
      </c>
      <c r="AB56">
        <v>87.01</v>
      </c>
      <c r="AC56">
        <v>13.21</v>
      </c>
      <c r="AD56">
        <v>0</v>
      </c>
      <c r="AE56">
        <v>0</v>
      </c>
      <c r="AF56">
        <v>83.1</v>
      </c>
      <c r="AG56">
        <v>12.62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-2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0.01</v>
      </c>
      <c r="AU56" t="s">
        <v>25</v>
      </c>
      <c r="AV56">
        <v>0</v>
      </c>
      <c r="AW56">
        <v>2</v>
      </c>
      <c r="AX56">
        <v>55984306</v>
      </c>
      <c r="AY56">
        <v>1</v>
      </c>
      <c r="AZ56">
        <v>0</v>
      </c>
      <c r="BA56">
        <v>68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f>ROUND(Y56*Source!I42*DO56,9)</f>
        <v>4.5432E-2</v>
      </c>
      <c r="CX56">
        <f>ROUND(Y56*Source!I42,9)</f>
        <v>3.5999999999999999E-3</v>
      </c>
      <c r="CY56">
        <f>AB56</f>
        <v>87.01</v>
      </c>
      <c r="CZ56">
        <f>AF56</f>
        <v>83.1</v>
      </c>
      <c r="DA56">
        <f>AJ56</f>
        <v>1</v>
      </c>
      <c r="DB56">
        <f>ROUND(((ROUND(AT56*CZ56,2)*1.2)*0.3),6)</f>
        <v>0.29880000000000001</v>
      </c>
      <c r="DC56">
        <f>ROUND(((ROUND(AT56*AG56,2)*1.2)*0.3),6)</f>
        <v>4.6800000000000001E-2</v>
      </c>
      <c r="DD56" t="s">
        <v>3</v>
      </c>
      <c r="DE56" t="s">
        <v>3</v>
      </c>
      <c r="DF56">
        <f t="shared" si="14"/>
        <v>0</v>
      </c>
      <c r="DG56">
        <f t="shared" si="13"/>
        <v>0.3</v>
      </c>
      <c r="DH56">
        <f t="shared" si="12"/>
        <v>0.05</v>
      </c>
      <c r="DI56">
        <f t="shared" si="1"/>
        <v>0</v>
      </c>
      <c r="DJ56">
        <f>DG56</f>
        <v>0.3</v>
      </c>
      <c r="DK56">
        <v>0</v>
      </c>
      <c r="DL56" t="s">
        <v>269</v>
      </c>
      <c r="DM56">
        <v>0</v>
      </c>
      <c r="DN56" t="s">
        <v>264</v>
      </c>
      <c r="DO56">
        <v>12.62</v>
      </c>
    </row>
    <row r="57" spans="1:119" x14ac:dyDescent="0.25">
      <c r="A57">
        <f>ROW(Source!A42)</f>
        <v>42</v>
      </c>
      <c r="B57">
        <v>55936046</v>
      </c>
      <c r="C57">
        <v>55984299</v>
      </c>
      <c r="D57">
        <v>55490296</v>
      </c>
      <c r="E57">
        <v>1</v>
      </c>
      <c r="F57">
        <v>1</v>
      </c>
      <c r="G57">
        <v>1081</v>
      </c>
      <c r="H57">
        <v>2</v>
      </c>
      <c r="I57" t="s">
        <v>270</v>
      </c>
      <c r="J57" t="s">
        <v>271</v>
      </c>
      <c r="K57" t="s">
        <v>272</v>
      </c>
      <c r="L57">
        <v>1368</v>
      </c>
      <c r="N57">
        <v>1011</v>
      </c>
      <c r="O57" t="s">
        <v>268</v>
      </c>
      <c r="P57" t="s">
        <v>268</v>
      </c>
      <c r="Q57">
        <v>1</v>
      </c>
      <c r="W57">
        <v>0</v>
      </c>
      <c r="X57">
        <v>-643591644</v>
      </c>
      <c r="Y57">
        <f>((AT57*1.2)*0.3)</f>
        <v>6.1200000000000004E-2</v>
      </c>
      <c r="AA57">
        <v>0</v>
      </c>
      <c r="AB57">
        <v>0.49</v>
      </c>
      <c r="AC57">
        <v>0</v>
      </c>
      <c r="AD57">
        <v>0</v>
      </c>
      <c r="AE57">
        <v>0</v>
      </c>
      <c r="AF57">
        <v>0.47</v>
      </c>
      <c r="AG57">
        <v>0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-2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0.17</v>
      </c>
      <c r="AU57" t="s">
        <v>25</v>
      </c>
      <c r="AV57">
        <v>0</v>
      </c>
      <c r="AW57">
        <v>2</v>
      </c>
      <c r="AX57">
        <v>55984307</v>
      </c>
      <c r="AY57">
        <v>1</v>
      </c>
      <c r="AZ57">
        <v>0</v>
      </c>
      <c r="BA57">
        <v>69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V57">
        <v>0</v>
      </c>
      <c r="CW57">
        <f>ROUND(Y57*Source!I42*DO57,9)</f>
        <v>0</v>
      </c>
      <c r="CX57">
        <f>ROUND(Y57*Source!I42,9)</f>
        <v>6.1199999999999997E-2</v>
      </c>
      <c r="CY57">
        <f>AB57</f>
        <v>0.49</v>
      </c>
      <c r="CZ57">
        <f>AF57</f>
        <v>0.47</v>
      </c>
      <c r="DA57">
        <f>AJ57</f>
        <v>1</v>
      </c>
      <c r="DB57">
        <f>ROUND(((ROUND(AT57*CZ57,2)*1.2)*0.3),6)</f>
        <v>2.8799999999999999E-2</v>
      </c>
      <c r="DC57">
        <f>ROUND(((ROUND(AT57*AG57,2)*1.2)*0.3),6)</f>
        <v>0</v>
      </c>
      <c r="DD57" t="s">
        <v>3</v>
      </c>
      <c r="DE57" t="s">
        <v>3</v>
      </c>
      <c r="DF57">
        <f t="shared" si="14"/>
        <v>0</v>
      </c>
      <c r="DG57">
        <f t="shared" si="13"/>
        <v>0.03</v>
      </c>
      <c r="DH57">
        <f t="shared" si="12"/>
        <v>0</v>
      </c>
      <c r="DI57">
        <f t="shared" si="1"/>
        <v>0</v>
      </c>
      <c r="DJ57">
        <f>DG57</f>
        <v>0.03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5">
      <c r="A58">
        <f>ROW(Source!A42)</f>
        <v>42</v>
      </c>
      <c r="B58">
        <v>55936046</v>
      </c>
      <c r="C58">
        <v>55984299</v>
      </c>
      <c r="D58">
        <v>55460882</v>
      </c>
      <c r="E58">
        <v>1</v>
      </c>
      <c r="F58">
        <v>1</v>
      </c>
      <c r="G58">
        <v>1081</v>
      </c>
      <c r="H58">
        <v>3</v>
      </c>
      <c r="I58" t="s">
        <v>273</v>
      </c>
      <c r="J58" t="s">
        <v>274</v>
      </c>
      <c r="K58" t="s">
        <v>275</v>
      </c>
      <c r="L58">
        <v>1348</v>
      </c>
      <c r="N58">
        <v>1009</v>
      </c>
      <c r="O58" t="s">
        <v>223</v>
      </c>
      <c r="P58" t="s">
        <v>223</v>
      </c>
      <c r="Q58">
        <v>1000</v>
      </c>
      <c r="W58">
        <v>0</v>
      </c>
      <c r="X58">
        <v>-1448166212</v>
      </c>
      <c r="Y58">
        <f>((AT58*1)*0)</f>
        <v>0</v>
      </c>
      <c r="AA58">
        <v>14327.51</v>
      </c>
      <c r="AB58">
        <v>0</v>
      </c>
      <c r="AC58">
        <v>0</v>
      </c>
      <c r="AD58">
        <v>0</v>
      </c>
      <c r="AE58">
        <v>14327.51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-2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3.0000000000000001E-5</v>
      </c>
      <c r="AU58" t="s">
        <v>24</v>
      </c>
      <c r="AV58">
        <v>0</v>
      </c>
      <c r="AW58">
        <v>2</v>
      </c>
      <c r="AX58">
        <v>55984308</v>
      </c>
      <c r="AY58">
        <v>1</v>
      </c>
      <c r="AZ58">
        <v>0</v>
      </c>
      <c r="BA58">
        <v>70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v>0</v>
      </c>
      <c r="CX58">
        <f>ROUND(Y58*Source!I42,9)</f>
        <v>0</v>
      </c>
      <c r="CY58">
        <f>AA58</f>
        <v>14327.51</v>
      </c>
      <c r="CZ58">
        <f>AE58</f>
        <v>14327.51</v>
      </c>
      <c r="DA58">
        <f>AI58</f>
        <v>1</v>
      </c>
      <c r="DB58">
        <f>ROUND(((ROUND(AT58*CZ58,2)*1)*0),6)</f>
        <v>0</v>
      </c>
      <c r="DC58">
        <f>ROUND(((ROUND(AT58*AG58,2)*1)*0),6)</f>
        <v>0</v>
      </c>
      <c r="DD58" t="s">
        <v>3</v>
      </c>
      <c r="DE58" t="s">
        <v>3</v>
      </c>
      <c r="DF58">
        <f t="shared" si="14"/>
        <v>0</v>
      </c>
      <c r="DG58">
        <f t="shared" si="13"/>
        <v>0</v>
      </c>
      <c r="DH58">
        <f t="shared" si="12"/>
        <v>0</v>
      </c>
      <c r="DI58">
        <f t="shared" si="1"/>
        <v>0</v>
      </c>
      <c r="DJ58">
        <f>DF58</f>
        <v>0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5">
      <c r="A59">
        <f>ROW(Source!A42)</f>
        <v>42</v>
      </c>
      <c r="B59">
        <v>55936046</v>
      </c>
      <c r="C59">
        <v>55984299</v>
      </c>
      <c r="D59">
        <v>55459794</v>
      </c>
      <c r="E59">
        <v>1</v>
      </c>
      <c r="F59">
        <v>1</v>
      </c>
      <c r="G59">
        <v>1081</v>
      </c>
      <c r="H59">
        <v>3</v>
      </c>
      <c r="I59" t="s">
        <v>292</v>
      </c>
      <c r="J59" t="s">
        <v>293</v>
      </c>
      <c r="K59" t="s">
        <v>294</v>
      </c>
      <c r="L59">
        <v>1348</v>
      </c>
      <c r="N59">
        <v>1009</v>
      </c>
      <c r="O59" t="s">
        <v>223</v>
      </c>
      <c r="P59" t="s">
        <v>223</v>
      </c>
      <c r="Q59">
        <v>1000</v>
      </c>
      <c r="W59">
        <v>0</v>
      </c>
      <c r="X59">
        <v>-1737481261</v>
      </c>
      <c r="Y59">
        <f>((AT59*1)*0)</f>
        <v>0</v>
      </c>
      <c r="AA59">
        <v>78558.289999999994</v>
      </c>
      <c r="AB59">
        <v>0</v>
      </c>
      <c r="AC59">
        <v>0</v>
      </c>
      <c r="AD59">
        <v>0</v>
      </c>
      <c r="AE59">
        <v>78558.289999999994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-2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1.0000000000000001E-5</v>
      </c>
      <c r="AU59" t="s">
        <v>24</v>
      </c>
      <c r="AV59">
        <v>0</v>
      </c>
      <c r="AW59">
        <v>2</v>
      </c>
      <c r="AX59">
        <v>55984309</v>
      </c>
      <c r="AY59">
        <v>1</v>
      </c>
      <c r="AZ59">
        <v>0</v>
      </c>
      <c r="BA59">
        <v>71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v>0</v>
      </c>
      <c r="CX59">
        <f>ROUND(Y59*Source!I42,9)</f>
        <v>0</v>
      </c>
      <c r="CY59">
        <f>AA59</f>
        <v>78558.289999999994</v>
      </c>
      <c r="CZ59">
        <f>AE59</f>
        <v>78558.289999999994</v>
      </c>
      <c r="DA59">
        <f>AI59</f>
        <v>1</v>
      </c>
      <c r="DB59">
        <f>ROUND(((ROUND(AT59*CZ59,2)*1)*0),6)</f>
        <v>0</v>
      </c>
      <c r="DC59">
        <f>ROUND(((ROUND(AT59*AG59,2)*1)*0),6)</f>
        <v>0</v>
      </c>
      <c r="DD59" t="s">
        <v>3</v>
      </c>
      <c r="DE59" t="s">
        <v>3</v>
      </c>
      <c r="DF59">
        <f t="shared" si="14"/>
        <v>0</v>
      </c>
      <c r="DG59">
        <f t="shared" si="13"/>
        <v>0</v>
      </c>
      <c r="DH59">
        <f t="shared" si="12"/>
        <v>0</v>
      </c>
      <c r="DI59">
        <f t="shared" si="1"/>
        <v>0</v>
      </c>
      <c r="DJ59">
        <f>DF59</f>
        <v>0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5">
      <c r="A60">
        <f>ROW(Source!A43)</f>
        <v>43</v>
      </c>
      <c r="B60">
        <v>55936048</v>
      </c>
      <c r="C60">
        <v>55984299</v>
      </c>
      <c r="D60">
        <v>55424304</v>
      </c>
      <c r="E60">
        <v>1081</v>
      </c>
      <c r="F60">
        <v>1</v>
      </c>
      <c r="G60">
        <v>1081</v>
      </c>
      <c r="H60">
        <v>1</v>
      </c>
      <c r="I60" t="s">
        <v>262</v>
      </c>
      <c r="J60" t="s">
        <v>3</v>
      </c>
      <c r="K60" t="s">
        <v>263</v>
      </c>
      <c r="L60">
        <v>1191</v>
      </c>
      <c r="N60">
        <v>1013</v>
      </c>
      <c r="O60" t="s">
        <v>264</v>
      </c>
      <c r="P60" t="s">
        <v>264</v>
      </c>
      <c r="Q60">
        <v>1</v>
      </c>
      <c r="W60">
        <v>0</v>
      </c>
      <c r="X60">
        <v>476480486</v>
      </c>
      <c r="Y60">
        <f>((AT60*1.2)*0.3)</f>
        <v>0.48599999999999999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1</v>
      </c>
      <c r="AK60">
        <v>1</v>
      </c>
      <c r="AL60">
        <v>1</v>
      </c>
      <c r="AM60">
        <v>5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1.35</v>
      </c>
      <c r="AU60" t="s">
        <v>25</v>
      </c>
      <c r="AV60">
        <v>1</v>
      </c>
      <c r="AW60">
        <v>2</v>
      </c>
      <c r="AX60">
        <v>55984305</v>
      </c>
      <c r="AY60">
        <v>1</v>
      </c>
      <c r="AZ60">
        <v>0</v>
      </c>
      <c r="BA60">
        <v>73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U60">
        <f>ROUND(AT60*Source!I43*AH60*AL60,2)</f>
        <v>0</v>
      </c>
      <c r="CV60">
        <f>ROUND(Y60*Source!I43,9)</f>
        <v>0.48599999999999999</v>
      </c>
      <c r="CW60">
        <v>0</v>
      </c>
      <c r="CX60">
        <f>ROUND(Y60*Source!I43,9)</f>
        <v>0.48599999999999999</v>
      </c>
      <c r="CY60">
        <f>AD60</f>
        <v>0</v>
      </c>
      <c r="CZ60">
        <f>AH60</f>
        <v>0</v>
      </c>
      <c r="DA60">
        <f>AL60</f>
        <v>1</v>
      </c>
      <c r="DB60">
        <f>ROUND(((ROUND(AT60*CZ60,2)*1.2)*0.3),6)</f>
        <v>0</v>
      </c>
      <c r="DC60">
        <f>ROUND(((ROUND(AT60*AG60,2)*1.2)*0.3),6)</f>
        <v>0</v>
      </c>
      <c r="DD60" t="s">
        <v>3</v>
      </c>
      <c r="DE60" t="s">
        <v>3</v>
      </c>
      <c r="DF60">
        <f t="shared" si="14"/>
        <v>0</v>
      </c>
      <c r="DG60">
        <f t="shared" si="13"/>
        <v>0</v>
      </c>
      <c r="DH60">
        <f t="shared" si="12"/>
        <v>0</v>
      </c>
      <c r="DI60">
        <f t="shared" si="1"/>
        <v>0</v>
      </c>
      <c r="DJ60">
        <f>DI60</f>
        <v>0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5">
      <c r="A61">
        <f>ROW(Source!A43)</f>
        <v>43</v>
      </c>
      <c r="B61">
        <v>55936048</v>
      </c>
      <c r="C61">
        <v>55984299</v>
      </c>
      <c r="D61">
        <v>55490209</v>
      </c>
      <c r="E61">
        <v>1</v>
      </c>
      <c r="F61">
        <v>1</v>
      </c>
      <c r="G61">
        <v>1081</v>
      </c>
      <c r="H61">
        <v>2</v>
      </c>
      <c r="I61" t="s">
        <v>265</v>
      </c>
      <c r="J61" t="s">
        <v>266</v>
      </c>
      <c r="K61" t="s">
        <v>267</v>
      </c>
      <c r="L61">
        <v>1368</v>
      </c>
      <c r="N61">
        <v>1011</v>
      </c>
      <c r="O61" t="s">
        <v>268</v>
      </c>
      <c r="P61" t="s">
        <v>268</v>
      </c>
      <c r="Q61">
        <v>1</v>
      </c>
      <c r="W61">
        <v>0</v>
      </c>
      <c r="X61">
        <v>874612079</v>
      </c>
      <c r="Y61">
        <f>((AT61*1.2)*0.3)</f>
        <v>3.5999999999999999E-3</v>
      </c>
      <c r="AA61">
        <v>0</v>
      </c>
      <c r="AB61">
        <v>1485.19</v>
      </c>
      <c r="AC61">
        <v>744.56</v>
      </c>
      <c r="AD61">
        <v>0</v>
      </c>
      <c r="AE61">
        <v>0</v>
      </c>
      <c r="AF61">
        <v>83.1</v>
      </c>
      <c r="AG61">
        <v>12.62</v>
      </c>
      <c r="AH61">
        <v>0</v>
      </c>
      <c r="AI61">
        <v>1</v>
      </c>
      <c r="AJ61">
        <v>17.07</v>
      </c>
      <c r="AK61">
        <v>56.35</v>
      </c>
      <c r="AL61">
        <v>1</v>
      </c>
      <c r="AM61">
        <v>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0.01</v>
      </c>
      <c r="AU61" t="s">
        <v>25</v>
      </c>
      <c r="AV61">
        <v>0</v>
      </c>
      <c r="AW61">
        <v>2</v>
      </c>
      <c r="AX61">
        <v>55984306</v>
      </c>
      <c r="AY61">
        <v>1</v>
      </c>
      <c r="AZ61">
        <v>0</v>
      </c>
      <c r="BA61">
        <v>74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V61">
        <v>0</v>
      </c>
      <c r="CW61">
        <f>ROUND(Y61*Source!I43*DO61,9)</f>
        <v>4.5432E-2</v>
      </c>
      <c r="CX61">
        <f>ROUND(Y61*Source!I43,9)</f>
        <v>3.5999999999999999E-3</v>
      </c>
      <c r="CY61">
        <f>AB61</f>
        <v>1485.19</v>
      </c>
      <c r="CZ61">
        <f>AF61</f>
        <v>83.1</v>
      </c>
      <c r="DA61">
        <f>AJ61</f>
        <v>17.07</v>
      </c>
      <c r="DB61">
        <f>ROUND(((ROUND(AT61*CZ61,2)*1.2)*0.3),6)</f>
        <v>0.29880000000000001</v>
      </c>
      <c r="DC61">
        <f>ROUND(((ROUND(AT61*AG61,2)*1.2)*0.3),6)</f>
        <v>4.6800000000000001E-2</v>
      </c>
      <c r="DD61" t="s">
        <v>3</v>
      </c>
      <c r="DE61" t="s">
        <v>3</v>
      </c>
      <c r="DF61">
        <f t="shared" si="14"/>
        <v>0</v>
      </c>
      <c r="DG61">
        <f>ROUND(ROUND(AF61*AJ61,2)*CX61,2)</f>
        <v>5.1100000000000003</v>
      </c>
      <c r="DH61">
        <f>ROUND(ROUND(AG61*AK61,2)*CX61,2)</f>
        <v>2.56</v>
      </c>
      <c r="DI61">
        <f t="shared" si="1"/>
        <v>0</v>
      </c>
      <c r="DJ61">
        <f>DG61</f>
        <v>5.1100000000000003</v>
      </c>
      <c r="DK61">
        <v>0</v>
      </c>
      <c r="DL61" t="s">
        <v>269</v>
      </c>
      <c r="DM61">
        <v>0</v>
      </c>
      <c r="DN61" t="s">
        <v>264</v>
      </c>
      <c r="DO61">
        <v>12.62</v>
      </c>
    </row>
    <row r="62" spans="1:119" x14ac:dyDescent="0.25">
      <c r="A62">
        <f>ROW(Source!A43)</f>
        <v>43</v>
      </c>
      <c r="B62">
        <v>55936048</v>
      </c>
      <c r="C62">
        <v>55984299</v>
      </c>
      <c r="D62">
        <v>55490296</v>
      </c>
      <c r="E62">
        <v>1</v>
      </c>
      <c r="F62">
        <v>1</v>
      </c>
      <c r="G62">
        <v>1081</v>
      </c>
      <c r="H62">
        <v>2</v>
      </c>
      <c r="I62" t="s">
        <v>270</v>
      </c>
      <c r="J62" t="s">
        <v>271</v>
      </c>
      <c r="K62" t="s">
        <v>272</v>
      </c>
      <c r="L62">
        <v>1368</v>
      </c>
      <c r="N62">
        <v>1011</v>
      </c>
      <c r="O62" t="s">
        <v>268</v>
      </c>
      <c r="P62" t="s">
        <v>268</v>
      </c>
      <c r="Q62">
        <v>1</v>
      </c>
      <c r="W62">
        <v>0</v>
      </c>
      <c r="X62">
        <v>-643591644</v>
      </c>
      <c r="Y62">
        <f>((AT62*1.2)*0.3)</f>
        <v>6.1200000000000004E-2</v>
      </c>
      <c r="AA62">
        <v>0</v>
      </c>
      <c r="AB62">
        <v>4.75</v>
      </c>
      <c r="AC62">
        <v>0</v>
      </c>
      <c r="AD62">
        <v>0</v>
      </c>
      <c r="AE62">
        <v>0</v>
      </c>
      <c r="AF62">
        <v>0.47</v>
      </c>
      <c r="AG62">
        <v>0</v>
      </c>
      <c r="AH62">
        <v>0</v>
      </c>
      <c r="AI62">
        <v>1</v>
      </c>
      <c r="AJ62">
        <v>9.66</v>
      </c>
      <c r="AK62">
        <v>1</v>
      </c>
      <c r="AL62">
        <v>1</v>
      </c>
      <c r="AM62">
        <v>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0.17</v>
      </c>
      <c r="AU62" t="s">
        <v>25</v>
      </c>
      <c r="AV62">
        <v>0</v>
      </c>
      <c r="AW62">
        <v>2</v>
      </c>
      <c r="AX62">
        <v>55984307</v>
      </c>
      <c r="AY62">
        <v>1</v>
      </c>
      <c r="AZ62">
        <v>0</v>
      </c>
      <c r="BA62">
        <v>75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f>ROUND(Y62*Source!I43*DO62,9)</f>
        <v>0</v>
      </c>
      <c r="CX62">
        <f>ROUND(Y62*Source!I43,9)</f>
        <v>6.1199999999999997E-2</v>
      </c>
      <c r="CY62">
        <f>AB62</f>
        <v>4.75</v>
      </c>
      <c r="CZ62">
        <f>AF62</f>
        <v>0.47</v>
      </c>
      <c r="DA62">
        <f>AJ62</f>
        <v>9.66</v>
      </c>
      <c r="DB62">
        <f>ROUND(((ROUND(AT62*CZ62,2)*1.2)*0.3),6)</f>
        <v>2.8799999999999999E-2</v>
      </c>
      <c r="DC62">
        <f>ROUND(((ROUND(AT62*AG62,2)*1.2)*0.3),6)</f>
        <v>0</v>
      </c>
      <c r="DD62" t="s">
        <v>3</v>
      </c>
      <c r="DE62" t="s">
        <v>3</v>
      </c>
      <c r="DF62">
        <f t="shared" si="14"/>
        <v>0</v>
      </c>
      <c r="DG62">
        <f>ROUND(ROUND(AF62*AJ62,2)*CX62,2)</f>
        <v>0.28000000000000003</v>
      </c>
      <c r="DH62">
        <f t="shared" ref="DH62:DH94" si="15">ROUND(ROUND(AG62,2)*CX62,2)</f>
        <v>0</v>
      </c>
      <c r="DI62">
        <f t="shared" si="1"/>
        <v>0</v>
      </c>
      <c r="DJ62">
        <f>DG62</f>
        <v>0.28000000000000003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5">
      <c r="A63">
        <f>ROW(Source!A43)</f>
        <v>43</v>
      </c>
      <c r="B63">
        <v>55936048</v>
      </c>
      <c r="C63">
        <v>55984299</v>
      </c>
      <c r="D63">
        <v>55460882</v>
      </c>
      <c r="E63">
        <v>1</v>
      </c>
      <c r="F63">
        <v>1</v>
      </c>
      <c r="G63">
        <v>1081</v>
      </c>
      <c r="H63">
        <v>3</v>
      </c>
      <c r="I63" t="s">
        <v>273</v>
      </c>
      <c r="J63" t="s">
        <v>274</v>
      </c>
      <c r="K63" t="s">
        <v>275</v>
      </c>
      <c r="L63">
        <v>1348</v>
      </c>
      <c r="N63">
        <v>1009</v>
      </c>
      <c r="O63" t="s">
        <v>223</v>
      </c>
      <c r="P63" t="s">
        <v>223</v>
      </c>
      <c r="Q63">
        <v>1000</v>
      </c>
      <c r="W63">
        <v>0</v>
      </c>
      <c r="X63">
        <v>-1448166212</v>
      </c>
      <c r="Y63">
        <f>((AT63*1)*0)</f>
        <v>0</v>
      </c>
      <c r="AA63">
        <v>109175.63</v>
      </c>
      <c r="AB63">
        <v>0</v>
      </c>
      <c r="AC63">
        <v>0</v>
      </c>
      <c r="AD63">
        <v>0</v>
      </c>
      <c r="AE63">
        <v>14327.51</v>
      </c>
      <c r="AF63">
        <v>0</v>
      </c>
      <c r="AG63">
        <v>0</v>
      </c>
      <c r="AH63">
        <v>0</v>
      </c>
      <c r="AI63">
        <v>7.62</v>
      </c>
      <c r="AJ63">
        <v>1</v>
      </c>
      <c r="AK63">
        <v>1</v>
      </c>
      <c r="AL63">
        <v>1</v>
      </c>
      <c r="AM63">
        <v>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3.0000000000000001E-5</v>
      </c>
      <c r="AU63" t="s">
        <v>24</v>
      </c>
      <c r="AV63">
        <v>0</v>
      </c>
      <c r="AW63">
        <v>2</v>
      </c>
      <c r="AX63">
        <v>55984308</v>
      </c>
      <c r="AY63">
        <v>1</v>
      </c>
      <c r="AZ63">
        <v>0</v>
      </c>
      <c r="BA63">
        <v>76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v>0</v>
      </c>
      <c r="CX63">
        <f>ROUND(Y63*Source!I43,9)</f>
        <v>0</v>
      </c>
      <c r="CY63">
        <f>AA63</f>
        <v>109175.63</v>
      </c>
      <c r="CZ63">
        <f>AE63</f>
        <v>14327.51</v>
      </c>
      <c r="DA63">
        <f>AI63</f>
        <v>7.62</v>
      </c>
      <c r="DB63">
        <f>ROUND(((ROUND(AT63*CZ63,2)*1)*0),6)</f>
        <v>0</v>
      </c>
      <c r="DC63">
        <f>ROUND(((ROUND(AT63*AG63,2)*1)*0),6)</f>
        <v>0</v>
      </c>
      <c r="DD63" t="s">
        <v>3</v>
      </c>
      <c r="DE63" t="s">
        <v>3</v>
      </c>
      <c r="DF63">
        <f>ROUND(ROUND(AE63*AI63,2)*CX63,2)</f>
        <v>0</v>
      </c>
      <c r="DG63">
        <f t="shared" ref="DG63:DG79" si="16">ROUND(ROUND(AF63,2)*CX63,2)</f>
        <v>0</v>
      </c>
      <c r="DH63">
        <f t="shared" si="15"/>
        <v>0</v>
      </c>
      <c r="DI63">
        <f t="shared" si="1"/>
        <v>0</v>
      </c>
      <c r="DJ63">
        <f>DF63</f>
        <v>0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5">
      <c r="A64">
        <f>ROW(Source!A43)</f>
        <v>43</v>
      </c>
      <c r="B64">
        <v>55936048</v>
      </c>
      <c r="C64">
        <v>55984299</v>
      </c>
      <c r="D64">
        <v>55459794</v>
      </c>
      <c r="E64">
        <v>1</v>
      </c>
      <c r="F64">
        <v>1</v>
      </c>
      <c r="G64">
        <v>1081</v>
      </c>
      <c r="H64">
        <v>3</v>
      </c>
      <c r="I64" t="s">
        <v>292</v>
      </c>
      <c r="J64" t="s">
        <v>293</v>
      </c>
      <c r="K64" t="s">
        <v>294</v>
      </c>
      <c r="L64">
        <v>1348</v>
      </c>
      <c r="N64">
        <v>1009</v>
      </c>
      <c r="O64" t="s">
        <v>223</v>
      </c>
      <c r="P64" t="s">
        <v>223</v>
      </c>
      <c r="Q64">
        <v>1000</v>
      </c>
      <c r="W64">
        <v>0</v>
      </c>
      <c r="X64">
        <v>-1737481261</v>
      </c>
      <c r="Y64">
        <f>((AT64*1)*0)</f>
        <v>0</v>
      </c>
      <c r="AA64">
        <v>2802174.2</v>
      </c>
      <c r="AB64">
        <v>0</v>
      </c>
      <c r="AC64">
        <v>0</v>
      </c>
      <c r="AD64">
        <v>0</v>
      </c>
      <c r="AE64">
        <v>78558.289999999994</v>
      </c>
      <c r="AF64">
        <v>0</v>
      </c>
      <c r="AG64">
        <v>0</v>
      </c>
      <c r="AH64">
        <v>0</v>
      </c>
      <c r="AI64">
        <v>35.67</v>
      </c>
      <c r="AJ64">
        <v>1</v>
      </c>
      <c r="AK64">
        <v>1</v>
      </c>
      <c r="AL64">
        <v>1</v>
      </c>
      <c r="AM64">
        <v>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1.0000000000000001E-5</v>
      </c>
      <c r="AU64" t="s">
        <v>24</v>
      </c>
      <c r="AV64">
        <v>0</v>
      </c>
      <c r="AW64">
        <v>2</v>
      </c>
      <c r="AX64">
        <v>55984309</v>
      </c>
      <c r="AY64">
        <v>1</v>
      </c>
      <c r="AZ64">
        <v>0</v>
      </c>
      <c r="BA64">
        <v>77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ROUND(Y64*Source!I43,9)</f>
        <v>0</v>
      </c>
      <c r="CY64">
        <f>AA64</f>
        <v>2802174.2</v>
      </c>
      <c r="CZ64">
        <f>AE64</f>
        <v>78558.289999999994</v>
      </c>
      <c r="DA64">
        <f>AI64</f>
        <v>35.67</v>
      </c>
      <c r="DB64">
        <f>ROUND(((ROUND(AT64*CZ64,2)*1)*0),6)</f>
        <v>0</v>
      </c>
      <c r="DC64">
        <f>ROUND(((ROUND(AT64*AG64,2)*1)*0),6)</f>
        <v>0</v>
      </c>
      <c r="DD64" t="s">
        <v>3</v>
      </c>
      <c r="DE64" t="s">
        <v>3</v>
      </c>
      <c r="DF64">
        <f>ROUND(ROUND(AE64*AI64,2)*CX64,2)</f>
        <v>0</v>
      </c>
      <c r="DG64">
        <f t="shared" si="16"/>
        <v>0</v>
      </c>
      <c r="DH64">
        <f t="shared" si="15"/>
        <v>0</v>
      </c>
      <c r="DI64">
        <f t="shared" si="1"/>
        <v>0</v>
      </c>
      <c r="DJ64">
        <f>DF64</f>
        <v>0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5">
      <c r="A65">
        <f>ROW(Source!A44)</f>
        <v>44</v>
      </c>
      <c r="B65">
        <v>55936046</v>
      </c>
      <c r="C65">
        <v>57037884</v>
      </c>
      <c r="D65">
        <v>55424304</v>
      </c>
      <c r="E65">
        <v>1081</v>
      </c>
      <c r="F65">
        <v>1</v>
      </c>
      <c r="G65">
        <v>1081</v>
      </c>
      <c r="H65">
        <v>1</v>
      </c>
      <c r="I65" t="s">
        <v>262</v>
      </c>
      <c r="J65" t="s">
        <v>3</v>
      </c>
      <c r="K65" t="s">
        <v>263</v>
      </c>
      <c r="L65">
        <v>1191</v>
      </c>
      <c r="N65">
        <v>1013</v>
      </c>
      <c r="O65" t="s">
        <v>264</v>
      </c>
      <c r="P65" t="s">
        <v>264</v>
      </c>
      <c r="Q65">
        <v>1</v>
      </c>
      <c r="W65">
        <v>0</v>
      </c>
      <c r="X65">
        <v>476480486</v>
      </c>
      <c r="Y65">
        <f>(AT65*1.2)</f>
        <v>2.6999999999999997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-2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2.25</v>
      </c>
      <c r="AU65" t="s">
        <v>63</v>
      </c>
      <c r="AV65">
        <v>1</v>
      </c>
      <c r="AW65">
        <v>2</v>
      </c>
      <c r="AX65">
        <v>57037885</v>
      </c>
      <c r="AY65">
        <v>1</v>
      </c>
      <c r="AZ65">
        <v>0</v>
      </c>
      <c r="BA65">
        <v>79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U65">
        <f>ROUND(AT65*Source!I44*AH65*AL65,2)</f>
        <v>0</v>
      </c>
      <c r="CV65">
        <f>ROUND(Y65*Source!I44,9)</f>
        <v>15.417</v>
      </c>
      <c r="CW65">
        <v>0</v>
      </c>
      <c r="CX65">
        <f>ROUND(Y65*Source!I44,9)</f>
        <v>15.417</v>
      </c>
      <c r="CY65">
        <f>AD65</f>
        <v>0</v>
      </c>
      <c r="CZ65">
        <f>AH65</f>
        <v>0</v>
      </c>
      <c r="DA65">
        <f>AL65</f>
        <v>1</v>
      </c>
      <c r="DB65">
        <f>ROUND((ROUND(AT65*CZ65,2)*1.2),6)</f>
        <v>0</v>
      </c>
      <c r="DC65">
        <f>ROUND((ROUND(AT65*AG65,2)*1.2),6)</f>
        <v>0</v>
      </c>
      <c r="DD65" t="s">
        <v>3</v>
      </c>
      <c r="DE65" t="s">
        <v>3</v>
      </c>
      <c r="DF65">
        <f>ROUND(ROUND(AE65,2)*CX65,2)</f>
        <v>0</v>
      </c>
      <c r="DG65">
        <f t="shared" si="16"/>
        <v>0</v>
      </c>
      <c r="DH65">
        <f t="shared" si="15"/>
        <v>0</v>
      </c>
      <c r="DI65">
        <f t="shared" ref="DI65:DI128" si="17">ROUND(ROUND(AH65,2)*CX65,2)</f>
        <v>0</v>
      </c>
      <c r="DJ65">
        <f>DI65</f>
        <v>0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5">
      <c r="A66">
        <f>ROW(Source!A44)</f>
        <v>44</v>
      </c>
      <c r="B66">
        <v>55936046</v>
      </c>
      <c r="C66">
        <v>57037884</v>
      </c>
      <c r="D66">
        <v>55424288</v>
      </c>
      <c r="E66">
        <v>1081</v>
      </c>
      <c r="F66">
        <v>1</v>
      </c>
      <c r="G66">
        <v>1081</v>
      </c>
      <c r="H66">
        <v>3</v>
      </c>
      <c r="I66" t="s">
        <v>295</v>
      </c>
      <c r="J66" t="s">
        <v>3</v>
      </c>
      <c r="K66" t="s">
        <v>296</v>
      </c>
      <c r="L66">
        <v>1348</v>
      </c>
      <c r="N66">
        <v>1009</v>
      </c>
      <c r="O66" t="s">
        <v>223</v>
      </c>
      <c r="P66" t="s">
        <v>223</v>
      </c>
      <c r="Q66">
        <v>1000</v>
      </c>
      <c r="W66">
        <v>0</v>
      </c>
      <c r="X66">
        <v>1489638031</v>
      </c>
      <c r="Y66">
        <f>(AT66*1)</f>
        <v>7.0000000000000001E-3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1</v>
      </c>
      <c r="AL66">
        <v>1</v>
      </c>
      <c r="AM66">
        <v>-2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7.0000000000000001E-3</v>
      </c>
      <c r="AU66" t="s">
        <v>62</v>
      </c>
      <c r="AV66">
        <v>0</v>
      </c>
      <c r="AW66">
        <v>2</v>
      </c>
      <c r="AX66">
        <v>57037886</v>
      </c>
      <c r="AY66">
        <v>1</v>
      </c>
      <c r="AZ66">
        <v>0</v>
      </c>
      <c r="BA66">
        <v>80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ROUND(Y66*Source!I44,9)</f>
        <v>3.9969999999999999E-2</v>
      </c>
      <c r="CY66">
        <f>AA66</f>
        <v>0</v>
      </c>
      <c r="CZ66">
        <f>AE66</f>
        <v>0</v>
      </c>
      <c r="DA66">
        <f>AI66</f>
        <v>1</v>
      </c>
      <c r="DB66">
        <f>ROUND((ROUND(AT66*CZ66,2)*1),6)</f>
        <v>0</v>
      </c>
      <c r="DC66">
        <f>ROUND((ROUND(AT66*AG66,2)*1),6)</f>
        <v>0</v>
      </c>
      <c r="DD66" t="s">
        <v>3</v>
      </c>
      <c r="DE66" t="s">
        <v>3</v>
      </c>
      <c r="DF66">
        <f>ROUND(ROUND(AE66,2)*CX66,2)</f>
        <v>0</v>
      </c>
      <c r="DG66">
        <f t="shared" si="16"/>
        <v>0</v>
      </c>
      <c r="DH66">
        <f t="shared" si="15"/>
        <v>0</v>
      </c>
      <c r="DI66">
        <f t="shared" si="17"/>
        <v>0</v>
      </c>
      <c r="DJ66">
        <f>DF66</f>
        <v>0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5">
      <c r="A67">
        <f>ROW(Source!A45)</f>
        <v>45</v>
      </c>
      <c r="B67">
        <v>55936048</v>
      </c>
      <c r="C67">
        <v>57037884</v>
      </c>
      <c r="D67">
        <v>55424304</v>
      </c>
      <c r="E67">
        <v>1081</v>
      </c>
      <c r="F67">
        <v>1</v>
      </c>
      <c r="G67">
        <v>1081</v>
      </c>
      <c r="H67">
        <v>1</v>
      </c>
      <c r="I67" t="s">
        <v>262</v>
      </c>
      <c r="J67" t="s">
        <v>3</v>
      </c>
      <c r="K67" t="s">
        <v>263</v>
      </c>
      <c r="L67">
        <v>1191</v>
      </c>
      <c r="N67">
        <v>1013</v>
      </c>
      <c r="O67" t="s">
        <v>264</v>
      </c>
      <c r="P67" t="s">
        <v>264</v>
      </c>
      <c r="Q67">
        <v>1</v>
      </c>
      <c r="W67">
        <v>0</v>
      </c>
      <c r="X67">
        <v>476480486</v>
      </c>
      <c r="Y67">
        <f>(AT67*1.2)</f>
        <v>2.6999999999999997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5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2.25</v>
      </c>
      <c r="AU67" t="s">
        <v>63</v>
      </c>
      <c r="AV67">
        <v>1</v>
      </c>
      <c r="AW67">
        <v>2</v>
      </c>
      <c r="AX67">
        <v>57037885</v>
      </c>
      <c r="AY67">
        <v>1</v>
      </c>
      <c r="AZ67">
        <v>0</v>
      </c>
      <c r="BA67">
        <v>81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U67">
        <f>ROUND(AT67*Source!I45*AH67*AL67,2)</f>
        <v>0</v>
      </c>
      <c r="CV67">
        <f>ROUND(Y67*Source!I45,9)</f>
        <v>15.417</v>
      </c>
      <c r="CW67">
        <v>0</v>
      </c>
      <c r="CX67">
        <f>ROUND(Y67*Source!I45,9)</f>
        <v>15.417</v>
      </c>
      <c r="CY67">
        <f>AD67</f>
        <v>0</v>
      </c>
      <c r="CZ67">
        <f>AH67</f>
        <v>0</v>
      </c>
      <c r="DA67">
        <f>AL67</f>
        <v>1</v>
      </c>
      <c r="DB67">
        <f>ROUND((ROUND(AT67*CZ67,2)*1.2),6)</f>
        <v>0</v>
      </c>
      <c r="DC67">
        <f>ROUND((ROUND(AT67*AG67,2)*1.2),6)</f>
        <v>0</v>
      </c>
      <c r="DD67" t="s">
        <v>3</v>
      </c>
      <c r="DE67" t="s">
        <v>3</v>
      </c>
      <c r="DF67">
        <f>ROUND(ROUND(AE67,2)*CX67,2)</f>
        <v>0</v>
      </c>
      <c r="DG67">
        <f t="shared" si="16"/>
        <v>0</v>
      </c>
      <c r="DH67">
        <f t="shared" si="15"/>
        <v>0</v>
      </c>
      <c r="DI67">
        <f t="shared" si="17"/>
        <v>0</v>
      </c>
      <c r="DJ67">
        <f>DI67</f>
        <v>0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5">
      <c r="A68">
        <f>ROW(Source!A45)</f>
        <v>45</v>
      </c>
      <c r="B68">
        <v>55936048</v>
      </c>
      <c r="C68">
        <v>57037884</v>
      </c>
      <c r="D68">
        <v>55424288</v>
      </c>
      <c r="E68">
        <v>1081</v>
      </c>
      <c r="F68">
        <v>1</v>
      </c>
      <c r="G68">
        <v>1081</v>
      </c>
      <c r="H68">
        <v>3</v>
      </c>
      <c r="I68" t="s">
        <v>295</v>
      </c>
      <c r="J68" t="s">
        <v>3</v>
      </c>
      <c r="K68" t="s">
        <v>296</v>
      </c>
      <c r="L68">
        <v>1348</v>
      </c>
      <c r="N68">
        <v>1009</v>
      </c>
      <c r="O68" t="s">
        <v>223</v>
      </c>
      <c r="P68" t="s">
        <v>223</v>
      </c>
      <c r="Q68">
        <v>1000</v>
      </c>
      <c r="W68">
        <v>0</v>
      </c>
      <c r="X68">
        <v>1489638031</v>
      </c>
      <c r="Y68">
        <f>(AT68*1)</f>
        <v>7.0000000000000001E-3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9.84</v>
      </c>
      <c r="AJ68">
        <v>1</v>
      </c>
      <c r="AK68">
        <v>1</v>
      </c>
      <c r="AL68">
        <v>1</v>
      </c>
      <c r="AM68">
        <v>5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7.0000000000000001E-3</v>
      </c>
      <c r="AU68" t="s">
        <v>62</v>
      </c>
      <c r="AV68">
        <v>0</v>
      </c>
      <c r="AW68">
        <v>2</v>
      </c>
      <c r="AX68">
        <v>57037886</v>
      </c>
      <c r="AY68">
        <v>1</v>
      </c>
      <c r="AZ68">
        <v>0</v>
      </c>
      <c r="BA68">
        <v>82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v>0</v>
      </c>
      <c r="CX68">
        <f>ROUND(Y68*Source!I45,9)</f>
        <v>3.9969999999999999E-2</v>
      </c>
      <c r="CY68">
        <f>AA68</f>
        <v>0</v>
      </c>
      <c r="CZ68">
        <f>AE68</f>
        <v>0</v>
      </c>
      <c r="DA68">
        <f>AI68</f>
        <v>9.84</v>
      </c>
      <c r="DB68">
        <f>ROUND((ROUND(AT68*CZ68,2)*1),6)</f>
        <v>0</v>
      </c>
      <c r="DC68">
        <f>ROUND((ROUND(AT68*AG68,2)*1),6)</f>
        <v>0</v>
      </c>
      <c r="DD68" t="s">
        <v>3</v>
      </c>
      <c r="DE68" t="s">
        <v>3</v>
      </c>
      <c r="DF68">
        <f>ROUND(ROUND(AE68*AI68,2)*CX68,2)</f>
        <v>0</v>
      </c>
      <c r="DG68">
        <f t="shared" si="16"/>
        <v>0</v>
      </c>
      <c r="DH68">
        <f t="shared" si="15"/>
        <v>0</v>
      </c>
      <c r="DI68">
        <f t="shared" si="17"/>
        <v>0</v>
      </c>
      <c r="DJ68">
        <f>DF68</f>
        <v>0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5">
      <c r="A69">
        <f>ROW(Source!A46)</f>
        <v>46</v>
      </c>
      <c r="B69">
        <v>55936046</v>
      </c>
      <c r="C69">
        <v>55984311</v>
      </c>
      <c r="D69">
        <v>55424304</v>
      </c>
      <c r="E69">
        <v>1081</v>
      </c>
      <c r="F69">
        <v>1</v>
      </c>
      <c r="G69">
        <v>1081</v>
      </c>
      <c r="H69">
        <v>1</v>
      </c>
      <c r="I69" t="s">
        <v>262</v>
      </c>
      <c r="J69" t="s">
        <v>3</v>
      </c>
      <c r="K69" t="s">
        <v>263</v>
      </c>
      <c r="L69">
        <v>1191</v>
      </c>
      <c r="N69">
        <v>1013</v>
      </c>
      <c r="O69" t="s">
        <v>264</v>
      </c>
      <c r="P69" t="s">
        <v>264</v>
      </c>
      <c r="Q69">
        <v>1</v>
      </c>
      <c r="W69">
        <v>0</v>
      </c>
      <c r="X69">
        <v>476480486</v>
      </c>
      <c r="Y69">
        <f>(AT69*1.2)</f>
        <v>11.568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-2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9.64</v>
      </c>
      <c r="AU69" t="s">
        <v>63</v>
      </c>
      <c r="AV69">
        <v>1</v>
      </c>
      <c r="AW69">
        <v>2</v>
      </c>
      <c r="AX69">
        <v>55984313</v>
      </c>
      <c r="AY69">
        <v>1</v>
      </c>
      <c r="AZ69">
        <v>0</v>
      </c>
      <c r="BA69">
        <v>83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U69">
        <f>ROUND(AT69*Source!I46*AH69*AL69,2)</f>
        <v>0</v>
      </c>
      <c r="CV69">
        <f>ROUND(Y69*Source!I46,9)</f>
        <v>108.04512</v>
      </c>
      <c r="CW69">
        <v>0</v>
      </c>
      <c r="CX69">
        <f>ROUND(Y69*Source!I46,9)</f>
        <v>108.04512</v>
      </c>
      <c r="CY69">
        <f>AD69</f>
        <v>0</v>
      </c>
      <c r="CZ69">
        <f>AH69</f>
        <v>0</v>
      </c>
      <c r="DA69">
        <f>AL69</f>
        <v>1</v>
      </c>
      <c r="DB69">
        <f>ROUND((ROUND(AT69*CZ69,2)*1.2),6)</f>
        <v>0</v>
      </c>
      <c r="DC69">
        <f>ROUND((ROUND(AT69*AG69,2)*1.2),6)</f>
        <v>0</v>
      </c>
      <c r="DD69" t="s">
        <v>3</v>
      </c>
      <c r="DE69" t="s">
        <v>3</v>
      </c>
      <c r="DF69">
        <f t="shared" ref="DF69:DF81" si="18">ROUND(ROUND(AE69,2)*CX69,2)</f>
        <v>0</v>
      </c>
      <c r="DG69">
        <f t="shared" si="16"/>
        <v>0</v>
      </c>
      <c r="DH69">
        <f t="shared" si="15"/>
        <v>0</v>
      </c>
      <c r="DI69">
        <f t="shared" si="17"/>
        <v>0</v>
      </c>
      <c r="DJ69">
        <f>DI69</f>
        <v>0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5">
      <c r="A70">
        <f>ROW(Source!A47)</f>
        <v>47</v>
      </c>
      <c r="B70">
        <v>55936048</v>
      </c>
      <c r="C70">
        <v>55984311</v>
      </c>
      <c r="D70">
        <v>55424304</v>
      </c>
      <c r="E70">
        <v>1081</v>
      </c>
      <c r="F70">
        <v>1</v>
      </c>
      <c r="G70">
        <v>1081</v>
      </c>
      <c r="H70">
        <v>1</v>
      </c>
      <c r="I70" t="s">
        <v>262</v>
      </c>
      <c r="J70" t="s">
        <v>3</v>
      </c>
      <c r="K70" t="s">
        <v>263</v>
      </c>
      <c r="L70">
        <v>1191</v>
      </c>
      <c r="N70">
        <v>1013</v>
      </c>
      <c r="O70" t="s">
        <v>264</v>
      </c>
      <c r="P70" t="s">
        <v>264</v>
      </c>
      <c r="Q70">
        <v>1</v>
      </c>
      <c r="W70">
        <v>0</v>
      </c>
      <c r="X70">
        <v>476480486</v>
      </c>
      <c r="Y70">
        <f>(AT70*1.2)</f>
        <v>11.568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5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9.64</v>
      </c>
      <c r="AU70" t="s">
        <v>63</v>
      </c>
      <c r="AV70">
        <v>1</v>
      </c>
      <c r="AW70">
        <v>2</v>
      </c>
      <c r="AX70">
        <v>55984313</v>
      </c>
      <c r="AY70">
        <v>1</v>
      </c>
      <c r="AZ70">
        <v>0</v>
      </c>
      <c r="BA70">
        <v>84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U70">
        <f>ROUND(AT70*Source!I47*AH70*AL70,2)</f>
        <v>0</v>
      </c>
      <c r="CV70">
        <f>ROUND(Y70*Source!I47,9)</f>
        <v>108.04512</v>
      </c>
      <c r="CW70">
        <v>0</v>
      </c>
      <c r="CX70">
        <f>ROUND(Y70*Source!I47,9)</f>
        <v>108.04512</v>
      </c>
      <c r="CY70">
        <f>AD70</f>
        <v>0</v>
      </c>
      <c r="CZ70">
        <f>AH70</f>
        <v>0</v>
      </c>
      <c r="DA70">
        <f>AL70</f>
        <v>1</v>
      </c>
      <c r="DB70">
        <f>ROUND((ROUND(AT70*CZ70,2)*1.2),6)</f>
        <v>0</v>
      </c>
      <c r="DC70">
        <f>ROUND((ROUND(AT70*AG70,2)*1.2),6)</f>
        <v>0</v>
      </c>
      <c r="DD70" t="s">
        <v>3</v>
      </c>
      <c r="DE70" t="s">
        <v>3</v>
      </c>
      <c r="DF70">
        <f t="shared" si="18"/>
        <v>0</v>
      </c>
      <c r="DG70">
        <f t="shared" si="16"/>
        <v>0</v>
      </c>
      <c r="DH70">
        <f t="shared" si="15"/>
        <v>0</v>
      </c>
      <c r="DI70">
        <f t="shared" si="17"/>
        <v>0</v>
      </c>
      <c r="DJ70">
        <f>DI70</f>
        <v>0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5">
      <c r="A71">
        <f>ROW(Source!A48)</f>
        <v>48</v>
      </c>
      <c r="B71">
        <v>55936046</v>
      </c>
      <c r="C71">
        <v>57037887</v>
      </c>
      <c r="D71">
        <v>55424304</v>
      </c>
      <c r="E71">
        <v>1081</v>
      </c>
      <c r="F71">
        <v>1</v>
      </c>
      <c r="G71">
        <v>1081</v>
      </c>
      <c r="H71">
        <v>1</v>
      </c>
      <c r="I71" t="s">
        <v>262</v>
      </c>
      <c r="J71" t="s">
        <v>3</v>
      </c>
      <c r="K71" t="s">
        <v>263</v>
      </c>
      <c r="L71">
        <v>1191</v>
      </c>
      <c r="N71">
        <v>1013</v>
      </c>
      <c r="O71" t="s">
        <v>264</v>
      </c>
      <c r="P71" t="s">
        <v>264</v>
      </c>
      <c r="Q71">
        <v>1</v>
      </c>
      <c r="W71">
        <v>0</v>
      </c>
      <c r="X71">
        <v>476480486</v>
      </c>
      <c r="Y71">
        <f>((AT71*1.2)*0.3)</f>
        <v>5.976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-2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16.600000000000001</v>
      </c>
      <c r="AU71" t="s">
        <v>25</v>
      </c>
      <c r="AV71">
        <v>1</v>
      </c>
      <c r="AW71">
        <v>2</v>
      </c>
      <c r="AX71">
        <v>57037888</v>
      </c>
      <c r="AY71">
        <v>1</v>
      </c>
      <c r="AZ71">
        <v>0</v>
      </c>
      <c r="BA71">
        <v>85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U71">
        <f>ROUND(AT71*Source!I48*AH71*AL71,2)</f>
        <v>0</v>
      </c>
      <c r="CV71">
        <f>ROUND(Y71*Source!I48,9)</f>
        <v>21.692879999999999</v>
      </c>
      <c r="CW71">
        <v>0</v>
      </c>
      <c r="CX71">
        <f>ROUND(Y71*Source!I48,9)</f>
        <v>21.692879999999999</v>
      </c>
      <c r="CY71">
        <f>AD71</f>
        <v>0</v>
      </c>
      <c r="CZ71">
        <f>AH71</f>
        <v>0</v>
      </c>
      <c r="DA71">
        <f>AL71</f>
        <v>1</v>
      </c>
      <c r="DB71">
        <f>ROUND(((ROUND(AT71*CZ71,2)*1.2)*0.3),6)</f>
        <v>0</v>
      </c>
      <c r="DC71">
        <f>ROUND(((ROUND(AT71*AG71,2)*1.2)*0.3),6)</f>
        <v>0</v>
      </c>
      <c r="DD71" t="s">
        <v>3</v>
      </c>
      <c r="DE71" t="s">
        <v>3</v>
      </c>
      <c r="DF71">
        <f t="shared" si="18"/>
        <v>0</v>
      </c>
      <c r="DG71">
        <f t="shared" si="16"/>
        <v>0</v>
      </c>
      <c r="DH71">
        <f t="shared" si="15"/>
        <v>0</v>
      </c>
      <c r="DI71">
        <f t="shared" si="17"/>
        <v>0</v>
      </c>
      <c r="DJ71">
        <f>DI71</f>
        <v>0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5">
      <c r="A72">
        <f>ROW(Source!A48)</f>
        <v>48</v>
      </c>
      <c r="B72">
        <v>55936046</v>
      </c>
      <c r="C72">
        <v>57037887</v>
      </c>
      <c r="D72">
        <v>55490263</v>
      </c>
      <c r="E72">
        <v>1</v>
      </c>
      <c r="F72">
        <v>1</v>
      </c>
      <c r="G72">
        <v>1081</v>
      </c>
      <c r="H72">
        <v>2</v>
      </c>
      <c r="I72" t="s">
        <v>297</v>
      </c>
      <c r="J72" t="s">
        <v>298</v>
      </c>
      <c r="K72" t="s">
        <v>299</v>
      </c>
      <c r="L72">
        <v>1368</v>
      </c>
      <c r="N72">
        <v>1011</v>
      </c>
      <c r="O72" t="s">
        <v>268</v>
      </c>
      <c r="P72" t="s">
        <v>268</v>
      </c>
      <c r="Q72">
        <v>1</v>
      </c>
      <c r="W72">
        <v>0</v>
      </c>
      <c r="X72">
        <v>-1895752648</v>
      </c>
      <c r="Y72">
        <f>((AT72*1.2)*0.3)</f>
        <v>0.41399999999999998</v>
      </c>
      <c r="AA72">
        <v>0</v>
      </c>
      <c r="AB72">
        <v>0.81</v>
      </c>
      <c r="AC72">
        <v>0</v>
      </c>
      <c r="AD72">
        <v>0</v>
      </c>
      <c r="AE72">
        <v>0</v>
      </c>
      <c r="AF72">
        <v>0.77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1</v>
      </c>
      <c r="AM72">
        <v>-2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1.1499999999999999</v>
      </c>
      <c r="AU72" t="s">
        <v>25</v>
      </c>
      <c r="AV72">
        <v>0</v>
      </c>
      <c r="AW72">
        <v>2</v>
      </c>
      <c r="AX72">
        <v>57037889</v>
      </c>
      <c r="AY72">
        <v>1</v>
      </c>
      <c r="AZ72">
        <v>0</v>
      </c>
      <c r="BA72">
        <v>86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f>ROUND(Y72*Source!I48*DO72,9)</f>
        <v>0</v>
      </c>
      <c r="CX72">
        <f>ROUND(Y72*Source!I48,9)</f>
        <v>1.50282</v>
      </c>
      <c r="CY72">
        <f>AB72</f>
        <v>0.81</v>
      </c>
      <c r="CZ72">
        <f>AF72</f>
        <v>0.77</v>
      </c>
      <c r="DA72">
        <f>AJ72</f>
        <v>1</v>
      </c>
      <c r="DB72">
        <f>ROUND(((ROUND(AT72*CZ72,2)*1.2)*0.3),6)</f>
        <v>0.32040000000000002</v>
      </c>
      <c r="DC72">
        <f>ROUND(((ROUND(AT72*AG72,2)*1.2)*0.3),6)</f>
        <v>0</v>
      </c>
      <c r="DD72" t="s">
        <v>3</v>
      </c>
      <c r="DE72" t="s">
        <v>3</v>
      </c>
      <c r="DF72">
        <f t="shared" si="18"/>
        <v>0</v>
      </c>
      <c r="DG72">
        <f t="shared" si="16"/>
        <v>1.1599999999999999</v>
      </c>
      <c r="DH72">
        <f t="shared" si="15"/>
        <v>0</v>
      </c>
      <c r="DI72">
        <f t="shared" si="17"/>
        <v>0</v>
      </c>
      <c r="DJ72">
        <f>DG72</f>
        <v>1.1599999999999999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5">
      <c r="A73">
        <f>ROW(Source!A48)</f>
        <v>48</v>
      </c>
      <c r="B73">
        <v>55936046</v>
      </c>
      <c r="C73">
        <v>57037887</v>
      </c>
      <c r="D73">
        <v>55490296</v>
      </c>
      <c r="E73">
        <v>1</v>
      </c>
      <c r="F73">
        <v>1</v>
      </c>
      <c r="G73">
        <v>1081</v>
      </c>
      <c r="H73">
        <v>2</v>
      </c>
      <c r="I73" t="s">
        <v>270</v>
      </c>
      <c r="J73" t="s">
        <v>271</v>
      </c>
      <c r="K73" t="s">
        <v>272</v>
      </c>
      <c r="L73">
        <v>1368</v>
      </c>
      <c r="N73">
        <v>1011</v>
      </c>
      <c r="O73" t="s">
        <v>268</v>
      </c>
      <c r="P73" t="s">
        <v>268</v>
      </c>
      <c r="Q73">
        <v>1</v>
      </c>
      <c r="W73">
        <v>0</v>
      </c>
      <c r="X73">
        <v>-643591644</v>
      </c>
      <c r="Y73">
        <f>((AT73*1.2)*0.3)</f>
        <v>0.64800000000000002</v>
      </c>
      <c r="AA73">
        <v>0</v>
      </c>
      <c r="AB73">
        <v>0.49</v>
      </c>
      <c r="AC73">
        <v>0</v>
      </c>
      <c r="AD73">
        <v>0</v>
      </c>
      <c r="AE73">
        <v>0</v>
      </c>
      <c r="AF73">
        <v>0.47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-2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1.8</v>
      </c>
      <c r="AU73" t="s">
        <v>25</v>
      </c>
      <c r="AV73">
        <v>0</v>
      </c>
      <c r="AW73">
        <v>2</v>
      </c>
      <c r="AX73">
        <v>57037890</v>
      </c>
      <c r="AY73">
        <v>1</v>
      </c>
      <c r="AZ73">
        <v>0</v>
      </c>
      <c r="BA73">
        <v>87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V73">
        <v>0</v>
      </c>
      <c r="CW73">
        <f>ROUND(Y73*Source!I48*DO73,9)</f>
        <v>0</v>
      </c>
      <c r="CX73">
        <f>ROUND(Y73*Source!I48,9)</f>
        <v>2.3522400000000001</v>
      </c>
      <c r="CY73">
        <f>AB73</f>
        <v>0.49</v>
      </c>
      <c r="CZ73">
        <f>AF73</f>
        <v>0.47</v>
      </c>
      <c r="DA73">
        <f>AJ73</f>
        <v>1</v>
      </c>
      <c r="DB73">
        <f>ROUND(((ROUND(AT73*CZ73,2)*1.2)*0.3),6)</f>
        <v>0.30599999999999999</v>
      </c>
      <c r="DC73">
        <f>ROUND(((ROUND(AT73*AG73,2)*1.2)*0.3),6)</f>
        <v>0</v>
      </c>
      <c r="DD73" t="s">
        <v>3</v>
      </c>
      <c r="DE73" t="s">
        <v>3</v>
      </c>
      <c r="DF73">
        <f t="shared" si="18"/>
        <v>0</v>
      </c>
      <c r="DG73">
        <f t="shared" si="16"/>
        <v>1.1100000000000001</v>
      </c>
      <c r="DH73">
        <f t="shared" si="15"/>
        <v>0</v>
      </c>
      <c r="DI73">
        <f t="shared" si="17"/>
        <v>0</v>
      </c>
      <c r="DJ73">
        <f>DG73</f>
        <v>1.1100000000000001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5">
      <c r="A74">
        <f>ROW(Source!A48)</f>
        <v>48</v>
      </c>
      <c r="B74">
        <v>55936046</v>
      </c>
      <c r="C74">
        <v>57037887</v>
      </c>
      <c r="D74">
        <v>55460960</v>
      </c>
      <c r="E74">
        <v>1</v>
      </c>
      <c r="F74">
        <v>1</v>
      </c>
      <c r="G74">
        <v>1081</v>
      </c>
      <c r="H74">
        <v>3</v>
      </c>
      <c r="I74" t="s">
        <v>300</v>
      </c>
      <c r="J74" t="s">
        <v>301</v>
      </c>
      <c r="K74" t="s">
        <v>302</v>
      </c>
      <c r="L74">
        <v>1348</v>
      </c>
      <c r="N74">
        <v>1009</v>
      </c>
      <c r="O74" t="s">
        <v>223</v>
      </c>
      <c r="P74" t="s">
        <v>223</v>
      </c>
      <c r="Q74">
        <v>1000</v>
      </c>
      <c r="W74">
        <v>0</v>
      </c>
      <c r="X74">
        <v>-260579272</v>
      </c>
      <c r="Y74">
        <f>((AT74*1)*0)</f>
        <v>0</v>
      </c>
      <c r="AA74">
        <v>58463.58</v>
      </c>
      <c r="AB74">
        <v>0</v>
      </c>
      <c r="AC74">
        <v>0</v>
      </c>
      <c r="AD74">
        <v>0</v>
      </c>
      <c r="AE74">
        <v>58463.58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-2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1E-3</v>
      </c>
      <c r="AU74" t="s">
        <v>24</v>
      </c>
      <c r="AV74">
        <v>0</v>
      </c>
      <c r="AW74">
        <v>2</v>
      </c>
      <c r="AX74">
        <v>57037891</v>
      </c>
      <c r="AY74">
        <v>1</v>
      </c>
      <c r="AZ74">
        <v>0</v>
      </c>
      <c r="BA74">
        <v>88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v>0</v>
      </c>
      <c r="CX74">
        <f>ROUND(Y74*Source!I48,9)</f>
        <v>0</v>
      </c>
      <c r="CY74">
        <f>AA74</f>
        <v>58463.58</v>
      </c>
      <c r="CZ74">
        <f>AE74</f>
        <v>58463.58</v>
      </c>
      <c r="DA74">
        <f>AI74</f>
        <v>1</v>
      </c>
      <c r="DB74">
        <f>ROUND(((ROUND(AT74*CZ74,2)*1)*0),6)</f>
        <v>0</v>
      </c>
      <c r="DC74">
        <f>ROUND(((ROUND(AT74*AG74,2)*1)*0),6)</f>
        <v>0</v>
      </c>
      <c r="DD74" t="s">
        <v>3</v>
      </c>
      <c r="DE74" t="s">
        <v>3</v>
      </c>
      <c r="DF74">
        <f t="shared" si="18"/>
        <v>0</v>
      </c>
      <c r="DG74">
        <f t="shared" si="16"/>
        <v>0</v>
      </c>
      <c r="DH74">
        <f t="shared" si="15"/>
        <v>0</v>
      </c>
      <c r="DI74">
        <f t="shared" si="17"/>
        <v>0</v>
      </c>
      <c r="DJ74">
        <f>DF74</f>
        <v>0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5">
      <c r="A75">
        <f>ROW(Source!A48)</f>
        <v>48</v>
      </c>
      <c r="B75">
        <v>55936046</v>
      </c>
      <c r="C75">
        <v>57037887</v>
      </c>
      <c r="D75">
        <v>55461791</v>
      </c>
      <c r="E75">
        <v>1</v>
      </c>
      <c r="F75">
        <v>1</v>
      </c>
      <c r="G75">
        <v>1081</v>
      </c>
      <c r="H75">
        <v>3</v>
      </c>
      <c r="I75" t="s">
        <v>303</v>
      </c>
      <c r="J75" t="s">
        <v>304</v>
      </c>
      <c r="K75" t="s">
        <v>305</v>
      </c>
      <c r="L75">
        <v>1355</v>
      </c>
      <c r="N75">
        <v>1010</v>
      </c>
      <c r="O75" t="s">
        <v>205</v>
      </c>
      <c r="P75" t="s">
        <v>205</v>
      </c>
      <c r="Q75">
        <v>100</v>
      </c>
      <c r="W75">
        <v>0</v>
      </c>
      <c r="X75">
        <v>-429645653</v>
      </c>
      <c r="Y75">
        <f>((AT75*1)*0)</f>
        <v>0</v>
      </c>
      <c r="AA75">
        <v>10.6</v>
      </c>
      <c r="AB75">
        <v>0</v>
      </c>
      <c r="AC75">
        <v>0</v>
      </c>
      <c r="AD75">
        <v>0</v>
      </c>
      <c r="AE75">
        <v>10.6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1</v>
      </c>
      <c r="AL75">
        <v>1</v>
      </c>
      <c r="AM75">
        <v>-2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2.1419999999999999</v>
      </c>
      <c r="AU75" t="s">
        <v>24</v>
      </c>
      <c r="AV75">
        <v>0</v>
      </c>
      <c r="AW75">
        <v>2</v>
      </c>
      <c r="AX75">
        <v>57037892</v>
      </c>
      <c r="AY75">
        <v>1</v>
      </c>
      <c r="AZ75">
        <v>0</v>
      </c>
      <c r="BA75">
        <v>89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v>0</v>
      </c>
      <c r="CX75">
        <f>ROUND(Y75*Source!I48,9)</f>
        <v>0</v>
      </c>
      <c r="CY75">
        <f>AA75</f>
        <v>10.6</v>
      </c>
      <c r="CZ75">
        <f>AE75</f>
        <v>10.6</v>
      </c>
      <c r="DA75">
        <f>AI75</f>
        <v>1</v>
      </c>
      <c r="DB75">
        <f>ROUND(((ROUND(AT75*CZ75,2)*1)*0),6)</f>
        <v>0</v>
      </c>
      <c r="DC75">
        <f>ROUND(((ROUND(AT75*AG75,2)*1)*0),6)</f>
        <v>0</v>
      </c>
      <c r="DD75" t="s">
        <v>3</v>
      </c>
      <c r="DE75" t="s">
        <v>3</v>
      </c>
      <c r="DF75">
        <f t="shared" si="18"/>
        <v>0</v>
      </c>
      <c r="DG75">
        <f t="shared" si="16"/>
        <v>0</v>
      </c>
      <c r="DH75">
        <f t="shared" si="15"/>
        <v>0</v>
      </c>
      <c r="DI75">
        <f t="shared" si="17"/>
        <v>0</v>
      </c>
      <c r="DJ75">
        <f>DF75</f>
        <v>0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5">
      <c r="A76">
        <f>ROW(Source!A48)</f>
        <v>48</v>
      </c>
      <c r="B76">
        <v>55936046</v>
      </c>
      <c r="C76">
        <v>57037887</v>
      </c>
      <c r="D76">
        <v>55482203</v>
      </c>
      <c r="E76">
        <v>1</v>
      </c>
      <c r="F76">
        <v>1</v>
      </c>
      <c r="G76">
        <v>1081</v>
      </c>
      <c r="H76">
        <v>3</v>
      </c>
      <c r="I76" t="s">
        <v>306</v>
      </c>
      <c r="J76" t="s">
        <v>307</v>
      </c>
      <c r="K76" t="s">
        <v>308</v>
      </c>
      <c r="L76">
        <v>1356</v>
      </c>
      <c r="N76">
        <v>1010</v>
      </c>
      <c r="O76" t="s">
        <v>309</v>
      </c>
      <c r="P76" t="s">
        <v>309</v>
      </c>
      <c r="Q76">
        <v>1000</v>
      </c>
      <c r="W76">
        <v>0</v>
      </c>
      <c r="X76">
        <v>474149623</v>
      </c>
      <c r="Y76">
        <f>((AT76*1)*0)</f>
        <v>0</v>
      </c>
      <c r="AA76">
        <v>226.66</v>
      </c>
      <c r="AB76">
        <v>0</v>
      </c>
      <c r="AC76">
        <v>0</v>
      </c>
      <c r="AD76">
        <v>0</v>
      </c>
      <c r="AE76">
        <v>226.66</v>
      </c>
      <c r="AF76">
        <v>0</v>
      </c>
      <c r="AG76">
        <v>0</v>
      </c>
      <c r="AH76">
        <v>0</v>
      </c>
      <c r="AI76">
        <v>1</v>
      </c>
      <c r="AJ76">
        <v>1</v>
      </c>
      <c r="AK76">
        <v>1</v>
      </c>
      <c r="AL76">
        <v>1</v>
      </c>
      <c r="AM76">
        <v>-2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1.7000000000000001E-2</v>
      </c>
      <c r="AU76" t="s">
        <v>24</v>
      </c>
      <c r="AV76">
        <v>0</v>
      </c>
      <c r="AW76">
        <v>2</v>
      </c>
      <c r="AX76">
        <v>57037893</v>
      </c>
      <c r="AY76">
        <v>1</v>
      </c>
      <c r="AZ76">
        <v>0</v>
      </c>
      <c r="BA76">
        <v>90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v>0</v>
      </c>
      <c r="CX76">
        <f>ROUND(Y76*Source!I48,9)</f>
        <v>0</v>
      </c>
      <c r="CY76">
        <f>AA76</f>
        <v>226.66</v>
      </c>
      <c r="CZ76">
        <f>AE76</f>
        <v>226.66</v>
      </c>
      <c r="DA76">
        <f>AI76</f>
        <v>1</v>
      </c>
      <c r="DB76">
        <f>ROUND(((ROUND(AT76*CZ76,2)*1)*0),6)</f>
        <v>0</v>
      </c>
      <c r="DC76">
        <f>ROUND(((ROUND(AT76*AG76,2)*1)*0),6)</f>
        <v>0</v>
      </c>
      <c r="DD76" t="s">
        <v>3</v>
      </c>
      <c r="DE76" t="s">
        <v>3</v>
      </c>
      <c r="DF76">
        <f t="shared" si="18"/>
        <v>0</v>
      </c>
      <c r="DG76">
        <f t="shared" si="16"/>
        <v>0</v>
      </c>
      <c r="DH76">
        <f t="shared" si="15"/>
        <v>0</v>
      </c>
      <c r="DI76">
        <f t="shared" si="17"/>
        <v>0</v>
      </c>
      <c r="DJ76">
        <f>DF76</f>
        <v>0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5">
      <c r="A77">
        <f>ROW(Source!A48)</f>
        <v>48</v>
      </c>
      <c r="B77">
        <v>55936046</v>
      </c>
      <c r="C77">
        <v>57037887</v>
      </c>
      <c r="D77">
        <v>55481977</v>
      </c>
      <c r="E77">
        <v>1</v>
      </c>
      <c r="F77">
        <v>1</v>
      </c>
      <c r="G77">
        <v>1081</v>
      </c>
      <c r="H77">
        <v>3</v>
      </c>
      <c r="I77" t="s">
        <v>310</v>
      </c>
      <c r="J77" t="s">
        <v>311</v>
      </c>
      <c r="K77" t="s">
        <v>312</v>
      </c>
      <c r="L77">
        <v>1355</v>
      </c>
      <c r="N77">
        <v>1010</v>
      </c>
      <c r="O77" t="s">
        <v>205</v>
      </c>
      <c r="P77" t="s">
        <v>205</v>
      </c>
      <c r="Q77">
        <v>100</v>
      </c>
      <c r="W77">
        <v>0</v>
      </c>
      <c r="X77">
        <v>1356827684</v>
      </c>
      <c r="Y77">
        <f>((AT77*1)*0)</f>
        <v>0</v>
      </c>
      <c r="AA77">
        <v>26.71</v>
      </c>
      <c r="AB77">
        <v>0</v>
      </c>
      <c r="AC77">
        <v>0</v>
      </c>
      <c r="AD77">
        <v>0</v>
      </c>
      <c r="AE77">
        <v>26.71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1</v>
      </c>
      <c r="AL77">
        <v>1</v>
      </c>
      <c r="AM77">
        <v>-2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0.17</v>
      </c>
      <c r="AU77" t="s">
        <v>24</v>
      </c>
      <c r="AV77">
        <v>0</v>
      </c>
      <c r="AW77">
        <v>2</v>
      </c>
      <c r="AX77">
        <v>57037894</v>
      </c>
      <c r="AY77">
        <v>1</v>
      </c>
      <c r="AZ77">
        <v>0</v>
      </c>
      <c r="BA77">
        <v>91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V77">
        <v>0</v>
      </c>
      <c r="CW77">
        <v>0</v>
      </c>
      <c r="CX77">
        <f>ROUND(Y77*Source!I48,9)</f>
        <v>0</v>
      </c>
      <c r="CY77">
        <f>AA77</f>
        <v>26.71</v>
      </c>
      <c r="CZ77">
        <f>AE77</f>
        <v>26.71</v>
      </c>
      <c r="DA77">
        <f>AI77</f>
        <v>1</v>
      </c>
      <c r="DB77">
        <f>ROUND(((ROUND(AT77*CZ77,2)*1)*0),6)</f>
        <v>0</v>
      </c>
      <c r="DC77">
        <f>ROUND(((ROUND(AT77*AG77,2)*1)*0),6)</f>
        <v>0</v>
      </c>
      <c r="DD77" t="s">
        <v>3</v>
      </c>
      <c r="DE77" t="s">
        <v>3</v>
      </c>
      <c r="DF77">
        <f t="shared" si="18"/>
        <v>0</v>
      </c>
      <c r="DG77">
        <f t="shared" si="16"/>
        <v>0</v>
      </c>
      <c r="DH77">
        <f t="shared" si="15"/>
        <v>0</v>
      </c>
      <c r="DI77">
        <f t="shared" si="17"/>
        <v>0</v>
      </c>
      <c r="DJ77">
        <f>DF77</f>
        <v>0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5">
      <c r="A78">
        <f>ROW(Source!A48)</f>
        <v>48</v>
      </c>
      <c r="B78">
        <v>55936046</v>
      </c>
      <c r="C78">
        <v>57037887</v>
      </c>
      <c r="D78">
        <v>55469271</v>
      </c>
      <c r="E78">
        <v>1</v>
      </c>
      <c r="F78">
        <v>1</v>
      </c>
      <c r="G78">
        <v>1081</v>
      </c>
      <c r="H78">
        <v>3</v>
      </c>
      <c r="I78" t="s">
        <v>313</v>
      </c>
      <c r="J78" t="s">
        <v>314</v>
      </c>
      <c r="K78" t="s">
        <v>315</v>
      </c>
      <c r="L78">
        <v>1354</v>
      </c>
      <c r="N78">
        <v>1010</v>
      </c>
      <c r="O78" t="s">
        <v>159</v>
      </c>
      <c r="P78" t="s">
        <v>159</v>
      </c>
      <c r="Q78">
        <v>1</v>
      </c>
      <c r="W78">
        <v>0</v>
      </c>
      <c r="X78">
        <v>1339646332</v>
      </c>
      <c r="Y78">
        <f>((AT78*1)*0)</f>
        <v>0</v>
      </c>
      <c r="AA78">
        <v>14.56</v>
      </c>
      <c r="AB78">
        <v>0</v>
      </c>
      <c r="AC78">
        <v>0</v>
      </c>
      <c r="AD78">
        <v>0</v>
      </c>
      <c r="AE78">
        <v>14.56</v>
      </c>
      <c r="AF78">
        <v>0</v>
      </c>
      <c r="AG78">
        <v>0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-2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0.161</v>
      </c>
      <c r="AU78" t="s">
        <v>24</v>
      </c>
      <c r="AV78">
        <v>0</v>
      </c>
      <c r="AW78">
        <v>2</v>
      </c>
      <c r="AX78">
        <v>57037895</v>
      </c>
      <c r="AY78">
        <v>1</v>
      </c>
      <c r="AZ78">
        <v>0</v>
      </c>
      <c r="BA78">
        <v>92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ROUND(Y78*Source!I48,9)</f>
        <v>0</v>
      </c>
      <c r="CY78">
        <f>AA78</f>
        <v>14.56</v>
      </c>
      <c r="CZ78">
        <f>AE78</f>
        <v>14.56</v>
      </c>
      <c r="DA78">
        <f>AI78</f>
        <v>1</v>
      </c>
      <c r="DB78">
        <f>ROUND(((ROUND(AT78*CZ78,2)*1)*0),6)</f>
        <v>0</v>
      </c>
      <c r="DC78">
        <f>ROUND(((ROUND(AT78*AG78,2)*1)*0),6)</f>
        <v>0</v>
      </c>
      <c r="DD78" t="s">
        <v>3</v>
      </c>
      <c r="DE78" t="s">
        <v>3</v>
      </c>
      <c r="DF78">
        <f t="shared" si="18"/>
        <v>0</v>
      </c>
      <c r="DG78">
        <f t="shared" si="16"/>
        <v>0</v>
      </c>
      <c r="DH78">
        <f t="shared" si="15"/>
        <v>0</v>
      </c>
      <c r="DI78">
        <f t="shared" si="17"/>
        <v>0</v>
      </c>
      <c r="DJ78">
        <f>DF78</f>
        <v>0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5">
      <c r="A79">
        <f>ROW(Source!A49)</f>
        <v>49</v>
      </c>
      <c r="B79">
        <v>55936048</v>
      </c>
      <c r="C79">
        <v>57037887</v>
      </c>
      <c r="D79">
        <v>55424304</v>
      </c>
      <c r="E79">
        <v>1081</v>
      </c>
      <c r="F79">
        <v>1</v>
      </c>
      <c r="G79">
        <v>1081</v>
      </c>
      <c r="H79">
        <v>1</v>
      </c>
      <c r="I79" t="s">
        <v>262</v>
      </c>
      <c r="J79" t="s">
        <v>3</v>
      </c>
      <c r="K79" t="s">
        <v>263</v>
      </c>
      <c r="L79">
        <v>1191</v>
      </c>
      <c r="N79">
        <v>1013</v>
      </c>
      <c r="O79" t="s">
        <v>264</v>
      </c>
      <c r="P79" t="s">
        <v>264</v>
      </c>
      <c r="Q79">
        <v>1</v>
      </c>
      <c r="W79">
        <v>0</v>
      </c>
      <c r="X79">
        <v>476480486</v>
      </c>
      <c r="Y79">
        <f>((AT79*1.2)*0.3)</f>
        <v>5.976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5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16.600000000000001</v>
      </c>
      <c r="AU79" t="s">
        <v>25</v>
      </c>
      <c r="AV79">
        <v>1</v>
      </c>
      <c r="AW79">
        <v>2</v>
      </c>
      <c r="AX79">
        <v>57037888</v>
      </c>
      <c r="AY79">
        <v>1</v>
      </c>
      <c r="AZ79">
        <v>0</v>
      </c>
      <c r="BA79">
        <v>96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U79">
        <f>ROUND(AT79*Source!I49*AH79*AL79,2)</f>
        <v>0</v>
      </c>
      <c r="CV79">
        <f>ROUND(Y79*Source!I49,9)</f>
        <v>21.692879999999999</v>
      </c>
      <c r="CW79">
        <v>0</v>
      </c>
      <c r="CX79">
        <f>ROUND(Y79*Source!I49,9)</f>
        <v>21.692879999999999</v>
      </c>
      <c r="CY79">
        <f>AD79</f>
        <v>0</v>
      </c>
      <c r="CZ79">
        <f>AH79</f>
        <v>0</v>
      </c>
      <c r="DA79">
        <f>AL79</f>
        <v>1</v>
      </c>
      <c r="DB79">
        <f>ROUND(((ROUND(AT79*CZ79,2)*1.2)*0.3),6)</f>
        <v>0</v>
      </c>
      <c r="DC79">
        <f>ROUND(((ROUND(AT79*AG79,2)*1.2)*0.3),6)</f>
        <v>0</v>
      </c>
      <c r="DD79" t="s">
        <v>3</v>
      </c>
      <c r="DE79" t="s">
        <v>3</v>
      </c>
      <c r="DF79">
        <f t="shared" si="18"/>
        <v>0</v>
      </c>
      <c r="DG79">
        <f t="shared" si="16"/>
        <v>0</v>
      </c>
      <c r="DH79">
        <f t="shared" si="15"/>
        <v>0</v>
      </c>
      <c r="DI79">
        <f t="shared" si="17"/>
        <v>0</v>
      </c>
      <c r="DJ79">
        <f>DI79</f>
        <v>0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5">
      <c r="A80">
        <f>ROW(Source!A49)</f>
        <v>49</v>
      </c>
      <c r="B80">
        <v>55936048</v>
      </c>
      <c r="C80">
        <v>57037887</v>
      </c>
      <c r="D80">
        <v>55490263</v>
      </c>
      <c r="E80">
        <v>1</v>
      </c>
      <c r="F80">
        <v>1</v>
      </c>
      <c r="G80">
        <v>1081</v>
      </c>
      <c r="H80">
        <v>2</v>
      </c>
      <c r="I80" t="s">
        <v>297</v>
      </c>
      <c r="J80" t="s">
        <v>298</v>
      </c>
      <c r="K80" t="s">
        <v>299</v>
      </c>
      <c r="L80">
        <v>1368</v>
      </c>
      <c r="N80">
        <v>1011</v>
      </c>
      <c r="O80" t="s">
        <v>268</v>
      </c>
      <c r="P80" t="s">
        <v>268</v>
      </c>
      <c r="Q80">
        <v>1</v>
      </c>
      <c r="W80">
        <v>0</v>
      </c>
      <c r="X80">
        <v>-1895752648</v>
      </c>
      <c r="Y80">
        <f>((AT80*1.2)*0.3)</f>
        <v>0.41399999999999998</v>
      </c>
      <c r="AA80">
        <v>0</v>
      </c>
      <c r="AB80">
        <v>7.71</v>
      </c>
      <c r="AC80">
        <v>0</v>
      </c>
      <c r="AD80">
        <v>0</v>
      </c>
      <c r="AE80">
        <v>0</v>
      </c>
      <c r="AF80">
        <v>0.77</v>
      </c>
      <c r="AG80">
        <v>0</v>
      </c>
      <c r="AH80">
        <v>0</v>
      </c>
      <c r="AI80">
        <v>1</v>
      </c>
      <c r="AJ80">
        <v>9.56</v>
      </c>
      <c r="AK80">
        <v>1</v>
      </c>
      <c r="AL80">
        <v>1</v>
      </c>
      <c r="AM80">
        <v>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1.1499999999999999</v>
      </c>
      <c r="AU80" t="s">
        <v>25</v>
      </c>
      <c r="AV80">
        <v>0</v>
      </c>
      <c r="AW80">
        <v>2</v>
      </c>
      <c r="AX80">
        <v>57037889</v>
      </c>
      <c r="AY80">
        <v>1</v>
      </c>
      <c r="AZ80">
        <v>0</v>
      </c>
      <c r="BA80">
        <v>97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f>ROUND(Y80*Source!I49*DO80,9)</f>
        <v>0</v>
      </c>
      <c r="CX80">
        <f>ROUND(Y80*Source!I49,9)</f>
        <v>1.50282</v>
      </c>
      <c r="CY80">
        <f>AB80</f>
        <v>7.71</v>
      </c>
      <c r="CZ80">
        <f>AF80</f>
        <v>0.77</v>
      </c>
      <c r="DA80">
        <f>AJ80</f>
        <v>9.56</v>
      </c>
      <c r="DB80">
        <f>ROUND(((ROUND(AT80*CZ80,2)*1.2)*0.3),6)</f>
        <v>0.32040000000000002</v>
      </c>
      <c r="DC80">
        <f>ROUND(((ROUND(AT80*AG80,2)*1.2)*0.3),6)</f>
        <v>0</v>
      </c>
      <c r="DD80" t="s">
        <v>3</v>
      </c>
      <c r="DE80" t="s">
        <v>3</v>
      </c>
      <c r="DF80">
        <f t="shared" si="18"/>
        <v>0</v>
      </c>
      <c r="DG80">
        <f>ROUND(ROUND(AF80*AJ80,2)*CX80,2)</f>
        <v>11.06</v>
      </c>
      <c r="DH80">
        <f t="shared" si="15"/>
        <v>0</v>
      </c>
      <c r="DI80">
        <f t="shared" si="17"/>
        <v>0</v>
      </c>
      <c r="DJ80">
        <f>DG80</f>
        <v>11.06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5">
      <c r="A81">
        <f>ROW(Source!A49)</f>
        <v>49</v>
      </c>
      <c r="B81">
        <v>55936048</v>
      </c>
      <c r="C81">
        <v>57037887</v>
      </c>
      <c r="D81">
        <v>55490296</v>
      </c>
      <c r="E81">
        <v>1</v>
      </c>
      <c r="F81">
        <v>1</v>
      </c>
      <c r="G81">
        <v>1081</v>
      </c>
      <c r="H81">
        <v>2</v>
      </c>
      <c r="I81" t="s">
        <v>270</v>
      </c>
      <c r="J81" t="s">
        <v>271</v>
      </c>
      <c r="K81" t="s">
        <v>272</v>
      </c>
      <c r="L81">
        <v>1368</v>
      </c>
      <c r="N81">
        <v>1011</v>
      </c>
      <c r="O81" t="s">
        <v>268</v>
      </c>
      <c r="P81" t="s">
        <v>268</v>
      </c>
      <c r="Q81">
        <v>1</v>
      </c>
      <c r="W81">
        <v>0</v>
      </c>
      <c r="X81">
        <v>-643591644</v>
      </c>
      <c r="Y81">
        <f>((AT81*1.2)*0.3)</f>
        <v>0.64800000000000002</v>
      </c>
      <c r="AA81">
        <v>0</v>
      </c>
      <c r="AB81">
        <v>4.75</v>
      </c>
      <c r="AC81">
        <v>0</v>
      </c>
      <c r="AD81">
        <v>0</v>
      </c>
      <c r="AE81">
        <v>0</v>
      </c>
      <c r="AF81">
        <v>0.47</v>
      </c>
      <c r="AG81">
        <v>0</v>
      </c>
      <c r="AH81">
        <v>0</v>
      </c>
      <c r="AI81">
        <v>1</v>
      </c>
      <c r="AJ81">
        <v>9.66</v>
      </c>
      <c r="AK81">
        <v>1</v>
      </c>
      <c r="AL81">
        <v>1</v>
      </c>
      <c r="AM81">
        <v>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1.8</v>
      </c>
      <c r="AU81" t="s">
        <v>25</v>
      </c>
      <c r="AV81">
        <v>0</v>
      </c>
      <c r="AW81">
        <v>2</v>
      </c>
      <c r="AX81">
        <v>57037890</v>
      </c>
      <c r="AY81">
        <v>1</v>
      </c>
      <c r="AZ81">
        <v>0</v>
      </c>
      <c r="BA81">
        <v>98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f>ROUND(Y81*Source!I49*DO81,9)</f>
        <v>0</v>
      </c>
      <c r="CX81">
        <f>ROUND(Y81*Source!I49,9)</f>
        <v>2.3522400000000001</v>
      </c>
      <c r="CY81">
        <f>AB81</f>
        <v>4.75</v>
      </c>
      <c r="CZ81">
        <f>AF81</f>
        <v>0.47</v>
      </c>
      <c r="DA81">
        <f>AJ81</f>
        <v>9.66</v>
      </c>
      <c r="DB81">
        <f>ROUND(((ROUND(AT81*CZ81,2)*1.2)*0.3),6)</f>
        <v>0.30599999999999999</v>
      </c>
      <c r="DC81">
        <f>ROUND(((ROUND(AT81*AG81,2)*1.2)*0.3),6)</f>
        <v>0</v>
      </c>
      <c r="DD81" t="s">
        <v>3</v>
      </c>
      <c r="DE81" t="s">
        <v>3</v>
      </c>
      <c r="DF81">
        <f t="shared" si="18"/>
        <v>0</v>
      </c>
      <c r="DG81">
        <f>ROUND(ROUND(AF81*AJ81,2)*CX81,2)</f>
        <v>10.68</v>
      </c>
      <c r="DH81">
        <f t="shared" si="15"/>
        <v>0</v>
      </c>
      <c r="DI81">
        <f t="shared" si="17"/>
        <v>0</v>
      </c>
      <c r="DJ81">
        <f>DG81</f>
        <v>10.68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5">
      <c r="A82">
        <f>ROW(Source!A49)</f>
        <v>49</v>
      </c>
      <c r="B82">
        <v>55936048</v>
      </c>
      <c r="C82">
        <v>57037887</v>
      </c>
      <c r="D82">
        <v>55460960</v>
      </c>
      <c r="E82">
        <v>1</v>
      </c>
      <c r="F82">
        <v>1</v>
      </c>
      <c r="G82">
        <v>1081</v>
      </c>
      <c r="H82">
        <v>3</v>
      </c>
      <c r="I82" t="s">
        <v>300</v>
      </c>
      <c r="J82" t="s">
        <v>301</v>
      </c>
      <c r="K82" t="s">
        <v>302</v>
      </c>
      <c r="L82">
        <v>1348</v>
      </c>
      <c r="N82">
        <v>1009</v>
      </c>
      <c r="O82" t="s">
        <v>223</v>
      </c>
      <c r="P82" t="s">
        <v>223</v>
      </c>
      <c r="Q82">
        <v>1000</v>
      </c>
      <c r="W82">
        <v>0</v>
      </c>
      <c r="X82">
        <v>-260579272</v>
      </c>
      <c r="Y82">
        <f>((AT82*1)*0)</f>
        <v>0</v>
      </c>
      <c r="AA82">
        <v>136220.14000000001</v>
      </c>
      <c r="AB82">
        <v>0</v>
      </c>
      <c r="AC82">
        <v>0</v>
      </c>
      <c r="AD82">
        <v>0</v>
      </c>
      <c r="AE82">
        <v>58463.58</v>
      </c>
      <c r="AF82">
        <v>0</v>
      </c>
      <c r="AG82">
        <v>0</v>
      </c>
      <c r="AH82">
        <v>0</v>
      </c>
      <c r="AI82">
        <v>2.33</v>
      </c>
      <c r="AJ82">
        <v>1</v>
      </c>
      <c r="AK82">
        <v>1</v>
      </c>
      <c r="AL82">
        <v>1</v>
      </c>
      <c r="AM82">
        <v>2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1E-3</v>
      </c>
      <c r="AU82" t="s">
        <v>24</v>
      </c>
      <c r="AV82">
        <v>0</v>
      </c>
      <c r="AW82">
        <v>2</v>
      </c>
      <c r="AX82">
        <v>57037891</v>
      </c>
      <c r="AY82">
        <v>1</v>
      </c>
      <c r="AZ82">
        <v>0</v>
      </c>
      <c r="BA82">
        <v>99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v>0</v>
      </c>
      <c r="CX82">
        <f>ROUND(Y82*Source!I49,9)</f>
        <v>0</v>
      </c>
      <c r="CY82">
        <f>AA82</f>
        <v>136220.14000000001</v>
      </c>
      <c r="CZ82">
        <f>AE82</f>
        <v>58463.58</v>
      </c>
      <c r="DA82">
        <f>AI82</f>
        <v>2.33</v>
      </c>
      <c r="DB82">
        <f>ROUND(((ROUND(AT82*CZ82,2)*1)*0),6)</f>
        <v>0</v>
      </c>
      <c r="DC82">
        <f>ROUND(((ROUND(AT82*AG82,2)*1)*0),6)</f>
        <v>0</v>
      </c>
      <c r="DD82" t="s">
        <v>3</v>
      </c>
      <c r="DE82" t="s">
        <v>3</v>
      </c>
      <c r="DF82">
        <f>ROUND(ROUND(AE82*AI82,2)*CX82,2)</f>
        <v>0</v>
      </c>
      <c r="DG82">
        <f t="shared" ref="DG82:DG94" si="19">ROUND(ROUND(AF82,2)*CX82,2)</f>
        <v>0</v>
      </c>
      <c r="DH82">
        <f t="shared" si="15"/>
        <v>0</v>
      </c>
      <c r="DI82">
        <f t="shared" si="17"/>
        <v>0</v>
      </c>
      <c r="DJ82">
        <f>DF82</f>
        <v>0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5">
      <c r="A83">
        <f>ROW(Source!A49)</f>
        <v>49</v>
      </c>
      <c r="B83">
        <v>55936048</v>
      </c>
      <c r="C83">
        <v>57037887</v>
      </c>
      <c r="D83">
        <v>55461791</v>
      </c>
      <c r="E83">
        <v>1</v>
      </c>
      <c r="F83">
        <v>1</v>
      </c>
      <c r="G83">
        <v>1081</v>
      </c>
      <c r="H83">
        <v>3</v>
      </c>
      <c r="I83" t="s">
        <v>303</v>
      </c>
      <c r="J83" t="s">
        <v>304</v>
      </c>
      <c r="K83" t="s">
        <v>305</v>
      </c>
      <c r="L83">
        <v>1355</v>
      </c>
      <c r="N83">
        <v>1010</v>
      </c>
      <c r="O83" t="s">
        <v>205</v>
      </c>
      <c r="P83" t="s">
        <v>205</v>
      </c>
      <c r="Q83">
        <v>100</v>
      </c>
      <c r="W83">
        <v>0</v>
      </c>
      <c r="X83">
        <v>-429645653</v>
      </c>
      <c r="Y83">
        <f>((AT83*1)*0)</f>
        <v>0</v>
      </c>
      <c r="AA83">
        <v>16.43</v>
      </c>
      <c r="AB83">
        <v>0</v>
      </c>
      <c r="AC83">
        <v>0</v>
      </c>
      <c r="AD83">
        <v>0</v>
      </c>
      <c r="AE83">
        <v>10.6</v>
      </c>
      <c r="AF83">
        <v>0</v>
      </c>
      <c r="AG83">
        <v>0</v>
      </c>
      <c r="AH83">
        <v>0</v>
      </c>
      <c r="AI83">
        <v>1.55</v>
      </c>
      <c r="AJ83">
        <v>1</v>
      </c>
      <c r="AK83">
        <v>1</v>
      </c>
      <c r="AL83">
        <v>1</v>
      </c>
      <c r="AM83">
        <v>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2.1419999999999999</v>
      </c>
      <c r="AU83" t="s">
        <v>24</v>
      </c>
      <c r="AV83">
        <v>0</v>
      </c>
      <c r="AW83">
        <v>2</v>
      </c>
      <c r="AX83">
        <v>57037892</v>
      </c>
      <c r="AY83">
        <v>1</v>
      </c>
      <c r="AZ83">
        <v>0</v>
      </c>
      <c r="BA83">
        <v>100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V83">
        <v>0</v>
      </c>
      <c r="CW83">
        <v>0</v>
      </c>
      <c r="CX83">
        <f>ROUND(Y83*Source!I49,9)</f>
        <v>0</v>
      </c>
      <c r="CY83">
        <f>AA83</f>
        <v>16.43</v>
      </c>
      <c r="CZ83">
        <f>AE83</f>
        <v>10.6</v>
      </c>
      <c r="DA83">
        <f>AI83</f>
        <v>1.55</v>
      </c>
      <c r="DB83">
        <f>ROUND(((ROUND(AT83*CZ83,2)*1)*0),6)</f>
        <v>0</v>
      </c>
      <c r="DC83">
        <f>ROUND(((ROUND(AT83*AG83,2)*1)*0),6)</f>
        <v>0</v>
      </c>
      <c r="DD83" t="s">
        <v>3</v>
      </c>
      <c r="DE83" t="s">
        <v>3</v>
      </c>
      <c r="DF83">
        <f>ROUND(ROUND(AE83*AI83,2)*CX83,2)</f>
        <v>0</v>
      </c>
      <c r="DG83">
        <f t="shared" si="19"/>
        <v>0</v>
      </c>
      <c r="DH83">
        <f t="shared" si="15"/>
        <v>0</v>
      </c>
      <c r="DI83">
        <f t="shared" si="17"/>
        <v>0</v>
      </c>
      <c r="DJ83">
        <f>DF83</f>
        <v>0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5">
      <c r="A84">
        <f>ROW(Source!A49)</f>
        <v>49</v>
      </c>
      <c r="B84">
        <v>55936048</v>
      </c>
      <c r="C84">
        <v>57037887</v>
      </c>
      <c r="D84">
        <v>55482203</v>
      </c>
      <c r="E84">
        <v>1</v>
      </c>
      <c r="F84">
        <v>1</v>
      </c>
      <c r="G84">
        <v>1081</v>
      </c>
      <c r="H84">
        <v>3</v>
      </c>
      <c r="I84" t="s">
        <v>306</v>
      </c>
      <c r="J84" t="s">
        <v>307</v>
      </c>
      <c r="K84" t="s">
        <v>308</v>
      </c>
      <c r="L84">
        <v>1356</v>
      </c>
      <c r="N84">
        <v>1010</v>
      </c>
      <c r="O84" t="s">
        <v>309</v>
      </c>
      <c r="P84" t="s">
        <v>309</v>
      </c>
      <c r="Q84">
        <v>1000</v>
      </c>
      <c r="W84">
        <v>0</v>
      </c>
      <c r="X84">
        <v>474149623</v>
      </c>
      <c r="Y84">
        <f>((AT84*1)*0)</f>
        <v>0</v>
      </c>
      <c r="AA84">
        <v>1527.69</v>
      </c>
      <c r="AB84">
        <v>0</v>
      </c>
      <c r="AC84">
        <v>0</v>
      </c>
      <c r="AD84">
        <v>0</v>
      </c>
      <c r="AE84">
        <v>226.66</v>
      </c>
      <c r="AF84">
        <v>0</v>
      </c>
      <c r="AG84">
        <v>0</v>
      </c>
      <c r="AH84">
        <v>0</v>
      </c>
      <c r="AI84">
        <v>6.74</v>
      </c>
      <c r="AJ84">
        <v>1</v>
      </c>
      <c r="AK84">
        <v>1</v>
      </c>
      <c r="AL84">
        <v>1</v>
      </c>
      <c r="AM84">
        <v>2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1.7000000000000001E-2</v>
      </c>
      <c r="AU84" t="s">
        <v>24</v>
      </c>
      <c r="AV84">
        <v>0</v>
      </c>
      <c r="AW84">
        <v>2</v>
      </c>
      <c r="AX84">
        <v>57037893</v>
      </c>
      <c r="AY84">
        <v>1</v>
      </c>
      <c r="AZ84">
        <v>0</v>
      </c>
      <c r="BA84">
        <v>101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v>0</v>
      </c>
      <c r="CX84">
        <f>ROUND(Y84*Source!I49,9)</f>
        <v>0</v>
      </c>
      <c r="CY84">
        <f>AA84</f>
        <v>1527.69</v>
      </c>
      <c r="CZ84">
        <f>AE84</f>
        <v>226.66</v>
      </c>
      <c r="DA84">
        <f>AI84</f>
        <v>6.74</v>
      </c>
      <c r="DB84">
        <f>ROUND(((ROUND(AT84*CZ84,2)*1)*0),6)</f>
        <v>0</v>
      </c>
      <c r="DC84">
        <f>ROUND(((ROUND(AT84*AG84,2)*1)*0),6)</f>
        <v>0</v>
      </c>
      <c r="DD84" t="s">
        <v>3</v>
      </c>
      <c r="DE84" t="s">
        <v>3</v>
      </c>
      <c r="DF84">
        <f>ROUND(ROUND(AE84*AI84,2)*CX84,2)</f>
        <v>0</v>
      </c>
      <c r="DG84">
        <f t="shared" si="19"/>
        <v>0</v>
      </c>
      <c r="DH84">
        <f t="shared" si="15"/>
        <v>0</v>
      </c>
      <c r="DI84">
        <f t="shared" si="17"/>
        <v>0</v>
      </c>
      <c r="DJ84">
        <f>DF84</f>
        <v>0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5">
      <c r="A85">
        <f>ROW(Source!A49)</f>
        <v>49</v>
      </c>
      <c r="B85">
        <v>55936048</v>
      </c>
      <c r="C85">
        <v>57037887</v>
      </c>
      <c r="D85">
        <v>55481977</v>
      </c>
      <c r="E85">
        <v>1</v>
      </c>
      <c r="F85">
        <v>1</v>
      </c>
      <c r="G85">
        <v>1081</v>
      </c>
      <c r="H85">
        <v>3</v>
      </c>
      <c r="I85" t="s">
        <v>310</v>
      </c>
      <c r="J85" t="s">
        <v>311</v>
      </c>
      <c r="K85" t="s">
        <v>312</v>
      </c>
      <c r="L85">
        <v>1355</v>
      </c>
      <c r="N85">
        <v>1010</v>
      </c>
      <c r="O85" t="s">
        <v>205</v>
      </c>
      <c r="P85" t="s">
        <v>205</v>
      </c>
      <c r="Q85">
        <v>100</v>
      </c>
      <c r="W85">
        <v>0</v>
      </c>
      <c r="X85">
        <v>1356827684</v>
      </c>
      <c r="Y85">
        <f>((AT85*1)*0)</f>
        <v>0</v>
      </c>
      <c r="AA85">
        <v>105.5</v>
      </c>
      <c r="AB85">
        <v>0</v>
      </c>
      <c r="AC85">
        <v>0</v>
      </c>
      <c r="AD85">
        <v>0</v>
      </c>
      <c r="AE85">
        <v>26.71</v>
      </c>
      <c r="AF85">
        <v>0</v>
      </c>
      <c r="AG85">
        <v>0</v>
      </c>
      <c r="AH85">
        <v>0</v>
      </c>
      <c r="AI85">
        <v>3.95</v>
      </c>
      <c r="AJ85">
        <v>1</v>
      </c>
      <c r="AK85">
        <v>1</v>
      </c>
      <c r="AL85">
        <v>1</v>
      </c>
      <c r="AM85">
        <v>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0.17</v>
      </c>
      <c r="AU85" t="s">
        <v>24</v>
      </c>
      <c r="AV85">
        <v>0</v>
      </c>
      <c r="AW85">
        <v>2</v>
      </c>
      <c r="AX85">
        <v>57037894</v>
      </c>
      <c r="AY85">
        <v>1</v>
      </c>
      <c r="AZ85">
        <v>0</v>
      </c>
      <c r="BA85">
        <v>102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v>0</v>
      </c>
      <c r="CX85">
        <f>ROUND(Y85*Source!I49,9)</f>
        <v>0</v>
      </c>
      <c r="CY85">
        <f>AA85</f>
        <v>105.5</v>
      </c>
      <c r="CZ85">
        <f>AE85</f>
        <v>26.71</v>
      </c>
      <c r="DA85">
        <f>AI85</f>
        <v>3.95</v>
      </c>
      <c r="DB85">
        <f>ROUND(((ROUND(AT85*CZ85,2)*1)*0),6)</f>
        <v>0</v>
      </c>
      <c r="DC85">
        <f>ROUND(((ROUND(AT85*AG85,2)*1)*0),6)</f>
        <v>0</v>
      </c>
      <c r="DD85" t="s">
        <v>3</v>
      </c>
      <c r="DE85" t="s">
        <v>3</v>
      </c>
      <c r="DF85">
        <f>ROUND(ROUND(AE85*AI85,2)*CX85,2)</f>
        <v>0</v>
      </c>
      <c r="DG85">
        <f t="shared" si="19"/>
        <v>0</v>
      </c>
      <c r="DH85">
        <f t="shared" si="15"/>
        <v>0</v>
      </c>
      <c r="DI85">
        <f t="shared" si="17"/>
        <v>0</v>
      </c>
      <c r="DJ85">
        <f>DF85</f>
        <v>0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5">
      <c r="A86">
        <f>ROW(Source!A49)</f>
        <v>49</v>
      </c>
      <c r="B86">
        <v>55936048</v>
      </c>
      <c r="C86">
        <v>57037887</v>
      </c>
      <c r="D86">
        <v>55469271</v>
      </c>
      <c r="E86">
        <v>1</v>
      </c>
      <c r="F86">
        <v>1</v>
      </c>
      <c r="G86">
        <v>1081</v>
      </c>
      <c r="H86">
        <v>3</v>
      </c>
      <c r="I86" t="s">
        <v>313</v>
      </c>
      <c r="J86" t="s">
        <v>314</v>
      </c>
      <c r="K86" t="s">
        <v>315</v>
      </c>
      <c r="L86">
        <v>1354</v>
      </c>
      <c r="N86">
        <v>1010</v>
      </c>
      <c r="O86" t="s">
        <v>159</v>
      </c>
      <c r="P86" t="s">
        <v>159</v>
      </c>
      <c r="Q86">
        <v>1</v>
      </c>
      <c r="W86">
        <v>0</v>
      </c>
      <c r="X86">
        <v>1339646332</v>
      </c>
      <c r="Y86">
        <f>((AT86*1)*0)</f>
        <v>0</v>
      </c>
      <c r="AA86">
        <v>71.78</v>
      </c>
      <c r="AB86">
        <v>0</v>
      </c>
      <c r="AC86">
        <v>0</v>
      </c>
      <c r="AD86">
        <v>0</v>
      </c>
      <c r="AE86">
        <v>14.56</v>
      </c>
      <c r="AF86">
        <v>0</v>
      </c>
      <c r="AG86">
        <v>0</v>
      </c>
      <c r="AH86">
        <v>0</v>
      </c>
      <c r="AI86">
        <v>4.93</v>
      </c>
      <c r="AJ86">
        <v>1</v>
      </c>
      <c r="AK86">
        <v>1</v>
      </c>
      <c r="AL86">
        <v>1</v>
      </c>
      <c r="AM86">
        <v>2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0.161</v>
      </c>
      <c r="AU86" t="s">
        <v>24</v>
      </c>
      <c r="AV86">
        <v>0</v>
      </c>
      <c r="AW86">
        <v>2</v>
      </c>
      <c r="AX86">
        <v>57037895</v>
      </c>
      <c r="AY86">
        <v>1</v>
      </c>
      <c r="AZ86">
        <v>0</v>
      </c>
      <c r="BA86">
        <v>103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v>0</v>
      </c>
      <c r="CX86">
        <f>ROUND(Y86*Source!I49,9)</f>
        <v>0</v>
      </c>
      <c r="CY86">
        <f>AA86</f>
        <v>71.78</v>
      </c>
      <c r="CZ86">
        <f>AE86</f>
        <v>14.56</v>
      </c>
      <c r="DA86">
        <f>AI86</f>
        <v>4.93</v>
      </c>
      <c r="DB86">
        <f>ROUND(((ROUND(AT86*CZ86,2)*1)*0),6)</f>
        <v>0</v>
      </c>
      <c r="DC86">
        <f>ROUND(((ROUND(AT86*AG86,2)*1)*0),6)</f>
        <v>0</v>
      </c>
      <c r="DD86" t="s">
        <v>3</v>
      </c>
      <c r="DE86" t="s">
        <v>3</v>
      </c>
      <c r="DF86">
        <f>ROUND(ROUND(AE86*AI86,2)*CX86,2)</f>
        <v>0</v>
      </c>
      <c r="DG86">
        <f t="shared" si="19"/>
        <v>0</v>
      </c>
      <c r="DH86">
        <f t="shared" si="15"/>
        <v>0</v>
      </c>
      <c r="DI86">
        <f t="shared" si="17"/>
        <v>0</v>
      </c>
      <c r="DJ86">
        <f>DF86</f>
        <v>0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5">
      <c r="A87">
        <f>ROW(Source!A50)</f>
        <v>50</v>
      </c>
      <c r="B87">
        <v>55936046</v>
      </c>
      <c r="C87">
        <v>55984314</v>
      </c>
      <c r="D87">
        <v>55424304</v>
      </c>
      <c r="E87">
        <v>1081</v>
      </c>
      <c r="F87">
        <v>1</v>
      </c>
      <c r="G87">
        <v>1081</v>
      </c>
      <c r="H87">
        <v>1</v>
      </c>
      <c r="I87" t="s">
        <v>262</v>
      </c>
      <c r="J87" t="s">
        <v>3</v>
      </c>
      <c r="K87" t="s">
        <v>263</v>
      </c>
      <c r="L87">
        <v>1191</v>
      </c>
      <c r="N87">
        <v>1013</v>
      </c>
      <c r="O87" t="s">
        <v>264</v>
      </c>
      <c r="P87" t="s">
        <v>264</v>
      </c>
      <c r="Q87">
        <v>1</v>
      </c>
      <c r="W87">
        <v>0</v>
      </c>
      <c r="X87">
        <v>476480486</v>
      </c>
      <c r="Y87">
        <f>(AT87*1.2)</f>
        <v>36.527999999999999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-2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30.44</v>
      </c>
      <c r="AU87" t="s">
        <v>63</v>
      </c>
      <c r="AV87">
        <v>1</v>
      </c>
      <c r="AW87">
        <v>2</v>
      </c>
      <c r="AX87">
        <v>55984317</v>
      </c>
      <c r="AY87">
        <v>1</v>
      </c>
      <c r="AZ87">
        <v>0</v>
      </c>
      <c r="BA87">
        <v>107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U87">
        <f>ROUND(AT87*Source!I50*AH87*AL87,2)</f>
        <v>0</v>
      </c>
      <c r="CV87">
        <f>ROUND(Y87*Source!I50,9)</f>
        <v>132.59664000000001</v>
      </c>
      <c r="CW87">
        <v>0</v>
      </c>
      <c r="CX87">
        <f>ROUND(Y87*Source!I50,9)</f>
        <v>132.59664000000001</v>
      </c>
      <c r="CY87">
        <f>AD87</f>
        <v>0</v>
      </c>
      <c r="CZ87">
        <f>AH87</f>
        <v>0</v>
      </c>
      <c r="DA87">
        <f>AL87</f>
        <v>1</v>
      </c>
      <c r="DB87">
        <f>ROUND((ROUND(AT87*CZ87,2)*1.2),6)</f>
        <v>0</v>
      </c>
      <c r="DC87">
        <f>ROUND((ROUND(AT87*AG87,2)*1.2),6)</f>
        <v>0</v>
      </c>
      <c r="DD87" t="s">
        <v>3</v>
      </c>
      <c r="DE87" t="s">
        <v>3</v>
      </c>
      <c r="DF87">
        <f>ROUND(ROUND(AE87,2)*CX87,2)</f>
        <v>0</v>
      </c>
      <c r="DG87">
        <f t="shared" si="19"/>
        <v>0</v>
      </c>
      <c r="DH87">
        <f t="shared" si="15"/>
        <v>0</v>
      </c>
      <c r="DI87">
        <f t="shared" si="17"/>
        <v>0</v>
      </c>
      <c r="DJ87">
        <f>DI87</f>
        <v>0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5">
      <c r="A88">
        <f>ROW(Source!A50)</f>
        <v>50</v>
      </c>
      <c r="B88">
        <v>55936046</v>
      </c>
      <c r="C88">
        <v>55984314</v>
      </c>
      <c r="D88">
        <v>55424288</v>
      </c>
      <c r="E88">
        <v>1081</v>
      </c>
      <c r="F88">
        <v>1</v>
      </c>
      <c r="G88">
        <v>1081</v>
      </c>
      <c r="H88">
        <v>3</v>
      </c>
      <c r="I88" t="s">
        <v>295</v>
      </c>
      <c r="J88" t="s">
        <v>3</v>
      </c>
      <c r="K88" t="s">
        <v>296</v>
      </c>
      <c r="L88">
        <v>1348</v>
      </c>
      <c r="N88">
        <v>1009</v>
      </c>
      <c r="O88" t="s">
        <v>223</v>
      </c>
      <c r="P88" t="s">
        <v>223</v>
      </c>
      <c r="Q88">
        <v>1000</v>
      </c>
      <c r="W88">
        <v>0</v>
      </c>
      <c r="X88">
        <v>1489638031</v>
      </c>
      <c r="Y88">
        <f>(AT88*1)</f>
        <v>0.247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1</v>
      </c>
      <c r="AK88">
        <v>1</v>
      </c>
      <c r="AL88">
        <v>1</v>
      </c>
      <c r="AM88">
        <v>-2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0.247</v>
      </c>
      <c r="AU88" t="s">
        <v>62</v>
      </c>
      <c r="AV88">
        <v>0</v>
      </c>
      <c r="AW88">
        <v>2</v>
      </c>
      <c r="AX88">
        <v>55984318</v>
      </c>
      <c r="AY88">
        <v>1</v>
      </c>
      <c r="AZ88">
        <v>0</v>
      </c>
      <c r="BA88">
        <v>108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v>0</v>
      </c>
      <c r="CX88">
        <f>ROUND(Y88*Source!I50,9)</f>
        <v>0.89661000000000002</v>
      </c>
      <c r="CY88">
        <f>AA88</f>
        <v>0</v>
      </c>
      <c r="CZ88">
        <f>AE88</f>
        <v>0</v>
      </c>
      <c r="DA88">
        <f>AI88</f>
        <v>1</v>
      </c>
      <c r="DB88">
        <f>ROUND((ROUND(AT88*CZ88,2)*1),6)</f>
        <v>0</v>
      </c>
      <c r="DC88">
        <f>ROUND((ROUND(AT88*AG88,2)*1),6)</f>
        <v>0</v>
      </c>
      <c r="DD88" t="s">
        <v>3</v>
      </c>
      <c r="DE88" t="s">
        <v>3</v>
      </c>
      <c r="DF88">
        <f>ROUND(ROUND(AE88,2)*CX88,2)</f>
        <v>0</v>
      </c>
      <c r="DG88">
        <f t="shared" si="19"/>
        <v>0</v>
      </c>
      <c r="DH88">
        <f t="shared" si="15"/>
        <v>0</v>
      </c>
      <c r="DI88">
        <f t="shared" si="17"/>
        <v>0</v>
      </c>
      <c r="DJ88">
        <f>DF88</f>
        <v>0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5">
      <c r="A89">
        <f>ROW(Source!A51)</f>
        <v>51</v>
      </c>
      <c r="B89">
        <v>55936048</v>
      </c>
      <c r="C89">
        <v>55984314</v>
      </c>
      <c r="D89">
        <v>55424304</v>
      </c>
      <c r="E89">
        <v>1081</v>
      </c>
      <c r="F89">
        <v>1</v>
      </c>
      <c r="G89">
        <v>1081</v>
      </c>
      <c r="H89">
        <v>1</v>
      </c>
      <c r="I89" t="s">
        <v>262</v>
      </c>
      <c r="J89" t="s">
        <v>3</v>
      </c>
      <c r="K89" t="s">
        <v>263</v>
      </c>
      <c r="L89">
        <v>1191</v>
      </c>
      <c r="N89">
        <v>1013</v>
      </c>
      <c r="O89" t="s">
        <v>264</v>
      </c>
      <c r="P89" t="s">
        <v>264</v>
      </c>
      <c r="Q89">
        <v>1</v>
      </c>
      <c r="W89">
        <v>0</v>
      </c>
      <c r="X89">
        <v>476480486</v>
      </c>
      <c r="Y89">
        <f>(AT89*1.2)</f>
        <v>36.527999999999999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1</v>
      </c>
      <c r="AK89">
        <v>1</v>
      </c>
      <c r="AL89">
        <v>1</v>
      </c>
      <c r="AM89">
        <v>5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30.44</v>
      </c>
      <c r="AU89" t="s">
        <v>63</v>
      </c>
      <c r="AV89">
        <v>1</v>
      </c>
      <c r="AW89">
        <v>2</v>
      </c>
      <c r="AX89">
        <v>55984317</v>
      </c>
      <c r="AY89">
        <v>1</v>
      </c>
      <c r="AZ89">
        <v>0</v>
      </c>
      <c r="BA89">
        <v>109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U89">
        <f>ROUND(AT89*Source!I51*AH89*AL89,2)</f>
        <v>0</v>
      </c>
      <c r="CV89">
        <f>ROUND(Y89*Source!I51,9)</f>
        <v>132.59664000000001</v>
      </c>
      <c r="CW89">
        <v>0</v>
      </c>
      <c r="CX89">
        <f>ROUND(Y89*Source!I51,9)</f>
        <v>132.59664000000001</v>
      </c>
      <c r="CY89">
        <f>AD89</f>
        <v>0</v>
      </c>
      <c r="CZ89">
        <f>AH89</f>
        <v>0</v>
      </c>
      <c r="DA89">
        <f>AL89</f>
        <v>1</v>
      </c>
      <c r="DB89">
        <f>ROUND((ROUND(AT89*CZ89,2)*1.2),6)</f>
        <v>0</v>
      </c>
      <c r="DC89">
        <f>ROUND((ROUND(AT89*AG89,2)*1.2),6)</f>
        <v>0</v>
      </c>
      <c r="DD89" t="s">
        <v>3</v>
      </c>
      <c r="DE89" t="s">
        <v>3</v>
      </c>
      <c r="DF89">
        <f>ROUND(ROUND(AE89,2)*CX89,2)</f>
        <v>0</v>
      </c>
      <c r="DG89">
        <f t="shared" si="19"/>
        <v>0</v>
      </c>
      <c r="DH89">
        <f t="shared" si="15"/>
        <v>0</v>
      </c>
      <c r="DI89">
        <f t="shared" si="17"/>
        <v>0</v>
      </c>
      <c r="DJ89">
        <f>DI89</f>
        <v>0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5">
      <c r="A90">
        <f>ROW(Source!A51)</f>
        <v>51</v>
      </c>
      <c r="B90">
        <v>55936048</v>
      </c>
      <c r="C90">
        <v>55984314</v>
      </c>
      <c r="D90">
        <v>55424288</v>
      </c>
      <c r="E90">
        <v>1081</v>
      </c>
      <c r="F90">
        <v>1</v>
      </c>
      <c r="G90">
        <v>1081</v>
      </c>
      <c r="H90">
        <v>3</v>
      </c>
      <c r="I90" t="s">
        <v>295</v>
      </c>
      <c r="J90" t="s">
        <v>3</v>
      </c>
      <c r="K90" t="s">
        <v>296</v>
      </c>
      <c r="L90">
        <v>1348</v>
      </c>
      <c r="N90">
        <v>1009</v>
      </c>
      <c r="O90" t="s">
        <v>223</v>
      </c>
      <c r="P90" t="s">
        <v>223</v>
      </c>
      <c r="Q90">
        <v>1000</v>
      </c>
      <c r="W90">
        <v>0</v>
      </c>
      <c r="X90">
        <v>1489638031</v>
      </c>
      <c r="Y90">
        <f>(AT90*1)</f>
        <v>0.247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9.84</v>
      </c>
      <c r="AJ90">
        <v>1</v>
      </c>
      <c r="AK90">
        <v>1</v>
      </c>
      <c r="AL90">
        <v>1</v>
      </c>
      <c r="AM90">
        <v>5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0.247</v>
      </c>
      <c r="AU90" t="s">
        <v>62</v>
      </c>
      <c r="AV90">
        <v>0</v>
      </c>
      <c r="AW90">
        <v>2</v>
      </c>
      <c r="AX90">
        <v>55984318</v>
      </c>
      <c r="AY90">
        <v>1</v>
      </c>
      <c r="AZ90">
        <v>0</v>
      </c>
      <c r="BA90">
        <v>110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v>0</v>
      </c>
      <c r="CX90">
        <f>ROUND(Y90*Source!I51,9)</f>
        <v>0.89661000000000002</v>
      </c>
      <c r="CY90">
        <f>AA90</f>
        <v>0</v>
      </c>
      <c r="CZ90">
        <f>AE90</f>
        <v>0</v>
      </c>
      <c r="DA90">
        <f>AI90</f>
        <v>9.84</v>
      </c>
      <c r="DB90">
        <f>ROUND((ROUND(AT90*CZ90,2)*1),6)</f>
        <v>0</v>
      </c>
      <c r="DC90">
        <f>ROUND((ROUND(AT90*AG90,2)*1),6)</f>
        <v>0</v>
      </c>
      <c r="DD90" t="s">
        <v>3</v>
      </c>
      <c r="DE90" t="s">
        <v>3</v>
      </c>
      <c r="DF90">
        <f>ROUND(ROUND(AE90*AI90,2)*CX90,2)</f>
        <v>0</v>
      </c>
      <c r="DG90">
        <f t="shared" si="19"/>
        <v>0</v>
      </c>
      <c r="DH90">
        <f t="shared" si="15"/>
        <v>0</v>
      </c>
      <c r="DI90">
        <f t="shared" si="17"/>
        <v>0</v>
      </c>
      <c r="DJ90">
        <f>DF90</f>
        <v>0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5">
      <c r="A91">
        <f>ROW(Source!A52)</f>
        <v>52</v>
      </c>
      <c r="B91">
        <v>55936046</v>
      </c>
      <c r="C91">
        <v>55984319</v>
      </c>
      <c r="D91">
        <v>55424304</v>
      </c>
      <c r="E91">
        <v>1081</v>
      </c>
      <c r="F91">
        <v>1</v>
      </c>
      <c r="G91">
        <v>1081</v>
      </c>
      <c r="H91">
        <v>1</v>
      </c>
      <c r="I91" t="s">
        <v>262</v>
      </c>
      <c r="J91" t="s">
        <v>3</v>
      </c>
      <c r="K91" t="s">
        <v>263</v>
      </c>
      <c r="L91">
        <v>1191</v>
      </c>
      <c r="N91">
        <v>1013</v>
      </c>
      <c r="O91" t="s">
        <v>264</v>
      </c>
      <c r="P91" t="s">
        <v>264</v>
      </c>
      <c r="Q91">
        <v>1</v>
      </c>
      <c r="W91">
        <v>0</v>
      </c>
      <c r="X91">
        <v>476480486</v>
      </c>
      <c r="Y91">
        <f t="shared" ref="Y91:Y96" si="20">((AT91*1.2)*0.3)</f>
        <v>0.18720000000000001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1</v>
      </c>
      <c r="AK91">
        <v>1</v>
      </c>
      <c r="AL91">
        <v>1</v>
      </c>
      <c r="AM91">
        <v>-2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0.52</v>
      </c>
      <c r="AU91" t="s">
        <v>25</v>
      </c>
      <c r="AV91">
        <v>1</v>
      </c>
      <c r="AW91">
        <v>2</v>
      </c>
      <c r="AX91">
        <v>55984323</v>
      </c>
      <c r="AY91">
        <v>1</v>
      </c>
      <c r="AZ91">
        <v>0</v>
      </c>
      <c r="BA91">
        <v>111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U91">
        <f>ROUND(AT91*Source!I52*AH91*AL91,2)</f>
        <v>0</v>
      </c>
      <c r="CV91">
        <f>ROUND(Y91*Source!I52,9)</f>
        <v>5.0544000000000002</v>
      </c>
      <c r="CW91">
        <v>0</v>
      </c>
      <c r="CX91">
        <f>ROUND(Y91*Source!I52,9)</f>
        <v>5.0544000000000002</v>
      </c>
      <c r="CY91">
        <f>AD91</f>
        <v>0</v>
      </c>
      <c r="CZ91">
        <f>AH91</f>
        <v>0</v>
      </c>
      <c r="DA91">
        <f>AL91</f>
        <v>1</v>
      </c>
      <c r="DB91">
        <f t="shared" ref="DB91:DB96" si="21">ROUND(((ROUND(AT91*CZ91,2)*1.2)*0.3),6)</f>
        <v>0</v>
      </c>
      <c r="DC91">
        <f t="shared" ref="DC91:DC96" si="22">ROUND(((ROUND(AT91*AG91,2)*1.2)*0.3),6)</f>
        <v>0</v>
      </c>
      <c r="DD91" t="s">
        <v>3</v>
      </c>
      <c r="DE91" t="s">
        <v>3</v>
      </c>
      <c r="DF91">
        <f t="shared" ref="DF91:DF104" si="23">ROUND(ROUND(AE91,2)*CX91,2)</f>
        <v>0</v>
      </c>
      <c r="DG91">
        <f t="shared" si="19"/>
        <v>0</v>
      </c>
      <c r="DH91">
        <f t="shared" si="15"/>
        <v>0</v>
      </c>
      <c r="DI91">
        <f t="shared" si="17"/>
        <v>0</v>
      </c>
      <c r="DJ91">
        <f>DI91</f>
        <v>0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5">
      <c r="A92">
        <f>ROW(Source!A52)</f>
        <v>52</v>
      </c>
      <c r="B92">
        <v>55936046</v>
      </c>
      <c r="C92">
        <v>55984319</v>
      </c>
      <c r="D92">
        <v>55490209</v>
      </c>
      <c r="E92">
        <v>1</v>
      </c>
      <c r="F92">
        <v>1</v>
      </c>
      <c r="G92">
        <v>1081</v>
      </c>
      <c r="H92">
        <v>2</v>
      </c>
      <c r="I92" t="s">
        <v>265</v>
      </c>
      <c r="J92" t="s">
        <v>266</v>
      </c>
      <c r="K92" t="s">
        <v>267</v>
      </c>
      <c r="L92">
        <v>1368</v>
      </c>
      <c r="N92">
        <v>1011</v>
      </c>
      <c r="O92" t="s">
        <v>268</v>
      </c>
      <c r="P92" t="s">
        <v>268</v>
      </c>
      <c r="Q92">
        <v>1</v>
      </c>
      <c r="W92">
        <v>0</v>
      </c>
      <c r="X92">
        <v>874612079</v>
      </c>
      <c r="Y92">
        <f t="shared" si="20"/>
        <v>7.1999999999999998E-3</v>
      </c>
      <c r="AA92">
        <v>0</v>
      </c>
      <c r="AB92">
        <v>87.01</v>
      </c>
      <c r="AC92">
        <v>13.21</v>
      </c>
      <c r="AD92">
        <v>0</v>
      </c>
      <c r="AE92">
        <v>0</v>
      </c>
      <c r="AF92">
        <v>83.1</v>
      </c>
      <c r="AG92">
        <v>12.62</v>
      </c>
      <c r="AH92">
        <v>0</v>
      </c>
      <c r="AI92">
        <v>1</v>
      </c>
      <c r="AJ92">
        <v>1</v>
      </c>
      <c r="AK92">
        <v>1</v>
      </c>
      <c r="AL92">
        <v>1</v>
      </c>
      <c r="AM92">
        <v>-2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0.02</v>
      </c>
      <c r="AU92" t="s">
        <v>25</v>
      </c>
      <c r="AV92">
        <v>0</v>
      </c>
      <c r="AW92">
        <v>2</v>
      </c>
      <c r="AX92">
        <v>55984324</v>
      </c>
      <c r="AY92">
        <v>1</v>
      </c>
      <c r="AZ92">
        <v>0</v>
      </c>
      <c r="BA92">
        <v>112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f>ROUND(Y92*Source!I52*DO92,9)</f>
        <v>2.453328</v>
      </c>
      <c r="CX92">
        <f>ROUND(Y92*Source!I52,9)</f>
        <v>0.19439999999999999</v>
      </c>
      <c r="CY92">
        <f>AB92</f>
        <v>87.01</v>
      </c>
      <c r="CZ92">
        <f>AF92</f>
        <v>83.1</v>
      </c>
      <c r="DA92">
        <f>AJ92</f>
        <v>1</v>
      </c>
      <c r="DB92">
        <f t="shared" si="21"/>
        <v>0.59760000000000002</v>
      </c>
      <c r="DC92">
        <f t="shared" si="22"/>
        <v>0.09</v>
      </c>
      <c r="DD92" t="s">
        <v>3</v>
      </c>
      <c r="DE92" t="s">
        <v>3</v>
      </c>
      <c r="DF92">
        <f t="shared" si="23"/>
        <v>0</v>
      </c>
      <c r="DG92">
        <f t="shared" si="19"/>
        <v>16.149999999999999</v>
      </c>
      <c r="DH92">
        <f t="shared" si="15"/>
        <v>2.4500000000000002</v>
      </c>
      <c r="DI92">
        <f t="shared" si="17"/>
        <v>0</v>
      </c>
      <c r="DJ92">
        <f>DG92</f>
        <v>16.149999999999999</v>
      </c>
      <c r="DK92">
        <v>0</v>
      </c>
      <c r="DL92" t="s">
        <v>269</v>
      </c>
      <c r="DM92">
        <v>0</v>
      </c>
      <c r="DN92" t="s">
        <v>264</v>
      </c>
      <c r="DO92">
        <v>12.62</v>
      </c>
    </row>
    <row r="93" spans="1:119" x14ac:dyDescent="0.25">
      <c r="A93">
        <f>ROW(Source!A52)</f>
        <v>52</v>
      </c>
      <c r="B93">
        <v>55936046</v>
      </c>
      <c r="C93">
        <v>55984319</v>
      </c>
      <c r="D93">
        <v>55489519</v>
      </c>
      <c r="E93">
        <v>1</v>
      </c>
      <c r="F93">
        <v>1</v>
      </c>
      <c r="G93">
        <v>1081</v>
      </c>
      <c r="H93">
        <v>2</v>
      </c>
      <c r="I93" t="s">
        <v>316</v>
      </c>
      <c r="J93" t="s">
        <v>317</v>
      </c>
      <c r="K93" t="s">
        <v>318</v>
      </c>
      <c r="L93">
        <v>1368</v>
      </c>
      <c r="N93">
        <v>1011</v>
      </c>
      <c r="O93" t="s">
        <v>268</v>
      </c>
      <c r="P93" t="s">
        <v>268</v>
      </c>
      <c r="Q93">
        <v>1</v>
      </c>
      <c r="W93">
        <v>0</v>
      </c>
      <c r="X93">
        <v>-323623021</v>
      </c>
      <c r="Y93">
        <f t="shared" si="20"/>
        <v>7.1999999999999995E-2</v>
      </c>
      <c r="AA93">
        <v>0</v>
      </c>
      <c r="AB93">
        <v>138.9</v>
      </c>
      <c r="AC93">
        <v>15.22</v>
      </c>
      <c r="AD93">
        <v>0</v>
      </c>
      <c r="AE93">
        <v>0</v>
      </c>
      <c r="AF93">
        <v>132.66</v>
      </c>
      <c r="AG93">
        <v>14.54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-2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0.2</v>
      </c>
      <c r="AU93" t="s">
        <v>25</v>
      </c>
      <c r="AV93">
        <v>0</v>
      </c>
      <c r="AW93">
        <v>2</v>
      </c>
      <c r="AX93">
        <v>55984325</v>
      </c>
      <c r="AY93">
        <v>1</v>
      </c>
      <c r="AZ93">
        <v>0</v>
      </c>
      <c r="BA93">
        <v>113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f>ROUND(Y93*Source!I52*DO93,9)</f>
        <v>28.26576</v>
      </c>
      <c r="CX93">
        <f>ROUND(Y93*Source!I52,9)</f>
        <v>1.944</v>
      </c>
      <c r="CY93">
        <f>AB93</f>
        <v>138.9</v>
      </c>
      <c r="CZ93">
        <f>AF93</f>
        <v>132.66</v>
      </c>
      <c r="DA93">
        <f>AJ93</f>
        <v>1</v>
      </c>
      <c r="DB93">
        <f t="shared" si="21"/>
        <v>9.5508000000000006</v>
      </c>
      <c r="DC93">
        <f t="shared" si="22"/>
        <v>1.0476000000000001</v>
      </c>
      <c r="DD93" t="s">
        <v>3</v>
      </c>
      <c r="DE93" t="s">
        <v>3</v>
      </c>
      <c r="DF93">
        <f t="shared" si="23"/>
        <v>0</v>
      </c>
      <c r="DG93">
        <f t="shared" si="19"/>
        <v>257.89</v>
      </c>
      <c r="DH93">
        <f t="shared" si="15"/>
        <v>28.27</v>
      </c>
      <c r="DI93">
        <f t="shared" si="17"/>
        <v>0</v>
      </c>
      <c r="DJ93">
        <f>DG93</f>
        <v>257.89</v>
      </c>
      <c r="DK93">
        <v>0</v>
      </c>
      <c r="DL93" t="s">
        <v>269</v>
      </c>
      <c r="DM93">
        <v>0</v>
      </c>
      <c r="DN93" t="s">
        <v>264</v>
      </c>
      <c r="DO93">
        <v>14.54</v>
      </c>
    </row>
    <row r="94" spans="1:119" x14ac:dyDescent="0.25">
      <c r="A94">
        <f>ROW(Source!A53)</f>
        <v>53</v>
      </c>
      <c r="B94">
        <v>55936048</v>
      </c>
      <c r="C94">
        <v>55984319</v>
      </c>
      <c r="D94">
        <v>55424304</v>
      </c>
      <c r="E94">
        <v>1081</v>
      </c>
      <c r="F94">
        <v>1</v>
      </c>
      <c r="G94">
        <v>1081</v>
      </c>
      <c r="H94">
        <v>1</v>
      </c>
      <c r="I94" t="s">
        <v>262</v>
      </c>
      <c r="J94" t="s">
        <v>3</v>
      </c>
      <c r="K94" t="s">
        <v>263</v>
      </c>
      <c r="L94">
        <v>1191</v>
      </c>
      <c r="N94">
        <v>1013</v>
      </c>
      <c r="O94" t="s">
        <v>264</v>
      </c>
      <c r="P94" t="s">
        <v>264</v>
      </c>
      <c r="Q94">
        <v>1</v>
      </c>
      <c r="W94">
        <v>0</v>
      </c>
      <c r="X94">
        <v>476480486</v>
      </c>
      <c r="Y94">
        <f t="shared" si="20"/>
        <v>0.18720000000000001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1</v>
      </c>
      <c r="AK94">
        <v>1</v>
      </c>
      <c r="AL94">
        <v>1</v>
      </c>
      <c r="AM94">
        <v>5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0.52</v>
      </c>
      <c r="AU94" t="s">
        <v>25</v>
      </c>
      <c r="AV94">
        <v>1</v>
      </c>
      <c r="AW94">
        <v>2</v>
      </c>
      <c r="AX94">
        <v>55984323</v>
      </c>
      <c r="AY94">
        <v>1</v>
      </c>
      <c r="AZ94">
        <v>0</v>
      </c>
      <c r="BA94">
        <v>116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U94">
        <f>ROUND(AT94*Source!I53*AH94*AL94,2)</f>
        <v>0</v>
      </c>
      <c r="CV94">
        <f>ROUND(Y94*Source!I53,9)</f>
        <v>5.0544000000000002</v>
      </c>
      <c r="CW94">
        <v>0</v>
      </c>
      <c r="CX94">
        <f>ROUND(Y94*Source!I53,9)</f>
        <v>5.0544000000000002</v>
      </c>
      <c r="CY94">
        <f>AD94</f>
        <v>0</v>
      </c>
      <c r="CZ94">
        <f>AH94</f>
        <v>0</v>
      </c>
      <c r="DA94">
        <f>AL94</f>
        <v>1</v>
      </c>
      <c r="DB94">
        <f t="shared" si="21"/>
        <v>0</v>
      </c>
      <c r="DC94">
        <f t="shared" si="22"/>
        <v>0</v>
      </c>
      <c r="DD94" t="s">
        <v>3</v>
      </c>
      <c r="DE94" t="s">
        <v>3</v>
      </c>
      <c r="DF94">
        <f t="shared" si="23"/>
        <v>0</v>
      </c>
      <c r="DG94">
        <f t="shared" si="19"/>
        <v>0</v>
      </c>
      <c r="DH94">
        <f t="shared" si="15"/>
        <v>0</v>
      </c>
      <c r="DI94">
        <f t="shared" si="17"/>
        <v>0</v>
      </c>
      <c r="DJ94">
        <f>DI94</f>
        <v>0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5">
      <c r="A95">
        <f>ROW(Source!A53)</f>
        <v>53</v>
      </c>
      <c r="B95">
        <v>55936048</v>
      </c>
      <c r="C95">
        <v>55984319</v>
      </c>
      <c r="D95">
        <v>55490209</v>
      </c>
      <c r="E95">
        <v>1</v>
      </c>
      <c r="F95">
        <v>1</v>
      </c>
      <c r="G95">
        <v>1081</v>
      </c>
      <c r="H95">
        <v>2</v>
      </c>
      <c r="I95" t="s">
        <v>265</v>
      </c>
      <c r="J95" t="s">
        <v>266</v>
      </c>
      <c r="K95" t="s">
        <v>267</v>
      </c>
      <c r="L95">
        <v>1368</v>
      </c>
      <c r="N95">
        <v>1011</v>
      </c>
      <c r="O95" t="s">
        <v>268</v>
      </c>
      <c r="P95" t="s">
        <v>268</v>
      </c>
      <c r="Q95">
        <v>1</v>
      </c>
      <c r="W95">
        <v>0</v>
      </c>
      <c r="X95">
        <v>874612079</v>
      </c>
      <c r="Y95">
        <f t="shared" si="20"/>
        <v>7.1999999999999998E-3</v>
      </c>
      <c r="AA95">
        <v>0</v>
      </c>
      <c r="AB95">
        <v>1485.19</v>
      </c>
      <c r="AC95">
        <v>744.56</v>
      </c>
      <c r="AD95">
        <v>0</v>
      </c>
      <c r="AE95">
        <v>0</v>
      </c>
      <c r="AF95">
        <v>83.1</v>
      </c>
      <c r="AG95">
        <v>12.62</v>
      </c>
      <c r="AH95">
        <v>0</v>
      </c>
      <c r="AI95">
        <v>1</v>
      </c>
      <c r="AJ95">
        <v>17.07</v>
      </c>
      <c r="AK95">
        <v>56.35</v>
      </c>
      <c r="AL95">
        <v>1</v>
      </c>
      <c r="AM95">
        <v>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0.02</v>
      </c>
      <c r="AU95" t="s">
        <v>25</v>
      </c>
      <c r="AV95">
        <v>0</v>
      </c>
      <c r="AW95">
        <v>2</v>
      </c>
      <c r="AX95">
        <v>55984324</v>
      </c>
      <c r="AY95">
        <v>1</v>
      </c>
      <c r="AZ95">
        <v>0</v>
      </c>
      <c r="BA95">
        <v>117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V95">
        <v>0</v>
      </c>
      <c r="CW95">
        <f>ROUND(Y95*Source!I53*DO95,9)</f>
        <v>2.453328</v>
      </c>
      <c r="CX95">
        <f>ROUND(Y95*Source!I53,9)</f>
        <v>0.19439999999999999</v>
      </c>
      <c r="CY95">
        <f>AB95</f>
        <v>1485.19</v>
      </c>
      <c r="CZ95">
        <f>AF95</f>
        <v>83.1</v>
      </c>
      <c r="DA95">
        <f>AJ95</f>
        <v>17.07</v>
      </c>
      <c r="DB95">
        <f t="shared" si="21"/>
        <v>0.59760000000000002</v>
      </c>
      <c r="DC95">
        <f t="shared" si="22"/>
        <v>0.09</v>
      </c>
      <c r="DD95" t="s">
        <v>3</v>
      </c>
      <c r="DE95" t="s">
        <v>3</v>
      </c>
      <c r="DF95">
        <f t="shared" si="23"/>
        <v>0</v>
      </c>
      <c r="DG95">
        <f>ROUND(ROUND(AF95*AJ95,2)*CX95,2)</f>
        <v>275.76</v>
      </c>
      <c r="DH95">
        <f>ROUND(ROUND(AG95*AK95,2)*CX95,2)</f>
        <v>138.25</v>
      </c>
      <c r="DI95">
        <f t="shared" si="17"/>
        <v>0</v>
      </c>
      <c r="DJ95">
        <f>DG95</f>
        <v>275.76</v>
      </c>
      <c r="DK95">
        <v>0</v>
      </c>
      <c r="DL95" t="s">
        <v>269</v>
      </c>
      <c r="DM95">
        <v>0</v>
      </c>
      <c r="DN95" t="s">
        <v>264</v>
      </c>
      <c r="DO95">
        <v>12.62</v>
      </c>
    </row>
    <row r="96" spans="1:119" x14ac:dyDescent="0.25">
      <c r="A96">
        <f>ROW(Source!A53)</f>
        <v>53</v>
      </c>
      <c r="B96">
        <v>55936048</v>
      </c>
      <c r="C96">
        <v>55984319</v>
      </c>
      <c r="D96">
        <v>55489519</v>
      </c>
      <c r="E96">
        <v>1</v>
      </c>
      <c r="F96">
        <v>1</v>
      </c>
      <c r="G96">
        <v>1081</v>
      </c>
      <c r="H96">
        <v>2</v>
      </c>
      <c r="I96" t="s">
        <v>316</v>
      </c>
      <c r="J96" t="s">
        <v>317</v>
      </c>
      <c r="K96" t="s">
        <v>318</v>
      </c>
      <c r="L96">
        <v>1368</v>
      </c>
      <c r="N96">
        <v>1011</v>
      </c>
      <c r="O96" t="s">
        <v>268</v>
      </c>
      <c r="P96" t="s">
        <v>268</v>
      </c>
      <c r="Q96">
        <v>1</v>
      </c>
      <c r="W96">
        <v>0</v>
      </c>
      <c r="X96">
        <v>-323623021</v>
      </c>
      <c r="Y96">
        <f t="shared" si="20"/>
        <v>7.1999999999999995E-2</v>
      </c>
      <c r="AA96">
        <v>0</v>
      </c>
      <c r="AB96">
        <v>2143.15</v>
      </c>
      <c r="AC96">
        <v>857.84</v>
      </c>
      <c r="AD96">
        <v>0</v>
      </c>
      <c r="AE96">
        <v>0</v>
      </c>
      <c r="AF96">
        <v>132.66</v>
      </c>
      <c r="AG96">
        <v>14.54</v>
      </c>
      <c r="AH96">
        <v>0</v>
      </c>
      <c r="AI96">
        <v>1</v>
      </c>
      <c r="AJ96">
        <v>15.43</v>
      </c>
      <c r="AK96">
        <v>56.35</v>
      </c>
      <c r="AL96">
        <v>1</v>
      </c>
      <c r="AM96">
        <v>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0.2</v>
      </c>
      <c r="AU96" t="s">
        <v>25</v>
      </c>
      <c r="AV96">
        <v>0</v>
      </c>
      <c r="AW96">
        <v>2</v>
      </c>
      <c r="AX96">
        <v>55984325</v>
      </c>
      <c r="AY96">
        <v>1</v>
      </c>
      <c r="AZ96">
        <v>0</v>
      </c>
      <c r="BA96">
        <v>118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f>ROUND(Y96*Source!I53*DO96,9)</f>
        <v>28.26576</v>
      </c>
      <c r="CX96">
        <f>ROUND(Y96*Source!I53,9)</f>
        <v>1.944</v>
      </c>
      <c r="CY96">
        <f>AB96</f>
        <v>2143.15</v>
      </c>
      <c r="CZ96">
        <f>AF96</f>
        <v>132.66</v>
      </c>
      <c r="DA96">
        <f>AJ96</f>
        <v>15.43</v>
      </c>
      <c r="DB96">
        <f t="shared" si="21"/>
        <v>9.5508000000000006</v>
      </c>
      <c r="DC96">
        <f t="shared" si="22"/>
        <v>1.0476000000000001</v>
      </c>
      <c r="DD96" t="s">
        <v>3</v>
      </c>
      <c r="DE96" t="s">
        <v>3</v>
      </c>
      <c r="DF96">
        <f t="shared" si="23"/>
        <v>0</v>
      </c>
      <c r="DG96">
        <f>ROUND(ROUND(AF96*AJ96,2)*CX96,2)</f>
        <v>3979.25</v>
      </c>
      <c r="DH96">
        <f>ROUND(ROUND(AG96*AK96,2)*CX96,2)</f>
        <v>1592.78</v>
      </c>
      <c r="DI96">
        <f t="shared" si="17"/>
        <v>0</v>
      </c>
      <c r="DJ96">
        <f>DG96</f>
        <v>3979.25</v>
      </c>
      <c r="DK96">
        <v>0</v>
      </c>
      <c r="DL96" t="s">
        <v>269</v>
      </c>
      <c r="DM96">
        <v>0</v>
      </c>
      <c r="DN96" t="s">
        <v>264</v>
      </c>
      <c r="DO96">
        <v>14.54</v>
      </c>
    </row>
    <row r="97" spans="1:119" x14ac:dyDescent="0.25">
      <c r="A97">
        <f>ROW(Source!A89)</f>
        <v>89</v>
      </c>
      <c r="B97">
        <v>55936046</v>
      </c>
      <c r="C97">
        <v>55936228</v>
      </c>
      <c r="D97">
        <v>55424304</v>
      </c>
      <c r="E97">
        <v>1081</v>
      </c>
      <c r="F97">
        <v>1</v>
      </c>
      <c r="G97">
        <v>1081</v>
      </c>
      <c r="H97">
        <v>1</v>
      </c>
      <c r="I97" t="s">
        <v>262</v>
      </c>
      <c r="J97" t="s">
        <v>3</v>
      </c>
      <c r="K97" t="s">
        <v>263</v>
      </c>
      <c r="L97">
        <v>1191</v>
      </c>
      <c r="N97">
        <v>1013</v>
      </c>
      <c r="O97" t="s">
        <v>264</v>
      </c>
      <c r="P97" t="s">
        <v>264</v>
      </c>
      <c r="Q97">
        <v>1</v>
      </c>
      <c r="W97">
        <v>0</v>
      </c>
      <c r="X97">
        <v>476480486</v>
      </c>
      <c r="Y97">
        <f>(AT97*1.2)</f>
        <v>35.951999999999998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-2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29.96</v>
      </c>
      <c r="AU97" t="s">
        <v>63</v>
      </c>
      <c r="AV97">
        <v>1</v>
      </c>
      <c r="AW97">
        <v>2</v>
      </c>
      <c r="AX97">
        <v>55936229</v>
      </c>
      <c r="AY97">
        <v>1</v>
      </c>
      <c r="AZ97">
        <v>0</v>
      </c>
      <c r="BA97">
        <v>121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U97">
        <f>ROUND(AT97*Source!I89*AH97*AL97,2)</f>
        <v>0</v>
      </c>
      <c r="CV97">
        <f>ROUND(Y97*Source!I89,9)</f>
        <v>71.903999999999996</v>
      </c>
      <c r="CW97">
        <v>0</v>
      </c>
      <c r="CX97">
        <f>ROUND(Y97*Source!I89,9)</f>
        <v>71.903999999999996</v>
      </c>
      <c r="CY97">
        <f>AD97</f>
        <v>0</v>
      </c>
      <c r="CZ97">
        <f>AH97</f>
        <v>0</v>
      </c>
      <c r="DA97">
        <f>AL97</f>
        <v>1</v>
      </c>
      <c r="DB97">
        <f>ROUND((ROUND(AT97*CZ97,2)*1.2),6)</f>
        <v>0</v>
      </c>
      <c r="DC97">
        <f>ROUND((ROUND(AT97*AG97,2)*1.2),6)</f>
        <v>0</v>
      </c>
      <c r="DD97" t="s">
        <v>3</v>
      </c>
      <c r="DE97" t="s">
        <v>3</v>
      </c>
      <c r="DF97">
        <f t="shared" si="23"/>
        <v>0</v>
      </c>
      <c r="DG97">
        <f t="shared" ref="DG97:DG102" si="24">ROUND(ROUND(AF97,2)*CX97,2)</f>
        <v>0</v>
      </c>
      <c r="DH97">
        <f t="shared" ref="DH97:DH102" si="25">ROUND(ROUND(AG97,2)*CX97,2)</f>
        <v>0</v>
      </c>
      <c r="DI97">
        <f t="shared" si="17"/>
        <v>0</v>
      </c>
      <c r="DJ97">
        <f>DI97</f>
        <v>0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5">
      <c r="A98">
        <f>ROW(Source!A89)</f>
        <v>89</v>
      </c>
      <c r="B98">
        <v>55936046</v>
      </c>
      <c r="C98">
        <v>55936228</v>
      </c>
      <c r="D98">
        <v>55490209</v>
      </c>
      <c r="E98">
        <v>1</v>
      </c>
      <c r="F98">
        <v>1</v>
      </c>
      <c r="G98">
        <v>1081</v>
      </c>
      <c r="H98">
        <v>2</v>
      </c>
      <c r="I98" t="s">
        <v>265</v>
      </c>
      <c r="J98" t="s">
        <v>266</v>
      </c>
      <c r="K98" t="s">
        <v>267</v>
      </c>
      <c r="L98">
        <v>1368</v>
      </c>
      <c r="N98">
        <v>1011</v>
      </c>
      <c r="O98" t="s">
        <v>268</v>
      </c>
      <c r="P98" t="s">
        <v>268</v>
      </c>
      <c r="Q98">
        <v>1</v>
      </c>
      <c r="W98">
        <v>0</v>
      </c>
      <c r="X98">
        <v>874612079</v>
      </c>
      <c r="Y98">
        <f>(AT98*1.2)</f>
        <v>1.2E-2</v>
      </c>
      <c r="AA98">
        <v>0</v>
      </c>
      <c r="AB98">
        <v>87.01</v>
      </c>
      <c r="AC98">
        <v>13.21</v>
      </c>
      <c r="AD98">
        <v>0</v>
      </c>
      <c r="AE98">
        <v>0</v>
      </c>
      <c r="AF98">
        <v>83.1</v>
      </c>
      <c r="AG98">
        <v>12.62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-2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0.01</v>
      </c>
      <c r="AU98" t="s">
        <v>63</v>
      </c>
      <c r="AV98">
        <v>0</v>
      </c>
      <c r="AW98">
        <v>2</v>
      </c>
      <c r="AX98">
        <v>55936230</v>
      </c>
      <c r="AY98">
        <v>1</v>
      </c>
      <c r="AZ98">
        <v>0</v>
      </c>
      <c r="BA98">
        <v>122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f>ROUND(Y98*Source!I89*DO98,9)</f>
        <v>0.30287999999999998</v>
      </c>
      <c r="CX98">
        <f>ROUND(Y98*Source!I89,9)</f>
        <v>2.4E-2</v>
      </c>
      <c r="CY98">
        <f>AB98</f>
        <v>87.01</v>
      </c>
      <c r="CZ98">
        <f>AF98</f>
        <v>83.1</v>
      </c>
      <c r="DA98">
        <f>AJ98</f>
        <v>1</v>
      </c>
      <c r="DB98">
        <f>ROUND((ROUND(AT98*CZ98,2)*1.2),6)</f>
        <v>0.996</v>
      </c>
      <c r="DC98">
        <f>ROUND((ROUND(AT98*AG98,2)*1.2),6)</f>
        <v>0.156</v>
      </c>
      <c r="DD98" t="s">
        <v>3</v>
      </c>
      <c r="DE98" t="s">
        <v>3</v>
      </c>
      <c r="DF98">
        <f t="shared" si="23"/>
        <v>0</v>
      </c>
      <c r="DG98">
        <f t="shared" si="24"/>
        <v>1.99</v>
      </c>
      <c r="DH98">
        <f t="shared" si="25"/>
        <v>0.3</v>
      </c>
      <c r="DI98">
        <f t="shared" si="17"/>
        <v>0</v>
      </c>
      <c r="DJ98">
        <f>DG98</f>
        <v>1.99</v>
      </c>
      <c r="DK98">
        <v>0</v>
      </c>
      <c r="DL98" t="s">
        <v>269</v>
      </c>
      <c r="DM98">
        <v>0</v>
      </c>
      <c r="DN98" t="s">
        <v>264</v>
      </c>
      <c r="DO98">
        <v>12.62</v>
      </c>
    </row>
    <row r="99" spans="1:119" x14ac:dyDescent="0.25">
      <c r="A99">
        <f>ROW(Source!A89)</f>
        <v>89</v>
      </c>
      <c r="B99">
        <v>55936046</v>
      </c>
      <c r="C99">
        <v>55936228</v>
      </c>
      <c r="D99">
        <v>55490296</v>
      </c>
      <c r="E99">
        <v>1</v>
      </c>
      <c r="F99">
        <v>1</v>
      </c>
      <c r="G99">
        <v>1081</v>
      </c>
      <c r="H99">
        <v>2</v>
      </c>
      <c r="I99" t="s">
        <v>270</v>
      </c>
      <c r="J99" t="s">
        <v>271</v>
      </c>
      <c r="K99" t="s">
        <v>272</v>
      </c>
      <c r="L99">
        <v>1368</v>
      </c>
      <c r="N99">
        <v>1011</v>
      </c>
      <c r="O99" t="s">
        <v>268</v>
      </c>
      <c r="P99" t="s">
        <v>268</v>
      </c>
      <c r="Q99">
        <v>1</v>
      </c>
      <c r="W99">
        <v>0</v>
      </c>
      <c r="X99">
        <v>-643591644</v>
      </c>
      <c r="Y99">
        <f>(AT99*1.2)</f>
        <v>0.69599999999999995</v>
      </c>
      <c r="AA99">
        <v>0</v>
      </c>
      <c r="AB99">
        <v>0.49</v>
      </c>
      <c r="AC99">
        <v>0</v>
      </c>
      <c r="AD99">
        <v>0</v>
      </c>
      <c r="AE99">
        <v>0</v>
      </c>
      <c r="AF99">
        <v>0.47</v>
      </c>
      <c r="AG99">
        <v>0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-2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0.57999999999999996</v>
      </c>
      <c r="AU99" t="s">
        <v>63</v>
      </c>
      <c r="AV99">
        <v>0</v>
      </c>
      <c r="AW99">
        <v>2</v>
      </c>
      <c r="AX99">
        <v>55936231</v>
      </c>
      <c r="AY99">
        <v>1</v>
      </c>
      <c r="AZ99">
        <v>0</v>
      </c>
      <c r="BA99">
        <v>123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V99">
        <v>0</v>
      </c>
      <c r="CW99">
        <f>ROUND(Y99*Source!I89*DO99,9)</f>
        <v>0</v>
      </c>
      <c r="CX99">
        <f>ROUND(Y99*Source!I89,9)</f>
        <v>1.3919999999999999</v>
      </c>
      <c r="CY99">
        <f>AB99</f>
        <v>0.49</v>
      </c>
      <c r="CZ99">
        <f>AF99</f>
        <v>0.47</v>
      </c>
      <c r="DA99">
        <f>AJ99</f>
        <v>1</v>
      </c>
      <c r="DB99">
        <f>ROUND((ROUND(AT99*CZ99,2)*1.2),6)</f>
        <v>0.32400000000000001</v>
      </c>
      <c r="DC99">
        <f>ROUND((ROUND(AT99*AG99,2)*1.2),6)</f>
        <v>0</v>
      </c>
      <c r="DD99" t="s">
        <v>3</v>
      </c>
      <c r="DE99" t="s">
        <v>3</v>
      </c>
      <c r="DF99">
        <f t="shared" si="23"/>
        <v>0</v>
      </c>
      <c r="DG99">
        <f t="shared" si="24"/>
        <v>0.65</v>
      </c>
      <c r="DH99">
        <f t="shared" si="25"/>
        <v>0</v>
      </c>
      <c r="DI99">
        <f t="shared" si="17"/>
        <v>0</v>
      </c>
      <c r="DJ99">
        <f>DG99</f>
        <v>0.65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5">
      <c r="A100">
        <f>ROW(Source!A89)</f>
        <v>89</v>
      </c>
      <c r="B100">
        <v>55936046</v>
      </c>
      <c r="C100">
        <v>55936228</v>
      </c>
      <c r="D100">
        <v>55460882</v>
      </c>
      <c r="E100">
        <v>1</v>
      </c>
      <c r="F100">
        <v>1</v>
      </c>
      <c r="G100">
        <v>1081</v>
      </c>
      <c r="H100">
        <v>3</v>
      </c>
      <c r="I100" t="s">
        <v>273</v>
      </c>
      <c r="J100" t="s">
        <v>274</v>
      </c>
      <c r="K100" t="s">
        <v>275</v>
      </c>
      <c r="L100">
        <v>1348</v>
      </c>
      <c r="N100">
        <v>1009</v>
      </c>
      <c r="O100" t="s">
        <v>223</v>
      </c>
      <c r="P100" t="s">
        <v>223</v>
      </c>
      <c r="Q100">
        <v>1000</v>
      </c>
      <c r="W100">
        <v>0</v>
      </c>
      <c r="X100">
        <v>-1448166212</v>
      </c>
      <c r="Y100">
        <f>(AT100*1)</f>
        <v>9.0000000000000006E-5</v>
      </c>
      <c r="AA100">
        <v>14327.51</v>
      </c>
      <c r="AB100">
        <v>0</v>
      </c>
      <c r="AC100">
        <v>0</v>
      </c>
      <c r="AD100">
        <v>0</v>
      </c>
      <c r="AE100">
        <v>14327.51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1</v>
      </c>
      <c r="AM100">
        <v>-2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9.0000000000000006E-5</v>
      </c>
      <c r="AU100" t="s">
        <v>62</v>
      </c>
      <c r="AV100">
        <v>0</v>
      </c>
      <c r="AW100">
        <v>2</v>
      </c>
      <c r="AX100">
        <v>55936232</v>
      </c>
      <c r="AY100">
        <v>1</v>
      </c>
      <c r="AZ100">
        <v>0</v>
      </c>
      <c r="BA100">
        <v>124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v>0</v>
      </c>
      <c r="CX100">
        <f>ROUND(Y100*Source!I89,9)</f>
        <v>1.8000000000000001E-4</v>
      </c>
      <c r="CY100">
        <f>AA100</f>
        <v>14327.51</v>
      </c>
      <c r="CZ100">
        <f>AE100</f>
        <v>14327.51</v>
      </c>
      <c r="DA100">
        <f>AI100</f>
        <v>1</v>
      </c>
      <c r="DB100">
        <f>ROUND((ROUND(AT100*CZ100,2)*1),6)</f>
        <v>1.29</v>
      </c>
      <c r="DC100">
        <f>ROUND((ROUND(AT100*AG100,2)*1),6)</f>
        <v>0</v>
      </c>
      <c r="DD100" t="s">
        <v>3</v>
      </c>
      <c r="DE100" t="s">
        <v>3</v>
      </c>
      <c r="DF100">
        <f t="shared" si="23"/>
        <v>2.58</v>
      </c>
      <c r="DG100">
        <f t="shared" si="24"/>
        <v>0</v>
      </c>
      <c r="DH100">
        <f t="shared" si="25"/>
        <v>0</v>
      </c>
      <c r="DI100">
        <f t="shared" si="17"/>
        <v>0</v>
      </c>
      <c r="DJ100">
        <f>DF100</f>
        <v>2.58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5">
      <c r="A101">
        <f>ROW(Source!A89)</f>
        <v>89</v>
      </c>
      <c r="B101">
        <v>55936046</v>
      </c>
      <c r="C101">
        <v>55936228</v>
      </c>
      <c r="D101">
        <v>0</v>
      </c>
      <c r="E101">
        <v>0</v>
      </c>
      <c r="F101">
        <v>1</v>
      </c>
      <c r="G101">
        <v>1081</v>
      </c>
      <c r="H101">
        <v>3</v>
      </c>
      <c r="I101" t="s">
        <v>319</v>
      </c>
      <c r="J101" t="s">
        <v>319</v>
      </c>
      <c r="K101" t="s">
        <v>143</v>
      </c>
      <c r="L101">
        <v>1371</v>
      </c>
      <c r="N101">
        <v>1013</v>
      </c>
      <c r="O101" t="s">
        <v>144</v>
      </c>
      <c r="P101" t="s">
        <v>144</v>
      </c>
      <c r="Q101">
        <v>1</v>
      </c>
      <c r="W101">
        <v>0</v>
      </c>
      <c r="X101">
        <v>447976096</v>
      </c>
      <c r="Y101">
        <f>AT101</f>
        <v>10</v>
      </c>
      <c r="AA101">
        <v>19625.09</v>
      </c>
      <c r="AB101">
        <v>0</v>
      </c>
      <c r="AC101">
        <v>0</v>
      </c>
      <c r="AD101">
        <v>0</v>
      </c>
      <c r="AE101">
        <v>19625.09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1</v>
      </c>
      <c r="AL101">
        <v>1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  <c r="AS101" t="s">
        <v>3</v>
      </c>
      <c r="AT101">
        <v>10</v>
      </c>
      <c r="AU101" t="s">
        <v>3</v>
      </c>
      <c r="AV101">
        <v>0</v>
      </c>
      <c r="AW101">
        <v>1</v>
      </c>
      <c r="AX101">
        <v>-1</v>
      </c>
      <c r="AY101">
        <v>0</v>
      </c>
      <c r="AZ101">
        <v>0</v>
      </c>
      <c r="BA101" t="s">
        <v>3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v>0</v>
      </c>
      <c r="CX101">
        <f>ROUND(Y101*Source!I89,9)</f>
        <v>20</v>
      </c>
      <c r="CY101">
        <f>AA101</f>
        <v>19625.09</v>
      </c>
      <c r="CZ101">
        <f>AE101</f>
        <v>19625.09</v>
      </c>
      <c r="DA101">
        <f>AI101</f>
        <v>1</v>
      </c>
      <c r="DB101">
        <f>ROUND(ROUND(AT101*CZ101,2),6)</f>
        <v>196250.9</v>
      </c>
      <c r="DC101">
        <f>ROUND(ROUND(AT101*AG101,2),6)</f>
        <v>0</v>
      </c>
      <c r="DD101" t="s">
        <v>3</v>
      </c>
      <c r="DE101" t="s">
        <v>3</v>
      </c>
      <c r="DF101">
        <f t="shared" si="23"/>
        <v>392501.8</v>
      </c>
      <c r="DG101">
        <f t="shared" si="24"/>
        <v>0</v>
      </c>
      <c r="DH101">
        <f t="shared" si="25"/>
        <v>0</v>
      </c>
      <c r="DI101">
        <f t="shared" si="17"/>
        <v>0</v>
      </c>
      <c r="DJ101">
        <f>DF101</f>
        <v>392501.8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5">
      <c r="A102">
        <f>ROW(Source!A90)</f>
        <v>90</v>
      </c>
      <c r="B102">
        <v>55936048</v>
      </c>
      <c r="C102">
        <v>55936228</v>
      </c>
      <c r="D102">
        <v>55424304</v>
      </c>
      <c r="E102">
        <v>1081</v>
      </c>
      <c r="F102">
        <v>1</v>
      </c>
      <c r="G102">
        <v>1081</v>
      </c>
      <c r="H102">
        <v>1</v>
      </c>
      <c r="I102" t="s">
        <v>262</v>
      </c>
      <c r="J102" t="s">
        <v>3</v>
      </c>
      <c r="K102" t="s">
        <v>263</v>
      </c>
      <c r="L102">
        <v>1191</v>
      </c>
      <c r="N102">
        <v>1013</v>
      </c>
      <c r="O102" t="s">
        <v>264</v>
      </c>
      <c r="P102" t="s">
        <v>264</v>
      </c>
      <c r="Q102">
        <v>1</v>
      </c>
      <c r="W102">
        <v>0</v>
      </c>
      <c r="X102">
        <v>476480486</v>
      </c>
      <c r="Y102">
        <f>(AT102*1.2)</f>
        <v>35.951999999999998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1</v>
      </c>
      <c r="AL102">
        <v>1</v>
      </c>
      <c r="AM102">
        <v>5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29.96</v>
      </c>
      <c r="AU102" t="s">
        <v>63</v>
      </c>
      <c r="AV102">
        <v>1</v>
      </c>
      <c r="AW102">
        <v>2</v>
      </c>
      <c r="AX102">
        <v>55936229</v>
      </c>
      <c r="AY102">
        <v>1</v>
      </c>
      <c r="AZ102">
        <v>0</v>
      </c>
      <c r="BA102">
        <v>126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U102">
        <f>ROUND(AT102*Source!I90*AH102*AL102,2)</f>
        <v>0</v>
      </c>
      <c r="CV102">
        <f>ROUND(Y102*Source!I90,9)</f>
        <v>71.903999999999996</v>
      </c>
      <c r="CW102">
        <v>0</v>
      </c>
      <c r="CX102">
        <f>ROUND(Y102*Source!I90,9)</f>
        <v>71.903999999999996</v>
      </c>
      <c r="CY102">
        <f>AD102</f>
        <v>0</v>
      </c>
      <c r="CZ102">
        <f>AH102</f>
        <v>0</v>
      </c>
      <c r="DA102">
        <f>AL102</f>
        <v>1</v>
      </c>
      <c r="DB102">
        <f>ROUND((ROUND(AT102*CZ102,2)*1.2),6)</f>
        <v>0</v>
      </c>
      <c r="DC102">
        <f>ROUND((ROUND(AT102*AG102,2)*1.2),6)</f>
        <v>0</v>
      </c>
      <c r="DD102" t="s">
        <v>3</v>
      </c>
      <c r="DE102" t="s">
        <v>3</v>
      </c>
      <c r="DF102">
        <f t="shared" si="23"/>
        <v>0</v>
      </c>
      <c r="DG102">
        <f t="shared" si="24"/>
        <v>0</v>
      </c>
      <c r="DH102">
        <f t="shared" si="25"/>
        <v>0</v>
      </c>
      <c r="DI102">
        <f t="shared" si="17"/>
        <v>0</v>
      </c>
      <c r="DJ102">
        <f>DI102</f>
        <v>0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5">
      <c r="A103">
        <f>ROW(Source!A90)</f>
        <v>90</v>
      </c>
      <c r="B103">
        <v>55936048</v>
      </c>
      <c r="C103">
        <v>55936228</v>
      </c>
      <c r="D103">
        <v>55490209</v>
      </c>
      <c r="E103">
        <v>1</v>
      </c>
      <c r="F103">
        <v>1</v>
      </c>
      <c r="G103">
        <v>1081</v>
      </c>
      <c r="H103">
        <v>2</v>
      </c>
      <c r="I103" t="s">
        <v>265</v>
      </c>
      <c r="J103" t="s">
        <v>266</v>
      </c>
      <c r="K103" t="s">
        <v>267</v>
      </c>
      <c r="L103">
        <v>1368</v>
      </c>
      <c r="N103">
        <v>1011</v>
      </c>
      <c r="O103" t="s">
        <v>268</v>
      </c>
      <c r="P103" t="s">
        <v>268</v>
      </c>
      <c r="Q103">
        <v>1</v>
      </c>
      <c r="W103">
        <v>0</v>
      </c>
      <c r="X103">
        <v>874612079</v>
      </c>
      <c r="Y103">
        <f>(AT103*1.2)</f>
        <v>1.2E-2</v>
      </c>
      <c r="AA103">
        <v>0</v>
      </c>
      <c r="AB103">
        <v>1485.19</v>
      </c>
      <c r="AC103">
        <v>744.56</v>
      </c>
      <c r="AD103">
        <v>0</v>
      </c>
      <c r="AE103">
        <v>0</v>
      </c>
      <c r="AF103">
        <v>83.1</v>
      </c>
      <c r="AG103">
        <v>12.62</v>
      </c>
      <c r="AH103">
        <v>0</v>
      </c>
      <c r="AI103">
        <v>1</v>
      </c>
      <c r="AJ103">
        <v>17.07</v>
      </c>
      <c r="AK103">
        <v>56.35</v>
      </c>
      <c r="AL103">
        <v>1</v>
      </c>
      <c r="AM103">
        <v>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0.01</v>
      </c>
      <c r="AU103" t="s">
        <v>63</v>
      </c>
      <c r="AV103">
        <v>0</v>
      </c>
      <c r="AW103">
        <v>2</v>
      </c>
      <c r="AX103">
        <v>55936230</v>
      </c>
      <c r="AY103">
        <v>1</v>
      </c>
      <c r="AZ103">
        <v>0</v>
      </c>
      <c r="BA103">
        <v>127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V103">
        <v>0</v>
      </c>
      <c r="CW103">
        <f>ROUND(Y103*Source!I90*DO103,9)</f>
        <v>0.30287999999999998</v>
      </c>
      <c r="CX103">
        <f>ROUND(Y103*Source!I90,9)</f>
        <v>2.4E-2</v>
      </c>
      <c r="CY103">
        <f>AB103</f>
        <v>1485.19</v>
      </c>
      <c r="CZ103">
        <f>AF103</f>
        <v>83.1</v>
      </c>
      <c r="DA103">
        <f>AJ103</f>
        <v>17.07</v>
      </c>
      <c r="DB103">
        <f>ROUND((ROUND(AT103*CZ103,2)*1.2),6)</f>
        <v>0.996</v>
      </c>
      <c r="DC103">
        <f>ROUND((ROUND(AT103*AG103,2)*1.2),6)</f>
        <v>0.156</v>
      </c>
      <c r="DD103" t="s">
        <v>3</v>
      </c>
      <c r="DE103" t="s">
        <v>3</v>
      </c>
      <c r="DF103">
        <f t="shared" si="23"/>
        <v>0</v>
      </c>
      <c r="DG103">
        <f>ROUND(ROUND(AF103*AJ103,2)*CX103,2)</f>
        <v>34.04</v>
      </c>
      <c r="DH103">
        <f>ROUND(ROUND(AG103*AK103,2)*CX103,2)</f>
        <v>17.07</v>
      </c>
      <c r="DI103">
        <f t="shared" si="17"/>
        <v>0</v>
      </c>
      <c r="DJ103">
        <f>DG103</f>
        <v>34.04</v>
      </c>
      <c r="DK103">
        <v>0</v>
      </c>
      <c r="DL103" t="s">
        <v>269</v>
      </c>
      <c r="DM103">
        <v>0</v>
      </c>
      <c r="DN103" t="s">
        <v>264</v>
      </c>
      <c r="DO103">
        <v>12.62</v>
      </c>
    </row>
    <row r="104" spans="1:119" x14ac:dyDescent="0.25">
      <c r="A104">
        <f>ROW(Source!A90)</f>
        <v>90</v>
      </c>
      <c r="B104">
        <v>55936048</v>
      </c>
      <c r="C104">
        <v>55936228</v>
      </c>
      <c r="D104">
        <v>55490296</v>
      </c>
      <c r="E104">
        <v>1</v>
      </c>
      <c r="F104">
        <v>1</v>
      </c>
      <c r="G104">
        <v>1081</v>
      </c>
      <c r="H104">
        <v>2</v>
      </c>
      <c r="I104" t="s">
        <v>270</v>
      </c>
      <c r="J104" t="s">
        <v>271</v>
      </c>
      <c r="K104" t="s">
        <v>272</v>
      </c>
      <c r="L104">
        <v>1368</v>
      </c>
      <c r="N104">
        <v>1011</v>
      </c>
      <c r="O104" t="s">
        <v>268</v>
      </c>
      <c r="P104" t="s">
        <v>268</v>
      </c>
      <c r="Q104">
        <v>1</v>
      </c>
      <c r="W104">
        <v>0</v>
      </c>
      <c r="X104">
        <v>-643591644</v>
      </c>
      <c r="Y104">
        <f>(AT104*1.2)</f>
        <v>0.69599999999999995</v>
      </c>
      <c r="AA104">
        <v>0</v>
      </c>
      <c r="AB104">
        <v>4.75</v>
      </c>
      <c r="AC104">
        <v>0</v>
      </c>
      <c r="AD104">
        <v>0</v>
      </c>
      <c r="AE104">
        <v>0</v>
      </c>
      <c r="AF104">
        <v>0.47</v>
      </c>
      <c r="AG104">
        <v>0</v>
      </c>
      <c r="AH104">
        <v>0</v>
      </c>
      <c r="AI104">
        <v>1</v>
      </c>
      <c r="AJ104">
        <v>9.66</v>
      </c>
      <c r="AK104">
        <v>1</v>
      </c>
      <c r="AL104">
        <v>1</v>
      </c>
      <c r="AM104">
        <v>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0.57999999999999996</v>
      </c>
      <c r="AU104" t="s">
        <v>63</v>
      </c>
      <c r="AV104">
        <v>0</v>
      </c>
      <c r="AW104">
        <v>2</v>
      </c>
      <c r="AX104">
        <v>55936231</v>
      </c>
      <c r="AY104">
        <v>1</v>
      </c>
      <c r="AZ104">
        <v>0</v>
      </c>
      <c r="BA104">
        <v>128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f>ROUND(Y104*Source!I90*DO104,9)</f>
        <v>0</v>
      </c>
      <c r="CX104">
        <f>ROUND(Y104*Source!I90,9)</f>
        <v>1.3919999999999999</v>
      </c>
      <c r="CY104">
        <f>AB104</f>
        <v>4.75</v>
      </c>
      <c r="CZ104">
        <f>AF104</f>
        <v>0.47</v>
      </c>
      <c r="DA104">
        <f>AJ104</f>
        <v>9.66</v>
      </c>
      <c r="DB104">
        <f>ROUND((ROUND(AT104*CZ104,2)*1.2),6)</f>
        <v>0.32400000000000001</v>
      </c>
      <c r="DC104">
        <f>ROUND((ROUND(AT104*AG104,2)*1.2),6)</f>
        <v>0</v>
      </c>
      <c r="DD104" t="s">
        <v>3</v>
      </c>
      <c r="DE104" t="s">
        <v>3</v>
      </c>
      <c r="DF104">
        <f t="shared" si="23"/>
        <v>0</v>
      </c>
      <c r="DG104">
        <f>ROUND(ROUND(AF104*AJ104,2)*CX104,2)</f>
        <v>6.32</v>
      </c>
      <c r="DH104">
        <f t="shared" ref="DH104:DH131" si="26">ROUND(ROUND(AG104,2)*CX104,2)</f>
        <v>0</v>
      </c>
      <c r="DI104">
        <f t="shared" si="17"/>
        <v>0</v>
      </c>
      <c r="DJ104">
        <f>DG104</f>
        <v>6.32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5">
      <c r="A105">
        <f>ROW(Source!A90)</f>
        <v>90</v>
      </c>
      <c r="B105">
        <v>55936048</v>
      </c>
      <c r="C105">
        <v>55936228</v>
      </c>
      <c r="D105">
        <v>55460882</v>
      </c>
      <c r="E105">
        <v>1</v>
      </c>
      <c r="F105">
        <v>1</v>
      </c>
      <c r="G105">
        <v>1081</v>
      </c>
      <c r="H105">
        <v>3</v>
      </c>
      <c r="I105" t="s">
        <v>273</v>
      </c>
      <c r="J105" t="s">
        <v>274</v>
      </c>
      <c r="K105" t="s">
        <v>275</v>
      </c>
      <c r="L105">
        <v>1348</v>
      </c>
      <c r="N105">
        <v>1009</v>
      </c>
      <c r="O105" t="s">
        <v>223</v>
      </c>
      <c r="P105" t="s">
        <v>223</v>
      </c>
      <c r="Q105">
        <v>1000</v>
      </c>
      <c r="W105">
        <v>0</v>
      </c>
      <c r="X105">
        <v>-1448166212</v>
      </c>
      <c r="Y105">
        <f>(AT105*1)</f>
        <v>9.0000000000000006E-5</v>
      </c>
      <c r="AA105">
        <v>109175.63</v>
      </c>
      <c r="AB105">
        <v>0</v>
      </c>
      <c r="AC105">
        <v>0</v>
      </c>
      <c r="AD105">
        <v>0</v>
      </c>
      <c r="AE105">
        <v>14327.51</v>
      </c>
      <c r="AF105">
        <v>0</v>
      </c>
      <c r="AG105">
        <v>0</v>
      </c>
      <c r="AH105">
        <v>0</v>
      </c>
      <c r="AI105">
        <v>7.62</v>
      </c>
      <c r="AJ105">
        <v>1</v>
      </c>
      <c r="AK105">
        <v>1</v>
      </c>
      <c r="AL105">
        <v>1</v>
      </c>
      <c r="AM105">
        <v>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9.0000000000000006E-5</v>
      </c>
      <c r="AU105" t="s">
        <v>62</v>
      </c>
      <c r="AV105">
        <v>0</v>
      </c>
      <c r="AW105">
        <v>2</v>
      </c>
      <c r="AX105">
        <v>55936232</v>
      </c>
      <c r="AY105">
        <v>1</v>
      </c>
      <c r="AZ105">
        <v>0</v>
      </c>
      <c r="BA105">
        <v>129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v>0</v>
      </c>
      <c r="CX105">
        <f>ROUND(Y105*Source!I90,9)</f>
        <v>1.8000000000000001E-4</v>
      </c>
      <c r="CY105">
        <f>AA105</f>
        <v>109175.63</v>
      </c>
      <c r="CZ105">
        <f>AE105</f>
        <v>14327.51</v>
      </c>
      <c r="DA105">
        <f>AI105</f>
        <v>7.62</v>
      </c>
      <c r="DB105">
        <f>ROUND((ROUND(AT105*CZ105,2)*1),6)</f>
        <v>1.29</v>
      </c>
      <c r="DC105">
        <f>ROUND((ROUND(AT105*AG105,2)*1),6)</f>
        <v>0</v>
      </c>
      <c r="DD105" t="s">
        <v>3</v>
      </c>
      <c r="DE105" t="s">
        <v>3</v>
      </c>
      <c r="DF105">
        <f>ROUND(ROUND(AE105*AI105,2)*CX105,2)</f>
        <v>19.649999999999999</v>
      </c>
      <c r="DG105">
        <f t="shared" ref="DG105:DG131" si="27">ROUND(ROUND(AF105,2)*CX105,2)</f>
        <v>0</v>
      </c>
      <c r="DH105">
        <f t="shared" si="26"/>
        <v>0</v>
      </c>
      <c r="DI105">
        <f t="shared" si="17"/>
        <v>0</v>
      </c>
      <c r="DJ105">
        <f>DF105</f>
        <v>19.649999999999999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5">
      <c r="A106">
        <f>ROW(Source!A90)</f>
        <v>90</v>
      </c>
      <c r="B106">
        <v>55936048</v>
      </c>
      <c r="C106">
        <v>55936228</v>
      </c>
      <c r="D106">
        <v>0</v>
      </c>
      <c r="E106">
        <v>0</v>
      </c>
      <c r="F106">
        <v>1</v>
      </c>
      <c r="G106">
        <v>1081</v>
      </c>
      <c r="H106">
        <v>3</v>
      </c>
      <c r="I106" t="s">
        <v>319</v>
      </c>
      <c r="J106" t="s">
        <v>319</v>
      </c>
      <c r="K106" t="s">
        <v>143</v>
      </c>
      <c r="L106">
        <v>1371</v>
      </c>
      <c r="N106">
        <v>1013</v>
      </c>
      <c r="O106" t="s">
        <v>144</v>
      </c>
      <c r="P106" t="s">
        <v>144</v>
      </c>
      <c r="Q106">
        <v>1</v>
      </c>
      <c r="W106">
        <v>0</v>
      </c>
      <c r="X106">
        <v>447976096</v>
      </c>
      <c r="Y106">
        <f>AT106</f>
        <v>10</v>
      </c>
      <c r="AA106">
        <v>148561.93</v>
      </c>
      <c r="AB106">
        <v>0</v>
      </c>
      <c r="AC106">
        <v>0</v>
      </c>
      <c r="AD106">
        <v>0</v>
      </c>
      <c r="AE106">
        <v>19625.09</v>
      </c>
      <c r="AF106">
        <v>0</v>
      </c>
      <c r="AG106">
        <v>0</v>
      </c>
      <c r="AH106">
        <v>0</v>
      </c>
      <c r="AI106">
        <v>7.57</v>
      </c>
      <c r="AJ106">
        <v>1</v>
      </c>
      <c r="AK106">
        <v>1</v>
      </c>
      <c r="AL106">
        <v>1</v>
      </c>
      <c r="AM106">
        <v>0</v>
      </c>
      <c r="AN106">
        <v>0</v>
      </c>
      <c r="AO106">
        <v>0</v>
      </c>
      <c r="AP106">
        <v>1</v>
      </c>
      <c r="AQ106">
        <v>0</v>
      </c>
      <c r="AR106">
        <v>0</v>
      </c>
      <c r="AS106" t="s">
        <v>3</v>
      </c>
      <c r="AT106">
        <v>10</v>
      </c>
      <c r="AU106" t="s">
        <v>3</v>
      </c>
      <c r="AV106">
        <v>0</v>
      </c>
      <c r="AW106">
        <v>1</v>
      </c>
      <c r="AX106">
        <v>-1</v>
      </c>
      <c r="AY106">
        <v>0</v>
      </c>
      <c r="AZ106">
        <v>0</v>
      </c>
      <c r="BA106" t="s">
        <v>3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v>0</v>
      </c>
      <c r="CX106">
        <f>ROUND(Y106*Source!I90,9)</f>
        <v>20</v>
      </c>
      <c r="CY106">
        <f>AA106</f>
        <v>148561.93</v>
      </c>
      <c r="CZ106">
        <f>AE106</f>
        <v>19625.09</v>
      </c>
      <c r="DA106">
        <f>AI106</f>
        <v>7.57</v>
      </c>
      <c r="DB106">
        <f>ROUND(ROUND(AT106*CZ106,2),6)</f>
        <v>196250.9</v>
      </c>
      <c r="DC106">
        <f>ROUND(ROUND(AT106*AG106,2),6)</f>
        <v>0</v>
      </c>
      <c r="DD106" t="s">
        <v>3</v>
      </c>
      <c r="DE106" t="s">
        <v>3</v>
      </c>
      <c r="DF106">
        <f>ROUND(ROUND(AE106*AI106,2)*CX106,2)</f>
        <v>2971238.6</v>
      </c>
      <c r="DG106">
        <f t="shared" si="27"/>
        <v>0</v>
      </c>
      <c r="DH106">
        <f t="shared" si="26"/>
        <v>0</v>
      </c>
      <c r="DI106">
        <f t="shared" si="17"/>
        <v>0</v>
      </c>
      <c r="DJ106">
        <f>DF106</f>
        <v>2971238.6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5">
      <c r="A107">
        <f>ROW(Source!A93)</f>
        <v>93</v>
      </c>
      <c r="B107">
        <v>55936046</v>
      </c>
      <c r="C107">
        <v>57036855</v>
      </c>
      <c r="D107">
        <v>55424304</v>
      </c>
      <c r="E107">
        <v>1081</v>
      </c>
      <c r="F107">
        <v>1</v>
      </c>
      <c r="G107">
        <v>1081</v>
      </c>
      <c r="H107">
        <v>1</v>
      </c>
      <c r="I107" t="s">
        <v>262</v>
      </c>
      <c r="J107" t="s">
        <v>3</v>
      </c>
      <c r="K107" t="s">
        <v>263</v>
      </c>
      <c r="L107">
        <v>1191</v>
      </c>
      <c r="N107">
        <v>1013</v>
      </c>
      <c r="O107" t="s">
        <v>264</v>
      </c>
      <c r="P107" t="s">
        <v>264</v>
      </c>
      <c r="Q107">
        <v>1</v>
      </c>
      <c r="W107">
        <v>0</v>
      </c>
      <c r="X107">
        <v>476480486</v>
      </c>
      <c r="Y107">
        <f>(AT107*1.2)</f>
        <v>1.2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1</v>
      </c>
      <c r="AK107">
        <v>1</v>
      </c>
      <c r="AL107">
        <v>1</v>
      </c>
      <c r="AM107">
        <v>-2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1</v>
      </c>
      <c r="AU107" t="s">
        <v>63</v>
      </c>
      <c r="AV107">
        <v>1</v>
      </c>
      <c r="AW107">
        <v>2</v>
      </c>
      <c r="AX107">
        <v>57036856</v>
      </c>
      <c r="AY107">
        <v>1</v>
      </c>
      <c r="AZ107">
        <v>0</v>
      </c>
      <c r="BA107">
        <v>131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U107">
        <f>ROUND(AT107*Source!I93*AH107*AL107,2)</f>
        <v>0</v>
      </c>
      <c r="CV107">
        <f>ROUND(Y107*Source!I93,9)</f>
        <v>25.2</v>
      </c>
      <c r="CW107">
        <v>0</v>
      </c>
      <c r="CX107">
        <f>ROUND(Y107*Source!I93,9)</f>
        <v>25.2</v>
      </c>
      <c r="CY107">
        <f>AD107</f>
        <v>0</v>
      </c>
      <c r="CZ107">
        <f>AH107</f>
        <v>0</v>
      </c>
      <c r="DA107">
        <f>AL107</f>
        <v>1</v>
      </c>
      <c r="DB107">
        <f>ROUND((ROUND(AT107*CZ107,2)*1.2),6)</f>
        <v>0</v>
      </c>
      <c r="DC107">
        <f>ROUND((ROUND(AT107*AG107,2)*1.2),6)</f>
        <v>0</v>
      </c>
      <c r="DD107" t="s">
        <v>3</v>
      </c>
      <c r="DE107" t="s">
        <v>3</v>
      </c>
      <c r="DF107">
        <f>ROUND(ROUND(AE107,2)*CX107,2)</f>
        <v>0</v>
      </c>
      <c r="DG107">
        <f t="shared" si="27"/>
        <v>0</v>
      </c>
      <c r="DH107">
        <f t="shared" si="26"/>
        <v>0</v>
      </c>
      <c r="DI107">
        <f t="shared" si="17"/>
        <v>0</v>
      </c>
      <c r="DJ107">
        <f>DI107</f>
        <v>0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5">
      <c r="A108">
        <f>ROW(Source!A93)</f>
        <v>93</v>
      </c>
      <c r="B108">
        <v>55936046</v>
      </c>
      <c r="C108">
        <v>57036855</v>
      </c>
      <c r="D108">
        <v>55459793</v>
      </c>
      <c r="E108">
        <v>1</v>
      </c>
      <c r="F108">
        <v>1</v>
      </c>
      <c r="G108">
        <v>1081</v>
      </c>
      <c r="H108">
        <v>3</v>
      </c>
      <c r="I108" t="s">
        <v>279</v>
      </c>
      <c r="J108" t="s">
        <v>280</v>
      </c>
      <c r="K108" t="s">
        <v>281</v>
      </c>
      <c r="L108">
        <v>1348</v>
      </c>
      <c r="N108">
        <v>1009</v>
      </c>
      <c r="O108" t="s">
        <v>223</v>
      </c>
      <c r="P108" t="s">
        <v>223</v>
      </c>
      <c r="Q108">
        <v>1000</v>
      </c>
      <c r="W108">
        <v>0</v>
      </c>
      <c r="X108">
        <v>-761454284</v>
      </c>
      <c r="Y108">
        <f>(AT108*1)</f>
        <v>1.0000000000000001E-5</v>
      </c>
      <c r="AA108">
        <v>64123.05</v>
      </c>
      <c r="AB108">
        <v>0</v>
      </c>
      <c r="AC108">
        <v>0</v>
      </c>
      <c r="AD108">
        <v>0</v>
      </c>
      <c r="AE108">
        <v>64123.05</v>
      </c>
      <c r="AF108">
        <v>0</v>
      </c>
      <c r="AG108">
        <v>0</v>
      </c>
      <c r="AH108">
        <v>0</v>
      </c>
      <c r="AI108">
        <v>1</v>
      </c>
      <c r="AJ108">
        <v>1</v>
      </c>
      <c r="AK108">
        <v>1</v>
      </c>
      <c r="AL108">
        <v>1</v>
      </c>
      <c r="AM108">
        <v>-2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1.0000000000000001E-5</v>
      </c>
      <c r="AU108" t="s">
        <v>62</v>
      </c>
      <c r="AV108">
        <v>0</v>
      </c>
      <c r="AW108">
        <v>2</v>
      </c>
      <c r="AX108">
        <v>57036857</v>
      </c>
      <c r="AY108">
        <v>1</v>
      </c>
      <c r="AZ108">
        <v>0</v>
      </c>
      <c r="BA108">
        <v>132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ROUND(Y108*Source!I93,9)</f>
        <v>2.1000000000000001E-4</v>
      </c>
      <c r="CY108">
        <f>AA108</f>
        <v>64123.05</v>
      </c>
      <c r="CZ108">
        <f>AE108</f>
        <v>64123.05</v>
      </c>
      <c r="DA108">
        <f>AI108</f>
        <v>1</v>
      </c>
      <c r="DB108">
        <f>ROUND((ROUND(AT108*CZ108,2)*1),6)</f>
        <v>0.64</v>
      </c>
      <c r="DC108">
        <f>ROUND((ROUND(AT108*AG108,2)*1),6)</f>
        <v>0</v>
      </c>
      <c r="DD108" t="s">
        <v>3</v>
      </c>
      <c r="DE108" t="s">
        <v>3</v>
      </c>
      <c r="DF108">
        <f>ROUND(ROUND(AE108,2)*CX108,2)</f>
        <v>13.47</v>
      </c>
      <c r="DG108">
        <f t="shared" si="27"/>
        <v>0</v>
      </c>
      <c r="DH108">
        <f t="shared" si="26"/>
        <v>0</v>
      </c>
      <c r="DI108">
        <f t="shared" si="17"/>
        <v>0</v>
      </c>
      <c r="DJ108">
        <f>DF108</f>
        <v>13.47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5">
      <c r="A109">
        <f>ROW(Source!A93)</f>
        <v>93</v>
      </c>
      <c r="B109">
        <v>55936046</v>
      </c>
      <c r="C109">
        <v>57036855</v>
      </c>
      <c r="D109">
        <v>55487942</v>
      </c>
      <c r="E109">
        <v>1</v>
      </c>
      <c r="F109">
        <v>1</v>
      </c>
      <c r="G109">
        <v>1081</v>
      </c>
      <c r="H109">
        <v>3</v>
      </c>
      <c r="I109" t="s">
        <v>288</v>
      </c>
      <c r="J109" t="s">
        <v>289</v>
      </c>
      <c r="K109" t="s">
        <v>290</v>
      </c>
      <c r="L109">
        <v>1303</v>
      </c>
      <c r="N109">
        <v>1003</v>
      </c>
      <c r="O109" t="s">
        <v>291</v>
      </c>
      <c r="P109" t="s">
        <v>291</v>
      </c>
      <c r="Q109">
        <v>1000</v>
      </c>
      <c r="W109">
        <v>0</v>
      </c>
      <c r="X109">
        <v>-1692873835</v>
      </c>
      <c r="Y109">
        <f>(AT109*1)</f>
        <v>2E-3</v>
      </c>
      <c r="AA109">
        <v>516.63</v>
      </c>
      <c r="AB109">
        <v>0</v>
      </c>
      <c r="AC109">
        <v>0</v>
      </c>
      <c r="AD109">
        <v>0</v>
      </c>
      <c r="AE109">
        <v>516.63</v>
      </c>
      <c r="AF109">
        <v>0</v>
      </c>
      <c r="AG109">
        <v>0</v>
      </c>
      <c r="AH109">
        <v>0</v>
      </c>
      <c r="AI109">
        <v>1</v>
      </c>
      <c r="AJ109">
        <v>1</v>
      </c>
      <c r="AK109">
        <v>1</v>
      </c>
      <c r="AL109">
        <v>1</v>
      </c>
      <c r="AM109">
        <v>-2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2E-3</v>
      </c>
      <c r="AU109" t="s">
        <v>62</v>
      </c>
      <c r="AV109">
        <v>0</v>
      </c>
      <c r="AW109">
        <v>2</v>
      </c>
      <c r="AX109">
        <v>57036858</v>
      </c>
      <c r="AY109">
        <v>1</v>
      </c>
      <c r="AZ109">
        <v>0</v>
      </c>
      <c r="BA109">
        <v>133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V109">
        <v>0</v>
      </c>
      <c r="CW109">
        <v>0</v>
      </c>
      <c r="CX109">
        <f>ROUND(Y109*Source!I93,9)</f>
        <v>4.2000000000000003E-2</v>
      </c>
      <c r="CY109">
        <f>AA109</f>
        <v>516.63</v>
      </c>
      <c r="CZ109">
        <f>AE109</f>
        <v>516.63</v>
      </c>
      <c r="DA109">
        <f>AI109</f>
        <v>1</v>
      </c>
      <c r="DB109">
        <f>ROUND((ROUND(AT109*CZ109,2)*1),6)</f>
        <v>1.03</v>
      </c>
      <c r="DC109">
        <f>ROUND((ROUND(AT109*AG109,2)*1),6)</f>
        <v>0</v>
      </c>
      <c r="DD109" t="s">
        <v>3</v>
      </c>
      <c r="DE109" t="s">
        <v>3</v>
      </c>
      <c r="DF109">
        <f>ROUND(ROUND(AE109,2)*CX109,2)</f>
        <v>21.7</v>
      </c>
      <c r="DG109">
        <f t="shared" si="27"/>
        <v>0</v>
      </c>
      <c r="DH109">
        <f t="shared" si="26"/>
        <v>0</v>
      </c>
      <c r="DI109">
        <f t="shared" si="17"/>
        <v>0</v>
      </c>
      <c r="DJ109">
        <f>DF109</f>
        <v>21.7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5">
      <c r="A110">
        <f>ROW(Source!A94)</f>
        <v>94</v>
      </c>
      <c r="B110">
        <v>55936048</v>
      </c>
      <c r="C110">
        <v>57036855</v>
      </c>
      <c r="D110">
        <v>55424304</v>
      </c>
      <c r="E110">
        <v>1081</v>
      </c>
      <c r="F110">
        <v>1</v>
      </c>
      <c r="G110">
        <v>1081</v>
      </c>
      <c r="H110">
        <v>1</v>
      </c>
      <c r="I110" t="s">
        <v>262</v>
      </c>
      <c r="J110" t="s">
        <v>3</v>
      </c>
      <c r="K110" t="s">
        <v>263</v>
      </c>
      <c r="L110">
        <v>1191</v>
      </c>
      <c r="N110">
        <v>1013</v>
      </c>
      <c r="O110" t="s">
        <v>264</v>
      </c>
      <c r="P110" t="s">
        <v>264</v>
      </c>
      <c r="Q110">
        <v>1</v>
      </c>
      <c r="W110">
        <v>0</v>
      </c>
      <c r="X110">
        <v>476480486</v>
      </c>
      <c r="Y110">
        <f>(AT110*1.2)</f>
        <v>1.2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1</v>
      </c>
      <c r="AK110">
        <v>1</v>
      </c>
      <c r="AL110">
        <v>1</v>
      </c>
      <c r="AM110">
        <v>5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1</v>
      </c>
      <c r="AU110" t="s">
        <v>63</v>
      </c>
      <c r="AV110">
        <v>1</v>
      </c>
      <c r="AW110">
        <v>2</v>
      </c>
      <c r="AX110">
        <v>57036856</v>
      </c>
      <c r="AY110">
        <v>1</v>
      </c>
      <c r="AZ110">
        <v>0</v>
      </c>
      <c r="BA110">
        <v>135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U110">
        <f>ROUND(AT110*Source!I94*AH110*AL110,2)</f>
        <v>0</v>
      </c>
      <c r="CV110">
        <f>ROUND(Y110*Source!I94,9)</f>
        <v>25.2</v>
      </c>
      <c r="CW110">
        <v>0</v>
      </c>
      <c r="CX110">
        <f>ROUND(Y110*Source!I94,9)</f>
        <v>25.2</v>
      </c>
      <c r="CY110">
        <f>AD110</f>
        <v>0</v>
      </c>
      <c r="CZ110">
        <f>AH110</f>
        <v>0</v>
      </c>
      <c r="DA110">
        <f>AL110</f>
        <v>1</v>
      </c>
      <c r="DB110">
        <f>ROUND((ROUND(AT110*CZ110,2)*1.2),6)</f>
        <v>0</v>
      </c>
      <c r="DC110">
        <f>ROUND((ROUND(AT110*AG110,2)*1.2),6)</f>
        <v>0</v>
      </c>
      <c r="DD110" t="s">
        <v>3</v>
      </c>
      <c r="DE110" t="s">
        <v>3</v>
      </c>
      <c r="DF110">
        <f>ROUND(ROUND(AE110,2)*CX110,2)</f>
        <v>0</v>
      </c>
      <c r="DG110">
        <f t="shared" si="27"/>
        <v>0</v>
      </c>
      <c r="DH110">
        <f t="shared" si="26"/>
        <v>0</v>
      </c>
      <c r="DI110">
        <f t="shared" si="17"/>
        <v>0</v>
      </c>
      <c r="DJ110">
        <f>DI110</f>
        <v>0</v>
      </c>
      <c r="DK110">
        <v>0</v>
      </c>
      <c r="DL110" t="s">
        <v>3</v>
      </c>
      <c r="DM110">
        <v>0</v>
      </c>
      <c r="DN110" t="s">
        <v>3</v>
      </c>
      <c r="DO110">
        <v>0</v>
      </c>
    </row>
    <row r="111" spans="1:119" x14ac:dyDescent="0.25">
      <c r="A111">
        <f>ROW(Source!A94)</f>
        <v>94</v>
      </c>
      <c r="B111">
        <v>55936048</v>
      </c>
      <c r="C111">
        <v>57036855</v>
      </c>
      <c r="D111">
        <v>55459793</v>
      </c>
      <c r="E111">
        <v>1</v>
      </c>
      <c r="F111">
        <v>1</v>
      </c>
      <c r="G111">
        <v>1081</v>
      </c>
      <c r="H111">
        <v>3</v>
      </c>
      <c r="I111" t="s">
        <v>279</v>
      </c>
      <c r="J111" t="s">
        <v>280</v>
      </c>
      <c r="K111" t="s">
        <v>281</v>
      </c>
      <c r="L111">
        <v>1348</v>
      </c>
      <c r="N111">
        <v>1009</v>
      </c>
      <c r="O111" t="s">
        <v>223</v>
      </c>
      <c r="P111" t="s">
        <v>223</v>
      </c>
      <c r="Q111">
        <v>1000</v>
      </c>
      <c r="W111">
        <v>0</v>
      </c>
      <c r="X111">
        <v>-761454284</v>
      </c>
      <c r="Y111">
        <f>(AT111*1)</f>
        <v>1.0000000000000001E-5</v>
      </c>
      <c r="AA111">
        <v>1930745.04</v>
      </c>
      <c r="AB111">
        <v>0</v>
      </c>
      <c r="AC111">
        <v>0</v>
      </c>
      <c r="AD111">
        <v>0</v>
      </c>
      <c r="AE111">
        <v>64123.05</v>
      </c>
      <c r="AF111">
        <v>0</v>
      </c>
      <c r="AG111">
        <v>0</v>
      </c>
      <c r="AH111">
        <v>0</v>
      </c>
      <c r="AI111">
        <v>30.11</v>
      </c>
      <c r="AJ111">
        <v>1</v>
      </c>
      <c r="AK111">
        <v>1</v>
      </c>
      <c r="AL111">
        <v>1</v>
      </c>
      <c r="AM111">
        <v>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1.0000000000000001E-5</v>
      </c>
      <c r="AU111" t="s">
        <v>62</v>
      </c>
      <c r="AV111">
        <v>0</v>
      </c>
      <c r="AW111">
        <v>2</v>
      </c>
      <c r="AX111">
        <v>57036857</v>
      </c>
      <c r="AY111">
        <v>1</v>
      </c>
      <c r="AZ111">
        <v>0</v>
      </c>
      <c r="BA111">
        <v>136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v>0</v>
      </c>
      <c r="CX111">
        <f>ROUND(Y111*Source!I94,9)</f>
        <v>2.1000000000000001E-4</v>
      </c>
      <c r="CY111">
        <f>AA111</f>
        <v>1930745.04</v>
      </c>
      <c r="CZ111">
        <f>AE111</f>
        <v>64123.05</v>
      </c>
      <c r="DA111">
        <f>AI111</f>
        <v>30.11</v>
      </c>
      <c r="DB111">
        <f>ROUND((ROUND(AT111*CZ111,2)*1),6)</f>
        <v>0.64</v>
      </c>
      <c r="DC111">
        <f>ROUND((ROUND(AT111*AG111,2)*1),6)</f>
        <v>0</v>
      </c>
      <c r="DD111" t="s">
        <v>3</v>
      </c>
      <c r="DE111" t="s">
        <v>3</v>
      </c>
      <c r="DF111">
        <f>ROUND(ROUND(AE111*AI111,2)*CX111,2)</f>
        <v>405.46</v>
      </c>
      <c r="DG111">
        <f t="shared" si="27"/>
        <v>0</v>
      </c>
      <c r="DH111">
        <f t="shared" si="26"/>
        <v>0</v>
      </c>
      <c r="DI111">
        <f t="shared" si="17"/>
        <v>0</v>
      </c>
      <c r="DJ111">
        <f>DF111</f>
        <v>405.46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5">
      <c r="A112">
        <f>ROW(Source!A94)</f>
        <v>94</v>
      </c>
      <c r="B112">
        <v>55936048</v>
      </c>
      <c r="C112">
        <v>57036855</v>
      </c>
      <c r="D112">
        <v>55487942</v>
      </c>
      <c r="E112">
        <v>1</v>
      </c>
      <c r="F112">
        <v>1</v>
      </c>
      <c r="G112">
        <v>1081</v>
      </c>
      <c r="H112">
        <v>3</v>
      </c>
      <c r="I112" t="s">
        <v>288</v>
      </c>
      <c r="J112" t="s">
        <v>289</v>
      </c>
      <c r="K112" t="s">
        <v>290</v>
      </c>
      <c r="L112">
        <v>1303</v>
      </c>
      <c r="N112">
        <v>1003</v>
      </c>
      <c r="O112" t="s">
        <v>291</v>
      </c>
      <c r="P112" t="s">
        <v>291</v>
      </c>
      <c r="Q112">
        <v>1000</v>
      </c>
      <c r="W112">
        <v>0</v>
      </c>
      <c r="X112">
        <v>-1692873835</v>
      </c>
      <c r="Y112">
        <f>(AT112*1)</f>
        <v>2E-3</v>
      </c>
      <c r="AA112">
        <v>5269.63</v>
      </c>
      <c r="AB112">
        <v>0</v>
      </c>
      <c r="AC112">
        <v>0</v>
      </c>
      <c r="AD112">
        <v>0</v>
      </c>
      <c r="AE112">
        <v>516.63</v>
      </c>
      <c r="AF112">
        <v>0</v>
      </c>
      <c r="AG112">
        <v>0</v>
      </c>
      <c r="AH112">
        <v>0</v>
      </c>
      <c r="AI112">
        <v>10.199999999999999</v>
      </c>
      <c r="AJ112">
        <v>1</v>
      </c>
      <c r="AK112">
        <v>1</v>
      </c>
      <c r="AL112">
        <v>1</v>
      </c>
      <c r="AM112">
        <v>2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2E-3</v>
      </c>
      <c r="AU112" t="s">
        <v>62</v>
      </c>
      <c r="AV112">
        <v>0</v>
      </c>
      <c r="AW112">
        <v>2</v>
      </c>
      <c r="AX112">
        <v>57036858</v>
      </c>
      <c r="AY112">
        <v>1</v>
      </c>
      <c r="AZ112">
        <v>0</v>
      </c>
      <c r="BA112">
        <v>137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v>0</v>
      </c>
      <c r="CX112">
        <f>ROUND(Y112*Source!I94,9)</f>
        <v>4.2000000000000003E-2</v>
      </c>
      <c r="CY112">
        <f>AA112</f>
        <v>5269.63</v>
      </c>
      <c r="CZ112">
        <f>AE112</f>
        <v>516.63</v>
      </c>
      <c r="DA112">
        <f>AI112</f>
        <v>10.199999999999999</v>
      </c>
      <c r="DB112">
        <f>ROUND((ROUND(AT112*CZ112,2)*1),6)</f>
        <v>1.03</v>
      </c>
      <c r="DC112">
        <f>ROUND((ROUND(AT112*AG112,2)*1),6)</f>
        <v>0</v>
      </c>
      <c r="DD112" t="s">
        <v>3</v>
      </c>
      <c r="DE112" t="s">
        <v>3</v>
      </c>
      <c r="DF112">
        <f>ROUND(ROUND(AE112*AI112,2)*CX112,2)</f>
        <v>221.32</v>
      </c>
      <c r="DG112">
        <f t="shared" si="27"/>
        <v>0</v>
      </c>
      <c r="DH112">
        <f t="shared" si="26"/>
        <v>0</v>
      </c>
      <c r="DI112">
        <f t="shared" si="17"/>
        <v>0</v>
      </c>
      <c r="DJ112">
        <f>DF112</f>
        <v>221.32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5">
      <c r="A113">
        <f>ROW(Source!A95)</f>
        <v>95</v>
      </c>
      <c r="B113">
        <v>55936046</v>
      </c>
      <c r="C113">
        <v>55936242</v>
      </c>
      <c r="D113">
        <v>55424304</v>
      </c>
      <c r="E113">
        <v>1081</v>
      </c>
      <c r="F113">
        <v>1</v>
      </c>
      <c r="G113">
        <v>1081</v>
      </c>
      <c r="H113">
        <v>1</v>
      </c>
      <c r="I113" t="s">
        <v>262</v>
      </c>
      <c r="J113" t="s">
        <v>3</v>
      </c>
      <c r="K113" t="s">
        <v>263</v>
      </c>
      <c r="L113">
        <v>1191</v>
      </c>
      <c r="N113">
        <v>1013</v>
      </c>
      <c r="O113" t="s">
        <v>264</v>
      </c>
      <c r="P113" t="s">
        <v>264</v>
      </c>
      <c r="Q113">
        <v>1</v>
      </c>
      <c r="W113">
        <v>0</v>
      </c>
      <c r="X113">
        <v>476480486</v>
      </c>
      <c r="Y113">
        <f>(AT113*1.2)</f>
        <v>1.008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-2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0.84</v>
      </c>
      <c r="AU113" t="s">
        <v>63</v>
      </c>
      <c r="AV113">
        <v>1</v>
      </c>
      <c r="AW113">
        <v>2</v>
      </c>
      <c r="AX113">
        <v>55936243</v>
      </c>
      <c r="AY113">
        <v>1</v>
      </c>
      <c r="AZ113">
        <v>0</v>
      </c>
      <c r="BA113">
        <v>139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U113">
        <f>ROUND(AT113*Source!I95*AH113*AL113,2)</f>
        <v>0</v>
      </c>
      <c r="CV113">
        <f>ROUND(Y113*Source!I95,9)</f>
        <v>21.167999999999999</v>
      </c>
      <c r="CW113">
        <v>0</v>
      </c>
      <c r="CX113">
        <f>ROUND(Y113*Source!I95,9)</f>
        <v>21.167999999999999</v>
      </c>
      <c r="CY113">
        <f>AD113</f>
        <v>0</v>
      </c>
      <c r="CZ113">
        <f>AH113</f>
        <v>0</v>
      </c>
      <c r="DA113">
        <f>AL113</f>
        <v>1</v>
      </c>
      <c r="DB113">
        <f>ROUND((ROUND(AT113*CZ113,2)*1.2),6)</f>
        <v>0</v>
      </c>
      <c r="DC113">
        <f>ROUND((ROUND(AT113*AG113,2)*1.2),6)</f>
        <v>0</v>
      </c>
      <c r="DD113" t="s">
        <v>3</v>
      </c>
      <c r="DE113" t="s">
        <v>3</v>
      </c>
      <c r="DF113">
        <f t="shared" ref="DF113:DF120" si="28">ROUND(ROUND(AE113,2)*CX113,2)</f>
        <v>0</v>
      </c>
      <c r="DG113">
        <f t="shared" si="27"/>
        <v>0</v>
      </c>
      <c r="DH113">
        <f t="shared" si="26"/>
        <v>0</v>
      </c>
      <c r="DI113">
        <f t="shared" si="17"/>
        <v>0</v>
      </c>
      <c r="DJ113">
        <f>DI113</f>
        <v>0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5">
      <c r="A114">
        <f>ROW(Source!A96)</f>
        <v>96</v>
      </c>
      <c r="B114">
        <v>55936048</v>
      </c>
      <c r="C114">
        <v>55936242</v>
      </c>
      <c r="D114">
        <v>55424304</v>
      </c>
      <c r="E114">
        <v>1081</v>
      </c>
      <c r="F114">
        <v>1</v>
      </c>
      <c r="G114">
        <v>1081</v>
      </c>
      <c r="H114">
        <v>1</v>
      </c>
      <c r="I114" t="s">
        <v>262</v>
      </c>
      <c r="J114" t="s">
        <v>3</v>
      </c>
      <c r="K114" t="s">
        <v>263</v>
      </c>
      <c r="L114">
        <v>1191</v>
      </c>
      <c r="N114">
        <v>1013</v>
      </c>
      <c r="O114" t="s">
        <v>264</v>
      </c>
      <c r="P114" t="s">
        <v>264</v>
      </c>
      <c r="Q114">
        <v>1</v>
      </c>
      <c r="W114">
        <v>0</v>
      </c>
      <c r="X114">
        <v>476480486</v>
      </c>
      <c r="Y114">
        <f>(AT114*1.2)</f>
        <v>1.008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5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0.84</v>
      </c>
      <c r="AU114" t="s">
        <v>63</v>
      </c>
      <c r="AV114">
        <v>1</v>
      </c>
      <c r="AW114">
        <v>2</v>
      </c>
      <c r="AX114">
        <v>55936243</v>
      </c>
      <c r="AY114">
        <v>1</v>
      </c>
      <c r="AZ114">
        <v>0</v>
      </c>
      <c r="BA114">
        <v>140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U114">
        <f>ROUND(AT114*Source!I96*AH114*AL114,2)</f>
        <v>0</v>
      </c>
      <c r="CV114">
        <f>ROUND(Y114*Source!I96,9)</f>
        <v>21.167999999999999</v>
      </c>
      <c r="CW114">
        <v>0</v>
      </c>
      <c r="CX114">
        <f>ROUND(Y114*Source!I96,9)</f>
        <v>21.167999999999999</v>
      </c>
      <c r="CY114">
        <f>AD114</f>
        <v>0</v>
      </c>
      <c r="CZ114">
        <f>AH114</f>
        <v>0</v>
      </c>
      <c r="DA114">
        <f>AL114</f>
        <v>1</v>
      </c>
      <c r="DB114">
        <f>ROUND((ROUND(AT114*CZ114,2)*1.2),6)</f>
        <v>0</v>
      </c>
      <c r="DC114">
        <f>ROUND((ROUND(AT114*AG114,2)*1.2),6)</f>
        <v>0</v>
      </c>
      <c r="DD114" t="s">
        <v>3</v>
      </c>
      <c r="DE114" t="s">
        <v>3</v>
      </c>
      <c r="DF114">
        <f t="shared" si="28"/>
        <v>0</v>
      </c>
      <c r="DG114">
        <f t="shared" si="27"/>
        <v>0</v>
      </c>
      <c r="DH114">
        <f t="shared" si="26"/>
        <v>0</v>
      </c>
      <c r="DI114">
        <f t="shared" si="17"/>
        <v>0</v>
      </c>
      <c r="DJ114">
        <f>DI114</f>
        <v>0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5">
      <c r="A115">
        <f>ROW(Source!A99)</f>
        <v>99</v>
      </c>
      <c r="B115">
        <v>55936046</v>
      </c>
      <c r="C115">
        <v>55936250</v>
      </c>
      <c r="D115">
        <v>55424304</v>
      </c>
      <c r="E115">
        <v>1081</v>
      </c>
      <c r="F115">
        <v>1</v>
      </c>
      <c r="G115">
        <v>1081</v>
      </c>
      <c r="H115">
        <v>1</v>
      </c>
      <c r="I115" t="s">
        <v>262</v>
      </c>
      <c r="J115" t="s">
        <v>3</v>
      </c>
      <c r="K115" t="s">
        <v>263</v>
      </c>
      <c r="L115">
        <v>1191</v>
      </c>
      <c r="N115">
        <v>1013</v>
      </c>
      <c r="O115" t="s">
        <v>264</v>
      </c>
      <c r="P115" t="s">
        <v>264</v>
      </c>
      <c r="Q115">
        <v>1</v>
      </c>
      <c r="W115">
        <v>0</v>
      </c>
      <c r="X115">
        <v>476480486</v>
      </c>
      <c r="Y115">
        <f>(AT115*1.2)</f>
        <v>3.8159999999999998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-2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3.18</v>
      </c>
      <c r="AU115" t="s">
        <v>63</v>
      </c>
      <c r="AV115">
        <v>1</v>
      </c>
      <c r="AW115">
        <v>2</v>
      </c>
      <c r="AX115">
        <v>55936251</v>
      </c>
      <c r="AY115">
        <v>1</v>
      </c>
      <c r="AZ115">
        <v>0</v>
      </c>
      <c r="BA115">
        <v>141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U115">
        <f>ROUND(AT115*Source!I99*AH115*AL115,2)</f>
        <v>0</v>
      </c>
      <c r="CV115">
        <f>ROUND(Y115*Source!I99,9)</f>
        <v>76.319999999999993</v>
      </c>
      <c r="CW115">
        <v>0</v>
      </c>
      <c r="CX115">
        <f>ROUND(Y115*Source!I99,9)</f>
        <v>76.319999999999993</v>
      </c>
      <c r="CY115">
        <f>AD115</f>
        <v>0</v>
      </c>
      <c r="CZ115">
        <f>AH115</f>
        <v>0</v>
      </c>
      <c r="DA115">
        <f>AL115</f>
        <v>1</v>
      </c>
      <c r="DB115">
        <f>ROUND((ROUND(AT115*CZ115,2)*1.2),6)</f>
        <v>0</v>
      </c>
      <c r="DC115">
        <f>ROUND((ROUND(AT115*AG115,2)*1.2),6)</f>
        <v>0</v>
      </c>
      <c r="DD115" t="s">
        <v>3</v>
      </c>
      <c r="DE115" t="s">
        <v>3</v>
      </c>
      <c r="DF115">
        <f t="shared" si="28"/>
        <v>0</v>
      </c>
      <c r="DG115">
        <f t="shared" si="27"/>
        <v>0</v>
      </c>
      <c r="DH115">
        <f t="shared" si="26"/>
        <v>0</v>
      </c>
      <c r="DI115">
        <f t="shared" si="17"/>
        <v>0</v>
      </c>
      <c r="DJ115">
        <f>DI115</f>
        <v>0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5">
      <c r="A116">
        <f>ROW(Source!A99)</f>
        <v>99</v>
      </c>
      <c r="B116">
        <v>55936046</v>
      </c>
      <c r="C116">
        <v>55936250</v>
      </c>
      <c r="D116">
        <v>55461074</v>
      </c>
      <c r="E116">
        <v>1</v>
      </c>
      <c r="F116">
        <v>1</v>
      </c>
      <c r="G116">
        <v>1081</v>
      </c>
      <c r="H116">
        <v>3</v>
      </c>
      <c r="I116" t="s">
        <v>276</v>
      </c>
      <c r="J116" t="s">
        <v>277</v>
      </c>
      <c r="K116" t="s">
        <v>278</v>
      </c>
      <c r="L116">
        <v>1346</v>
      </c>
      <c r="N116">
        <v>1009</v>
      </c>
      <c r="O116" t="s">
        <v>238</v>
      </c>
      <c r="P116" t="s">
        <v>238</v>
      </c>
      <c r="Q116">
        <v>1</v>
      </c>
      <c r="W116">
        <v>0</v>
      </c>
      <c r="X116">
        <v>-861631226</v>
      </c>
      <c r="Y116">
        <f>(AT116*1)</f>
        <v>6.2700000000000004E-3</v>
      </c>
      <c r="AA116">
        <v>27.62</v>
      </c>
      <c r="AB116">
        <v>0</v>
      </c>
      <c r="AC116">
        <v>0</v>
      </c>
      <c r="AD116">
        <v>0</v>
      </c>
      <c r="AE116">
        <v>27.62</v>
      </c>
      <c r="AF116">
        <v>0</v>
      </c>
      <c r="AG116">
        <v>0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-2</v>
      </c>
      <c r="AN116">
        <v>0</v>
      </c>
      <c r="AO116">
        <v>1</v>
      </c>
      <c r="AP116">
        <v>1</v>
      </c>
      <c r="AQ116">
        <v>0</v>
      </c>
      <c r="AR116">
        <v>0</v>
      </c>
      <c r="AS116" t="s">
        <v>3</v>
      </c>
      <c r="AT116">
        <v>6.2700000000000004E-3</v>
      </c>
      <c r="AU116" t="s">
        <v>62</v>
      </c>
      <c r="AV116">
        <v>0</v>
      </c>
      <c r="AW116">
        <v>2</v>
      </c>
      <c r="AX116">
        <v>55936252</v>
      </c>
      <c r="AY116">
        <v>1</v>
      </c>
      <c r="AZ116">
        <v>0</v>
      </c>
      <c r="BA116">
        <v>142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v>0</v>
      </c>
      <c r="CX116">
        <f>ROUND(Y116*Source!I99,9)</f>
        <v>0.12540000000000001</v>
      </c>
      <c r="CY116">
        <f>AA116</f>
        <v>27.62</v>
      </c>
      <c r="CZ116">
        <f>AE116</f>
        <v>27.62</v>
      </c>
      <c r="DA116">
        <f>AI116</f>
        <v>1</v>
      </c>
      <c r="DB116">
        <f>ROUND((ROUND(AT116*CZ116,2)*1),6)</f>
        <v>0.17</v>
      </c>
      <c r="DC116">
        <f>ROUND((ROUND(AT116*AG116,2)*1),6)</f>
        <v>0</v>
      </c>
      <c r="DD116" t="s">
        <v>3</v>
      </c>
      <c r="DE116" t="s">
        <v>3</v>
      </c>
      <c r="DF116">
        <f t="shared" si="28"/>
        <v>3.46</v>
      </c>
      <c r="DG116">
        <f t="shared" si="27"/>
        <v>0</v>
      </c>
      <c r="DH116">
        <f t="shared" si="26"/>
        <v>0</v>
      </c>
      <c r="DI116">
        <f t="shared" si="17"/>
        <v>0</v>
      </c>
      <c r="DJ116">
        <f>DF116</f>
        <v>3.46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5">
      <c r="A117">
        <f>ROW(Source!A99)</f>
        <v>99</v>
      </c>
      <c r="B117">
        <v>55936046</v>
      </c>
      <c r="C117">
        <v>55936250</v>
      </c>
      <c r="D117">
        <v>55459793</v>
      </c>
      <c r="E117">
        <v>1</v>
      </c>
      <c r="F117">
        <v>1</v>
      </c>
      <c r="G117">
        <v>1081</v>
      </c>
      <c r="H117">
        <v>3</v>
      </c>
      <c r="I117" t="s">
        <v>279</v>
      </c>
      <c r="J117" t="s">
        <v>280</v>
      </c>
      <c r="K117" t="s">
        <v>281</v>
      </c>
      <c r="L117">
        <v>1348</v>
      </c>
      <c r="N117">
        <v>1009</v>
      </c>
      <c r="O117" t="s">
        <v>223</v>
      </c>
      <c r="P117" t="s">
        <v>223</v>
      </c>
      <c r="Q117">
        <v>1000</v>
      </c>
      <c r="W117">
        <v>0</v>
      </c>
      <c r="X117">
        <v>-761454284</v>
      </c>
      <c r="Y117">
        <f>(AT117*1)</f>
        <v>1.0000000000000001E-5</v>
      </c>
      <c r="AA117">
        <v>64123.05</v>
      </c>
      <c r="AB117">
        <v>0</v>
      </c>
      <c r="AC117">
        <v>0</v>
      </c>
      <c r="AD117">
        <v>0</v>
      </c>
      <c r="AE117">
        <v>64123.05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-2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1.0000000000000001E-5</v>
      </c>
      <c r="AU117" t="s">
        <v>62</v>
      </c>
      <c r="AV117">
        <v>0</v>
      </c>
      <c r="AW117">
        <v>2</v>
      </c>
      <c r="AX117">
        <v>55936253</v>
      </c>
      <c r="AY117">
        <v>1</v>
      </c>
      <c r="AZ117">
        <v>0</v>
      </c>
      <c r="BA117">
        <v>143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V117">
        <v>0</v>
      </c>
      <c r="CW117">
        <v>0</v>
      </c>
      <c r="CX117">
        <f>ROUND(Y117*Source!I99,9)</f>
        <v>2.0000000000000001E-4</v>
      </c>
      <c r="CY117">
        <f>AA117</f>
        <v>64123.05</v>
      </c>
      <c r="CZ117">
        <f>AE117</f>
        <v>64123.05</v>
      </c>
      <c r="DA117">
        <f>AI117</f>
        <v>1</v>
      </c>
      <c r="DB117">
        <f>ROUND((ROUND(AT117*CZ117,2)*1),6)</f>
        <v>0.64</v>
      </c>
      <c r="DC117">
        <f>ROUND((ROUND(AT117*AG117,2)*1),6)</f>
        <v>0</v>
      </c>
      <c r="DD117" t="s">
        <v>3</v>
      </c>
      <c r="DE117" t="s">
        <v>3</v>
      </c>
      <c r="DF117">
        <f t="shared" si="28"/>
        <v>12.82</v>
      </c>
      <c r="DG117">
        <f t="shared" si="27"/>
        <v>0</v>
      </c>
      <c r="DH117">
        <f t="shared" si="26"/>
        <v>0</v>
      </c>
      <c r="DI117">
        <f t="shared" si="17"/>
        <v>0</v>
      </c>
      <c r="DJ117">
        <f>DF117</f>
        <v>12.82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5">
      <c r="A118">
        <f>ROW(Source!A99)</f>
        <v>99</v>
      </c>
      <c r="B118">
        <v>55936046</v>
      </c>
      <c r="C118">
        <v>55936250</v>
      </c>
      <c r="D118">
        <v>55469253</v>
      </c>
      <c r="E118">
        <v>1</v>
      </c>
      <c r="F118">
        <v>1</v>
      </c>
      <c r="G118">
        <v>1081</v>
      </c>
      <c r="H118">
        <v>3</v>
      </c>
      <c r="I118" t="s">
        <v>282</v>
      </c>
      <c r="J118" t="s">
        <v>283</v>
      </c>
      <c r="K118" t="s">
        <v>284</v>
      </c>
      <c r="L118">
        <v>1354</v>
      </c>
      <c r="N118">
        <v>1010</v>
      </c>
      <c r="O118" t="s">
        <v>159</v>
      </c>
      <c r="P118" t="s">
        <v>159</v>
      </c>
      <c r="Q118">
        <v>1</v>
      </c>
      <c r="W118">
        <v>0</v>
      </c>
      <c r="X118">
        <v>-32785108</v>
      </c>
      <c r="Y118">
        <f>(AT118*1)</f>
        <v>0.1</v>
      </c>
      <c r="AA118">
        <v>15.25</v>
      </c>
      <c r="AB118">
        <v>0</v>
      </c>
      <c r="AC118">
        <v>0</v>
      </c>
      <c r="AD118">
        <v>0</v>
      </c>
      <c r="AE118">
        <v>15.25</v>
      </c>
      <c r="AF118">
        <v>0</v>
      </c>
      <c r="AG118">
        <v>0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-2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0.1</v>
      </c>
      <c r="AU118" t="s">
        <v>62</v>
      </c>
      <c r="AV118">
        <v>0</v>
      </c>
      <c r="AW118">
        <v>2</v>
      </c>
      <c r="AX118">
        <v>55936254</v>
      </c>
      <c r="AY118">
        <v>1</v>
      </c>
      <c r="AZ118">
        <v>0</v>
      </c>
      <c r="BA118">
        <v>144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v>0</v>
      </c>
      <c r="CX118">
        <f>ROUND(Y118*Source!I99,9)</f>
        <v>2</v>
      </c>
      <c r="CY118">
        <f>AA118</f>
        <v>15.25</v>
      </c>
      <c r="CZ118">
        <f>AE118</f>
        <v>15.25</v>
      </c>
      <c r="DA118">
        <f>AI118</f>
        <v>1</v>
      </c>
      <c r="DB118">
        <f>ROUND((ROUND(AT118*CZ118,2)*1),6)</f>
        <v>1.53</v>
      </c>
      <c r="DC118">
        <f>ROUND((ROUND(AT118*AG118,2)*1),6)</f>
        <v>0</v>
      </c>
      <c r="DD118" t="s">
        <v>3</v>
      </c>
      <c r="DE118" t="s">
        <v>3</v>
      </c>
      <c r="DF118">
        <f t="shared" si="28"/>
        <v>30.5</v>
      </c>
      <c r="DG118">
        <f t="shared" si="27"/>
        <v>0</v>
      </c>
      <c r="DH118">
        <f t="shared" si="26"/>
        <v>0</v>
      </c>
      <c r="DI118">
        <f t="shared" si="17"/>
        <v>0</v>
      </c>
      <c r="DJ118">
        <f>DF118</f>
        <v>30.5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5">
      <c r="A119">
        <f>ROW(Source!A99)</f>
        <v>99</v>
      </c>
      <c r="B119">
        <v>55936046</v>
      </c>
      <c r="C119">
        <v>55936250</v>
      </c>
      <c r="D119">
        <v>55562623</v>
      </c>
      <c r="E119">
        <v>1</v>
      </c>
      <c r="F119">
        <v>1</v>
      </c>
      <c r="G119">
        <v>1081</v>
      </c>
      <c r="H119">
        <v>3</v>
      </c>
      <c r="I119" t="s">
        <v>157</v>
      </c>
      <c r="J119" t="s">
        <v>160</v>
      </c>
      <c r="K119" t="s">
        <v>158</v>
      </c>
      <c r="L119">
        <v>1354</v>
      </c>
      <c r="N119">
        <v>1010</v>
      </c>
      <c r="O119" t="s">
        <v>159</v>
      </c>
      <c r="P119" t="s">
        <v>159</v>
      </c>
      <c r="Q119">
        <v>1</v>
      </c>
      <c r="W119">
        <v>0</v>
      </c>
      <c r="X119">
        <v>67957927</v>
      </c>
      <c r="Y119">
        <f>(AT119*1)</f>
        <v>1</v>
      </c>
      <c r="AA119">
        <v>99.15</v>
      </c>
      <c r="AB119">
        <v>0</v>
      </c>
      <c r="AC119">
        <v>0</v>
      </c>
      <c r="AD119">
        <v>0</v>
      </c>
      <c r="AE119">
        <v>99.15</v>
      </c>
      <c r="AF119">
        <v>0</v>
      </c>
      <c r="AG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0</v>
      </c>
      <c r="AN119">
        <v>0</v>
      </c>
      <c r="AO119">
        <v>0</v>
      </c>
      <c r="AP119">
        <v>1</v>
      </c>
      <c r="AQ119">
        <v>0</v>
      </c>
      <c r="AR119">
        <v>0</v>
      </c>
      <c r="AS119" t="s">
        <v>3</v>
      </c>
      <c r="AT119">
        <v>1</v>
      </c>
      <c r="AU119" t="s">
        <v>62</v>
      </c>
      <c r="AV119">
        <v>0</v>
      </c>
      <c r="AW119">
        <v>1</v>
      </c>
      <c r="AX119">
        <v>-1</v>
      </c>
      <c r="AY119">
        <v>0</v>
      </c>
      <c r="AZ119">
        <v>0</v>
      </c>
      <c r="BA119" t="s">
        <v>3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V119">
        <v>0</v>
      </c>
      <c r="CW119">
        <v>0</v>
      </c>
      <c r="CX119">
        <f>ROUND(Y119*Source!I99,9)</f>
        <v>20</v>
      </c>
      <c r="CY119">
        <f>AA119</f>
        <v>99.15</v>
      </c>
      <c r="CZ119">
        <f>AE119</f>
        <v>99.15</v>
      </c>
      <c r="DA119">
        <f>AI119</f>
        <v>1</v>
      </c>
      <c r="DB119">
        <f>ROUND((ROUND(AT119*CZ119,2)*1),6)</f>
        <v>99.15</v>
      </c>
      <c r="DC119">
        <f>ROUND((ROUND(AT119*AG119,2)*1),6)</f>
        <v>0</v>
      </c>
      <c r="DD119" t="s">
        <v>3</v>
      </c>
      <c r="DE119" t="s">
        <v>3</v>
      </c>
      <c r="DF119">
        <f t="shared" si="28"/>
        <v>1983</v>
      </c>
      <c r="DG119">
        <f t="shared" si="27"/>
        <v>0</v>
      </c>
      <c r="DH119">
        <f t="shared" si="26"/>
        <v>0</v>
      </c>
      <c r="DI119">
        <f t="shared" si="17"/>
        <v>0</v>
      </c>
      <c r="DJ119">
        <f>DF119</f>
        <v>1983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5">
      <c r="A120">
        <f>ROW(Source!A100)</f>
        <v>100</v>
      </c>
      <c r="B120">
        <v>55936048</v>
      </c>
      <c r="C120">
        <v>55936250</v>
      </c>
      <c r="D120">
        <v>55424304</v>
      </c>
      <c r="E120">
        <v>1081</v>
      </c>
      <c r="F120">
        <v>1</v>
      </c>
      <c r="G120">
        <v>1081</v>
      </c>
      <c r="H120">
        <v>1</v>
      </c>
      <c r="I120" t="s">
        <v>262</v>
      </c>
      <c r="J120" t="s">
        <v>3</v>
      </c>
      <c r="K120" t="s">
        <v>263</v>
      </c>
      <c r="L120">
        <v>1191</v>
      </c>
      <c r="N120">
        <v>1013</v>
      </c>
      <c r="O120" t="s">
        <v>264</v>
      </c>
      <c r="P120" t="s">
        <v>264</v>
      </c>
      <c r="Q120">
        <v>1</v>
      </c>
      <c r="W120">
        <v>0</v>
      </c>
      <c r="X120">
        <v>476480486</v>
      </c>
      <c r="Y120">
        <f>(AT120*1.2)</f>
        <v>3.8159999999999998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1</v>
      </c>
      <c r="AK120">
        <v>1</v>
      </c>
      <c r="AL120">
        <v>1</v>
      </c>
      <c r="AM120">
        <v>5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3.18</v>
      </c>
      <c r="AU120" t="s">
        <v>63</v>
      </c>
      <c r="AV120">
        <v>1</v>
      </c>
      <c r="AW120">
        <v>2</v>
      </c>
      <c r="AX120">
        <v>55936251</v>
      </c>
      <c r="AY120">
        <v>1</v>
      </c>
      <c r="AZ120">
        <v>0</v>
      </c>
      <c r="BA120">
        <v>146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U120">
        <f>ROUND(AT120*Source!I100*AH120*AL120,2)</f>
        <v>0</v>
      </c>
      <c r="CV120">
        <f>ROUND(Y120*Source!I100,9)</f>
        <v>76.319999999999993</v>
      </c>
      <c r="CW120">
        <v>0</v>
      </c>
      <c r="CX120">
        <f>ROUND(Y120*Source!I100,9)</f>
        <v>76.319999999999993</v>
      </c>
      <c r="CY120">
        <f>AD120</f>
        <v>0</v>
      </c>
      <c r="CZ120">
        <f>AH120</f>
        <v>0</v>
      </c>
      <c r="DA120">
        <f>AL120</f>
        <v>1</v>
      </c>
      <c r="DB120">
        <f>ROUND((ROUND(AT120*CZ120,2)*1.2),6)</f>
        <v>0</v>
      </c>
      <c r="DC120">
        <f>ROUND((ROUND(AT120*AG120,2)*1.2),6)</f>
        <v>0</v>
      </c>
      <c r="DD120" t="s">
        <v>3</v>
      </c>
      <c r="DE120" t="s">
        <v>3</v>
      </c>
      <c r="DF120">
        <f t="shared" si="28"/>
        <v>0</v>
      </c>
      <c r="DG120">
        <f t="shared" si="27"/>
        <v>0</v>
      </c>
      <c r="DH120">
        <f t="shared" si="26"/>
        <v>0</v>
      </c>
      <c r="DI120">
        <f t="shared" si="17"/>
        <v>0</v>
      </c>
      <c r="DJ120">
        <f>DI120</f>
        <v>0</v>
      </c>
      <c r="DK120">
        <v>0</v>
      </c>
      <c r="DL120" t="s">
        <v>3</v>
      </c>
      <c r="DM120">
        <v>0</v>
      </c>
      <c r="DN120" t="s">
        <v>3</v>
      </c>
      <c r="DO120">
        <v>0</v>
      </c>
    </row>
    <row r="121" spans="1:119" x14ac:dyDescent="0.25">
      <c r="A121">
        <f>ROW(Source!A100)</f>
        <v>100</v>
      </c>
      <c r="B121">
        <v>55936048</v>
      </c>
      <c r="C121">
        <v>55936250</v>
      </c>
      <c r="D121">
        <v>55461074</v>
      </c>
      <c r="E121">
        <v>1</v>
      </c>
      <c r="F121">
        <v>1</v>
      </c>
      <c r="G121">
        <v>1081</v>
      </c>
      <c r="H121">
        <v>3</v>
      </c>
      <c r="I121" t="s">
        <v>276</v>
      </c>
      <c r="J121" t="s">
        <v>277</v>
      </c>
      <c r="K121" t="s">
        <v>278</v>
      </c>
      <c r="L121">
        <v>1346</v>
      </c>
      <c r="N121">
        <v>1009</v>
      </c>
      <c r="O121" t="s">
        <v>238</v>
      </c>
      <c r="P121" t="s">
        <v>238</v>
      </c>
      <c r="Q121">
        <v>1</v>
      </c>
      <c r="W121">
        <v>0</v>
      </c>
      <c r="X121">
        <v>-861631226</v>
      </c>
      <c r="Y121">
        <f>(AT121*1)</f>
        <v>6.2700000000000004E-3</v>
      </c>
      <c r="AA121">
        <v>163.51</v>
      </c>
      <c r="AB121">
        <v>0</v>
      </c>
      <c r="AC121">
        <v>0</v>
      </c>
      <c r="AD121">
        <v>0</v>
      </c>
      <c r="AE121">
        <v>27.62</v>
      </c>
      <c r="AF121">
        <v>0</v>
      </c>
      <c r="AG121">
        <v>0</v>
      </c>
      <c r="AH121">
        <v>0</v>
      </c>
      <c r="AI121">
        <v>5.92</v>
      </c>
      <c r="AJ121">
        <v>1</v>
      </c>
      <c r="AK121">
        <v>1</v>
      </c>
      <c r="AL121">
        <v>1</v>
      </c>
      <c r="AM121">
        <v>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6.2700000000000004E-3</v>
      </c>
      <c r="AU121" t="s">
        <v>62</v>
      </c>
      <c r="AV121">
        <v>0</v>
      </c>
      <c r="AW121">
        <v>2</v>
      </c>
      <c r="AX121">
        <v>55936252</v>
      </c>
      <c r="AY121">
        <v>1</v>
      </c>
      <c r="AZ121">
        <v>0</v>
      </c>
      <c r="BA121">
        <v>147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v>0</v>
      </c>
      <c r="CX121">
        <f>ROUND(Y121*Source!I100,9)</f>
        <v>0.12540000000000001</v>
      </c>
      <c r="CY121">
        <f>AA121</f>
        <v>163.51</v>
      </c>
      <c r="CZ121">
        <f>AE121</f>
        <v>27.62</v>
      </c>
      <c r="DA121">
        <f>AI121</f>
        <v>5.92</v>
      </c>
      <c r="DB121">
        <f>ROUND((ROUND(AT121*CZ121,2)*1),6)</f>
        <v>0.17</v>
      </c>
      <c r="DC121">
        <f>ROUND((ROUND(AT121*AG121,2)*1),6)</f>
        <v>0</v>
      </c>
      <c r="DD121" t="s">
        <v>3</v>
      </c>
      <c r="DE121" t="s">
        <v>3</v>
      </c>
      <c r="DF121">
        <f>ROUND(ROUND(AE121*AI121,2)*CX121,2)</f>
        <v>20.5</v>
      </c>
      <c r="DG121">
        <f t="shared" si="27"/>
        <v>0</v>
      </c>
      <c r="DH121">
        <f t="shared" si="26"/>
        <v>0</v>
      </c>
      <c r="DI121">
        <f t="shared" si="17"/>
        <v>0</v>
      </c>
      <c r="DJ121">
        <f>DF121</f>
        <v>20.5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5">
      <c r="A122">
        <f>ROW(Source!A100)</f>
        <v>100</v>
      </c>
      <c r="B122">
        <v>55936048</v>
      </c>
      <c r="C122">
        <v>55936250</v>
      </c>
      <c r="D122">
        <v>55459793</v>
      </c>
      <c r="E122">
        <v>1</v>
      </c>
      <c r="F122">
        <v>1</v>
      </c>
      <c r="G122">
        <v>1081</v>
      </c>
      <c r="H122">
        <v>3</v>
      </c>
      <c r="I122" t="s">
        <v>279</v>
      </c>
      <c r="J122" t="s">
        <v>280</v>
      </c>
      <c r="K122" t="s">
        <v>281</v>
      </c>
      <c r="L122">
        <v>1348</v>
      </c>
      <c r="N122">
        <v>1009</v>
      </c>
      <c r="O122" t="s">
        <v>223</v>
      </c>
      <c r="P122" t="s">
        <v>223</v>
      </c>
      <c r="Q122">
        <v>1000</v>
      </c>
      <c r="W122">
        <v>0</v>
      </c>
      <c r="X122">
        <v>-761454284</v>
      </c>
      <c r="Y122">
        <f>(AT122*1)</f>
        <v>1.0000000000000001E-5</v>
      </c>
      <c r="AA122">
        <v>1930745.04</v>
      </c>
      <c r="AB122">
        <v>0</v>
      </c>
      <c r="AC122">
        <v>0</v>
      </c>
      <c r="AD122">
        <v>0</v>
      </c>
      <c r="AE122">
        <v>64123.05</v>
      </c>
      <c r="AF122">
        <v>0</v>
      </c>
      <c r="AG122">
        <v>0</v>
      </c>
      <c r="AH122">
        <v>0</v>
      </c>
      <c r="AI122">
        <v>30.11</v>
      </c>
      <c r="AJ122">
        <v>1</v>
      </c>
      <c r="AK122">
        <v>1</v>
      </c>
      <c r="AL122">
        <v>1</v>
      </c>
      <c r="AM122">
        <v>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1.0000000000000001E-5</v>
      </c>
      <c r="AU122" t="s">
        <v>62</v>
      </c>
      <c r="AV122">
        <v>0</v>
      </c>
      <c r="AW122">
        <v>2</v>
      </c>
      <c r="AX122">
        <v>55936253</v>
      </c>
      <c r="AY122">
        <v>1</v>
      </c>
      <c r="AZ122">
        <v>0</v>
      </c>
      <c r="BA122">
        <v>148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v>0</v>
      </c>
      <c r="CX122">
        <f>ROUND(Y122*Source!I100,9)</f>
        <v>2.0000000000000001E-4</v>
      </c>
      <c r="CY122">
        <f>AA122</f>
        <v>1930745.04</v>
      </c>
      <c r="CZ122">
        <f>AE122</f>
        <v>64123.05</v>
      </c>
      <c r="DA122">
        <f>AI122</f>
        <v>30.11</v>
      </c>
      <c r="DB122">
        <f>ROUND((ROUND(AT122*CZ122,2)*1),6)</f>
        <v>0.64</v>
      </c>
      <c r="DC122">
        <f>ROUND((ROUND(AT122*AG122,2)*1),6)</f>
        <v>0</v>
      </c>
      <c r="DD122" t="s">
        <v>3</v>
      </c>
      <c r="DE122" t="s">
        <v>3</v>
      </c>
      <c r="DF122">
        <f>ROUND(ROUND(AE122*AI122,2)*CX122,2)</f>
        <v>386.15</v>
      </c>
      <c r="DG122">
        <f t="shared" si="27"/>
        <v>0</v>
      </c>
      <c r="DH122">
        <f t="shared" si="26"/>
        <v>0</v>
      </c>
      <c r="DI122">
        <f t="shared" si="17"/>
        <v>0</v>
      </c>
      <c r="DJ122">
        <f>DF122</f>
        <v>386.15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5">
      <c r="A123">
        <f>ROW(Source!A100)</f>
        <v>100</v>
      </c>
      <c r="B123">
        <v>55936048</v>
      </c>
      <c r="C123">
        <v>55936250</v>
      </c>
      <c r="D123">
        <v>55469253</v>
      </c>
      <c r="E123">
        <v>1</v>
      </c>
      <c r="F123">
        <v>1</v>
      </c>
      <c r="G123">
        <v>1081</v>
      </c>
      <c r="H123">
        <v>3</v>
      </c>
      <c r="I123" t="s">
        <v>282</v>
      </c>
      <c r="J123" t="s">
        <v>283</v>
      </c>
      <c r="K123" t="s">
        <v>284</v>
      </c>
      <c r="L123">
        <v>1354</v>
      </c>
      <c r="N123">
        <v>1010</v>
      </c>
      <c r="O123" t="s">
        <v>159</v>
      </c>
      <c r="P123" t="s">
        <v>159</v>
      </c>
      <c r="Q123">
        <v>1</v>
      </c>
      <c r="W123">
        <v>0</v>
      </c>
      <c r="X123">
        <v>-32785108</v>
      </c>
      <c r="Y123">
        <f>(AT123*1)</f>
        <v>0.1</v>
      </c>
      <c r="AA123">
        <v>36.14</v>
      </c>
      <c r="AB123">
        <v>0</v>
      </c>
      <c r="AC123">
        <v>0</v>
      </c>
      <c r="AD123">
        <v>0</v>
      </c>
      <c r="AE123">
        <v>15.25</v>
      </c>
      <c r="AF123">
        <v>0</v>
      </c>
      <c r="AG123">
        <v>0</v>
      </c>
      <c r="AH123">
        <v>0</v>
      </c>
      <c r="AI123">
        <v>2.37</v>
      </c>
      <c r="AJ123">
        <v>1</v>
      </c>
      <c r="AK123">
        <v>1</v>
      </c>
      <c r="AL123">
        <v>1</v>
      </c>
      <c r="AM123">
        <v>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0.1</v>
      </c>
      <c r="AU123" t="s">
        <v>62</v>
      </c>
      <c r="AV123">
        <v>0</v>
      </c>
      <c r="AW123">
        <v>2</v>
      </c>
      <c r="AX123">
        <v>55936254</v>
      </c>
      <c r="AY123">
        <v>1</v>
      </c>
      <c r="AZ123">
        <v>0</v>
      </c>
      <c r="BA123">
        <v>149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V123">
        <v>0</v>
      </c>
      <c r="CW123">
        <v>0</v>
      </c>
      <c r="CX123">
        <f>ROUND(Y123*Source!I100,9)</f>
        <v>2</v>
      </c>
      <c r="CY123">
        <f>AA123</f>
        <v>36.14</v>
      </c>
      <c r="CZ123">
        <f>AE123</f>
        <v>15.25</v>
      </c>
      <c r="DA123">
        <f>AI123</f>
        <v>2.37</v>
      </c>
      <c r="DB123">
        <f>ROUND((ROUND(AT123*CZ123,2)*1),6)</f>
        <v>1.53</v>
      </c>
      <c r="DC123">
        <f>ROUND((ROUND(AT123*AG123,2)*1),6)</f>
        <v>0</v>
      </c>
      <c r="DD123" t="s">
        <v>3</v>
      </c>
      <c r="DE123" t="s">
        <v>3</v>
      </c>
      <c r="DF123">
        <f>ROUND(ROUND(AE123*AI123,2)*CX123,2)</f>
        <v>72.28</v>
      </c>
      <c r="DG123">
        <f t="shared" si="27"/>
        <v>0</v>
      </c>
      <c r="DH123">
        <f t="shared" si="26"/>
        <v>0</v>
      </c>
      <c r="DI123">
        <f t="shared" si="17"/>
        <v>0</v>
      </c>
      <c r="DJ123">
        <f>DF123</f>
        <v>72.28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5">
      <c r="A124">
        <f>ROW(Source!A100)</f>
        <v>100</v>
      </c>
      <c r="B124">
        <v>55936048</v>
      </c>
      <c r="C124">
        <v>55936250</v>
      </c>
      <c r="D124">
        <v>55562623</v>
      </c>
      <c r="E124">
        <v>1</v>
      </c>
      <c r="F124">
        <v>1</v>
      </c>
      <c r="G124">
        <v>1081</v>
      </c>
      <c r="H124">
        <v>3</v>
      </c>
      <c r="I124" t="s">
        <v>157</v>
      </c>
      <c r="J124" t="s">
        <v>160</v>
      </c>
      <c r="K124" t="s">
        <v>158</v>
      </c>
      <c r="L124">
        <v>1354</v>
      </c>
      <c r="N124">
        <v>1010</v>
      </c>
      <c r="O124" t="s">
        <v>159</v>
      </c>
      <c r="P124" t="s">
        <v>159</v>
      </c>
      <c r="Q124">
        <v>1</v>
      </c>
      <c r="W124">
        <v>0</v>
      </c>
      <c r="X124">
        <v>67957927</v>
      </c>
      <c r="Y124">
        <f>(AT124*1)</f>
        <v>1</v>
      </c>
      <c r="AA124">
        <v>1166</v>
      </c>
      <c r="AB124">
        <v>0</v>
      </c>
      <c r="AC124">
        <v>0</v>
      </c>
      <c r="AD124">
        <v>0</v>
      </c>
      <c r="AE124">
        <v>99.15</v>
      </c>
      <c r="AF124">
        <v>0</v>
      </c>
      <c r="AG124">
        <v>0</v>
      </c>
      <c r="AH124">
        <v>0</v>
      </c>
      <c r="AI124">
        <v>11.76</v>
      </c>
      <c r="AJ124">
        <v>1</v>
      </c>
      <c r="AK124">
        <v>1</v>
      </c>
      <c r="AL124">
        <v>1</v>
      </c>
      <c r="AM124">
        <v>0</v>
      </c>
      <c r="AN124">
        <v>0</v>
      </c>
      <c r="AO124">
        <v>0</v>
      </c>
      <c r="AP124">
        <v>1</v>
      </c>
      <c r="AQ124">
        <v>0</v>
      </c>
      <c r="AR124">
        <v>0</v>
      </c>
      <c r="AS124" t="s">
        <v>3</v>
      </c>
      <c r="AT124">
        <v>1</v>
      </c>
      <c r="AU124" t="s">
        <v>62</v>
      </c>
      <c r="AV124">
        <v>0</v>
      </c>
      <c r="AW124">
        <v>1</v>
      </c>
      <c r="AX124">
        <v>-1</v>
      </c>
      <c r="AY124">
        <v>0</v>
      </c>
      <c r="AZ124">
        <v>0</v>
      </c>
      <c r="BA124" t="s">
        <v>3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v>0</v>
      </c>
      <c r="CX124">
        <f>ROUND(Y124*Source!I100,9)</f>
        <v>20</v>
      </c>
      <c r="CY124">
        <f>AA124</f>
        <v>1166</v>
      </c>
      <c r="CZ124">
        <f>AE124</f>
        <v>99.15</v>
      </c>
      <c r="DA124">
        <f>AI124</f>
        <v>11.76</v>
      </c>
      <c r="DB124">
        <f>ROUND((ROUND(AT124*CZ124,2)*1),6)</f>
        <v>99.15</v>
      </c>
      <c r="DC124">
        <f>ROUND((ROUND(AT124*AG124,2)*1),6)</f>
        <v>0</v>
      </c>
      <c r="DD124" t="s">
        <v>3</v>
      </c>
      <c r="DE124" t="s">
        <v>3</v>
      </c>
      <c r="DF124">
        <f>ROUND(ROUND(AE124*AI124,2)*CX124,2)</f>
        <v>23320</v>
      </c>
      <c r="DG124">
        <f t="shared" si="27"/>
        <v>0</v>
      </c>
      <c r="DH124">
        <f t="shared" si="26"/>
        <v>0</v>
      </c>
      <c r="DI124">
        <f t="shared" si="17"/>
        <v>0</v>
      </c>
      <c r="DJ124">
        <f>DF124</f>
        <v>23320</v>
      </c>
      <c r="DK124">
        <v>0</v>
      </c>
      <c r="DL124" t="s">
        <v>3</v>
      </c>
      <c r="DM124">
        <v>0</v>
      </c>
      <c r="DN124" t="s">
        <v>3</v>
      </c>
      <c r="DO124">
        <v>0</v>
      </c>
    </row>
    <row r="125" spans="1:119" x14ac:dyDescent="0.25">
      <c r="A125">
        <f>ROW(Source!A105)</f>
        <v>105</v>
      </c>
      <c r="B125">
        <v>55936046</v>
      </c>
      <c r="C125">
        <v>55936257</v>
      </c>
      <c r="D125">
        <v>55424304</v>
      </c>
      <c r="E125">
        <v>1081</v>
      </c>
      <c r="F125">
        <v>1</v>
      </c>
      <c r="G125">
        <v>1081</v>
      </c>
      <c r="H125">
        <v>1</v>
      </c>
      <c r="I125" t="s">
        <v>262</v>
      </c>
      <c r="J125" t="s">
        <v>3</v>
      </c>
      <c r="K125" t="s">
        <v>263</v>
      </c>
      <c r="L125">
        <v>1191</v>
      </c>
      <c r="N125">
        <v>1013</v>
      </c>
      <c r="O125" t="s">
        <v>264</v>
      </c>
      <c r="P125" t="s">
        <v>264</v>
      </c>
      <c r="Q125">
        <v>1</v>
      </c>
      <c r="W125">
        <v>0</v>
      </c>
      <c r="X125">
        <v>476480486</v>
      </c>
      <c r="Y125">
        <f>(AT125*1.2)</f>
        <v>17.568000000000001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1</v>
      </c>
      <c r="AK125">
        <v>1</v>
      </c>
      <c r="AL125">
        <v>1</v>
      </c>
      <c r="AM125">
        <v>-2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14.64</v>
      </c>
      <c r="AU125" t="s">
        <v>63</v>
      </c>
      <c r="AV125">
        <v>1</v>
      </c>
      <c r="AW125">
        <v>2</v>
      </c>
      <c r="AX125">
        <v>55936258</v>
      </c>
      <c r="AY125">
        <v>1</v>
      </c>
      <c r="AZ125">
        <v>0</v>
      </c>
      <c r="BA125">
        <v>151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U125">
        <f>ROUND(AT125*Source!I105*AH125*AL125,2)</f>
        <v>0</v>
      </c>
      <c r="CV125">
        <f>ROUND(Y125*Source!I105,9)</f>
        <v>61.488</v>
      </c>
      <c r="CW125">
        <v>0</v>
      </c>
      <c r="CX125">
        <f>ROUND(Y125*Source!I105,9)</f>
        <v>61.488</v>
      </c>
      <c r="CY125">
        <f>AD125</f>
        <v>0</v>
      </c>
      <c r="CZ125">
        <f>AH125</f>
        <v>0</v>
      </c>
      <c r="DA125">
        <f>AL125</f>
        <v>1</v>
      </c>
      <c r="DB125">
        <f>ROUND((ROUND(AT125*CZ125,2)*1.2),6)</f>
        <v>0</v>
      </c>
      <c r="DC125">
        <f>ROUND((ROUND(AT125*AG125,2)*1.2),6)</f>
        <v>0</v>
      </c>
      <c r="DD125" t="s">
        <v>3</v>
      </c>
      <c r="DE125" t="s">
        <v>3</v>
      </c>
      <c r="DF125">
        <f t="shared" ref="DF125:DF134" si="29">ROUND(ROUND(AE125,2)*CX125,2)</f>
        <v>0</v>
      </c>
      <c r="DG125">
        <f t="shared" si="27"/>
        <v>0</v>
      </c>
      <c r="DH125">
        <f t="shared" si="26"/>
        <v>0</v>
      </c>
      <c r="DI125">
        <f t="shared" si="17"/>
        <v>0</v>
      </c>
      <c r="DJ125">
        <f>DI125</f>
        <v>0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5">
      <c r="A126">
        <f>ROW(Source!A105)</f>
        <v>105</v>
      </c>
      <c r="B126">
        <v>55936046</v>
      </c>
      <c r="C126">
        <v>55936257</v>
      </c>
      <c r="D126">
        <v>55490209</v>
      </c>
      <c r="E126">
        <v>1</v>
      </c>
      <c r="F126">
        <v>1</v>
      </c>
      <c r="G126">
        <v>1081</v>
      </c>
      <c r="H126">
        <v>2</v>
      </c>
      <c r="I126" t="s">
        <v>265</v>
      </c>
      <c r="J126" t="s">
        <v>266</v>
      </c>
      <c r="K126" t="s">
        <v>267</v>
      </c>
      <c r="L126">
        <v>1368</v>
      </c>
      <c r="N126">
        <v>1011</v>
      </c>
      <c r="O126" t="s">
        <v>268</v>
      </c>
      <c r="P126" t="s">
        <v>268</v>
      </c>
      <c r="Q126">
        <v>1</v>
      </c>
      <c r="W126">
        <v>0</v>
      </c>
      <c r="X126">
        <v>874612079</v>
      </c>
      <c r="Y126">
        <f>(AT126*1.2)</f>
        <v>7.1999999999999995E-2</v>
      </c>
      <c r="AA126">
        <v>0</v>
      </c>
      <c r="AB126">
        <v>87.01</v>
      </c>
      <c r="AC126">
        <v>13.21</v>
      </c>
      <c r="AD126">
        <v>0</v>
      </c>
      <c r="AE126">
        <v>0</v>
      </c>
      <c r="AF126">
        <v>83.1</v>
      </c>
      <c r="AG126">
        <v>12.62</v>
      </c>
      <c r="AH126">
        <v>0</v>
      </c>
      <c r="AI126">
        <v>1</v>
      </c>
      <c r="AJ126">
        <v>1</v>
      </c>
      <c r="AK126">
        <v>1</v>
      </c>
      <c r="AL126">
        <v>1</v>
      </c>
      <c r="AM126">
        <v>-2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0.06</v>
      </c>
      <c r="AU126" t="s">
        <v>63</v>
      </c>
      <c r="AV126">
        <v>0</v>
      </c>
      <c r="AW126">
        <v>2</v>
      </c>
      <c r="AX126">
        <v>55936259</v>
      </c>
      <c r="AY126">
        <v>1</v>
      </c>
      <c r="AZ126">
        <v>0</v>
      </c>
      <c r="BA126">
        <v>152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f>ROUND(Y126*Source!I105*DO126,9)</f>
        <v>3.18024</v>
      </c>
      <c r="CX126">
        <f>ROUND(Y126*Source!I105,9)</f>
        <v>0.252</v>
      </c>
      <c r="CY126">
        <f>AB126</f>
        <v>87.01</v>
      </c>
      <c r="CZ126">
        <f>AF126</f>
        <v>83.1</v>
      </c>
      <c r="DA126">
        <f>AJ126</f>
        <v>1</v>
      </c>
      <c r="DB126">
        <f>ROUND((ROUND(AT126*CZ126,2)*1.2),6)</f>
        <v>5.9880000000000004</v>
      </c>
      <c r="DC126">
        <f>ROUND((ROUND(AT126*AG126,2)*1.2),6)</f>
        <v>0.91200000000000003</v>
      </c>
      <c r="DD126" t="s">
        <v>3</v>
      </c>
      <c r="DE126" t="s">
        <v>3</v>
      </c>
      <c r="DF126">
        <f t="shared" si="29"/>
        <v>0</v>
      </c>
      <c r="DG126">
        <f t="shared" si="27"/>
        <v>20.94</v>
      </c>
      <c r="DH126">
        <f t="shared" si="26"/>
        <v>3.18</v>
      </c>
      <c r="DI126">
        <f t="shared" si="17"/>
        <v>0</v>
      </c>
      <c r="DJ126">
        <f>DG126</f>
        <v>20.94</v>
      </c>
      <c r="DK126">
        <v>0</v>
      </c>
      <c r="DL126" t="s">
        <v>269</v>
      </c>
      <c r="DM126">
        <v>0</v>
      </c>
      <c r="DN126" t="s">
        <v>264</v>
      </c>
      <c r="DO126">
        <v>12.62</v>
      </c>
    </row>
    <row r="127" spans="1:119" x14ac:dyDescent="0.25">
      <c r="A127">
        <f>ROW(Source!A105)</f>
        <v>105</v>
      </c>
      <c r="B127">
        <v>55936046</v>
      </c>
      <c r="C127">
        <v>55936257</v>
      </c>
      <c r="D127">
        <v>55490330</v>
      </c>
      <c r="E127">
        <v>1</v>
      </c>
      <c r="F127">
        <v>1</v>
      </c>
      <c r="G127">
        <v>1081</v>
      </c>
      <c r="H127">
        <v>2</v>
      </c>
      <c r="I127" t="s">
        <v>285</v>
      </c>
      <c r="J127" t="s">
        <v>286</v>
      </c>
      <c r="K127" t="s">
        <v>287</v>
      </c>
      <c r="L127">
        <v>1368</v>
      </c>
      <c r="N127">
        <v>1011</v>
      </c>
      <c r="O127" t="s">
        <v>268</v>
      </c>
      <c r="P127" t="s">
        <v>268</v>
      </c>
      <c r="Q127">
        <v>1</v>
      </c>
      <c r="W127">
        <v>0</v>
      </c>
      <c r="X127">
        <v>-2083101341</v>
      </c>
      <c r="Y127">
        <f>(AT127*1.2)</f>
        <v>0.97199999999999998</v>
      </c>
      <c r="AA127">
        <v>0</v>
      </c>
      <c r="AB127">
        <v>0.84</v>
      </c>
      <c r="AC127">
        <v>0</v>
      </c>
      <c r="AD127">
        <v>0</v>
      </c>
      <c r="AE127">
        <v>0</v>
      </c>
      <c r="AF127">
        <v>0.8</v>
      </c>
      <c r="AG127">
        <v>0</v>
      </c>
      <c r="AH127">
        <v>0</v>
      </c>
      <c r="AI127">
        <v>1</v>
      </c>
      <c r="AJ127">
        <v>1</v>
      </c>
      <c r="AK127">
        <v>1</v>
      </c>
      <c r="AL127">
        <v>1</v>
      </c>
      <c r="AM127">
        <v>-2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0.81</v>
      </c>
      <c r="AU127" t="s">
        <v>63</v>
      </c>
      <c r="AV127">
        <v>0</v>
      </c>
      <c r="AW127">
        <v>2</v>
      </c>
      <c r="AX127">
        <v>55936260</v>
      </c>
      <c r="AY127">
        <v>1</v>
      </c>
      <c r="AZ127">
        <v>0</v>
      </c>
      <c r="BA127">
        <v>153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f>ROUND(Y127*Source!I105*DO127,9)</f>
        <v>0</v>
      </c>
      <c r="CX127">
        <f>ROUND(Y127*Source!I105,9)</f>
        <v>3.4020000000000001</v>
      </c>
      <c r="CY127">
        <f>AB127</f>
        <v>0.84</v>
      </c>
      <c r="CZ127">
        <f>AF127</f>
        <v>0.8</v>
      </c>
      <c r="DA127">
        <f>AJ127</f>
        <v>1</v>
      </c>
      <c r="DB127">
        <f>ROUND((ROUND(AT127*CZ127,2)*1.2),6)</f>
        <v>0.78</v>
      </c>
      <c r="DC127">
        <f>ROUND((ROUND(AT127*AG127,2)*1.2),6)</f>
        <v>0</v>
      </c>
      <c r="DD127" t="s">
        <v>3</v>
      </c>
      <c r="DE127" t="s">
        <v>3</v>
      </c>
      <c r="DF127">
        <f t="shared" si="29"/>
        <v>0</v>
      </c>
      <c r="DG127">
        <f t="shared" si="27"/>
        <v>2.72</v>
      </c>
      <c r="DH127">
        <f t="shared" si="26"/>
        <v>0</v>
      </c>
      <c r="DI127">
        <f t="shared" si="17"/>
        <v>0</v>
      </c>
      <c r="DJ127">
        <f>DG127</f>
        <v>2.72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5">
      <c r="A128">
        <f>ROW(Source!A105)</f>
        <v>105</v>
      </c>
      <c r="B128">
        <v>55936046</v>
      </c>
      <c r="C128">
        <v>55936257</v>
      </c>
      <c r="D128">
        <v>55490296</v>
      </c>
      <c r="E128">
        <v>1</v>
      </c>
      <c r="F128">
        <v>1</v>
      </c>
      <c r="G128">
        <v>1081</v>
      </c>
      <c r="H128">
        <v>2</v>
      </c>
      <c r="I128" t="s">
        <v>270</v>
      </c>
      <c r="J128" t="s">
        <v>271</v>
      </c>
      <c r="K128" t="s">
        <v>272</v>
      </c>
      <c r="L128">
        <v>1368</v>
      </c>
      <c r="N128">
        <v>1011</v>
      </c>
      <c r="O128" t="s">
        <v>268</v>
      </c>
      <c r="P128" t="s">
        <v>268</v>
      </c>
      <c r="Q128">
        <v>1</v>
      </c>
      <c r="W128">
        <v>0</v>
      </c>
      <c r="X128">
        <v>-643591644</v>
      </c>
      <c r="Y128">
        <f>(AT128*1.2)</f>
        <v>1.1160000000000001</v>
      </c>
      <c r="AA128">
        <v>0</v>
      </c>
      <c r="AB128">
        <v>0.49</v>
      </c>
      <c r="AC128">
        <v>0</v>
      </c>
      <c r="AD128">
        <v>0</v>
      </c>
      <c r="AE128">
        <v>0</v>
      </c>
      <c r="AF128">
        <v>0.47</v>
      </c>
      <c r="AG128">
        <v>0</v>
      </c>
      <c r="AH128">
        <v>0</v>
      </c>
      <c r="AI128">
        <v>1</v>
      </c>
      <c r="AJ128">
        <v>1</v>
      </c>
      <c r="AK128">
        <v>1</v>
      </c>
      <c r="AL128">
        <v>1</v>
      </c>
      <c r="AM128">
        <v>-2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0.93</v>
      </c>
      <c r="AU128" t="s">
        <v>63</v>
      </c>
      <c r="AV128">
        <v>0</v>
      </c>
      <c r="AW128">
        <v>2</v>
      </c>
      <c r="AX128">
        <v>55936261</v>
      </c>
      <c r="AY128">
        <v>1</v>
      </c>
      <c r="AZ128">
        <v>0</v>
      </c>
      <c r="BA128">
        <v>154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f>ROUND(Y128*Source!I105*DO128,9)</f>
        <v>0</v>
      </c>
      <c r="CX128">
        <f>ROUND(Y128*Source!I105,9)</f>
        <v>3.9060000000000001</v>
      </c>
      <c r="CY128">
        <f>AB128</f>
        <v>0.49</v>
      </c>
      <c r="CZ128">
        <f>AF128</f>
        <v>0.47</v>
      </c>
      <c r="DA128">
        <f>AJ128</f>
        <v>1</v>
      </c>
      <c r="DB128">
        <f>ROUND((ROUND(AT128*CZ128,2)*1.2),6)</f>
        <v>0.52800000000000002</v>
      </c>
      <c r="DC128">
        <f>ROUND((ROUND(AT128*AG128,2)*1.2),6)</f>
        <v>0</v>
      </c>
      <c r="DD128" t="s">
        <v>3</v>
      </c>
      <c r="DE128" t="s">
        <v>3</v>
      </c>
      <c r="DF128">
        <f t="shared" si="29"/>
        <v>0</v>
      </c>
      <c r="DG128">
        <f t="shared" si="27"/>
        <v>1.84</v>
      </c>
      <c r="DH128">
        <f t="shared" si="26"/>
        <v>0</v>
      </c>
      <c r="DI128">
        <f t="shared" si="17"/>
        <v>0</v>
      </c>
      <c r="DJ128">
        <f>DG128</f>
        <v>1.84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5">
      <c r="A129">
        <f>ROW(Source!A105)</f>
        <v>105</v>
      </c>
      <c r="B129">
        <v>55936046</v>
      </c>
      <c r="C129">
        <v>55936257</v>
      </c>
      <c r="D129">
        <v>55460882</v>
      </c>
      <c r="E129">
        <v>1</v>
      </c>
      <c r="F129">
        <v>1</v>
      </c>
      <c r="G129">
        <v>1081</v>
      </c>
      <c r="H129">
        <v>3</v>
      </c>
      <c r="I129" t="s">
        <v>273</v>
      </c>
      <c r="J129" t="s">
        <v>274</v>
      </c>
      <c r="K129" t="s">
        <v>275</v>
      </c>
      <c r="L129">
        <v>1348</v>
      </c>
      <c r="N129">
        <v>1009</v>
      </c>
      <c r="O129" t="s">
        <v>223</v>
      </c>
      <c r="P129" t="s">
        <v>223</v>
      </c>
      <c r="Q129">
        <v>1000</v>
      </c>
      <c r="W129">
        <v>0</v>
      </c>
      <c r="X129">
        <v>-1448166212</v>
      </c>
      <c r="Y129">
        <f>(AT129*1)</f>
        <v>1.7000000000000001E-4</v>
      </c>
      <c r="AA129">
        <v>14327.51</v>
      </c>
      <c r="AB129">
        <v>0</v>
      </c>
      <c r="AC129">
        <v>0</v>
      </c>
      <c r="AD129">
        <v>0</v>
      </c>
      <c r="AE129">
        <v>14327.51</v>
      </c>
      <c r="AF129">
        <v>0</v>
      </c>
      <c r="AG129">
        <v>0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-2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1.7000000000000001E-4</v>
      </c>
      <c r="AU129" t="s">
        <v>62</v>
      </c>
      <c r="AV129">
        <v>0</v>
      </c>
      <c r="AW129">
        <v>2</v>
      </c>
      <c r="AX129">
        <v>55936262</v>
      </c>
      <c r="AY129">
        <v>1</v>
      </c>
      <c r="AZ129">
        <v>0</v>
      </c>
      <c r="BA129">
        <v>155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V129">
        <v>0</v>
      </c>
      <c r="CW129">
        <v>0</v>
      </c>
      <c r="CX129">
        <f>ROUND(Y129*Source!I105,9)</f>
        <v>5.9500000000000004E-4</v>
      </c>
      <c r="CY129">
        <f>AA129</f>
        <v>14327.51</v>
      </c>
      <c r="CZ129">
        <f>AE129</f>
        <v>14327.51</v>
      </c>
      <c r="DA129">
        <f>AI129</f>
        <v>1</v>
      </c>
      <c r="DB129">
        <f>ROUND((ROUND(AT129*CZ129,2)*1),6)</f>
        <v>2.44</v>
      </c>
      <c r="DC129">
        <f>ROUND((ROUND(AT129*AG129,2)*1),6)</f>
        <v>0</v>
      </c>
      <c r="DD129" t="s">
        <v>3</v>
      </c>
      <c r="DE129" t="s">
        <v>3</v>
      </c>
      <c r="DF129">
        <f t="shared" si="29"/>
        <v>8.52</v>
      </c>
      <c r="DG129">
        <f t="shared" si="27"/>
        <v>0</v>
      </c>
      <c r="DH129">
        <f t="shared" si="26"/>
        <v>0</v>
      </c>
      <c r="DI129">
        <f t="shared" ref="DI129:DI192" si="30">ROUND(ROUND(AH129,2)*CX129,2)</f>
        <v>0</v>
      </c>
      <c r="DJ129">
        <f>DF129</f>
        <v>8.52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5">
      <c r="A130">
        <f>ROW(Source!A105)</f>
        <v>105</v>
      </c>
      <c r="B130">
        <v>55936046</v>
      </c>
      <c r="C130">
        <v>55936257</v>
      </c>
      <c r="D130">
        <v>0</v>
      </c>
      <c r="E130">
        <v>0</v>
      </c>
      <c r="F130">
        <v>1</v>
      </c>
      <c r="G130">
        <v>1081</v>
      </c>
      <c r="H130">
        <v>3</v>
      </c>
      <c r="I130" t="s">
        <v>320</v>
      </c>
      <c r="J130" t="s">
        <v>320</v>
      </c>
      <c r="K130" t="s">
        <v>169</v>
      </c>
      <c r="L130">
        <v>1371</v>
      </c>
      <c r="N130">
        <v>1013</v>
      </c>
      <c r="O130" t="s">
        <v>144</v>
      </c>
      <c r="P130" t="s">
        <v>144</v>
      </c>
      <c r="Q130">
        <v>1</v>
      </c>
      <c r="W130">
        <v>0</v>
      </c>
      <c r="X130">
        <v>2021729888</v>
      </c>
      <c r="Y130">
        <f>AT130</f>
        <v>10</v>
      </c>
      <c r="AA130">
        <v>665.92</v>
      </c>
      <c r="AB130">
        <v>0</v>
      </c>
      <c r="AC130">
        <v>0</v>
      </c>
      <c r="AD130">
        <v>0</v>
      </c>
      <c r="AE130">
        <v>665.92</v>
      </c>
      <c r="AF130">
        <v>0</v>
      </c>
      <c r="AG130">
        <v>0</v>
      </c>
      <c r="AH130">
        <v>0</v>
      </c>
      <c r="AI130">
        <v>1</v>
      </c>
      <c r="AJ130">
        <v>1</v>
      </c>
      <c r="AK130">
        <v>1</v>
      </c>
      <c r="AL130">
        <v>1</v>
      </c>
      <c r="AM130">
        <v>0</v>
      </c>
      <c r="AN130">
        <v>0</v>
      </c>
      <c r="AO130">
        <v>0</v>
      </c>
      <c r="AP130">
        <v>1</v>
      </c>
      <c r="AQ130">
        <v>0</v>
      </c>
      <c r="AR130">
        <v>0</v>
      </c>
      <c r="AS130" t="s">
        <v>3</v>
      </c>
      <c r="AT130">
        <v>10</v>
      </c>
      <c r="AU130" t="s">
        <v>3</v>
      </c>
      <c r="AV130">
        <v>0</v>
      </c>
      <c r="AW130">
        <v>1</v>
      </c>
      <c r="AX130">
        <v>-1</v>
      </c>
      <c r="AY130">
        <v>0</v>
      </c>
      <c r="AZ130">
        <v>0</v>
      </c>
      <c r="BA130" t="s">
        <v>3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v>0</v>
      </c>
      <c r="CX130">
        <f>ROUND(Y130*Source!I105,9)</f>
        <v>35</v>
      </c>
      <c r="CY130">
        <f>AA130</f>
        <v>665.92</v>
      </c>
      <c r="CZ130">
        <f>AE130</f>
        <v>665.92</v>
      </c>
      <c r="DA130">
        <f>AI130</f>
        <v>1</v>
      </c>
      <c r="DB130">
        <f>ROUND(ROUND(AT130*CZ130,2),6)</f>
        <v>6659.2</v>
      </c>
      <c r="DC130">
        <f>ROUND(ROUND(AT130*AG130,2),6)</f>
        <v>0</v>
      </c>
      <c r="DD130" t="s">
        <v>3</v>
      </c>
      <c r="DE130" t="s">
        <v>3</v>
      </c>
      <c r="DF130">
        <f t="shared" si="29"/>
        <v>23307.200000000001</v>
      </c>
      <c r="DG130">
        <f t="shared" si="27"/>
        <v>0</v>
      </c>
      <c r="DH130">
        <f t="shared" si="26"/>
        <v>0</v>
      </c>
      <c r="DI130">
        <f t="shared" si="30"/>
        <v>0</v>
      </c>
      <c r="DJ130">
        <f>DF130</f>
        <v>23307.200000000001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5">
      <c r="A131">
        <f>ROW(Source!A106)</f>
        <v>106</v>
      </c>
      <c r="B131">
        <v>55936048</v>
      </c>
      <c r="C131">
        <v>55936257</v>
      </c>
      <c r="D131">
        <v>55424304</v>
      </c>
      <c r="E131">
        <v>1081</v>
      </c>
      <c r="F131">
        <v>1</v>
      </c>
      <c r="G131">
        <v>1081</v>
      </c>
      <c r="H131">
        <v>1</v>
      </c>
      <c r="I131" t="s">
        <v>262</v>
      </c>
      <c r="J131" t="s">
        <v>3</v>
      </c>
      <c r="K131" t="s">
        <v>263</v>
      </c>
      <c r="L131">
        <v>1191</v>
      </c>
      <c r="N131">
        <v>1013</v>
      </c>
      <c r="O131" t="s">
        <v>264</v>
      </c>
      <c r="P131" t="s">
        <v>264</v>
      </c>
      <c r="Q131">
        <v>1</v>
      </c>
      <c r="W131">
        <v>0</v>
      </c>
      <c r="X131">
        <v>476480486</v>
      </c>
      <c r="Y131">
        <f>(AT131*1.2)</f>
        <v>17.568000000000001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5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14.64</v>
      </c>
      <c r="AU131" t="s">
        <v>63</v>
      </c>
      <c r="AV131">
        <v>1</v>
      </c>
      <c r="AW131">
        <v>2</v>
      </c>
      <c r="AX131">
        <v>55936258</v>
      </c>
      <c r="AY131">
        <v>1</v>
      </c>
      <c r="AZ131">
        <v>0</v>
      </c>
      <c r="BA131">
        <v>157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U131">
        <f>ROUND(AT131*Source!I106*AH131*AL131,2)</f>
        <v>0</v>
      </c>
      <c r="CV131">
        <f>ROUND(Y131*Source!I106,9)</f>
        <v>61.488</v>
      </c>
      <c r="CW131">
        <v>0</v>
      </c>
      <c r="CX131">
        <f>ROUND(Y131*Source!I106,9)</f>
        <v>61.488</v>
      </c>
      <c r="CY131">
        <f>AD131</f>
        <v>0</v>
      </c>
      <c r="CZ131">
        <f>AH131</f>
        <v>0</v>
      </c>
      <c r="DA131">
        <f>AL131</f>
        <v>1</v>
      </c>
      <c r="DB131">
        <f>ROUND((ROUND(AT131*CZ131,2)*1.2),6)</f>
        <v>0</v>
      </c>
      <c r="DC131">
        <f>ROUND((ROUND(AT131*AG131,2)*1.2),6)</f>
        <v>0</v>
      </c>
      <c r="DD131" t="s">
        <v>3</v>
      </c>
      <c r="DE131" t="s">
        <v>3</v>
      </c>
      <c r="DF131">
        <f t="shared" si="29"/>
        <v>0</v>
      </c>
      <c r="DG131">
        <f t="shared" si="27"/>
        <v>0</v>
      </c>
      <c r="DH131">
        <f t="shared" si="26"/>
        <v>0</v>
      </c>
      <c r="DI131">
        <f t="shared" si="30"/>
        <v>0</v>
      </c>
      <c r="DJ131">
        <f>DI131</f>
        <v>0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5">
      <c r="A132">
        <f>ROW(Source!A106)</f>
        <v>106</v>
      </c>
      <c r="B132">
        <v>55936048</v>
      </c>
      <c r="C132">
        <v>55936257</v>
      </c>
      <c r="D132">
        <v>55490209</v>
      </c>
      <c r="E132">
        <v>1</v>
      </c>
      <c r="F132">
        <v>1</v>
      </c>
      <c r="G132">
        <v>1081</v>
      </c>
      <c r="H132">
        <v>2</v>
      </c>
      <c r="I132" t="s">
        <v>265</v>
      </c>
      <c r="J132" t="s">
        <v>266</v>
      </c>
      <c r="K132" t="s">
        <v>267</v>
      </c>
      <c r="L132">
        <v>1368</v>
      </c>
      <c r="N132">
        <v>1011</v>
      </c>
      <c r="O132" t="s">
        <v>268</v>
      </c>
      <c r="P132" t="s">
        <v>268</v>
      </c>
      <c r="Q132">
        <v>1</v>
      </c>
      <c r="W132">
        <v>0</v>
      </c>
      <c r="X132">
        <v>874612079</v>
      </c>
      <c r="Y132">
        <f>(AT132*1.2)</f>
        <v>7.1999999999999995E-2</v>
      </c>
      <c r="AA132">
        <v>0</v>
      </c>
      <c r="AB132">
        <v>1485.19</v>
      </c>
      <c r="AC132">
        <v>744.56</v>
      </c>
      <c r="AD132">
        <v>0</v>
      </c>
      <c r="AE132">
        <v>0</v>
      </c>
      <c r="AF132">
        <v>83.1</v>
      </c>
      <c r="AG132">
        <v>12.62</v>
      </c>
      <c r="AH132">
        <v>0</v>
      </c>
      <c r="AI132">
        <v>1</v>
      </c>
      <c r="AJ132">
        <v>17.07</v>
      </c>
      <c r="AK132">
        <v>56.35</v>
      </c>
      <c r="AL132">
        <v>1</v>
      </c>
      <c r="AM132">
        <v>2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0.06</v>
      </c>
      <c r="AU132" t="s">
        <v>63</v>
      </c>
      <c r="AV132">
        <v>0</v>
      </c>
      <c r="AW132">
        <v>2</v>
      </c>
      <c r="AX132">
        <v>55936259</v>
      </c>
      <c r="AY132">
        <v>1</v>
      </c>
      <c r="AZ132">
        <v>0</v>
      </c>
      <c r="BA132">
        <v>158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f>ROUND(Y132*Source!I106*DO132,9)</f>
        <v>3.18024</v>
      </c>
      <c r="CX132">
        <f>ROUND(Y132*Source!I106,9)</f>
        <v>0.252</v>
      </c>
      <c r="CY132">
        <f>AB132</f>
        <v>1485.19</v>
      </c>
      <c r="CZ132">
        <f>AF132</f>
        <v>83.1</v>
      </c>
      <c r="DA132">
        <f>AJ132</f>
        <v>17.07</v>
      </c>
      <c r="DB132">
        <f>ROUND((ROUND(AT132*CZ132,2)*1.2),6)</f>
        <v>5.9880000000000004</v>
      </c>
      <c r="DC132">
        <f>ROUND((ROUND(AT132*AG132,2)*1.2),6)</f>
        <v>0.91200000000000003</v>
      </c>
      <c r="DD132" t="s">
        <v>3</v>
      </c>
      <c r="DE132" t="s">
        <v>3</v>
      </c>
      <c r="DF132">
        <f t="shared" si="29"/>
        <v>0</v>
      </c>
      <c r="DG132">
        <f>ROUND(ROUND(AF132*AJ132,2)*CX132,2)</f>
        <v>357.47</v>
      </c>
      <c r="DH132">
        <f>ROUND(ROUND(AG132*AK132,2)*CX132,2)</f>
        <v>179.21</v>
      </c>
      <c r="DI132">
        <f t="shared" si="30"/>
        <v>0</v>
      </c>
      <c r="DJ132">
        <f>DG132</f>
        <v>357.47</v>
      </c>
      <c r="DK132">
        <v>0</v>
      </c>
      <c r="DL132" t="s">
        <v>269</v>
      </c>
      <c r="DM132">
        <v>0</v>
      </c>
      <c r="DN132" t="s">
        <v>264</v>
      </c>
      <c r="DO132">
        <v>12.62</v>
      </c>
    </row>
    <row r="133" spans="1:119" x14ac:dyDescent="0.25">
      <c r="A133">
        <f>ROW(Source!A106)</f>
        <v>106</v>
      </c>
      <c r="B133">
        <v>55936048</v>
      </c>
      <c r="C133">
        <v>55936257</v>
      </c>
      <c r="D133">
        <v>55490330</v>
      </c>
      <c r="E133">
        <v>1</v>
      </c>
      <c r="F133">
        <v>1</v>
      </c>
      <c r="G133">
        <v>1081</v>
      </c>
      <c r="H133">
        <v>2</v>
      </c>
      <c r="I133" t="s">
        <v>285</v>
      </c>
      <c r="J133" t="s">
        <v>286</v>
      </c>
      <c r="K133" t="s">
        <v>287</v>
      </c>
      <c r="L133">
        <v>1368</v>
      </c>
      <c r="N133">
        <v>1011</v>
      </c>
      <c r="O133" t="s">
        <v>268</v>
      </c>
      <c r="P133" t="s">
        <v>268</v>
      </c>
      <c r="Q133">
        <v>1</v>
      </c>
      <c r="W133">
        <v>0</v>
      </c>
      <c r="X133">
        <v>-2083101341</v>
      </c>
      <c r="Y133">
        <f>(AT133*1.2)</f>
        <v>0.97199999999999998</v>
      </c>
      <c r="AA133">
        <v>0</v>
      </c>
      <c r="AB133">
        <v>7.92</v>
      </c>
      <c r="AC133">
        <v>0</v>
      </c>
      <c r="AD133">
        <v>0</v>
      </c>
      <c r="AE133">
        <v>0</v>
      </c>
      <c r="AF133">
        <v>0.8</v>
      </c>
      <c r="AG133">
        <v>0</v>
      </c>
      <c r="AH133">
        <v>0</v>
      </c>
      <c r="AI133">
        <v>1</v>
      </c>
      <c r="AJ133">
        <v>9.4600000000000009</v>
      </c>
      <c r="AK133">
        <v>1</v>
      </c>
      <c r="AL133">
        <v>1</v>
      </c>
      <c r="AM133">
        <v>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0.81</v>
      </c>
      <c r="AU133" t="s">
        <v>63</v>
      </c>
      <c r="AV133">
        <v>0</v>
      </c>
      <c r="AW133">
        <v>2</v>
      </c>
      <c r="AX133">
        <v>55936260</v>
      </c>
      <c r="AY133">
        <v>1</v>
      </c>
      <c r="AZ133">
        <v>0</v>
      </c>
      <c r="BA133">
        <v>159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V133">
        <v>0</v>
      </c>
      <c r="CW133">
        <f>ROUND(Y133*Source!I106*DO133,9)</f>
        <v>0</v>
      </c>
      <c r="CX133">
        <f>ROUND(Y133*Source!I106,9)</f>
        <v>3.4020000000000001</v>
      </c>
      <c r="CY133">
        <f>AB133</f>
        <v>7.92</v>
      </c>
      <c r="CZ133">
        <f>AF133</f>
        <v>0.8</v>
      </c>
      <c r="DA133">
        <f>AJ133</f>
        <v>9.4600000000000009</v>
      </c>
      <c r="DB133">
        <f>ROUND((ROUND(AT133*CZ133,2)*1.2),6)</f>
        <v>0.78</v>
      </c>
      <c r="DC133">
        <f>ROUND((ROUND(AT133*AG133,2)*1.2),6)</f>
        <v>0</v>
      </c>
      <c r="DD133" t="s">
        <v>3</v>
      </c>
      <c r="DE133" t="s">
        <v>3</v>
      </c>
      <c r="DF133">
        <f t="shared" si="29"/>
        <v>0</v>
      </c>
      <c r="DG133">
        <f>ROUND(ROUND(AF133*AJ133,2)*CX133,2)</f>
        <v>25.75</v>
      </c>
      <c r="DH133">
        <f t="shared" ref="DH133:DH151" si="31">ROUND(ROUND(AG133,2)*CX133,2)</f>
        <v>0</v>
      </c>
      <c r="DI133">
        <f t="shared" si="30"/>
        <v>0</v>
      </c>
      <c r="DJ133">
        <f>DG133</f>
        <v>25.75</v>
      </c>
      <c r="DK133">
        <v>0</v>
      </c>
      <c r="DL133" t="s">
        <v>3</v>
      </c>
      <c r="DM133">
        <v>0</v>
      </c>
      <c r="DN133" t="s">
        <v>3</v>
      </c>
      <c r="DO133">
        <v>0</v>
      </c>
    </row>
    <row r="134" spans="1:119" x14ac:dyDescent="0.25">
      <c r="A134">
        <f>ROW(Source!A106)</f>
        <v>106</v>
      </c>
      <c r="B134">
        <v>55936048</v>
      </c>
      <c r="C134">
        <v>55936257</v>
      </c>
      <c r="D134">
        <v>55490296</v>
      </c>
      <c r="E134">
        <v>1</v>
      </c>
      <c r="F134">
        <v>1</v>
      </c>
      <c r="G134">
        <v>1081</v>
      </c>
      <c r="H134">
        <v>2</v>
      </c>
      <c r="I134" t="s">
        <v>270</v>
      </c>
      <c r="J134" t="s">
        <v>271</v>
      </c>
      <c r="K134" t="s">
        <v>272</v>
      </c>
      <c r="L134">
        <v>1368</v>
      </c>
      <c r="N134">
        <v>1011</v>
      </c>
      <c r="O134" t="s">
        <v>268</v>
      </c>
      <c r="P134" t="s">
        <v>268</v>
      </c>
      <c r="Q134">
        <v>1</v>
      </c>
      <c r="W134">
        <v>0</v>
      </c>
      <c r="X134">
        <v>-643591644</v>
      </c>
      <c r="Y134">
        <f>(AT134*1.2)</f>
        <v>1.1160000000000001</v>
      </c>
      <c r="AA134">
        <v>0</v>
      </c>
      <c r="AB134">
        <v>4.75</v>
      </c>
      <c r="AC134">
        <v>0</v>
      </c>
      <c r="AD134">
        <v>0</v>
      </c>
      <c r="AE134">
        <v>0</v>
      </c>
      <c r="AF134">
        <v>0.47</v>
      </c>
      <c r="AG134">
        <v>0</v>
      </c>
      <c r="AH134">
        <v>0</v>
      </c>
      <c r="AI134">
        <v>1</v>
      </c>
      <c r="AJ134">
        <v>9.66</v>
      </c>
      <c r="AK134">
        <v>1</v>
      </c>
      <c r="AL134">
        <v>1</v>
      </c>
      <c r="AM134">
        <v>2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0.93</v>
      </c>
      <c r="AU134" t="s">
        <v>63</v>
      </c>
      <c r="AV134">
        <v>0</v>
      </c>
      <c r="AW134">
        <v>2</v>
      </c>
      <c r="AX134">
        <v>55936261</v>
      </c>
      <c r="AY134">
        <v>1</v>
      </c>
      <c r="AZ134">
        <v>0</v>
      </c>
      <c r="BA134">
        <v>160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f>ROUND(Y134*Source!I106*DO134,9)</f>
        <v>0</v>
      </c>
      <c r="CX134">
        <f>ROUND(Y134*Source!I106,9)</f>
        <v>3.9060000000000001</v>
      </c>
      <c r="CY134">
        <f>AB134</f>
        <v>4.75</v>
      </c>
      <c r="CZ134">
        <f>AF134</f>
        <v>0.47</v>
      </c>
      <c r="DA134">
        <f>AJ134</f>
        <v>9.66</v>
      </c>
      <c r="DB134">
        <f>ROUND((ROUND(AT134*CZ134,2)*1.2),6)</f>
        <v>0.52800000000000002</v>
      </c>
      <c r="DC134">
        <f>ROUND((ROUND(AT134*AG134,2)*1.2),6)</f>
        <v>0</v>
      </c>
      <c r="DD134" t="s">
        <v>3</v>
      </c>
      <c r="DE134" t="s">
        <v>3</v>
      </c>
      <c r="DF134">
        <f t="shared" si="29"/>
        <v>0</v>
      </c>
      <c r="DG134">
        <f>ROUND(ROUND(AF134*AJ134,2)*CX134,2)</f>
        <v>17.73</v>
      </c>
      <c r="DH134">
        <f t="shared" si="31"/>
        <v>0</v>
      </c>
      <c r="DI134">
        <f t="shared" si="30"/>
        <v>0</v>
      </c>
      <c r="DJ134">
        <f>DG134</f>
        <v>17.73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5">
      <c r="A135">
        <f>ROW(Source!A106)</f>
        <v>106</v>
      </c>
      <c r="B135">
        <v>55936048</v>
      </c>
      <c r="C135">
        <v>55936257</v>
      </c>
      <c r="D135">
        <v>55460882</v>
      </c>
      <c r="E135">
        <v>1</v>
      </c>
      <c r="F135">
        <v>1</v>
      </c>
      <c r="G135">
        <v>1081</v>
      </c>
      <c r="H135">
        <v>3</v>
      </c>
      <c r="I135" t="s">
        <v>273</v>
      </c>
      <c r="J135" t="s">
        <v>274</v>
      </c>
      <c r="K135" t="s">
        <v>275</v>
      </c>
      <c r="L135">
        <v>1348</v>
      </c>
      <c r="N135">
        <v>1009</v>
      </c>
      <c r="O135" t="s">
        <v>223</v>
      </c>
      <c r="P135" t="s">
        <v>223</v>
      </c>
      <c r="Q135">
        <v>1000</v>
      </c>
      <c r="W135">
        <v>0</v>
      </c>
      <c r="X135">
        <v>-1448166212</v>
      </c>
      <c r="Y135">
        <f>(AT135*1)</f>
        <v>1.7000000000000001E-4</v>
      </c>
      <c r="AA135">
        <v>109175.63</v>
      </c>
      <c r="AB135">
        <v>0</v>
      </c>
      <c r="AC135">
        <v>0</v>
      </c>
      <c r="AD135">
        <v>0</v>
      </c>
      <c r="AE135">
        <v>14327.51</v>
      </c>
      <c r="AF135">
        <v>0</v>
      </c>
      <c r="AG135">
        <v>0</v>
      </c>
      <c r="AH135">
        <v>0</v>
      </c>
      <c r="AI135">
        <v>7.62</v>
      </c>
      <c r="AJ135">
        <v>1</v>
      </c>
      <c r="AK135">
        <v>1</v>
      </c>
      <c r="AL135">
        <v>1</v>
      </c>
      <c r="AM135">
        <v>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1.7000000000000001E-4</v>
      </c>
      <c r="AU135" t="s">
        <v>62</v>
      </c>
      <c r="AV135">
        <v>0</v>
      </c>
      <c r="AW135">
        <v>2</v>
      </c>
      <c r="AX135">
        <v>55936262</v>
      </c>
      <c r="AY135">
        <v>1</v>
      </c>
      <c r="AZ135">
        <v>0</v>
      </c>
      <c r="BA135">
        <v>161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V135">
        <v>0</v>
      </c>
      <c r="CW135">
        <v>0</v>
      </c>
      <c r="CX135">
        <f>ROUND(Y135*Source!I106,9)</f>
        <v>5.9500000000000004E-4</v>
      </c>
      <c r="CY135">
        <f>AA135</f>
        <v>109175.63</v>
      </c>
      <c r="CZ135">
        <f>AE135</f>
        <v>14327.51</v>
      </c>
      <c r="DA135">
        <f>AI135</f>
        <v>7.62</v>
      </c>
      <c r="DB135">
        <f>ROUND((ROUND(AT135*CZ135,2)*1),6)</f>
        <v>2.44</v>
      </c>
      <c r="DC135">
        <f>ROUND((ROUND(AT135*AG135,2)*1),6)</f>
        <v>0</v>
      </c>
      <c r="DD135" t="s">
        <v>3</v>
      </c>
      <c r="DE135" t="s">
        <v>3</v>
      </c>
      <c r="DF135">
        <f>ROUND(ROUND(AE135*AI135,2)*CX135,2)</f>
        <v>64.959999999999994</v>
      </c>
      <c r="DG135">
        <f t="shared" ref="DG135:DG151" si="32">ROUND(ROUND(AF135,2)*CX135,2)</f>
        <v>0</v>
      </c>
      <c r="DH135">
        <f t="shared" si="31"/>
        <v>0</v>
      </c>
      <c r="DI135">
        <f t="shared" si="30"/>
        <v>0</v>
      </c>
      <c r="DJ135">
        <f>DF135</f>
        <v>64.959999999999994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5">
      <c r="A136">
        <f>ROW(Source!A106)</f>
        <v>106</v>
      </c>
      <c r="B136">
        <v>55936048</v>
      </c>
      <c r="C136">
        <v>55936257</v>
      </c>
      <c r="D136">
        <v>0</v>
      </c>
      <c r="E136">
        <v>0</v>
      </c>
      <c r="F136">
        <v>1</v>
      </c>
      <c r="G136">
        <v>1081</v>
      </c>
      <c r="H136">
        <v>3</v>
      </c>
      <c r="I136" t="s">
        <v>320</v>
      </c>
      <c r="J136" t="s">
        <v>320</v>
      </c>
      <c r="K136" t="s">
        <v>169</v>
      </c>
      <c r="L136">
        <v>1371</v>
      </c>
      <c r="N136">
        <v>1013</v>
      </c>
      <c r="O136" t="s">
        <v>144</v>
      </c>
      <c r="P136" t="s">
        <v>144</v>
      </c>
      <c r="Q136">
        <v>1</v>
      </c>
      <c r="W136">
        <v>0</v>
      </c>
      <c r="X136">
        <v>2021729888</v>
      </c>
      <c r="Y136">
        <f>AT136</f>
        <v>10</v>
      </c>
      <c r="AA136">
        <v>5041.01</v>
      </c>
      <c r="AB136">
        <v>0</v>
      </c>
      <c r="AC136">
        <v>0</v>
      </c>
      <c r="AD136">
        <v>0</v>
      </c>
      <c r="AE136">
        <v>665.92</v>
      </c>
      <c r="AF136">
        <v>0</v>
      </c>
      <c r="AG136">
        <v>0</v>
      </c>
      <c r="AH136">
        <v>0</v>
      </c>
      <c r="AI136">
        <v>7.57</v>
      </c>
      <c r="AJ136">
        <v>1</v>
      </c>
      <c r="AK136">
        <v>1</v>
      </c>
      <c r="AL136">
        <v>1</v>
      </c>
      <c r="AM136">
        <v>0</v>
      </c>
      <c r="AN136">
        <v>0</v>
      </c>
      <c r="AO136">
        <v>0</v>
      </c>
      <c r="AP136">
        <v>1</v>
      </c>
      <c r="AQ136">
        <v>0</v>
      </c>
      <c r="AR136">
        <v>0</v>
      </c>
      <c r="AS136" t="s">
        <v>3</v>
      </c>
      <c r="AT136">
        <v>10</v>
      </c>
      <c r="AU136" t="s">
        <v>3</v>
      </c>
      <c r="AV136">
        <v>0</v>
      </c>
      <c r="AW136">
        <v>1</v>
      </c>
      <c r="AX136">
        <v>-1</v>
      </c>
      <c r="AY136">
        <v>0</v>
      </c>
      <c r="AZ136">
        <v>0</v>
      </c>
      <c r="BA136" t="s">
        <v>3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v>0</v>
      </c>
      <c r="CX136">
        <f>ROUND(Y136*Source!I106,9)</f>
        <v>35</v>
      </c>
      <c r="CY136">
        <f>AA136</f>
        <v>5041.01</v>
      </c>
      <c r="CZ136">
        <f>AE136</f>
        <v>665.92</v>
      </c>
      <c r="DA136">
        <f>AI136</f>
        <v>7.57</v>
      </c>
      <c r="DB136">
        <f>ROUND(ROUND(AT136*CZ136,2),6)</f>
        <v>6659.2</v>
      </c>
      <c r="DC136">
        <f>ROUND(ROUND(AT136*AG136,2),6)</f>
        <v>0</v>
      </c>
      <c r="DD136" t="s">
        <v>3</v>
      </c>
      <c r="DE136" t="s">
        <v>3</v>
      </c>
      <c r="DF136">
        <f>ROUND(ROUND(AE136*AI136,2)*CX136,2)</f>
        <v>176435.35</v>
      </c>
      <c r="DG136">
        <f t="shared" si="32"/>
        <v>0</v>
      </c>
      <c r="DH136">
        <f t="shared" si="31"/>
        <v>0</v>
      </c>
      <c r="DI136">
        <f t="shared" si="30"/>
        <v>0</v>
      </c>
      <c r="DJ136">
        <f>DF136</f>
        <v>176435.35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5">
      <c r="A137">
        <f>ROW(Source!A109)</f>
        <v>109</v>
      </c>
      <c r="B137">
        <v>55936046</v>
      </c>
      <c r="C137">
        <v>55936270</v>
      </c>
      <c r="D137">
        <v>55424304</v>
      </c>
      <c r="E137">
        <v>1081</v>
      </c>
      <c r="F137">
        <v>1</v>
      </c>
      <c r="G137">
        <v>1081</v>
      </c>
      <c r="H137">
        <v>1</v>
      </c>
      <c r="I137" t="s">
        <v>262</v>
      </c>
      <c r="J137" t="s">
        <v>3</v>
      </c>
      <c r="K137" t="s">
        <v>263</v>
      </c>
      <c r="L137">
        <v>1191</v>
      </c>
      <c r="N137">
        <v>1013</v>
      </c>
      <c r="O137" t="s">
        <v>264</v>
      </c>
      <c r="P137" t="s">
        <v>264</v>
      </c>
      <c r="Q137">
        <v>1</v>
      </c>
      <c r="W137">
        <v>0</v>
      </c>
      <c r="X137">
        <v>476480486</v>
      </c>
      <c r="Y137">
        <f>(AT137*1.2)</f>
        <v>1.2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1</v>
      </c>
      <c r="AK137">
        <v>1</v>
      </c>
      <c r="AL137">
        <v>1</v>
      </c>
      <c r="AM137">
        <v>-2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1</v>
      </c>
      <c r="AU137" t="s">
        <v>63</v>
      </c>
      <c r="AV137">
        <v>1</v>
      </c>
      <c r="AW137">
        <v>2</v>
      </c>
      <c r="AX137">
        <v>55936271</v>
      </c>
      <c r="AY137">
        <v>1</v>
      </c>
      <c r="AZ137">
        <v>0</v>
      </c>
      <c r="BA137">
        <v>163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U137">
        <f>ROUND(AT137*Source!I109*AH137*AL137,2)</f>
        <v>0</v>
      </c>
      <c r="CV137">
        <f>ROUND(Y137*Source!I109,9)</f>
        <v>8.4</v>
      </c>
      <c r="CW137">
        <v>0</v>
      </c>
      <c r="CX137">
        <f>ROUND(Y137*Source!I109,9)</f>
        <v>8.4</v>
      </c>
      <c r="CY137">
        <f>AD137</f>
        <v>0</v>
      </c>
      <c r="CZ137">
        <f>AH137</f>
        <v>0</v>
      </c>
      <c r="DA137">
        <f>AL137</f>
        <v>1</v>
      </c>
      <c r="DB137">
        <f>ROUND((ROUND(AT137*CZ137,2)*1.2),6)</f>
        <v>0</v>
      </c>
      <c r="DC137">
        <f>ROUND((ROUND(AT137*AG137,2)*1.2),6)</f>
        <v>0</v>
      </c>
      <c r="DD137" t="s">
        <v>3</v>
      </c>
      <c r="DE137" t="s">
        <v>3</v>
      </c>
      <c r="DF137">
        <f>ROUND(ROUND(AE137,2)*CX137,2)</f>
        <v>0</v>
      </c>
      <c r="DG137">
        <f t="shared" si="32"/>
        <v>0</v>
      </c>
      <c r="DH137">
        <f t="shared" si="31"/>
        <v>0</v>
      </c>
      <c r="DI137">
        <f t="shared" si="30"/>
        <v>0</v>
      </c>
      <c r="DJ137">
        <f>DI137</f>
        <v>0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5">
      <c r="A138">
        <f>ROW(Source!A109)</f>
        <v>109</v>
      </c>
      <c r="B138">
        <v>55936046</v>
      </c>
      <c r="C138">
        <v>55936270</v>
      </c>
      <c r="D138">
        <v>55459793</v>
      </c>
      <c r="E138">
        <v>1</v>
      </c>
      <c r="F138">
        <v>1</v>
      </c>
      <c r="G138">
        <v>1081</v>
      </c>
      <c r="H138">
        <v>3</v>
      </c>
      <c r="I138" t="s">
        <v>279</v>
      </c>
      <c r="J138" t="s">
        <v>280</v>
      </c>
      <c r="K138" t="s">
        <v>281</v>
      </c>
      <c r="L138">
        <v>1348</v>
      </c>
      <c r="N138">
        <v>1009</v>
      </c>
      <c r="O138" t="s">
        <v>223</v>
      </c>
      <c r="P138" t="s">
        <v>223</v>
      </c>
      <c r="Q138">
        <v>1000</v>
      </c>
      <c r="W138">
        <v>0</v>
      </c>
      <c r="X138">
        <v>-761454284</v>
      </c>
      <c r="Y138">
        <f>(AT138*1)</f>
        <v>1.0000000000000001E-5</v>
      </c>
      <c r="AA138">
        <v>64123.05</v>
      </c>
      <c r="AB138">
        <v>0</v>
      </c>
      <c r="AC138">
        <v>0</v>
      </c>
      <c r="AD138">
        <v>0</v>
      </c>
      <c r="AE138">
        <v>64123.05</v>
      </c>
      <c r="AF138">
        <v>0</v>
      </c>
      <c r="AG138">
        <v>0</v>
      </c>
      <c r="AH138">
        <v>0</v>
      </c>
      <c r="AI138">
        <v>1</v>
      </c>
      <c r="AJ138">
        <v>1</v>
      </c>
      <c r="AK138">
        <v>1</v>
      </c>
      <c r="AL138">
        <v>1</v>
      </c>
      <c r="AM138">
        <v>-2</v>
      </c>
      <c r="AN138">
        <v>0</v>
      </c>
      <c r="AO138">
        <v>1</v>
      </c>
      <c r="AP138">
        <v>1</v>
      </c>
      <c r="AQ138">
        <v>0</v>
      </c>
      <c r="AR138">
        <v>0</v>
      </c>
      <c r="AS138" t="s">
        <v>3</v>
      </c>
      <c r="AT138">
        <v>1.0000000000000001E-5</v>
      </c>
      <c r="AU138" t="s">
        <v>62</v>
      </c>
      <c r="AV138">
        <v>0</v>
      </c>
      <c r="AW138">
        <v>2</v>
      </c>
      <c r="AX138">
        <v>55936272</v>
      </c>
      <c r="AY138">
        <v>1</v>
      </c>
      <c r="AZ138">
        <v>0</v>
      </c>
      <c r="BA138">
        <v>164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v>0</v>
      </c>
      <c r="CX138">
        <f>ROUND(Y138*Source!I109,9)</f>
        <v>6.9999999999999994E-5</v>
      </c>
      <c r="CY138">
        <f>AA138</f>
        <v>64123.05</v>
      </c>
      <c r="CZ138">
        <f>AE138</f>
        <v>64123.05</v>
      </c>
      <c r="DA138">
        <f>AI138</f>
        <v>1</v>
      </c>
      <c r="DB138">
        <f>ROUND((ROUND(AT138*CZ138,2)*1),6)</f>
        <v>0.64</v>
      </c>
      <c r="DC138">
        <f>ROUND((ROUND(AT138*AG138,2)*1),6)</f>
        <v>0</v>
      </c>
      <c r="DD138" t="s">
        <v>3</v>
      </c>
      <c r="DE138" t="s">
        <v>3</v>
      </c>
      <c r="DF138">
        <f>ROUND(ROUND(AE138,2)*CX138,2)</f>
        <v>4.49</v>
      </c>
      <c r="DG138">
        <f t="shared" si="32"/>
        <v>0</v>
      </c>
      <c r="DH138">
        <f t="shared" si="31"/>
        <v>0</v>
      </c>
      <c r="DI138">
        <f t="shared" si="30"/>
        <v>0</v>
      </c>
      <c r="DJ138">
        <f>DF138</f>
        <v>4.49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5">
      <c r="A139">
        <f>ROW(Source!A109)</f>
        <v>109</v>
      </c>
      <c r="B139">
        <v>55936046</v>
      </c>
      <c r="C139">
        <v>55936270</v>
      </c>
      <c r="D139">
        <v>55487942</v>
      </c>
      <c r="E139">
        <v>1</v>
      </c>
      <c r="F139">
        <v>1</v>
      </c>
      <c r="G139">
        <v>1081</v>
      </c>
      <c r="H139">
        <v>3</v>
      </c>
      <c r="I139" t="s">
        <v>288</v>
      </c>
      <c r="J139" t="s">
        <v>289</v>
      </c>
      <c r="K139" t="s">
        <v>290</v>
      </c>
      <c r="L139">
        <v>1303</v>
      </c>
      <c r="N139">
        <v>1003</v>
      </c>
      <c r="O139" t="s">
        <v>291</v>
      </c>
      <c r="P139" t="s">
        <v>291</v>
      </c>
      <c r="Q139">
        <v>1000</v>
      </c>
      <c r="W139">
        <v>0</v>
      </c>
      <c r="X139">
        <v>-1692873835</v>
      </c>
      <c r="Y139">
        <f>(AT139*1)</f>
        <v>2E-3</v>
      </c>
      <c r="AA139">
        <v>516.63</v>
      </c>
      <c r="AB139">
        <v>0</v>
      </c>
      <c r="AC139">
        <v>0</v>
      </c>
      <c r="AD139">
        <v>0</v>
      </c>
      <c r="AE139">
        <v>516.63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1</v>
      </c>
      <c r="AL139">
        <v>1</v>
      </c>
      <c r="AM139">
        <v>-2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2E-3</v>
      </c>
      <c r="AU139" t="s">
        <v>62</v>
      </c>
      <c r="AV139">
        <v>0</v>
      </c>
      <c r="AW139">
        <v>2</v>
      </c>
      <c r="AX139">
        <v>55936273</v>
      </c>
      <c r="AY139">
        <v>1</v>
      </c>
      <c r="AZ139">
        <v>0</v>
      </c>
      <c r="BA139">
        <v>165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V139">
        <v>0</v>
      </c>
      <c r="CW139">
        <v>0</v>
      </c>
      <c r="CX139">
        <f>ROUND(Y139*Source!I109,9)</f>
        <v>1.4E-2</v>
      </c>
      <c r="CY139">
        <f>AA139</f>
        <v>516.63</v>
      </c>
      <c r="CZ139">
        <f>AE139</f>
        <v>516.63</v>
      </c>
      <c r="DA139">
        <f>AI139</f>
        <v>1</v>
      </c>
      <c r="DB139">
        <f>ROUND((ROUND(AT139*CZ139,2)*1),6)</f>
        <v>1.03</v>
      </c>
      <c r="DC139">
        <f>ROUND((ROUND(AT139*AG139,2)*1),6)</f>
        <v>0</v>
      </c>
      <c r="DD139" t="s">
        <v>3</v>
      </c>
      <c r="DE139" t="s">
        <v>3</v>
      </c>
      <c r="DF139">
        <f>ROUND(ROUND(AE139,2)*CX139,2)</f>
        <v>7.23</v>
      </c>
      <c r="DG139">
        <f t="shared" si="32"/>
        <v>0</v>
      </c>
      <c r="DH139">
        <f t="shared" si="31"/>
        <v>0</v>
      </c>
      <c r="DI139">
        <f t="shared" si="30"/>
        <v>0</v>
      </c>
      <c r="DJ139">
        <f>DF139</f>
        <v>7.23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5">
      <c r="A140">
        <f>ROW(Source!A109)</f>
        <v>109</v>
      </c>
      <c r="B140">
        <v>55936046</v>
      </c>
      <c r="C140">
        <v>55936270</v>
      </c>
      <c r="D140">
        <v>0</v>
      </c>
      <c r="E140">
        <v>0</v>
      </c>
      <c r="F140">
        <v>1</v>
      </c>
      <c r="G140">
        <v>1081</v>
      </c>
      <c r="H140">
        <v>3</v>
      </c>
      <c r="I140" t="s">
        <v>321</v>
      </c>
      <c r="J140" t="s">
        <v>321</v>
      </c>
      <c r="K140" t="s">
        <v>174</v>
      </c>
      <c r="L140">
        <v>1371</v>
      </c>
      <c r="N140">
        <v>1013</v>
      </c>
      <c r="O140" t="s">
        <v>144</v>
      </c>
      <c r="P140" t="s">
        <v>144</v>
      </c>
      <c r="Q140">
        <v>1</v>
      </c>
      <c r="W140">
        <v>0</v>
      </c>
      <c r="X140">
        <v>-1737218498</v>
      </c>
      <c r="Y140">
        <f>(AT140*1)</f>
        <v>1</v>
      </c>
      <c r="AA140">
        <v>55.31</v>
      </c>
      <c r="AB140">
        <v>0</v>
      </c>
      <c r="AC140">
        <v>0</v>
      </c>
      <c r="AD140">
        <v>0</v>
      </c>
      <c r="AE140">
        <v>55.31</v>
      </c>
      <c r="AF140">
        <v>0</v>
      </c>
      <c r="AG140">
        <v>0</v>
      </c>
      <c r="AH140">
        <v>0</v>
      </c>
      <c r="AI140">
        <v>1</v>
      </c>
      <c r="AJ140">
        <v>1</v>
      </c>
      <c r="AK140">
        <v>1</v>
      </c>
      <c r="AL140">
        <v>1</v>
      </c>
      <c r="AM140">
        <v>0</v>
      </c>
      <c r="AN140">
        <v>0</v>
      </c>
      <c r="AO140">
        <v>0</v>
      </c>
      <c r="AP140">
        <v>1</v>
      </c>
      <c r="AQ140">
        <v>0</v>
      </c>
      <c r="AR140">
        <v>0</v>
      </c>
      <c r="AS140" t="s">
        <v>3</v>
      </c>
      <c r="AT140">
        <v>1</v>
      </c>
      <c r="AU140" t="s">
        <v>62</v>
      </c>
      <c r="AV140">
        <v>0</v>
      </c>
      <c r="AW140">
        <v>1</v>
      </c>
      <c r="AX140">
        <v>-1</v>
      </c>
      <c r="AY140">
        <v>0</v>
      </c>
      <c r="AZ140">
        <v>0</v>
      </c>
      <c r="BA140" t="s">
        <v>3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v>0</v>
      </c>
      <c r="CX140">
        <f>ROUND(Y140*Source!I109,9)</f>
        <v>7</v>
      </c>
      <c r="CY140">
        <f>AA140</f>
        <v>55.31</v>
      </c>
      <c r="CZ140">
        <f>AE140</f>
        <v>55.31</v>
      </c>
      <c r="DA140">
        <f>AI140</f>
        <v>1</v>
      </c>
      <c r="DB140">
        <f>ROUND((ROUND(AT140*CZ140,2)*1),6)</f>
        <v>55.31</v>
      </c>
      <c r="DC140">
        <f>ROUND((ROUND(AT140*AG140,2)*1),6)</f>
        <v>0</v>
      </c>
      <c r="DD140" t="s">
        <v>3</v>
      </c>
      <c r="DE140" t="s">
        <v>3</v>
      </c>
      <c r="DF140">
        <f>ROUND(ROUND(AE140,2)*CX140,2)</f>
        <v>387.17</v>
      </c>
      <c r="DG140">
        <f t="shared" si="32"/>
        <v>0</v>
      </c>
      <c r="DH140">
        <f t="shared" si="31"/>
        <v>0</v>
      </c>
      <c r="DI140">
        <f t="shared" si="30"/>
        <v>0</v>
      </c>
      <c r="DJ140">
        <f>DF140</f>
        <v>387.17</v>
      </c>
      <c r="DK140">
        <v>0</v>
      </c>
      <c r="DL140" t="s">
        <v>3</v>
      </c>
      <c r="DM140">
        <v>0</v>
      </c>
      <c r="DN140" t="s">
        <v>3</v>
      </c>
      <c r="DO140">
        <v>0</v>
      </c>
    </row>
    <row r="141" spans="1:119" x14ac:dyDescent="0.25">
      <c r="A141">
        <f>ROW(Source!A110)</f>
        <v>110</v>
      </c>
      <c r="B141">
        <v>55936048</v>
      </c>
      <c r="C141">
        <v>55936270</v>
      </c>
      <c r="D141">
        <v>55424304</v>
      </c>
      <c r="E141">
        <v>1081</v>
      </c>
      <c r="F141">
        <v>1</v>
      </c>
      <c r="G141">
        <v>1081</v>
      </c>
      <c r="H141">
        <v>1</v>
      </c>
      <c r="I141" t="s">
        <v>262</v>
      </c>
      <c r="J141" t="s">
        <v>3</v>
      </c>
      <c r="K141" t="s">
        <v>263</v>
      </c>
      <c r="L141">
        <v>1191</v>
      </c>
      <c r="N141">
        <v>1013</v>
      </c>
      <c r="O141" t="s">
        <v>264</v>
      </c>
      <c r="P141" t="s">
        <v>264</v>
      </c>
      <c r="Q141">
        <v>1</v>
      </c>
      <c r="W141">
        <v>0</v>
      </c>
      <c r="X141">
        <v>476480486</v>
      </c>
      <c r="Y141">
        <f>(AT141*1.2)</f>
        <v>1.2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1</v>
      </c>
      <c r="AK141">
        <v>1</v>
      </c>
      <c r="AL141">
        <v>1</v>
      </c>
      <c r="AM141">
        <v>5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1</v>
      </c>
      <c r="AU141" t="s">
        <v>63</v>
      </c>
      <c r="AV141">
        <v>1</v>
      </c>
      <c r="AW141">
        <v>2</v>
      </c>
      <c r="AX141">
        <v>55936271</v>
      </c>
      <c r="AY141">
        <v>1</v>
      </c>
      <c r="AZ141">
        <v>0</v>
      </c>
      <c r="BA141">
        <v>167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U141">
        <f>ROUND(AT141*Source!I110*AH141*AL141,2)</f>
        <v>0</v>
      </c>
      <c r="CV141">
        <f>ROUND(Y141*Source!I110,9)</f>
        <v>8.4</v>
      </c>
      <c r="CW141">
        <v>0</v>
      </c>
      <c r="CX141">
        <f>ROUND(Y141*Source!I110,9)</f>
        <v>8.4</v>
      </c>
      <c r="CY141">
        <f>AD141</f>
        <v>0</v>
      </c>
      <c r="CZ141">
        <f>AH141</f>
        <v>0</v>
      </c>
      <c r="DA141">
        <f>AL141</f>
        <v>1</v>
      </c>
      <c r="DB141">
        <f>ROUND((ROUND(AT141*CZ141,2)*1.2),6)</f>
        <v>0</v>
      </c>
      <c r="DC141">
        <f>ROUND((ROUND(AT141*AG141,2)*1.2),6)</f>
        <v>0</v>
      </c>
      <c r="DD141" t="s">
        <v>3</v>
      </c>
      <c r="DE141" t="s">
        <v>3</v>
      </c>
      <c r="DF141">
        <f>ROUND(ROUND(AE141,2)*CX141,2)</f>
        <v>0</v>
      </c>
      <c r="DG141">
        <f t="shared" si="32"/>
        <v>0</v>
      </c>
      <c r="DH141">
        <f t="shared" si="31"/>
        <v>0</v>
      </c>
      <c r="DI141">
        <f t="shared" si="30"/>
        <v>0</v>
      </c>
      <c r="DJ141">
        <f>DI141</f>
        <v>0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5">
      <c r="A142">
        <f>ROW(Source!A110)</f>
        <v>110</v>
      </c>
      <c r="B142">
        <v>55936048</v>
      </c>
      <c r="C142">
        <v>55936270</v>
      </c>
      <c r="D142">
        <v>55459793</v>
      </c>
      <c r="E142">
        <v>1</v>
      </c>
      <c r="F142">
        <v>1</v>
      </c>
      <c r="G142">
        <v>1081</v>
      </c>
      <c r="H142">
        <v>3</v>
      </c>
      <c r="I142" t="s">
        <v>279</v>
      </c>
      <c r="J142" t="s">
        <v>280</v>
      </c>
      <c r="K142" t="s">
        <v>281</v>
      </c>
      <c r="L142">
        <v>1348</v>
      </c>
      <c r="N142">
        <v>1009</v>
      </c>
      <c r="O142" t="s">
        <v>223</v>
      </c>
      <c r="P142" t="s">
        <v>223</v>
      </c>
      <c r="Q142">
        <v>1000</v>
      </c>
      <c r="W142">
        <v>0</v>
      </c>
      <c r="X142">
        <v>-761454284</v>
      </c>
      <c r="Y142">
        <f>(AT142*1)</f>
        <v>1.0000000000000001E-5</v>
      </c>
      <c r="AA142">
        <v>1930745.04</v>
      </c>
      <c r="AB142">
        <v>0</v>
      </c>
      <c r="AC142">
        <v>0</v>
      </c>
      <c r="AD142">
        <v>0</v>
      </c>
      <c r="AE142">
        <v>64123.05</v>
      </c>
      <c r="AF142">
        <v>0</v>
      </c>
      <c r="AG142">
        <v>0</v>
      </c>
      <c r="AH142">
        <v>0</v>
      </c>
      <c r="AI142">
        <v>30.11</v>
      </c>
      <c r="AJ142">
        <v>1</v>
      </c>
      <c r="AK142">
        <v>1</v>
      </c>
      <c r="AL142">
        <v>1</v>
      </c>
      <c r="AM142">
        <v>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1.0000000000000001E-5</v>
      </c>
      <c r="AU142" t="s">
        <v>62</v>
      </c>
      <c r="AV142">
        <v>0</v>
      </c>
      <c r="AW142">
        <v>2</v>
      </c>
      <c r="AX142">
        <v>55936272</v>
      </c>
      <c r="AY142">
        <v>1</v>
      </c>
      <c r="AZ142">
        <v>0</v>
      </c>
      <c r="BA142">
        <v>168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v>0</v>
      </c>
      <c r="CX142">
        <f>ROUND(Y142*Source!I110,9)</f>
        <v>6.9999999999999994E-5</v>
      </c>
      <c r="CY142">
        <f>AA142</f>
        <v>1930745.04</v>
      </c>
      <c r="CZ142">
        <f>AE142</f>
        <v>64123.05</v>
      </c>
      <c r="DA142">
        <f>AI142</f>
        <v>30.11</v>
      </c>
      <c r="DB142">
        <f>ROUND((ROUND(AT142*CZ142,2)*1),6)</f>
        <v>0.64</v>
      </c>
      <c r="DC142">
        <f>ROUND((ROUND(AT142*AG142,2)*1),6)</f>
        <v>0</v>
      </c>
      <c r="DD142" t="s">
        <v>3</v>
      </c>
      <c r="DE142" t="s">
        <v>3</v>
      </c>
      <c r="DF142">
        <f>ROUND(ROUND(AE142*AI142,2)*CX142,2)</f>
        <v>135.15</v>
      </c>
      <c r="DG142">
        <f t="shared" si="32"/>
        <v>0</v>
      </c>
      <c r="DH142">
        <f t="shared" si="31"/>
        <v>0</v>
      </c>
      <c r="DI142">
        <f t="shared" si="30"/>
        <v>0</v>
      </c>
      <c r="DJ142">
        <f>DF142</f>
        <v>135.15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5">
      <c r="A143">
        <f>ROW(Source!A110)</f>
        <v>110</v>
      </c>
      <c r="B143">
        <v>55936048</v>
      </c>
      <c r="C143">
        <v>55936270</v>
      </c>
      <c r="D143">
        <v>55487942</v>
      </c>
      <c r="E143">
        <v>1</v>
      </c>
      <c r="F143">
        <v>1</v>
      </c>
      <c r="G143">
        <v>1081</v>
      </c>
      <c r="H143">
        <v>3</v>
      </c>
      <c r="I143" t="s">
        <v>288</v>
      </c>
      <c r="J143" t="s">
        <v>289</v>
      </c>
      <c r="K143" t="s">
        <v>290</v>
      </c>
      <c r="L143">
        <v>1303</v>
      </c>
      <c r="N143">
        <v>1003</v>
      </c>
      <c r="O143" t="s">
        <v>291</v>
      </c>
      <c r="P143" t="s">
        <v>291</v>
      </c>
      <c r="Q143">
        <v>1000</v>
      </c>
      <c r="W143">
        <v>0</v>
      </c>
      <c r="X143">
        <v>-1692873835</v>
      </c>
      <c r="Y143">
        <f>(AT143*1)</f>
        <v>2E-3</v>
      </c>
      <c r="AA143">
        <v>5269.63</v>
      </c>
      <c r="AB143">
        <v>0</v>
      </c>
      <c r="AC143">
        <v>0</v>
      </c>
      <c r="AD143">
        <v>0</v>
      </c>
      <c r="AE143">
        <v>516.63</v>
      </c>
      <c r="AF143">
        <v>0</v>
      </c>
      <c r="AG143">
        <v>0</v>
      </c>
      <c r="AH143">
        <v>0</v>
      </c>
      <c r="AI143">
        <v>10.199999999999999</v>
      </c>
      <c r="AJ143">
        <v>1</v>
      </c>
      <c r="AK143">
        <v>1</v>
      </c>
      <c r="AL143">
        <v>1</v>
      </c>
      <c r="AM143">
        <v>2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2E-3</v>
      </c>
      <c r="AU143" t="s">
        <v>62</v>
      </c>
      <c r="AV143">
        <v>0</v>
      </c>
      <c r="AW143">
        <v>2</v>
      </c>
      <c r="AX143">
        <v>55936273</v>
      </c>
      <c r="AY143">
        <v>1</v>
      </c>
      <c r="AZ143">
        <v>0</v>
      </c>
      <c r="BA143">
        <v>169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V143">
        <v>0</v>
      </c>
      <c r="CW143">
        <v>0</v>
      </c>
      <c r="CX143">
        <f>ROUND(Y143*Source!I110,9)</f>
        <v>1.4E-2</v>
      </c>
      <c r="CY143">
        <f>AA143</f>
        <v>5269.63</v>
      </c>
      <c r="CZ143">
        <f>AE143</f>
        <v>516.63</v>
      </c>
      <c r="DA143">
        <f>AI143</f>
        <v>10.199999999999999</v>
      </c>
      <c r="DB143">
        <f>ROUND((ROUND(AT143*CZ143,2)*1),6)</f>
        <v>1.03</v>
      </c>
      <c r="DC143">
        <f>ROUND((ROUND(AT143*AG143,2)*1),6)</f>
        <v>0</v>
      </c>
      <c r="DD143" t="s">
        <v>3</v>
      </c>
      <c r="DE143" t="s">
        <v>3</v>
      </c>
      <c r="DF143">
        <f>ROUND(ROUND(AE143*AI143,2)*CX143,2)</f>
        <v>73.77</v>
      </c>
      <c r="DG143">
        <f t="shared" si="32"/>
        <v>0</v>
      </c>
      <c r="DH143">
        <f t="shared" si="31"/>
        <v>0</v>
      </c>
      <c r="DI143">
        <f t="shared" si="30"/>
        <v>0</v>
      </c>
      <c r="DJ143">
        <f>DF143</f>
        <v>73.77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5">
      <c r="A144">
        <f>ROW(Source!A110)</f>
        <v>110</v>
      </c>
      <c r="B144">
        <v>55936048</v>
      </c>
      <c r="C144">
        <v>55936270</v>
      </c>
      <c r="D144">
        <v>0</v>
      </c>
      <c r="E144">
        <v>0</v>
      </c>
      <c r="F144">
        <v>1</v>
      </c>
      <c r="G144">
        <v>1081</v>
      </c>
      <c r="H144">
        <v>3</v>
      </c>
      <c r="I144" t="s">
        <v>321</v>
      </c>
      <c r="J144" t="s">
        <v>321</v>
      </c>
      <c r="K144" t="s">
        <v>174</v>
      </c>
      <c r="L144">
        <v>1371</v>
      </c>
      <c r="N144">
        <v>1013</v>
      </c>
      <c r="O144" t="s">
        <v>144</v>
      </c>
      <c r="P144" t="s">
        <v>144</v>
      </c>
      <c r="Q144">
        <v>1</v>
      </c>
      <c r="W144">
        <v>0</v>
      </c>
      <c r="X144">
        <v>-1737218498</v>
      </c>
      <c r="Y144">
        <f>(AT144*1)</f>
        <v>1</v>
      </c>
      <c r="AA144">
        <v>418.7</v>
      </c>
      <c r="AB144">
        <v>0</v>
      </c>
      <c r="AC144">
        <v>0</v>
      </c>
      <c r="AD144">
        <v>0</v>
      </c>
      <c r="AE144">
        <v>55.31</v>
      </c>
      <c r="AF144">
        <v>0</v>
      </c>
      <c r="AG144">
        <v>0</v>
      </c>
      <c r="AH144">
        <v>0</v>
      </c>
      <c r="AI144">
        <v>7.57</v>
      </c>
      <c r="AJ144">
        <v>1</v>
      </c>
      <c r="AK144">
        <v>1</v>
      </c>
      <c r="AL144">
        <v>1</v>
      </c>
      <c r="AM144">
        <v>0</v>
      </c>
      <c r="AN144">
        <v>0</v>
      </c>
      <c r="AO144">
        <v>0</v>
      </c>
      <c r="AP144">
        <v>1</v>
      </c>
      <c r="AQ144">
        <v>0</v>
      </c>
      <c r="AR144">
        <v>0</v>
      </c>
      <c r="AS144" t="s">
        <v>3</v>
      </c>
      <c r="AT144">
        <v>1</v>
      </c>
      <c r="AU144" t="s">
        <v>62</v>
      </c>
      <c r="AV144">
        <v>0</v>
      </c>
      <c r="AW144">
        <v>1</v>
      </c>
      <c r="AX144">
        <v>-1</v>
      </c>
      <c r="AY144">
        <v>0</v>
      </c>
      <c r="AZ144">
        <v>0</v>
      </c>
      <c r="BA144" t="s">
        <v>3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v>0</v>
      </c>
      <c r="CX144">
        <f>ROUND(Y144*Source!I110,9)</f>
        <v>7</v>
      </c>
      <c r="CY144">
        <f>AA144</f>
        <v>418.7</v>
      </c>
      <c r="CZ144">
        <f>AE144</f>
        <v>55.31</v>
      </c>
      <c r="DA144">
        <f>AI144</f>
        <v>7.57</v>
      </c>
      <c r="DB144">
        <f>ROUND((ROUND(AT144*CZ144,2)*1),6)</f>
        <v>55.31</v>
      </c>
      <c r="DC144">
        <f>ROUND((ROUND(AT144*AG144,2)*1),6)</f>
        <v>0</v>
      </c>
      <c r="DD144" t="s">
        <v>3</v>
      </c>
      <c r="DE144" t="s">
        <v>3</v>
      </c>
      <c r="DF144">
        <f>ROUND(ROUND(AE144*AI144,2)*CX144,2)</f>
        <v>2930.9</v>
      </c>
      <c r="DG144">
        <f t="shared" si="32"/>
        <v>0</v>
      </c>
      <c r="DH144">
        <f t="shared" si="31"/>
        <v>0</v>
      </c>
      <c r="DI144">
        <f t="shared" si="30"/>
        <v>0</v>
      </c>
      <c r="DJ144">
        <f>DF144</f>
        <v>2930.9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5">
      <c r="A145">
        <f>ROW(Source!A113)</f>
        <v>113</v>
      </c>
      <c r="B145">
        <v>55936046</v>
      </c>
      <c r="C145">
        <v>55936281</v>
      </c>
      <c r="D145">
        <v>55424304</v>
      </c>
      <c r="E145">
        <v>1081</v>
      </c>
      <c r="F145">
        <v>1</v>
      </c>
      <c r="G145">
        <v>1081</v>
      </c>
      <c r="H145">
        <v>1</v>
      </c>
      <c r="I145" t="s">
        <v>262</v>
      </c>
      <c r="J145" t="s">
        <v>3</v>
      </c>
      <c r="K145" t="s">
        <v>263</v>
      </c>
      <c r="L145">
        <v>1191</v>
      </c>
      <c r="N145">
        <v>1013</v>
      </c>
      <c r="O145" t="s">
        <v>264</v>
      </c>
      <c r="P145" t="s">
        <v>264</v>
      </c>
      <c r="Q145">
        <v>1</v>
      </c>
      <c r="W145">
        <v>0</v>
      </c>
      <c r="X145">
        <v>476480486</v>
      </c>
      <c r="Y145">
        <f>(AT145*1.2)</f>
        <v>17.568000000000001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1</v>
      </c>
      <c r="AK145">
        <v>1</v>
      </c>
      <c r="AL145">
        <v>1</v>
      </c>
      <c r="AM145">
        <v>-2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14.64</v>
      </c>
      <c r="AU145" t="s">
        <v>63</v>
      </c>
      <c r="AV145">
        <v>1</v>
      </c>
      <c r="AW145">
        <v>2</v>
      </c>
      <c r="AX145">
        <v>55936282</v>
      </c>
      <c r="AY145">
        <v>1</v>
      </c>
      <c r="AZ145">
        <v>0</v>
      </c>
      <c r="BA145">
        <v>171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U145">
        <f>ROUND(AT145*Source!I113*AH145*AL145,2)</f>
        <v>0</v>
      </c>
      <c r="CV145">
        <f>ROUND(Y145*Source!I113,9)</f>
        <v>5.2704000000000004</v>
      </c>
      <c r="CW145">
        <v>0</v>
      </c>
      <c r="CX145">
        <f>ROUND(Y145*Source!I113,9)</f>
        <v>5.2704000000000004</v>
      </c>
      <c r="CY145">
        <f>AD145</f>
        <v>0</v>
      </c>
      <c r="CZ145">
        <f>AH145</f>
        <v>0</v>
      </c>
      <c r="DA145">
        <f>AL145</f>
        <v>1</v>
      </c>
      <c r="DB145">
        <f>ROUND((ROUND(AT145*CZ145,2)*1.2),6)</f>
        <v>0</v>
      </c>
      <c r="DC145">
        <f>ROUND((ROUND(AT145*AG145,2)*1.2),6)</f>
        <v>0</v>
      </c>
      <c r="DD145" t="s">
        <v>3</v>
      </c>
      <c r="DE145" t="s">
        <v>3</v>
      </c>
      <c r="DF145">
        <f t="shared" ref="DF145:DF154" si="33">ROUND(ROUND(AE145,2)*CX145,2)</f>
        <v>0</v>
      </c>
      <c r="DG145">
        <f t="shared" si="32"/>
        <v>0</v>
      </c>
      <c r="DH145">
        <f t="shared" si="31"/>
        <v>0</v>
      </c>
      <c r="DI145">
        <f t="shared" si="30"/>
        <v>0</v>
      </c>
      <c r="DJ145">
        <f>DI145</f>
        <v>0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5">
      <c r="A146">
        <f>ROW(Source!A113)</f>
        <v>113</v>
      </c>
      <c r="B146">
        <v>55936046</v>
      </c>
      <c r="C146">
        <v>55936281</v>
      </c>
      <c r="D146">
        <v>55490209</v>
      </c>
      <c r="E146">
        <v>1</v>
      </c>
      <c r="F146">
        <v>1</v>
      </c>
      <c r="G146">
        <v>1081</v>
      </c>
      <c r="H146">
        <v>2</v>
      </c>
      <c r="I146" t="s">
        <v>265</v>
      </c>
      <c r="J146" t="s">
        <v>266</v>
      </c>
      <c r="K146" t="s">
        <v>267</v>
      </c>
      <c r="L146">
        <v>1368</v>
      </c>
      <c r="N146">
        <v>1011</v>
      </c>
      <c r="O146" t="s">
        <v>268</v>
      </c>
      <c r="P146" t="s">
        <v>268</v>
      </c>
      <c r="Q146">
        <v>1</v>
      </c>
      <c r="W146">
        <v>0</v>
      </c>
      <c r="X146">
        <v>874612079</v>
      </c>
      <c r="Y146">
        <f>(AT146*1.2)</f>
        <v>7.1999999999999995E-2</v>
      </c>
      <c r="AA146">
        <v>0</v>
      </c>
      <c r="AB146">
        <v>87.01</v>
      </c>
      <c r="AC146">
        <v>13.21</v>
      </c>
      <c r="AD146">
        <v>0</v>
      </c>
      <c r="AE146">
        <v>0</v>
      </c>
      <c r="AF146">
        <v>83.1</v>
      </c>
      <c r="AG146">
        <v>12.62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-2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0.06</v>
      </c>
      <c r="AU146" t="s">
        <v>63</v>
      </c>
      <c r="AV146">
        <v>0</v>
      </c>
      <c r="AW146">
        <v>2</v>
      </c>
      <c r="AX146">
        <v>55936283</v>
      </c>
      <c r="AY146">
        <v>1</v>
      </c>
      <c r="AZ146">
        <v>0</v>
      </c>
      <c r="BA146">
        <v>172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f>ROUND(Y146*Source!I113*DO146,9)</f>
        <v>0.272592</v>
      </c>
      <c r="CX146">
        <f>ROUND(Y146*Source!I113,9)</f>
        <v>2.1600000000000001E-2</v>
      </c>
      <c r="CY146">
        <f>AB146</f>
        <v>87.01</v>
      </c>
      <c r="CZ146">
        <f>AF146</f>
        <v>83.1</v>
      </c>
      <c r="DA146">
        <f>AJ146</f>
        <v>1</v>
      </c>
      <c r="DB146">
        <f>ROUND((ROUND(AT146*CZ146,2)*1.2),6)</f>
        <v>5.9880000000000004</v>
      </c>
      <c r="DC146">
        <f>ROUND((ROUND(AT146*AG146,2)*1.2),6)</f>
        <v>0.91200000000000003</v>
      </c>
      <c r="DD146" t="s">
        <v>3</v>
      </c>
      <c r="DE146" t="s">
        <v>3</v>
      </c>
      <c r="DF146">
        <f t="shared" si="33"/>
        <v>0</v>
      </c>
      <c r="DG146">
        <f t="shared" si="32"/>
        <v>1.79</v>
      </c>
      <c r="DH146">
        <f t="shared" si="31"/>
        <v>0.27</v>
      </c>
      <c r="DI146">
        <f t="shared" si="30"/>
        <v>0</v>
      </c>
      <c r="DJ146">
        <f>DG146</f>
        <v>1.79</v>
      </c>
      <c r="DK146">
        <v>0</v>
      </c>
      <c r="DL146" t="s">
        <v>269</v>
      </c>
      <c r="DM146">
        <v>0</v>
      </c>
      <c r="DN146" t="s">
        <v>264</v>
      </c>
      <c r="DO146">
        <v>12.62</v>
      </c>
    </row>
    <row r="147" spans="1:119" x14ac:dyDescent="0.25">
      <c r="A147">
        <f>ROW(Source!A113)</f>
        <v>113</v>
      </c>
      <c r="B147">
        <v>55936046</v>
      </c>
      <c r="C147">
        <v>55936281</v>
      </c>
      <c r="D147">
        <v>55490330</v>
      </c>
      <c r="E147">
        <v>1</v>
      </c>
      <c r="F147">
        <v>1</v>
      </c>
      <c r="G147">
        <v>1081</v>
      </c>
      <c r="H147">
        <v>2</v>
      </c>
      <c r="I147" t="s">
        <v>285</v>
      </c>
      <c r="J147" t="s">
        <v>286</v>
      </c>
      <c r="K147" t="s">
        <v>287</v>
      </c>
      <c r="L147">
        <v>1368</v>
      </c>
      <c r="N147">
        <v>1011</v>
      </c>
      <c r="O147" t="s">
        <v>268</v>
      </c>
      <c r="P147" t="s">
        <v>268</v>
      </c>
      <c r="Q147">
        <v>1</v>
      </c>
      <c r="W147">
        <v>0</v>
      </c>
      <c r="X147">
        <v>-2083101341</v>
      </c>
      <c r="Y147">
        <f>(AT147*1.2)</f>
        <v>0.97199999999999998</v>
      </c>
      <c r="AA147">
        <v>0</v>
      </c>
      <c r="AB147">
        <v>0.84</v>
      </c>
      <c r="AC147">
        <v>0</v>
      </c>
      <c r="AD147">
        <v>0</v>
      </c>
      <c r="AE147">
        <v>0</v>
      </c>
      <c r="AF147">
        <v>0.8</v>
      </c>
      <c r="AG147">
        <v>0</v>
      </c>
      <c r="AH147">
        <v>0</v>
      </c>
      <c r="AI147">
        <v>1</v>
      </c>
      <c r="AJ147">
        <v>1</v>
      </c>
      <c r="AK147">
        <v>1</v>
      </c>
      <c r="AL147">
        <v>1</v>
      </c>
      <c r="AM147">
        <v>-2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0.81</v>
      </c>
      <c r="AU147" t="s">
        <v>63</v>
      </c>
      <c r="AV147">
        <v>0</v>
      </c>
      <c r="AW147">
        <v>2</v>
      </c>
      <c r="AX147">
        <v>55936284</v>
      </c>
      <c r="AY147">
        <v>1</v>
      </c>
      <c r="AZ147">
        <v>0</v>
      </c>
      <c r="BA147">
        <v>173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f>ROUND(Y147*Source!I113*DO147,9)</f>
        <v>0</v>
      </c>
      <c r="CX147">
        <f>ROUND(Y147*Source!I113,9)</f>
        <v>0.29160000000000003</v>
      </c>
      <c r="CY147">
        <f>AB147</f>
        <v>0.84</v>
      </c>
      <c r="CZ147">
        <f>AF147</f>
        <v>0.8</v>
      </c>
      <c r="DA147">
        <f>AJ147</f>
        <v>1</v>
      </c>
      <c r="DB147">
        <f>ROUND((ROUND(AT147*CZ147,2)*1.2),6)</f>
        <v>0.78</v>
      </c>
      <c r="DC147">
        <f>ROUND((ROUND(AT147*AG147,2)*1.2),6)</f>
        <v>0</v>
      </c>
      <c r="DD147" t="s">
        <v>3</v>
      </c>
      <c r="DE147" t="s">
        <v>3</v>
      </c>
      <c r="DF147">
        <f t="shared" si="33"/>
        <v>0</v>
      </c>
      <c r="DG147">
        <f t="shared" si="32"/>
        <v>0.23</v>
      </c>
      <c r="DH147">
        <f t="shared" si="31"/>
        <v>0</v>
      </c>
      <c r="DI147">
        <f t="shared" si="30"/>
        <v>0</v>
      </c>
      <c r="DJ147">
        <f>DG147</f>
        <v>0.23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5">
      <c r="A148">
        <f>ROW(Source!A113)</f>
        <v>113</v>
      </c>
      <c r="B148">
        <v>55936046</v>
      </c>
      <c r="C148">
        <v>55936281</v>
      </c>
      <c r="D148">
        <v>55490296</v>
      </c>
      <c r="E148">
        <v>1</v>
      </c>
      <c r="F148">
        <v>1</v>
      </c>
      <c r="G148">
        <v>1081</v>
      </c>
      <c r="H148">
        <v>2</v>
      </c>
      <c r="I148" t="s">
        <v>270</v>
      </c>
      <c r="J148" t="s">
        <v>271</v>
      </c>
      <c r="K148" t="s">
        <v>272</v>
      </c>
      <c r="L148">
        <v>1368</v>
      </c>
      <c r="N148">
        <v>1011</v>
      </c>
      <c r="O148" t="s">
        <v>268</v>
      </c>
      <c r="P148" t="s">
        <v>268</v>
      </c>
      <c r="Q148">
        <v>1</v>
      </c>
      <c r="W148">
        <v>0</v>
      </c>
      <c r="X148">
        <v>-643591644</v>
      </c>
      <c r="Y148">
        <f>(AT148*1.2)</f>
        <v>1.1160000000000001</v>
      </c>
      <c r="AA148">
        <v>0</v>
      </c>
      <c r="AB148">
        <v>0.49</v>
      </c>
      <c r="AC148">
        <v>0</v>
      </c>
      <c r="AD148">
        <v>0</v>
      </c>
      <c r="AE148">
        <v>0</v>
      </c>
      <c r="AF148">
        <v>0.47</v>
      </c>
      <c r="AG148">
        <v>0</v>
      </c>
      <c r="AH148">
        <v>0</v>
      </c>
      <c r="AI148">
        <v>1</v>
      </c>
      <c r="AJ148">
        <v>1</v>
      </c>
      <c r="AK148">
        <v>1</v>
      </c>
      <c r="AL148">
        <v>1</v>
      </c>
      <c r="AM148">
        <v>-2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0.93</v>
      </c>
      <c r="AU148" t="s">
        <v>63</v>
      </c>
      <c r="AV148">
        <v>0</v>
      </c>
      <c r="AW148">
        <v>2</v>
      </c>
      <c r="AX148">
        <v>55936285</v>
      </c>
      <c r="AY148">
        <v>1</v>
      </c>
      <c r="AZ148">
        <v>0</v>
      </c>
      <c r="BA148">
        <v>174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f>ROUND(Y148*Source!I113*DO148,9)</f>
        <v>0</v>
      </c>
      <c r="CX148">
        <f>ROUND(Y148*Source!I113,9)</f>
        <v>0.33479999999999999</v>
      </c>
      <c r="CY148">
        <f>AB148</f>
        <v>0.49</v>
      </c>
      <c r="CZ148">
        <f>AF148</f>
        <v>0.47</v>
      </c>
      <c r="DA148">
        <f>AJ148</f>
        <v>1</v>
      </c>
      <c r="DB148">
        <f>ROUND((ROUND(AT148*CZ148,2)*1.2),6)</f>
        <v>0.52800000000000002</v>
      </c>
      <c r="DC148">
        <f>ROUND((ROUND(AT148*AG148,2)*1.2),6)</f>
        <v>0</v>
      </c>
      <c r="DD148" t="s">
        <v>3</v>
      </c>
      <c r="DE148" t="s">
        <v>3</v>
      </c>
      <c r="DF148">
        <f t="shared" si="33"/>
        <v>0</v>
      </c>
      <c r="DG148">
        <f t="shared" si="32"/>
        <v>0.16</v>
      </c>
      <c r="DH148">
        <f t="shared" si="31"/>
        <v>0</v>
      </c>
      <c r="DI148">
        <f t="shared" si="30"/>
        <v>0</v>
      </c>
      <c r="DJ148">
        <f>DG148</f>
        <v>0.16</v>
      </c>
      <c r="DK148">
        <v>0</v>
      </c>
      <c r="DL148" t="s">
        <v>3</v>
      </c>
      <c r="DM148">
        <v>0</v>
      </c>
      <c r="DN148" t="s">
        <v>3</v>
      </c>
      <c r="DO148">
        <v>0</v>
      </c>
    </row>
    <row r="149" spans="1:119" x14ac:dyDescent="0.25">
      <c r="A149">
        <f>ROW(Source!A113)</f>
        <v>113</v>
      </c>
      <c r="B149">
        <v>55936046</v>
      </c>
      <c r="C149">
        <v>55936281</v>
      </c>
      <c r="D149">
        <v>55460882</v>
      </c>
      <c r="E149">
        <v>1</v>
      </c>
      <c r="F149">
        <v>1</v>
      </c>
      <c r="G149">
        <v>1081</v>
      </c>
      <c r="H149">
        <v>3</v>
      </c>
      <c r="I149" t="s">
        <v>273</v>
      </c>
      <c r="J149" t="s">
        <v>274</v>
      </c>
      <c r="K149" t="s">
        <v>275</v>
      </c>
      <c r="L149">
        <v>1348</v>
      </c>
      <c r="N149">
        <v>1009</v>
      </c>
      <c r="O149" t="s">
        <v>223</v>
      </c>
      <c r="P149" t="s">
        <v>223</v>
      </c>
      <c r="Q149">
        <v>1000</v>
      </c>
      <c r="W149">
        <v>0</v>
      </c>
      <c r="X149">
        <v>-1448166212</v>
      </c>
      <c r="Y149">
        <f>(AT149*1)</f>
        <v>1.7000000000000001E-4</v>
      </c>
      <c r="AA149">
        <v>14327.51</v>
      </c>
      <c r="AB149">
        <v>0</v>
      </c>
      <c r="AC149">
        <v>0</v>
      </c>
      <c r="AD149">
        <v>0</v>
      </c>
      <c r="AE149">
        <v>14327.51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1</v>
      </c>
      <c r="AL149">
        <v>1</v>
      </c>
      <c r="AM149">
        <v>-2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1.7000000000000001E-4</v>
      </c>
      <c r="AU149" t="s">
        <v>62</v>
      </c>
      <c r="AV149">
        <v>0</v>
      </c>
      <c r="AW149">
        <v>2</v>
      </c>
      <c r="AX149">
        <v>55936286</v>
      </c>
      <c r="AY149">
        <v>1</v>
      </c>
      <c r="AZ149">
        <v>0</v>
      </c>
      <c r="BA149">
        <v>175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V149">
        <v>0</v>
      </c>
      <c r="CW149">
        <v>0</v>
      </c>
      <c r="CX149">
        <f>ROUND(Y149*Source!I113,9)</f>
        <v>5.1E-5</v>
      </c>
      <c r="CY149">
        <f>AA149</f>
        <v>14327.51</v>
      </c>
      <c r="CZ149">
        <f>AE149</f>
        <v>14327.51</v>
      </c>
      <c r="DA149">
        <f>AI149</f>
        <v>1</v>
      </c>
      <c r="DB149">
        <f>ROUND((ROUND(AT149*CZ149,2)*1),6)</f>
        <v>2.44</v>
      </c>
      <c r="DC149">
        <f>ROUND((ROUND(AT149*AG149,2)*1),6)</f>
        <v>0</v>
      </c>
      <c r="DD149" t="s">
        <v>3</v>
      </c>
      <c r="DE149" t="s">
        <v>3</v>
      </c>
      <c r="DF149">
        <f t="shared" si="33"/>
        <v>0.73</v>
      </c>
      <c r="DG149">
        <f t="shared" si="32"/>
        <v>0</v>
      </c>
      <c r="DH149">
        <f t="shared" si="31"/>
        <v>0</v>
      </c>
      <c r="DI149">
        <f t="shared" si="30"/>
        <v>0</v>
      </c>
      <c r="DJ149">
        <f>DF149</f>
        <v>0.73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5">
      <c r="A150">
        <f>ROW(Source!A113)</f>
        <v>113</v>
      </c>
      <c r="B150">
        <v>55936046</v>
      </c>
      <c r="C150">
        <v>55936281</v>
      </c>
      <c r="D150">
        <v>0</v>
      </c>
      <c r="E150">
        <v>0</v>
      </c>
      <c r="F150">
        <v>1</v>
      </c>
      <c r="G150">
        <v>1081</v>
      </c>
      <c r="H150">
        <v>3</v>
      </c>
      <c r="I150" t="s">
        <v>322</v>
      </c>
      <c r="J150" t="s">
        <v>322</v>
      </c>
      <c r="K150" t="s">
        <v>179</v>
      </c>
      <c r="L150">
        <v>1371</v>
      </c>
      <c r="N150">
        <v>1013</v>
      </c>
      <c r="O150" t="s">
        <v>144</v>
      </c>
      <c r="P150" t="s">
        <v>144</v>
      </c>
      <c r="Q150">
        <v>1</v>
      </c>
      <c r="W150">
        <v>0</v>
      </c>
      <c r="X150">
        <v>1066989613</v>
      </c>
      <c r="Y150">
        <f>AT150</f>
        <v>10</v>
      </c>
      <c r="AA150">
        <v>2573.33</v>
      </c>
      <c r="AB150">
        <v>0</v>
      </c>
      <c r="AC150">
        <v>0</v>
      </c>
      <c r="AD150">
        <v>0</v>
      </c>
      <c r="AE150">
        <v>2573.3300000000004</v>
      </c>
      <c r="AF150">
        <v>0</v>
      </c>
      <c r="AG150">
        <v>0</v>
      </c>
      <c r="AH150">
        <v>0</v>
      </c>
      <c r="AI150">
        <v>1</v>
      </c>
      <c r="AJ150">
        <v>1</v>
      </c>
      <c r="AK150">
        <v>1</v>
      </c>
      <c r="AL150">
        <v>1</v>
      </c>
      <c r="AM150">
        <v>0</v>
      </c>
      <c r="AN150">
        <v>0</v>
      </c>
      <c r="AO150">
        <v>0</v>
      </c>
      <c r="AP150">
        <v>1</v>
      </c>
      <c r="AQ150">
        <v>0</v>
      </c>
      <c r="AR150">
        <v>0</v>
      </c>
      <c r="AS150" t="s">
        <v>3</v>
      </c>
      <c r="AT150">
        <v>10</v>
      </c>
      <c r="AU150" t="s">
        <v>3</v>
      </c>
      <c r="AV150">
        <v>0</v>
      </c>
      <c r="AW150">
        <v>1</v>
      </c>
      <c r="AX150">
        <v>-1</v>
      </c>
      <c r="AY150">
        <v>0</v>
      </c>
      <c r="AZ150">
        <v>0</v>
      </c>
      <c r="BA150" t="s">
        <v>3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v>0</v>
      </c>
      <c r="CX150">
        <f>ROUND(Y150*Source!I113,9)</f>
        <v>3</v>
      </c>
      <c r="CY150">
        <f>AA150</f>
        <v>2573.33</v>
      </c>
      <c r="CZ150">
        <f>AE150</f>
        <v>2573.3300000000004</v>
      </c>
      <c r="DA150">
        <f>AI150</f>
        <v>1</v>
      </c>
      <c r="DB150">
        <f>ROUND(ROUND(AT150*CZ150,2),6)</f>
        <v>25733.3</v>
      </c>
      <c r="DC150">
        <f>ROUND(ROUND(AT150*AG150,2),6)</f>
        <v>0</v>
      </c>
      <c r="DD150" t="s">
        <v>3</v>
      </c>
      <c r="DE150" t="s">
        <v>3</v>
      </c>
      <c r="DF150">
        <f t="shared" si="33"/>
        <v>7719.99</v>
      </c>
      <c r="DG150">
        <f t="shared" si="32"/>
        <v>0</v>
      </c>
      <c r="DH150">
        <f t="shared" si="31"/>
        <v>0</v>
      </c>
      <c r="DI150">
        <f t="shared" si="30"/>
        <v>0</v>
      </c>
      <c r="DJ150">
        <f>DF150</f>
        <v>7719.99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5">
      <c r="A151">
        <f>ROW(Source!A114)</f>
        <v>114</v>
      </c>
      <c r="B151">
        <v>55936048</v>
      </c>
      <c r="C151">
        <v>55936281</v>
      </c>
      <c r="D151">
        <v>55424304</v>
      </c>
      <c r="E151">
        <v>1081</v>
      </c>
      <c r="F151">
        <v>1</v>
      </c>
      <c r="G151">
        <v>1081</v>
      </c>
      <c r="H151">
        <v>1</v>
      </c>
      <c r="I151" t="s">
        <v>262</v>
      </c>
      <c r="J151" t="s">
        <v>3</v>
      </c>
      <c r="K151" t="s">
        <v>263</v>
      </c>
      <c r="L151">
        <v>1191</v>
      </c>
      <c r="N151">
        <v>1013</v>
      </c>
      <c r="O151" t="s">
        <v>264</v>
      </c>
      <c r="P151" t="s">
        <v>264</v>
      </c>
      <c r="Q151">
        <v>1</v>
      </c>
      <c r="W151">
        <v>0</v>
      </c>
      <c r="X151">
        <v>476480486</v>
      </c>
      <c r="Y151">
        <f>(AT151*1.2)</f>
        <v>17.568000000000001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1</v>
      </c>
      <c r="AK151">
        <v>1</v>
      </c>
      <c r="AL151">
        <v>1</v>
      </c>
      <c r="AM151">
        <v>5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14.64</v>
      </c>
      <c r="AU151" t="s">
        <v>63</v>
      </c>
      <c r="AV151">
        <v>1</v>
      </c>
      <c r="AW151">
        <v>2</v>
      </c>
      <c r="AX151">
        <v>55936282</v>
      </c>
      <c r="AY151">
        <v>1</v>
      </c>
      <c r="AZ151">
        <v>0</v>
      </c>
      <c r="BA151">
        <v>177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U151">
        <f>ROUND(AT151*Source!I114*AH151*AL151,2)</f>
        <v>0</v>
      </c>
      <c r="CV151">
        <f>ROUND(Y151*Source!I114,9)</f>
        <v>5.2704000000000004</v>
      </c>
      <c r="CW151">
        <v>0</v>
      </c>
      <c r="CX151">
        <f>ROUND(Y151*Source!I114,9)</f>
        <v>5.2704000000000004</v>
      </c>
      <c r="CY151">
        <f>AD151</f>
        <v>0</v>
      </c>
      <c r="CZ151">
        <f>AH151</f>
        <v>0</v>
      </c>
      <c r="DA151">
        <f>AL151</f>
        <v>1</v>
      </c>
      <c r="DB151">
        <f>ROUND((ROUND(AT151*CZ151,2)*1.2),6)</f>
        <v>0</v>
      </c>
      <c r="DC151">
        <f>ROUND((ROUND(AT151*AG151,2)*1.2),6)</f>
        <v>0</v>
      </c>
      <c r="DD151" t="s">
        <v>3</v>
      </c>
      <c r="DE151" t="s">
        <v>3</v>
      </c>
      <c r="DF151">
        <f t="shared" si="33"/>
        <v>0</v>
      </c>
      <c r="DG151">
        <f t="shared" si="32"/>
        <v>0</v>
      </c>
      <c r="DH151">
        <f t="shared" si="31"/>
        <v>0</v>
      </c>
      <c r="DI151">
        <f t="shared" si="30"/>
        <v>0</v>
      </c>
      <c r="DJ151">
        <f>DI151</f>
        <v>0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5">
      <c r="A152">
        <f>ROW(Source!A114)</f>
        <v>114</v>
      </c>
      <c r="B152">
        <v>55936048</v>
      </c>
      <c r="C152">
        <v>55936281</v>
      </c>
      <c r="D152">
        <v>55490209</v>
      </c>
      <c r="E152">
        <v>1</v>
      </c>
      <c r="F152">
        <v>1</v>
      </c>
      <c r="G152">
        <v>1081</v>
      </c>
      <c r="H152">
        <v>2</v>
      </c>
      <c r="I152" t="s">
        <v>265</v>
      </c>
      <c r="J152" t="s">
        <v>266</v>
      </c>
      <c r="K152" t="s">
        <v>267</v>
      </c>
      <c r="L152">
        <v>1368</v>
      </c>
      <c r="N152">
        <v>1011</v>
      </c>
      <c r="O152" t="s">
        <v>268</v>
      </c>
      <c r="P152" t="s">
        <v>268</v>
      </c>
      <c r="Q152">
        <v>1</v>
      </c>
      <c r="W152">
        <v>0</v>
      </c>
      <c r="X152">
        <v>874612079</v>
      </c>
      <c r="Y152">
        <f>(AT152*1.2)</f>
        <v>7.1999999999999995E-2</v>
      </c>
      <c r="AA152">
        <v>0</v>
      </c>
      <c r="AB152">
        <v>1485.19</v>
      </c>
      <c r="AC152">
        <v>744.56</v>
      </c>
      <c r="AD152">
        <v>0</v>
      </c>
      <c r="AE152">
        <v>0</v>
      </c>
      <c r="AF152">
        <v>83.1</v>
      </c>
      <c r="AG152">
        <v>12.62</v>
      </c>
      <c r="AH152">
        <v>0</v>
      </c>
      <c r="AI152">
        <v>1</v>
      </c>
      <c r="AJ152">
        <v>17.07</v>
      </c>
      <c r="AK152">
        <v>56.35</v>
      </c>
      <c r="AL152">
        <v>1</v>
      </c>
      <c r="AM152">
        <v>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0.06</v>
      </c>
      <c r="AU152" t="s">
        <v>63</v>
      </c>
      <c r="AV152">
        <v>0</v>
      </c>
      <c r="AW152">
        <v>2</v>
      </c>
      <c r="AX152">
        <v>55936283</v>
      </c>
      <c r="AY152">
        <v>1</v>
      </c>
      <c r="AZ152">
        <v>0</v>
      </c>
      <c r="BA152">
        <v>178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f>ROUND(Y152*Source!I114*DO152,9)</f>
        <v>0.272592</v>
      </c>
      <c r="CX152">
        <f>ROUND(Y152*Source!I114,9)</f>
        <v>2.1600000000000001E-2</v>
      </c>
      <c r="CY152">
        <f>AB152</f>
        <v>1485.19</v>
      </c>
      <c r="CZ152">
        <f>AF152</f>
        <v>83.1</v>
      </c>
      <c r="DA152">
        <f>AJ152</f>
        <v>17.07</v>
      </c>
      <c r="DB152">
        <f>ROUND((ROUND(AT152*CZ152,2)*1.2),6)</f>
        <v>5.9880000000000004</v>
      </c>
      <c r="DC152">
        <f>ROUND((ROUND(AT152*AG152,2)*1.2),6)</f>
        <v>0.91200000000000003</v>
      </c>
      <c r="DD152" t="s">
        <v>3</v>
      </c>
      <c r="DE152" t="s">
        <v>3</v>
      </c>
      <c r="DF152">
        <f t="shared" si="33"/>
        <v>0</v>
      </c>
      <c r="DG152">
        <f>ROUND(ROUND(AF152*AJ152,2)*CX152,2)</f>
        <v>30.64</v>
      </c>
      <c r="DH152">
        <f>ROUND(ROUND(AG152*AK152,2)*CX152,2)</f>
        <v>15.36</v>
      </c>
      <c r="DI152">
        <f t="shared" si="30"/>
        <v>0</v>
      </c>
      <c r="DJ152">
        <f>DG152</f>
        <v>30.64</v>
      </c>
      <c r="DK152">
        <v>0</v>
      </c>
      <c r="DL152" t="s">
        <v>269</v>
      </c>
      <c r="DM152">
        <v>0</v>
      </c>
      <c r="DN152" t="s">
        <v>264</v>
      </c>
      <c r="DO152">
        <v>12.62</v>
      </c>
    </row>
    <row r="153" spans="1:119" x14ac:dyDescent="0.25">
      <c r="A153">
        <f>ROW(Source!A114)</f>
        <v>114</v>
      </c>
      <c r="B153">
        <v>55936048</v>
      </c>
      <c r="C153">
        <v>55936281</v>
      </c>
      <c r="D153">
        <v>55490330</v>
      </c>
      <c r="E153">
        <v>1</v>
      </c>
      <c r="F153">
        <v>1</v>
      </c>
      <c r="G153">
        <v>1081</v>
      </c>
      <c r="H153">
        <v>2</v>
      </c>
      <c r="I153" t="s">
        <v>285</v>
      </c>
      <c r="J153" t="s">
        <v>286</v>
      </c>
      <c r="K153" t="s">
        <v>287</v>
      </c>
      <c r="L153">
        <v>1368</v>
      </c>
      <c r="N153">
        <v>1011</v>
      </c>
      <c r="O153" t="s">
        <v>268</v>
      </c>
      <c r="P153" t="s">
        <v>268</v>
      </c>
      <c r="Q153">
        <v>1</v>
      </c>
      <c r="W153">
        <v>0</v>
      </c>
      <c r="X153">
        <v>-2083101341</v>
      </c>
      <c r="Y153">
        <f>(AT153*1.2)</f>
        <v>0.97199999999999998</v>
      </c>
      <c r="AA153">
        <v>0</v>
      </c>
      <c r="AB153">
        <v>7.92</v>
      </c>
      <c r="AC153">
        <v>0</v>
      </c>
      <c r="AD153">
        <v>0</v>
      </c>
      <c r="AE153">
        <v>0</v>
      </c>
      <c r="AF153">
        <v>0.8</v>
      </c>
      <c r="AG153">
        <v>0</v>
      </c>
      <c r="AH153">
        <v>0</v>
      </c>
      <c r="AI153">
        <v>1</v>
      </c>
      <c r="AJ153">
        <v>9.4600000000000009</v>
      </c>
      <c r="AK153">
        <v>1</v>
      </c>
      <c r="AL153">
        <v>1</v>
      </c>
      <c r="AM153">
        <v>2</v>
      </c>
      <c r="AN153">
        <v>0</v>
      </c>
      <c r="AO153">
        <v>1</v>
      </c>
      <c r="AP153">
        <v>1</v>
      </c>
      <c r="AQ153">
        <v>0</v>
      </c>
      <c r="AR153">
        <v>0</v>
      </c>
      <c r="AS153" t="s">
        <v>3</v>
      </c>
      <c r="AT153">
        <v>0.81</v>
      </c>
      <c r="AU153" t="s">
        <v>63</v>
      </c>
      <c r="AV153">
        <v>0</v>
      </c>
      <c r="AW153">
        <v>2</v>
      </c>
      <c r="AX153">
        <v>55936284</v>
      </c>
      <c r="AY153">
        <v>1</v>
      </c>
      <c r="AZ153">
        <v>0</v>
      </c>
      <c r="BA153">
        <v>179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f>ROUND(Y153*Source!I114*DO153,9)</f>
        <v>0</v>
      </c>
      <c r="CX153">
        <f>ROUND(Y153*Source!I114,9)</f>
        <v>0.29160000000000003</v>
      </c>
      <c r="CY153">
        <f>AB153</f>
        <v>7.92</v>
      </c>
      <c r="CZ153">
        <f>AF153</f>
        <v>0.8</v>
      </c>
      <c r="DA153">
        <f>AJ153</f>
        <v>9.4600000000000009</v>
      </c>
      <c r="DB153">
        <f>ROUND((ROUND(AT153*CZ153,2)*1.2),6)</f>
        <v>0.78</v>
      </c>
      <c r="DC153">
        <f>ROUND((ROUND(AT153*AG153,2)*1.2),6)</f>
        <v>0</v>
      </c>
      <c r="DD153" t="s">
        <v>3</v>
      </c>
      <c r="DE153" t="s">
        <v>3</v>
      </c>
      <c r="DF153">
        <f t="shared" si="33"/>
        <v>0</v>
      </c>
      <c r="DG153">
        <f>ROUND(ROUND(AF153*AJ153,2)*CX153,2)</f>
        <v>2.21</v>
      </c>
      <c r="DH153">
        <f t="shared" ref="DH153:DH163" si="34">ROUND(ROUND(AG153,2)*CX153,2)</f>
        <v>0</v>
      </c>
      <c r="DI153">
        <f t="shared" si="30"/>
        <v>0</v>
      </c>
      <c r="DJ153">
        <f>DG153</f>
        <v>2.21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5">
      <c r="A154">
        <f>ROW(Source!A114)</f>
        <v>114</v>
      </c>
      <c r="B154">
        <v>55936048</v>
      </c>
      <c r="C154">
        <v>55936281</v>
      </c>
      <c r="D154">
        <v>55490296</v>
      </c>
      <c r="E154">
        <v>1</v>
      </c>
      <c r="F154">
        <v>1</v>
      </c>
      <c r="G154">
        <v>1081</v>
      </c>
      <c r="H154">
        <v>2</v>
      </c>
      <c r="I154" t="s">
        <v>270</v>
      </c>
      <c r="J154" t="s">
        <v>271</v>
      </c>
      <c r="K154" t="s">
        <v>272</v>
      </c>
      <c r="L154">
        <v>1368</v>
      </c>
      <c r="N154">
        <v>1011</v>
      </c>
      <c r="O154" t="s">
        <v>268</v>
      </c>
      <c r="P154" t="s">
        <v>268</v>
      </c>
      <c r="Q154">
        <v>1</v>
      </c>
      <c r="W154">
        <v>0</v>
      </c>
      <c r="X154">
        <v>-643591644</v>
      </c>
      <c r="Y154">
        <f>(AT154*1.2)</f>
        <v>1.1160000000000001</v>
      </c>
      <c r="AA154">
        <v>0</v>
      </c>
      <c r="AB154">
        <v>4.75</v>
      </c>
      <c r="AC154">
        <v>0</v>
      </c>
      <c r="AD154">
        <v>0</v>
      </c>
      <c r="AE154">
        <v>0</v>
      </c>
      <c r="AF154">
        <v>0.47</v>
      </c>
      <c r="AG154">
        <v>0</v>
      </c>
      <c r="AH154">
        <v>0</v>
      </c>
      <c r="AI154">
        <v>1</v>
      </c>
      <c r="AJ154">
        <v>9.66</v>
      </c>
      <c r="AK154">
        <v>1</v>
      </c>
      <c r="AL154">
        <v>1</v>
      </c>
      <c r="AM154">
        <v>2</v>
      </c>
      <c r="AN154">
        <v>0</v>
      </c>
      <c r="AO154">
        <v>1</v>
      </c>
      <c r="AP154">
        <v>1</v>
      </c>
      <c r="AQ154">
        <v>0</v>
      </c>
      <c r="AR154">
        <v>0</v>
      </c>
      <c r="AS154" t="s">
        <v>3</v>
      </c>
      <c r="AT154">
        <v>0.93</v>
      </c>
      <c r="AU154" t="s">
        <v>63</v>
      </c>
      <c r="AV154">
        <v>0</v>
      </c>
      <c r="AW154">
        <v>2</v>
      </c>
      <c r="AX154">
        <v>55936285</v>
      </c>
      <c r="AY154">
        <v>1</v>
      </c>
      <c r="AZ154">
        <v>0</v>
      </c>
      <c r="BA154">
        <v>180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f>ROUND(Y154*Source!I114*DO154,9)</f>
        <v>0</v>
      </c>
      <c r="CX154">
        <f>ROUND(Y154*Source!I114,9)</f>
        <v>0.33479999999999999</v>
      </c>
      <c r="CY154">
        <f>AB154</f>
        <v>4.75</v>
      </c>
      <c r="CZ154">
        <f>AF154</f>
        <v>0.47</v>
      </c>
      <c r="DA154">
        <f>AJ154</f>
        <v>9.66</v>
      </c>
      <c r="DB154">
        <f>ROUND((ROUND(AT154*CZ154,2)*1.2),6)</f>
        <v>0.52800000000000002</v>
      </c>
      <c r="DC154">
        <f>ROUND((ROUND(AT154*AG154,2)*1.2),6)</f>
        <v>0</v>
      </c>
      <c r="DD154" t="s">
        <v>3</v>
      </c>
      <c r="DE154" t="s">
        <v>3</v>
      </c>
      <c r="DF154">
        <f t="shared" si="33"/>
        <v>0</v>
      </c>
      <c r="DG154">
        <f>ROUND(ROUND(AF154*AJ154,2)*CX154,2)</f>
        <v>1.52</v>
      </c>
      <c r="DH154">
        <f t="shared" si="34"/>
        <v>0</v>
      </c>
      <c r="DI154">
        <f t="shared" si="30"/>
        <v>0</v>
      </c>
      <c r="DJ154">
        <f>DG154</f>
        <v>1.52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5">
      <c r="A155">
        <f>ROW(Source!A114)</f>
        <v>114</v>
      </c>
      <c r="B155">
        <v>55936048</v>
      </c>
      <c r="C155">
        <v>55936281</v>
      </c>
      <c r="D155">
        <v>55460882</v>
      </c>
      <c r="E155">
        <v>1</v>
      </c>
      <c r="F155">
        <v>1</v>
      </c>
      <c r="G155">
        <v>1081</v>
      </c>
      <c r="H155">
        <v>3</v>
      </c>
      <c r="I155" t="s">
        <v>273</v>
      </c>
      <c r="J155" t="s">
        <v>274</v>
      </c>
      <c r="K155" t="s">
        <v>275</v>
      </c>
      <c r="L155">
        <v>1348</v>
      </c>
      <c r="N155">
        <v>1009</v>
      </c>
      <c r="O155" t="s">
        <v>223</v>
      </c>
      <c r="P155" t="s">
        <v>223</v>
      </c>
      <c r="Q155">
        <v>1000</v>
      </c>
      <c r="W155">
        <v>0</v>
      </c>
      <c r="X155">
        <v>-1448166212</v>
      </c>
      <c r="Y155">
        <f>(AT155*1)</f>
        <v>1.7000000000000001E-4</v>
      </c>
      <c r="AA155">
        <v>109175.63</v>
      </c>
      <c r="AB155">
        <v>0</v>
      </c>
      <c r="AC155">
        <v>0</v>
      </c>
      <c r="AD155">
        <v>0</v>
      </c>
      <c r="AE155">
        <v>14327.51</v>
      </c>
      <c r="AF155">
        <v>0</v>
      </c>
      <c r="AG155">
        <v>0</v>
      </c>
      <c r="AH155">
        <v>0</v>
      </c>
      <c r="AI155">
        <v>7.62</v>
      </c>
      <c r="AJ155">
        <v>1</v>
      </c>
      <c r="AK155">
        <v>1</v>
      </c>
      <c r="AL155">
        <v>1</v>
      </c>
      <c r="AM155">
        <v>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1.7000000000000001E-4</v>
      </c>
      <c r="AU155" t="s">
        <v>62</v>
      </c>
      <c r="AV155">
        <v>0</v>
      </c>
      <c r="AW155">
        <v>2</v>
      </c>
      <c r="AX155">
        <v>55936286</v>
      </c>
      <c r="AY155">
        <v>1</v>
      </c>
      <c r="AZ155">
        <v>0</v>
      </c>
      <c r="BA155">
        <v>181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V155">
        <v>0</v>
      </c>
      <c r="CW155">
        <v>0</v>
      </c>
      <c r="CX155">
        <f>ROUND(Y155*Source!I114,9)</f>
        <v>5.1E-5</v>
      </c>
      <c r="CY155">
        <f>AA155</f>
        <v>109175.63</v>
      </c>
      <c r="CZ155">
        <f>AE155</f>
        <v>14327.51</v>
      </c>
      <c r="DA155">
        <f>AI155</f>
        <v>7.62</v>
      </c>
      <c r="DB155">
        <f>ROUND((ROUND(AT155*CZ155,2)*1),6)</f>
        <v>2.44</v>
      </c>
      <c r="DC155">
        <f>ROUND((ROUND(AT155*AG155,2)*1),6)</f>
        <v>0</v>
      </c>
      <c r="DD155" t="s">
        <v>3</v>
      </c>
      <c r="DE155" t="s">
        <v>3</v>
      </c>
      <c r="DF155">
        <f>ROUND(ROUND(AE155*AI155,2)*CX155,2)</f>
        <v>5.57</v>
      </c>
      <c r="DG155">
        <f t="shared" ref="DG155:DG163" si="35">ROUND(ROUND(AF155,2)*CX155,2)</f>
        <v>0</v>
      </c>
      <c r="DH155">
        <f t="shared" si="34"/>
        <v>0</v>
      </c>
      <c r="DI155">
        <f t="shared" si="30"/>
        <v>0</v>
      </c>
      <c r="DJ155">
        <f>DF155</f>
        <v>5.57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5">
      <c r="A156">
        <f>ROW(Source!A114)</f>
        <v>114</v>
      </c>
      <c r="B156">
        <v>55936048</v>
      </c>
      <c r="C156">
        <v>55936281</v>
      </c>
      <c r="D156">
        <v>0</v>
      </c>
      <c r="E156">
        <v>0</v>
      </c>
      <c r="F156">
        <v>1</v>
      </c>
      <c r="G156">
        <v>1081</v>
      </c>
      <c r="H156">
        <v>3</v>
      </c>
      <c r="I156" t="s">
        <v>322</v>
      </c>
      <c r="J156" t="s">
        <v>322</v>
      </c>
      <c r="K156" t="s">
        <v>179</v>
      </c>
      <c r="L156">
        <v>1371</v>
      </c>
      <c r="N156">
        <v>1013</v>
      </c>
      <c r="O156" t="s">
        <v>144</v>
      </c>
      <c r="P156" t="s">
        <v>144</v>
      </c>
      <c r="Q156">
        <v>1</v>
      </c>
      <c r="W156">
        <v>0</v>
      </c>
      <c r="X156">
        <v>1066989613</v>
      </c>
      <c r="Y156">
        <f>AT156</f>
        <v>10</v>
      </c>
      <c r="AA156">
        <v>19480.11</v>
      </c>
      <c r="AB156">
        <v>0</v>
      </c>
      <c r="AC156">
        <v>0</v>
      </c>
      <c r="AD156">
        <v>0</v>
      </c>
      <c r="AE156">
        <v>2573.3300000000004</v>
      </c>
      <c r="AF156">
        <v>0</v>
      </c>
      <c r="AG156">
        <v>0</v>
      </c>
      <c r="AH156">
        <v>0</v>
      </c>
      <c r="AI156">
        <v>7.57</v>
      </c>
      <c r="AJ156">
        <v>1</v>
      </c>
      <c r="AK156">
        <v>1</v>
      </c>
      <c r="AL156">
        <v>1</v>
      </c>
      <c r="AM156">
        <v>0</v>
      </c>
      <c r="AN156">
        <v>0</v>
      </c>
      <c r="AO156">
        <v>0</v>
      </c>
      <c r="AP156">
        <v>1</v>
      </c>
      <c r="AQ156">
        <v>0</v>
      </c>
      <c r="AR156">
        <v>0</v>
      </c>
      <c r="AS156" t="s">
        <v>3</v>
      </c>
      <c r="AT156">
        <v>10</v>
      </c>
      <c r="AU156" t="s">
        <v>3</v>
      </c>
      <c r="AV156">
        <v>0</v>
      </c>
      <c r="AW156">
        <v>1</v>
      </c>
      <c r="AX156">
        <v>-1</v>
      </c>
      <c r="AY156">
        <v>0</v>
      </c>
      <c r="AZ156">
        <v>0</v>
      </c>
      <c r="BA156" t="s">
        <v>3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v>0</v>
      </c>
      <c r="CX156">
        <f>ROUND(Y156*Source!I114,9)</f>
        <v>3</v>
      </c>
      <c r="CY156">
        <f>AA156</f>
        <v>19480.11</v>
      </c>
      <c r="CZ156">
        <f>AE156</f>
        <v>2573.3300000000004</v>
      </c>
      <c r="DA156">
        <f>AI156</f>
        <v>7.57</v>
      </c>
      <c r="DB156">
        <f>ROUND(ROUND(AT156*CZ156,2),6)</f>
        <v>25733.3</v>
      </c>
      <c r="DC156">
        <f>ROUND(ROUND(AT156*AG156,2),6)</f>
        <v>0</v>
      </c>
      <c r="DD156" t="s">
        <v>3</v>
      </c>
      <c r="DE156" t="s">
        <v>3</v>
      </c>
      <c r="DF156">
        <f>ROUND(ROUND(AE156*AI156,2)*CX156,2)</f>
        <v>58440.33</v>
      </c>
      <c r="DG156">
        <f t="shared" si="35"/>
        <v>0</v>
      </c>
      <c r="DH156">
        <f t="shared" si="34"/>
        <v>0</v>
      </c>
      <c r="DI156">
        <f t="shared" si="30"/>
        <v>0</v>
      </c>
      <c r="DJ156">
        <f>DF156</f>
        <v>58440.33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5">
      <c r="A157">
        <f>ROW(Source!A117)</f>
        <v>117</v>
      </c>
      <c r="B157">
        <v>55936046</v>
      </c>
      <c r="C157">
        <v>55936294</v>
      </c>
      <c r="D157">
        <v>55424304</v>
      </c>
      <c r="E157">
        <v>1081</v>
      </c>
      <c r="F157">
        <v>1</v>
      </c>
      <c r="G157">
        <v>1081</v>
      </c>
      <c r="H157">
        <v>1</v>
      </c>
      <c r="I157" t="s">
        <v>262</v>
      </c>
      <c r="J157" t="s">
        <v>3</v>
      </c>
      <c r="K157" t="s">
        <v>263</v>
      </c>
      <c r="L157">
        <v>1191</v>
      </c>
      <c r="N157">
        <v>1013</v>
      </c>
      <c r="O157" t="s">
        <v>264</v>
      </c>
      <c r="P157" t="s">
        <v>264</v>
      </c>
      <c r="Q157">
        <v>1</v>
      </c>
      <c r="W157">
        <v>0</v>
      </c>
      <c r="X157">
        <v>476480486</v>
      </c>
      <c r="Y157">
        <f>(AT157*1.2)</f>
        <v>17.568000000000001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1</v>
      </c>
      <c r="AK157">
        <v>1</v>
      </c>
      <c r="AL157">
        <v>1</v>
      </c>
      <c r="AM157">
        <v>-2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14.64</v>
      </c>
      <c r="AU157" t="s">
        <v>63</v>
      </c>
      <c r="AV157">
        <v>1</v>
      </c>
      <c r="AW157">
        <v>2</v>
      </c>
      <c r="AX157">
        <v>55936295</v>
      </c>
      <c r="AY157">
        <v>1</v>
      </c>
      <c r="AZ157">
        <v>0</v>
      </c>
      <c r="BA157">
        <v>183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U157">
        <f>ROUND(AT157*Source!I117*AH157*AL157,2)</f>
        <v>0</v>
      </c>
      <c r="CV157">
        <f>ROUND(Y157*Source!I117,9)</f>
        <v>1.7567999999999999</v>
      </c>
      <c r="CW157">
        <v>0</v>
      </c>
      <c r="CX157">
        <f>ROUND(Y157*Source!I117,9)</f>
        <v>1.7567999999999999</v>
      </c>
      <c r="CY157">
        <f>AD157</f>
        <v>0</v>
      </c>
      <c r="CZ157">
        <f>AH157</f>
        <v>0</v>
      </c>
      <c r="DA157">
        <f>AL157</f>
        <v>1</v>
      </c>
      <c r="DB157">
        <f>ROUND((ROUND(AT157*CZ157,2)*1.2),6)</f>
        <v>0</v>
      </c>
      <c r="DC157">
        <f>ROUND((ROUND(AT157*AG157,2)*1.2),6)</f>
        <v>0</v>
      </c>
      <c r="DD157" t="s">
        <v>3</v>
      </c>
      <c r="DE157" t="s">
        <v>3</v>
      </c>
      <c r="DF157">
        <f t="shared" ref="DF157:DF166" si="36">ROUND(ROUND(AE157,2)*CX157,2)</f>
        <v>0</v>
      </c>
      <c r="DG157">
        <f t="shared" si="35"/>
        <v>0</v>
      </c>
      <c r="DH157">
        <f t="shared" si="34"/>
        <v>0</v>
      </c>
      <c r="DI157">
        <f t="shared" si="30"/>
        <v>0</v>
      </c>
      <c r="DJ157">
        <f>DI157</f>
        <v>0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5">
      <c r="A158">
        <f>ROW(Source!A117)</f>
        <v>117</v>
      </c>
      <c r="B158">
        <v>55936046</v>
      </c>
      <c r="C158">
        <v>55936294</v>
      </c>
      <c r="D158">
        <v>55490209</v>
      </c>
      <c r="E158">
        <v>1</v>
      </c>
      <c r="F158">
        <v>1</v>
      </c>
      <c r="G158">
        <v>1081</v>
      </c>
      <c r="H158">
        <v>2</v>
      </c>
      <c r="I158" t="s">
        <v>265</v>
      </c>
      <c r="J158" t="s">
        <v>266</v>
      </c>
      <c r="K158" t="s">
        <v>267</v>
      </c>
      <c r="L158">
        <v>1368</v>
      </c>
      <c r="N158">
        <v>1011</v>
      </c>
      <c r="O158" t="s">
        <v>268</v>
      </c>
      <c r="P158" t="s">
        <v>268</v>
      </c>
      <c r="Q158">
        <v>1</v>
      </c>
      <c r="W158">
        <v>0</v>
      </c>
      <c r="X158">
        <v>874612079</v>
      </c>
      <c r="Y158">
        <f>(AT158*1.2)</f>
        <v>7.1999999999999995E-2</v>
      </c>
      <c r="AA158">
        <v>0</v>
      </c>
      <c r="AB158">
        <v>87.01</v>
      </c>
      <c r="AC158">
        <v>13.21</v>
      </c>
      <c r="AD158">
        <v>0</v>
      </c>
      <c r="AE158">
        <v>0</v>
      </c>
      <c r="AF158">
        <v>83.1</v>
      </c>
      <c r="AG158">
        <v>12.62</v>
      </c>
      <c r="AH158">
        <v>0</v>
      </c>
      <c r="AI158">
        <v>1</v>
      </c>
      <c r="AJ158">
        <v>1</v>
      </c>
      <c r="AK158">
        <v>1</v>
      </c>
      <c r="AL158">
        <v>1</v>
      </c>
      <c r="AM158">
        <v>-2</v>
      </c>
      <c r="AN158">
        <v>0</v>
      </c>
      <c r="AO158">
        <v>1</v>
      </c>
      <c r="AP158">
        <v>1</v>
      </c>
      <c r="AQ158">
        <v>0</v>
      </c>
      <c r="AR158">
        <v>0</v>
      </c>
      <c r="AS158" t="s">
        <v>3</v>
      </c>
      <c r="AT158">
        <v>0.06</v>
      </c>
      <c r="AU158" t="s">
        <v>63</v>
      </c>
      <c r="AV158">
        <v>0</v>
      </c>
      <c r="AW158">
        <v>2</v>
      </c>
      <c r="AX158">
        <v>55936296</v>
      </c>
      <c r="AY158">
        <v>1</v>
      </c>
      <c r="AZ158">
        <v>0</v>
      </c>
      <c r="BA158">
        <v>184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f>ROUND(Y158*Source!I117*DO158,9)</f>
        <v>9.0864E-2</v>
      </c>
      <c r="CX158">
        <f>ROUND(Y158*Source!I117,9)</f>
        <v>7.1999999999999998E-3</v>
      </c>
      <c r="CY158">
        <f>AB158</f>
        <v>87.01</v>
      </c>
      <c r="CZ158">
        <f>AF158</f>
        <v>83.1</v>
      </c>
      <c r="DA158">
        <f>AJ158</f>
        <v>1</v>
      </c>
      <c r="DB158">
        <f>ROUND((ROUND(AT158*CZ158,2)*1.2),6)</f>
        <v>5.9880000000000004</v>
      </c>
      <c r="DC158">
        <f>ROUND((ROUND(AT158*AG158,2)*1.2),6)</f>
        <v>0.91200000000000003</v>
      </c>
      <c r="DD158" t="s">
        <v>3</v>
      </c>
      <c r="DE158" t="s">
        <v>3</v>
      </c>
      <c r="DF158">
        <f t="shared" si="36"/>
        <v>0</v>
      </c>
      <c r="DG158">
        <f t="shared" si="35"/>
        <v>0.6</v>
      </c>
      <c r="DH158">
        <f t="shared" si="34"/>
        <v>0.09</v>
      </c>
      <c r="DI158">
        <f t="shared" si="30"/>
        <v>0</v>
      </c>
      <c r="DJ158">
        <f>DG158</f>
        <v>0.6</v>
      </c>
      <c r="DK158">
        <v>0</v>
      </c>
      <c r="DL158" t="s">
        <v>269</v>
      </c>
      <c r="DM158">
        <v>0</v>
      </c>
      <c r="DN158" t="s">
        <v>264</v>
      </c>
      <c r="DO158">
        <v>12.62</v>
      </c>
    </row>
    <row r="159" spans="1:119" x14ac:dyDescent="0.25">
      <c r="A159">
        <f>ROW(Source!A117)</f>
        <v>117</v>
      </c>
      <c r="B159">
        <v>55936046</v>
      </c>
      <c r="C159">
        <v>55936294</v>
      </c>
      <c r="D159">
        <v>55490330</v>
      </c>
      <c r="E159">
        <v>1</v>
      </c>
      <c r="F159">
        <v>1</v>
      </c>
      <c r="G159">
        <v>1081</v>
      </c>
      <c r="H159">
        <v>2</v>
      </c>
      <c r="I159" t="s">
        <v>285</v>
      </c>
      <c r="J159" t="s">
        <v>286</v>
      </c>
      <c r="K159" t="s">
        <v>287</v>
      </c>
      <c r="L159">
        <v>1368</v>
      </c>
      <c r="N159">
        <v>1011</v>
      </c>
      <c r="O159" t="s">
        <v>268</v>
      </c>
      <c r="P159" t="s">
        <v>268</v>
      </c>
      <c r="Q159">
        <v>1</v>
      </c>
      <c r="W159">
        <v>0</v>
      </c>
      <c r="X159">
        <v>-2083101341</v>
      </c>
      <c r="Y159">
        <f>(AT159*1.2)</f>
        <v>0.97199999999999998</v>
      </c>
      <c r="AA159">
        <v>0</v>
      </c>
      <c r="AB159">
        <v>0.84</v>
      </c>
      <c r="AC159">
        <v>0</v>
      </c>
      <c r="AD159">
        <v>0</v>
      </c>
      <c r="AE159">
        <v>0</v>
      </c>
      <c r="AF159">
        <v>0.8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-2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0.81</v>
      </c>
      <c r="AU159" t="s">
        <v>63</v>
      </c>
      <c r="AV159">
        <v>0</v>
      </c>
      <c r="AW159">
        <v>2</v>
      </c>
      <c r="AX159">
        <v>55936297</v>
      </c>
      <c r="AY159">
        <v>1</v>
      </c>
      <c r="AZ159">
        <v>0</v>
      </c>
      <c r="BA159">
        <v>185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V159">
        <v>0</v>
      </c>
      <c r="CW159">
        <f>ROUND(Y159*Source!I117*DO159,9)</f>
        <v>0</v>
      </c>
      <c r="CX159">
        <f>ROUND(Y159*Source!I117,9)</f>
        <v>9.7199999999999995E-2</v>
      </c>
      <c r="CY159">
        <f>AB159</f>
        <v>0.84</v>
      </c>
      <c r="CZ159">
        <f>AF159</f>
        <v>0.8</v>
      </c>
      <c r="DA159">
        <f>AJ159</f>
        <v>1</v>
      </c>
      <c r="DB159">
        <f>ROUND((ROUND(AT159*CZ159,2)*1.2),6)</f>
        <v>0.78</v>
      </c>
      <c r="DC159">
        <f>ROUND((ROUND(AT159*AG159,2)*1.2),6)</f>
        <v>0</v>
      </c>
      <c r="DD159" t="s">
        <v>3</v>
      </c>
      <c r="DE159" t="s">
        <v>3</v>
      </c>
      <c r="DF159">
        <f t="shared" si="36"/>
        <v>0</v>
      </c>
      <c r="DG159">
        <f t="shared" si="35"/>
        <v>0.08</v>
      </c>
      <c r="DH159">
        <f t="shared" si="34"/>
        <v>0</v>
      </c>
      <c r="DI159">
        <f t="shared" si="30"/>
        <v>0</v>
      </c>
      <c r="DJ159">
        <f>DG159</f>
        <v>0.08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5">
      <c r="A160">
        <f>ROW(Source!A117)</f>
        <v>117</v>
      </c>
      <c r="B160">
        <v>55936046</v>
      </c>
      <c r="C160">
        <v>55936294</v>
      </c>
      <c r="D160">
        <v>55490296</v>
      </c>
      <c r="E160">
        <v>1</v>
      </c>
      <c r="F160">
        <v>1</v>
      </c>
      <c r="G160">
        <v>1081</v>
      </c>
      <c r="H160">
        <v>2</v>
      </c>
      <c r="I160" t="s">
        <v>270</v>
      </c>
      <c r="J160" t="s">
        <v>271</v>
      </c>
      <c r="K160" t="s">
        <v>272</v>
      </c>
      <c r="L160">
        <v>1368</v>
      </c>
      <c r="N160">
        <v>1011</v>
      </c>
      <c r="O160" t="s">
        <v>268</v>
      </c>
      <c r="P160" t="s">
        <v>268</v>
      </c>
      <c r="Q160">
        <v>1</v>
      </c>
      <c r="W160">
        <v>0</v>
      </c>
      <c r="X160">
        <v>-643591644</v>
      </c>
      <c r="Y160">
        <f>(AT160*1.2)</f>
        <v>1.1160000000000001</v>
      </c>
      <c r="AA160">
        <v>0</v>
      </c>
      <c r="AB160">
        <v>0.49</v>
      </c>
      <c r="AC160">
        <v>0</v>
      </c>
      <c r="AD160">
        <v>0</v>
      </c>
      <c r="AE160">
        <v>0</v>
      </c>
      <c r="AF160">
        <v>0.47</v>
      </c>
      <c r="AG160">
        <v>0</v>
      </c>
      <c r="AH160">
        <v>0</v>
      </c>
      <c r="AI160">
        <v>1</v>
      </c>
      <c r="AJ160">
        <v>1</v>
      </c>
      <c r="AK160">
        <v>1</v>
      </c>
      <c r="AL160">
        <v>1</v>
      </c>
      <c r="AM160">
        <v>-2</v>
      </c>
      <c r="AN160">
        <v>0</v>
      </c>
      <c r="AO160">
        <v>1</v>
      </c>
      <c r="AP160">
        <v>1</v>
      </c>
      <c r="AQ160">
        <v>0</v>
      </c>
      <c r="AR160">
        <v>0</v>
      </c>
      <c r="AS160" t="s">
        <v>3</v>
      </c>
      <c r="AT160">
        <v>0.93</v>
      </c>
      <c r="AU160" t="s">
        <v>63</v>
      </c>
      <c r="AV160">
        <v>0</v>
      </c>
      <c r="AW160">
        <v>2</v>
      </c>
      <c r="AX160">
        <v>55936298</v>
      </c>
      <c r="AY160">
        <v>1</v>
      </c>
      <c r="AZ160">
        <v>0</v>
      </c>
      <c r="BA160">
        <v>186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f>ROUND(Y160*Source!I117*DO160,9)</f>
        <v>0</v>
      </c>
      <c r="CX160">
        <f>ROUND(Y160*Source!I117,9)</f>
        <v>0.1116</v>
      </c>
      <c r="CY160">
        <f>AB160</f>
        <v>0.49</v>
      </c>
      <c r="CZ160">
        <f>AF160</f>
        <v>0.47</v>
      </c>
      <c r="DA160">
        <f>AJ160</f>
        <v>1</v>
      </c>
      <c r="DB160">
        <f>ROUND((ROUND(AT160*CZ160,2)*1.2),6)</f>
        <v>0.52800000000000002</v>
      </c>
      <c r="DC160">
        <f>ROUND((ROUND(AT160*AG160,2)*1.2),6)</f>
        <v>0</v>
      </c>
      <c r="DD160" t="s">
        <v>3</v>
      </c>
      <c r="DE160" t="s">
        <v>3</v>
      </c>
      <c r="DF160">
        <f t="shared" si="36"/>
        <v>0</v>
      </c>
      <c r="DG160">
        <f t="shared" si="35"/>
        <v>0.05</v>
      </c>
      <c r="DH160">
        <f t="shared" si="34"/>
        <v>0</v>
      </c>
      <c r="DI160">
        <f t="shared" si="30"/>
        <v>0</v>
      </c>
      <c r="DJ160">
        <f>DG160</f>
        <v>0.05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5">
      <c r="A161">
        <f>ROW(Source!A117)</f>
        <v>117</v>
      </c>
      <c r="B161">
        <v>55936046</v>
      </c>
      <c r="C161">
        <v>55936294</v>
      </c>
      <c r="D161">
        <v>55460882</v>
      </c>
      <c r="E161">
        <v>1</v>
      </c>
      <c r="F161">
        <v>1</v>
      </c>
      <c r="G161">
        <v>1081</v>
      </c>
      <c r="H161">
        <v>3</v>
      </c>
      <c r="I161" t="s">
        <v>273</v>
      </c>
      <c r="J161" t="s">
        <v>274</v>
      </c>
      <c r="K161" t="s">
        <v>275</v>
      </c>
      <c r="L161">
        <v>1348</v>
      </c>
      <c r="N161">
        <v>1009</v>
      </c>
      <c r="O161" t="s">
        <v>223</v>
      </c>
      <c r="P161" t="s">
        <v>223</v>
      </c>
      <c r="Q161">
        <v>1000</v>
      </c>
      <c r="W161">
        <v>0</v>
      </c>
      <c r="X161">
        <v>-1448166212</v>
      </c>
      <c r="Y161">
        <f>(AT161*1)</f>
        <v>1.7000000000000001E-4</v>
      </c>
      <c r="AA161">
        <v>14327.51</v>
      </c>
      <c r="AB161">
        <v>0</v>
      </c>
      <c r="AC161">
        <v>0</v>
      </c>
      <c r="AD161">
        <v>0</v>
      </c>
      <c r="AE161">
        <v>14327.51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1</v>
      </c>
      <c r="AL161">
        <v>1</v>
      </c>
      <c r="AM161">
        <v>-2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1.7000000000000001E-4</v>
      </c>
      <c r="AU161" t="s">
        <v>62</v>
      </c>
      <c r="AV161">
        <v>0</v>
      </c>
      <c r="AW161">
        <v>2</v>
      </c>
      <c r="AX161">
        <v>55936299</v>
      </c>
      <c r="AY161">
        <v>1</v>
      </c>
      <c r="AZ161">
        <v>0</v>
      </c>
      <c r="BA161">
        <v>187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V161">
        <v>0</v>
      </c>
      <c r="CW161">
        <v>0</v>
      </c>
      <c r="CX161">
        <f>ROUND(Y161*Source!I117,9)</f>
        <v>1.7E-5</v>
      </c>
      <c r="CY161">
        <f>AA161</f>
        <v>14327.51</v>
      </c>
      <c r="CZ161">
        <f>AE161</f>
        <v>14327.51</v>
      </c>
      <c r="DA161">
        <f>AI161</f>
        <v>1</v>
      </c>
      <c r="DB161">
        <f>ROUND((ROUND(AT161*CZ161,2)*1),6)</f>
        <v>2.44</v>
      </c>
      <c r="DC161">
        <f>ROUND((ROUND(AT161*AG161,2)*1),6)</f>
        <v>0</v>
      </c>
      <c r="DD161" t="s">
        <v>3</v>
      </c>
      <c r="DE161" t="s">
        <v>3</v>
      </c>
      <c r="DF161">
        <f t="shared" si="36"/>
        <v>0.24</v>
      </c>
      <c r="DG161">
        <f t="shared" si="35"/>
        <v>0</v>
      </c>
      <c r="DH161">
        <f t="shared" si="34"/>
        <v>0</v>
      </c>
      <c r="DI161">
        <f t="shared" si="30"/>
        <v>0</v>
      </c>
      <c r="DJ161">
        <f>DF161</f>
        <v>0.24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5">
      <c r="A162">
        <f>ROW(Source!A117)</f>
        <v>117</v>
      </c>
      <c r="B162">
        <v>55936046</v>
      </c>
      <c r="C162">
        <v>55936294</v>
      </c>
      <c r="D162">
        <v>0</v>
      </c>
      <c r="E162">
        <v>0</v>
      </c>
      <c r="F162">
        <v>1</v>
      </c>
      <c r="G162">
        <v>1081</v>
      </c>
      <c r="H162">
        <v>3</v>
      </c>
      <c r="I162" t="s">
        <v>323</v>
      </c>
      <c r="J162" t="s">
        <v>323</v>
      </c>
      <c r="K162" t="s">
        <v>184</v>
      </c>
      <c r="L162">
        <v>1371</v>
      </c>
      <c r="N162">
        <v>1013</v>
      </c>
      <c r="O162" t="s">
        <v>144</v>
      </c>
      <c r="P162" t="s">
        <v>144</v>
      </c>
      <c r="Q162">
        <v>1</v>
      </c>
      <c r="W162">
        <v>0</v>
      </c>
      <c r="X162">
        <v>1928706501</v>
      </c>
      <c r="Y162">
        <f>AT162</f>
        <v>10</v>
      </c>
      <c r="AA162">
        <v>914.21</v>
      </c>
      <c r="AB162">
        <v>0</v>
      </c>
      <c r="AC162">
        <v>0</v>
      </c>
      <c r="AD162">
        <v>0</v>
      </c>
      <c r="AE162">
        <v>914.20999999999992</v>
      </c>
      <c r="AF162">
        <v>0</v>
      </c>
      <c r="AG162">
        <v>0</v>
      </c>
      <c r="AH162">
        <v>0</v>
      </c>
      <c r="AI162">
        <v>1</v>
      </c>
      <c r="AJ162">
        <v>1</v>
      </c>
      <c r="AK162">
        <v>1</v>
      </c>
      <c r="AL162">
        <v>1</v>
      </c>
      <c r="AM162">
        <v>0</v>
      </c>
      <c r="AN162">
        <v>0</v>
      </c>
      <c r="AO162">
        <v>0</v>
      </c>
      <c r="AP162">
        <v>1</v>
      </c>
      <c r="AQ162">
        <v>0</v>
      </c>
      <c r="AR162">
        <v>0</v>
      </c>
      <c r="AS162" t="s">
        <v>3</v>
      </c>
      <c r="AT162">
        <v>10</v>
      </c>
      <c r="AU162" t="s">
        <v>3</v>
      </c>
      <c r="AV162">
        <v>0</v>
      </c>
      <c r="AW162">
        <v>1</v>
      </c>
      <c r="AX162">
        <v>-1</v>
      </c>
      <c r="AY162">
        <v>0</v>
      </c>
      <c r="AZ162">
        <v>0</v>
      </c>
      <c r="BA162" t="s">
        <v>3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v>0</v>
      </c>
      <c r="CX162">
        <f>ROUND(Y162*Source!I117,9)</f>
        <v>1</v>
      </c>
      <c r="CY162">
        <f>AA162</f>
        <v>914.21</v>
      </c>
      <c r="CZ162">
        <f>AE162</f>
        <v>914.20999999999992</v>
      </c>
      <c r="DA162">
        <f>AI162</f>
        <v>1</v>
      </c>
      <c r="DB162">
        <f>ROUND(ROUND(AT162*CZ162,2),6)</f>
        <v>9142.1</v>
      </c>
      <c r="DC162">
        <f>ROUND(ROUND(AT162*AG162,2),6)</f>
        <v>0</v>
      </c>
      <c r="DD162" t="s">
        <v>3</v>
      </c>
      <c r="DE162" t="s">
        <v>3</v>
      </c>
      <c r="DF162">
        <f t="shared" si="36"/>
        <v>914.21</v>
      </c>
      <c r="DG162">
        <f t="shared" si="35"/>
        <v>0</v>
      </c>
      <c r="DH162">
        <f t="shared" si="34"/>
        <v>0</v>
      </c>
      <c r="DI162">
        <f t="shared" si="30"/>
        <v>0</v>
      </c>
      <c r="DJ162">
        <f>DF162</f>
        <v>914.21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5">
      <c r="A163">
        <f>ROW(Source!A118)</f>
        <v>118</v>
      </c>
      <c r="B163">
        <v>55936048</v>
      </c>
      <c r="C163">
        <v>55936294</v>
      </c>
      <c r="D163">
        <v>55424304</v>
      </c>
      <c r="E163">
        <v>1081</v>
      </c>
      <c r="F163">
        <v>1</v>
      </c>
      <c r="G163">
        <v>1081</v>
      </c>
      <c r="H163">
        <v>1</v>
      </c>
      <c r="I163" t="s">
        <v>262</v>
      </c>
      <c r="J163" t="s">
        <v>3</v>
      </c>
      <c r="K163" t="s">
        <v>263</v>
      </c>
      <c r="L163">
        <v>1191</v>
      </c>
      <c r="N163">
        <v>1013</v>
      </c>
      <c r="O163" t="s">
        <v>264</v>
      </c>
      <c r="P163" t="s">
        <v>264</v>
      </c>
      <c r="Q163">
        <v>1</v>
      </c>
      <c r="W163">
        <v>0</v>
      </c>
      <c r="X163">
        <v>476480486</v>
      </c>
      <c r="Y163">
        <f>(AT163*1.2)</f>
        <v>17.568000000000001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1</v>
      </c>
      <c r="AK163">
        <v>1</v>
      </c>
      <c r="AL163">
        <v>1</v>
      </c>
      <c r="AM163">
        <v>5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14.64</v>
      </c>
      <c r="AU163" t="s">
        <v>63</v>
      </c>
      <c r="AV163">
        <v>1</v>
      </c>
      <c r="AW163">
        <v>2</v>
      </c>
      <c r="AX163">
        <v>55936295</v>
      </c>
      <c r="AY163">
        <v>1</v>
      </c>
      <c r="AZ163">
        <v>0</v>
      </c>
      <c r="BA163">
        <v>189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U163">
        <f>ROUND(AT163*Source!I118*AH163*AL163,2)</f>
        <v>0</v>
      </c>
      <c r="CV163">
        <f>ROUND(Y163*Source!I118,9)</f>
        <v>1.7567999999999999</v>
      </c>
      <c r="CW163">
        <v>0</v>
      </c>
      <c r="CX163">
        <f>ROUND(Y163*Source!I118,9)</f>
        <v>1.7567999999999999</v>
      </c>
      <c r="CY163">
        <f>AD163</f>
        <v>0</v>
      </c>
      <c r="CZ163">
        <f>AH163</f>
        <v>0</v>
      </c>
      <c r="DA163">
        <f>AL163</f>
        <v>1</v>
      </c>
      <c r="DB163">
        <f>ROUND((ROUND(AT163*CZ163,2)*1.2),6)</f>
        <v>0</v>
      </c>
      <c r="DC163">
        <f>ROUND((ROUND(AT163*AG163,2)*1.2),6)</f>
        <v>0</v>
      </c>
      <c r="DD163" t="s">
        <v>3</v>
      </c>
      <c r="DE163" t="s">
        <v>3</v>
      </c>
      <c r="DF163">
        <f t="shared" si="36"/>
        <v>0</v>
      </c>
      <c r="DG163">
        <f t="shared" si="35"/>
        <v>0</v>
      </c>
      <c r="DH163">
        <f t="shared" si="34"/>
        <v>0</v>
      </c>
      <c r="DI163">
        <f t="shared" si="30"/>
        <v>0</v>
      </c>
      <c r="DJ163">
        <f>DI163</f>
        <v>0</v>
      </c>
      <c r="DK163">
        <v>0</v>
      </c>
      <c r="DL163" t="s">
        <v>3</v>
      </c>
      <c r="DM163">
        <v>0</v>
      </c>
      <c r="DN163" t="s">
        <v>3</v>
      </c>
      <c r="DO163">
        <v>0</v>
      </c>
    </row>
    <row r="164" spans="1:119" x14ac:dyDescent="0.25">
      <c r="A164">
        <f>ROW(Source!A118)</f>
        <v>118</v>
      </c>
      <c r="B164">
        <v>55936048</v>
      </c>
      <c r="C164">
        <v>55936294</v>
      </c>
      <c r="D164">
        <v>55490209</v>
      </c>
      <c r="E164">
        <v>1</v>
      </c>
      <c r="F164">
        <v>1</v>
      </c>
      <c r="G164">
        <v>1081</v>
      </c>
      <c r="H164">
        <v>2</v>
      </c>
      <c r="I164" t="s">
        <v>265</v>
      </c>
      <c r="J164" t="s">
        <v>266</v>
      </c>
      <c r="K164" t="s">
        <v>267</v>
      </c>
      <c r="L164">
        <v>1368</v>
      </c>
      <c r="N164">
        <v>1011</v>
      </c>
      <c r="O164" t="s">
        <v>268</v>
      </c>
      <c r="P164" t="s">
        <v>268</v>
      </c>
      <c r="Q164">
        <v>1</v>
      </c>
      <c r="W164">
        <v>0</v>
      </c>
      <c r="X164">
        <v>874612079</v>
      </c>
      <c r="Y164">
        <f>(AT164*1.2)</f>
        <v>7.1999999999999995E-2</v>
      </c>
      <c r="AA164">
        <v>0</v>
      </c>
      <c r="AB164">
        <v>1485.19</v>
      </c>
      <c r="AC164">
        <v>744.56</v>
      </c>
      <c r="AD164">
        <v>0</v>
      </c>
      <c r="AE164">
        <v>0</v>
      </c>
      <c r="AF164">
        <v>83.1</v>
      </c>
      <c r="AG164">
        <v>12.62</v>
      </c>
      <c r="AH164">
        <v>0</v>
      </c>
      <c r="AI164">
        <v>1</v>
      </c>
      <c r="AJ164">
        <v>17.07</v>
      </c>
      <c r="AK164">
        <v>56.35</v>
      </c>
      <c r="AL164">
        <v>1</v>
      </c>
      <c r="AM164">
        <v>2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0.06</v>
      </c>
      <c r="AU164" t="s">
        <v>63</v>
      </c>
      <c r="AV164">
        <v>0</v>
      </c>
      <c r="AW164">
        <v>2</v>
      </c>
      <c r="AX164">
        <v>55936296</v>
      </c>
      <c r="AY164">
        <v>1</v>
      </c>
      <c r="AZ164">
        <v>0</v>
      </c>
      <c r="BA164">
        <v>190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f>ROUND(Y164*Source!I118*DO164,9)</f>
        <v>9.0864E-2</v>
      </c>
      <c r="CX164">
        <f>ROUND(Y164*Source!I118,9)</f>
        <v>7.1999999999999998E-3</v>
      </c>
      <c r="CY164">
        <f>AB164</f>
        <v>1485.19</v>
      </c>
      <c r="CZ164">
        <f>AF164</f>
        <v>83.1</v>
      </c>
      <c r="DA164">
        <f>AJ164</f>
        <v>17.07</v>
      </c>
      <c r="DB164">
        <f>ROUND((ROUND(AT164*CZ164,2)*1.2),6)</f>
        <v>5.9880000000000004</v>
      </c>
      <c r="DC164">
        <f>ROUND((ROUND(AT164*AG164,2)*1.2),6)</f>
        <v>0.91200000000000003</v>
      </c>
      <c r="DD164" t="s">
        <v>3</v>
      </c>
      <c r="DE164" t="s">
        <v>3</v>
      </c>
      <c r="DF164">
        <f t="shared" si="36"/>
        <v>0</v>
      </c>
      <c r="DG164">
        <f>ROUND(ROUND(AF164*AJ164,2)*CX164,2)</f>
        <v>10.210000000000001</v>
      </c>
      <c r="DH164">
        <f>ROUND(ROUND(AG164*AK164,2)*CX164,2)</f>
        <v>5.12</v>
      </c>
      <c r="DI164">
        <f t="shared" si="30"/>
        <v>0</v>
      </c>
      <c r="DJ164">
        <f>DG164</f>
        <v>10.210000000000001</v>
      </c>
      <c r="DK164">
        <v>0</v>
      </c>
      <c r="DL164" t="s">
        <v>269</v>
      </c>
      <c r="DM164">
        <v>0</v>
      </c>
      <c r="DN164" t="s">
        <v>264</v>
      </c>
      <c r="DO164">
        <v>12.62</v>
      </c>
    </row>
    <row r="165" spans="1:119" x14ac:dyDescent="0.25">
      <c r="A165">
        <f>ROW(Source!A118)</f>
        <v>118</v>
      </c>
      <c r="B165">
        <v>55936048</v>
      </c>
      <c r="C165">
        <v>55936294</v>
      </c>
      <c r="D165">
        <v>55490330</v>
      </c>
      <c r="E165">
        <v>1</v>
      </c>
      <c r="F165">
        <v>1</v>
      </c>
      <c r="G165">
        <v>1081</v>
      </c>
      <c r="H165">
        <v>2</v>
      </c>
      <c r="I165" t="s">
        <v>285</v>
      </c>
      <c r="J165" t="s">
        <v>286</v>
      </c>
      <c r="K165" t="s">
        <v>287</v>
      </c>
      <c r="L165">
        <v>1368</v>
      </c>
      <c r="N165">
        <v>1011</v>
      </c>
      <c r="O165" t="s">
        <v>268</v>
      </c>
      <c r="P165" t="s">
        <v>268</v>
      </c>
      <c r="Q165">
        <v>1</v>
      </c>
      <c r="W165">
        <v>0</v>
      </c>
      <c r="X165">
        <v>-2083101341</v>
      </c>
      <c r="Y165">
        <f>(AT165*1.2)</f>
        <v>0.97199999999999998</v>
      </c>
      <c r="AA165">
        <v>0</v>
      </c>
      <c r="AB165">
        <v>7.92</v>
      </c>
      <c r="AC165">
        <v>0</v>
      </c>
      <c r="AD165">
        <v>0</v>
      </c>
      <c r="AE165">
        <v>0</v>
      </c>
      <c r="AF165">
        <v>0.8</v>
      </c>
      <c r="AG165">
        <v>0</v>
      </c>
      <c r="AH165">
        <v>0</v>
      </c>
      <c r="AI165">
        <v>1</v>
      </c>
      <c r="AJ165">
        <v>9.4600000000000009</v>
      </c>
      <c r="AK165">
        <v>1</v>
      </c>
      <c r="AL165">
        <v>1</v>
      </c>
      <c r="AM165">
        <v>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0.81</v>
      </c>
      <c r="AU165" t="s">
        <v>63</v>
      </c>
      <c r="AV165">
        <v>0</v>
      </c>
      <c r="AW165">
        <v>2</v>
      </c>
      <c r="AX165">
        <v>55936297</v>
      </c>
      <c r="AY165">
        <v>1</v>
      </c>
      <c r="AZ165">
        <v>0</v>
      </c>
      <c r="BA165">
        <v>191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V165">
        <v>0</v>
      </c>
      <c r="CW165">
        <f>ROUND(Y165*Source!I118*DO165,9)</f>
        <v>0</v>
      </c>
      <c r="CX165">
        <f>ROUND(Y165*Source!I118,9)</f>
        <v>9.7199999999999995E-2</v>
      </c>
      <c r="CY165">
        <f>AB165</f>
        <v>7.92</v>
      </c>
      <c r="CZ165">
        <f>AF165</f>
        <v>0.8</v>
      </c>
      <c r="DA165">
        <f>AJ165</f>
        <v>9.4600000000000009</v>
      </c>
      <c r="DB165">
        <f>ROUND((ROUND(AT165*CZ165,2)*1.2),6)</f>
        <v>0.78</v>
      </c>
      <c r="DC165">
        <f>ROUND((ROUND(AT165*AG165,2)*1.2),6)</f>
        <v>0</v>
      </c>
      <c r="DD165" t="s">
        <v>3</v>
      </c>
      <c r="DE165" t="s">
        <v>3</v>
      </c>
      <c r="DF165">
        <f t="shared" si="36"/>
        <v>0</v>
      </c>
      <c r="DG165">
        <f>ROUND(ROUND(AF165*AJ165,2)*CX165,2)</f>
        <v>0.74</v>
      </c>
      <c r="DH165">
        <f t="shared" ref="DH165:DH175" si="37">ROUND(ROUND(AG165,2)*CX165,2)</f>
        <v>0</v>
      </c>
      <c r="DI165">
        <f t="shared" si="30"/>
        <v>0</v>
      </c>
      <c r="DJ165">
        <f>DG165</f>
        <v>0.74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5">
      <c r="A166">
        <f>ROW(Source!A118)</f>
        <v>118</v>
      </c>
      <c r="B166">
        <v>55936048</v>
      </c>
      <c r="C166">
        <v>55936294</v>
      </c>
      <c r="D166">
        <v>55490296</v>
      </c>
      <c r="E166">
        <v>1</v>
      </c>
      <c r="F166">
        <v>1</v>
      </c>
      <c r="G166">
        <v>1081</v>
      </c>
      <c r="H166">
        <v>2</v>
      </c>
      <c r="I166" t="s">
        <v>270</v>
      </c>
      <c r="J166" t="s">
        <v>271</v>
      </c>
      <c r="K166" t="s">
        <v>272</v>
      </c>
      <c r="L166">
        <v>1368</v>
      </c>
      <c r="N166">
        <v>1011</v>
      </c>
      <c r="O166" t="s">
        <v>268</v>
      </c>
      <c r="P166" t="s">
        <v>268</v>
      </c>
      <c r="Q166">
        <v>1</v>
      </c>
      <c r="W166">
        <v>0</v>
      </c>
      <c r="X166">
        <v>-643591644</v>
      </c>
      <c r="Y166">
        <f>(AT166*1.2)</f>
        <v>1.1160000000000001</v>
      </c>
      <c r="AA166">
        <v>0</v>
      </c>
      <c r="AB166">
        <v>4.75</v>
      </c>
      <c r="AC166">
        <v>0</v>
      </c>
      <c r="AD166">
        <v>0</v>
      </c>
      <c r="AE166">
        <v>0</v>
      </c>
      <c r="AF166">
        <v>0.47</v>
      </c>
      <c r="AG166">
        <v>0</v>
      </c>
      <c r="AH166">
        <v>0</v>
      </c>
      <c r="AI166">
        <v>1</v>
      </c>
      <c r="AJ166">
        <v>9.66</v>
      </c>
      <c r="AK166">
        <v>1</v>
      </c>
      <c r="AL166">
        <v>1</v>
      </c>
      <c r="AM166">
        <v>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0.93</v>
      </c>
      <c r="AU166" t="s">
        <v>63</v>
      </c>
      <c r="AV166">
        <v>0</v>
      </c>
      <c r="AW166">
        <v>2</v>
      </c>
      <c r="AX166">
        <v>55936298</v>
      </c>
      <c r="AY166">
        <v>1</v>
      </c>
      <c r="AZ166">
        <v>0</v>
      </c>
      <c r="BA166">
        <v>192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f>ROUND(Y166*Source!I118*DO166,9)</f>
        <v>0</v>
      </c>
      <c r="CX166">
        <f>ROUND(Y166*Source!I118,9)</f>
        <v>0.1116</v>
      </c>
      <c r="CY166">
        <f>AB166</f>
        <v>4.75</v>
      </c>
      <c r="CZ166">
        <f>AF166</f>
        <v>0.47</v>
      </c>
      <c r="DA166">
        <f>AJ166</f>
        <v>9.66</v>
      </c>
      <c r="DB166">
        <f>ROUND((ROUND(AT166*CZ166,2)*1.2),6)</f>
        <v>0.52800000000000002</v>
      </c>
      <c r="DC166">
        <f>ROUND((ROUND(AT166*AG166,2)*1.2),6)</f>
        <v>0</v>
      </c>
      <c r="DD166" t="s">
        <v>3</v>
      </c>
      <c r="DE166" t="s">
        <v>3</v>
      </c>
      <c r="DF166">
        <f t="shared" si="36"/>
        <v>0</v>
      </c>
      <c r="DG166">
        <f>ROUND(ROUND(AF166*AJ166,2)*CX166,2)</f>
        <v>0.51</v>
      </c>
      <c r="DH166">
        <f t="shared" si="37"/>
        <v>0</v>
      </c>
      <c r="DI166">
        <f t="shared" si="30"/>
        <v>0</v>
      </c>
      <c r="DJ166">
        <f>DG166</f>
        <v>0.51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5">
      <c r="A167">
        <f>ROW(Source!A118)</f>
        <v>118</v>
      </c>
      <c r="B167">
        <v>55936048</v>
      </c>
      <c r="C167">
        <v>55936294</v>
      </c>
      <c r="D167">
        <v>55460882</v>
      </c>
      <c r="E167">
        <v>1</v>
      </c>
      <c r="F167">
        <v>1</v>
      </c>
      <c r="G167">
        <v>1081</v>
      </c>
      <c r="H167">
        <v>3</v>
      </c>
      <c r="I167" t="s">
        <v>273</v>
      </c>
      <c r="J167" t="s">
        <v>274</v>
      </c>
      <c r="K167" t="s">
        <v>275</v>
      </c>
      <c r="L167">
        <v>1348</v>
      </c>
      <c r="N167">
        <v>1009</v>
      </c>
      <c r="O167" t="s">
        <v>223</v>
      </c>
      <c r="P167" t="s">
        <v>223</v>
      </c>
      <c r="Q167">
        <v>1000</v>
      </c>
      <c r="W167">
        <v>0</v>
      </c>
      <c r="X167">
        <v>-1448166212</v>
      </c>
      <c r="Y167">
        <f>(AT167*1)</f>
        <v>1.7000000000000001E-4</v>
      </c>
      <c r="AA167">
        <v>109175.63</v>
      </c>
      <c r="AB167">
        <v>0</v>
      </c>
      <c r="AC167">
        <v>0</v>
      </c>
      <c r="AD167">
        <v>0</v>
      </c>
      <c r="AE167">
        <v>14327.51</v>
      </c>
      <c r="AF167">
        <v>0</v>
      </c>
      <c r="AG167">
        <v>0</v>
      </c>
      <c r="AH167">
        <v>0</v>
      </c>
      <c r="AI167">
        <v>7.62</v>
      </c>
      <c r="AJ167">
        <v>1</v>
      </c>
      <c r="AK167">
        <v>1</v>
      </c>
      <c r="AL167">
        <v>1</v>
      </c>
      <c r="AM167">
        <v>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1.7000000000000001E-4</v>
      </c>
      <c r="AU167" t="s">
        <v>62</v>
      </c>
      <c r="AV167">
        <v>0</v>
      </c>
      <c r="AW167">
        <v>2</v>
      </c>
      <c r="AX167">
        <v>55936299</v>
      </c>
      <c r="AY167">
        <v>1</v>
      </c>
      <c r="AZ167">
        <v>0</v>
      </c>
      <c r="BA167">
        <v>193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V167">
        <v>0</v>
      </c>
      <c r="CW167">
        <v>0</v>
      </c>
      <c r="CX167">
        <f>ROUND(Y167*Source!I118,9)</f>
        <v>1.7E-5</v>
      </c>
      <c r="CY167">
        <f>AA167</f>
        <v>109175.63</v>
      </c>
      <c r="CZ167">
        <f>AE167</f>
        <v>14327.51</v>
      </c>
      <c r="DA167">
        <f>AI167</f>
        <v>7.62</v>
      </c>
      <c r="DB167">
        <f>ROUND((ROUND(AT167*CZ167,2)*1),6)</f>
        <v>2.44</v>
      </c>
      <c r="DC167">
        <f>ROUND((ROUND(AT167*AG167,2)*1),6)</f>
        <v>0</v>
      </c>
      <c r="DD167" t="s">
        <v>3</v>
      </c>
      <c r="DE167" t="s">
        <v>3</v>
      </c>
      <c r="DF167">
        <f>ROUND(ROUND(AE167*AI167,2)*CX167,2)</f>
        <v>1.86</v>
      </c>
      <c r="DG167">
        <f t="shared" ref="DG167:DG175" si="38">ROUND(ROUND(AF167,2)*CX167,2)</f>
        <v>0</v>
      </c>
      <c r="DH167">
        <f t="shared" si="37"/>
        <v>0</v>
      </c>
      <c r="DI167">
        <f t="shared" si="30"/>
        <v>0</v>
      </c>
      <c r="DJ167">
        <f>DF167</f>
        <v>1.86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5">
      <c r="A168">
        <f>ROW(Source!A118)</f>
        <v>118</v>
      </c>
      <c r="B168">
        <v>55936048</v>
      </c>
      <c r="C168">
        <v>55936294</v>
      </c>
      <c r="D168">
        <v>0</v>
      </c>
      <c r="E168">
        <v>0</v>
      </c>
      <c r="F168">
        <v>1</v>
      </c>
      <c r="G168">
        <v>1081</v>
      </c>
      <c r="H168">
        <v>3</v>
      </c>
      <c r="I168" t="s">
        <v>323</v>
      </c>
      <c r="J168" t="s">
        <v>323</v>
      </c>
      <c r="K168" t="s">
        <v>184</v>
      </c>
      <c r="L168">
        <v>1371</v>
      </c>
      <c r="N168">
        <v>1013</v>
      </c>
      <c r="O168" t="s">
        <v>144</v>
      </c>
      <c r="P168" t="s">
        <v>144</v>
      </c>
      <c r="Q168">
        <v>1</v>
      </c>
      <c r="W168">
        <v>0</v>
      </c>
      <c r="X168">
        <v>1928706501</v>
      </c>
      <c r="Y168">
        <f>AT168</f>
        <v>10</v>
      </c>
      <c r="AA168">
        <v>6920.57</v>
      </c>
      <c r="AB168">
        <v>0</v>
      </c>
      <c r="AC168">
        <v>0</v>
      </c>
      <c r="AD168">
        <v>0</v>
      </c>
      <c r="AE168">
        <v>914.20999999999992</v>
      </c>
      <c r="AF168">
        <v>0</v>
      </c>
      <c r="AG168">
        <v>0</v>
      </c>
      <c r="AH168">
        <v>0</v>
      </c>
      <c r="AI168">
        <v>7.57</v>
      </c>
      <c r="AJ168">
        <v>1</v>
      </c>
      <c r="AK168">
        <v>1</v>
      </c>
      <c r="AL168">
        <v>1</v>
      </c>
      <c r="AM168">
        <v>0</v>
      </c>
      <c r="AN168">
        <v>0</v>
      </c>
      <c r="AO168">
        <v>0</v>
      </c>
      <c r="AP168">
        <v>1</v>
      </c>
      <c r="AQ168">
        <v>0</v>
      </c>
      <c r="AR168">
        <v>0</v>
      </c>
      <c r="AS168" t="s">
        <v>3</v>
      </c>
      <c r="AT168">
        <v>10</v>
      </c>
      <c r="AU168" t="s">
        <v>3</v>
      </c>
      <c r="AV168">
        <v>0</v>
      </c>
      <c r="AW168">
        <v>1</v>
      </c>
      <c r="AX168">
        <v>-1</v>
      </c>
      <c r="AY168">
        <v>0</v>
      </c>
      <c r="AZ168">
        <v>0</v>
      </c>
      <c r="BA168" t="s">
        <v>3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v>0</v>
      </c>
      <c r="CX168">
        <f>ROUND(Y168*Source!I118,9)</f>
        <v>1</v>
      </c>
      <c r="CY168">
        <f>AA168</f>
        <v>6920.57</v>
      </c>
      <c r="CZ168">
        <f>AE168</f>
        <v>914.20999999999992</v>
      </c>
      <c r="DA168">
        <f>AI168</f>
        <v>7.57</v>
      </c>
      <c r="DB168">
        <f>ROUND(ROUND(AT168*CZ168,2),6)</f>
        <v>9142.1</v>
      </c>
      <c r="DC168">
        <f>ROUND(ROUND(AT168*AG168,2),6)</f>
        <v>0</v>
      </c>
      <c r="DD168" t="s">
        <v>3</v>
      </c>
      <c r="DE168" t="s">
        <v>3</v>
      </c>
      <c r="DF168">
        <f>ROUND(ROUND(AE168*AI168,2)*CX168,2)</f>
        <v>6920.57</v>
      </c>
      <c r="DG168">
        <f t="shared" si="38"/>
        <v>0</v>
      </c>
      <c r="DH168">
        <f t="shared" si="37"/>
        <v>0</v>
      </c>
      <c r="DI168">
        <f t="shared" si="30"/>
        <v>0</v>
      </c>
      <c r="DJ168">
        <f>DF168</f>
        <v>6920.57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5">
      <c r="A169">
        <f>ROW(Source!A121)</f>
        <v>121</v>
      </c>
      <c r="B169">
        <v>55936046</v>
      </c>
      <c r="C169">
        <v>55936308</v>
      </c>
      <c r="D169">
        <v>55424304</v>
      </c>
      <c r="E169">
        <v>1081</v>
      </c>
      <c r="F169">
        <v>1</v>
      </c>
      <c r="G169">
        <v>1081</v>
      </c>
      <c r="H169">
        <v>1</v>
      </c>
      <c r="I169" t="s">
        <v>262</v>
      </c>
      <c r="J169" t="s">
        <v>3</v>
      </c>
      <c r="K169" t="s">
        <v>263</v>
      </c>
      <c r="L169">
        <v>1191</v>
      </c>
      <c r="N169">
        <v>1013</v>
      </c>
      <c r="O169" t="s">
        <v>264</v>
      </c>
      <c r="P169" t="s">
        <v>264</v>
      </c>
      <c r="Q169">
        <v>1</v>
      </c>
      <c r="W169">
        <v>0</v>
      </c>
      <c r="X169">
        <v>476480486</v>
      </c>
      <c r="Y169">
        <f>(AT169*1.2)</f>
        <v>1.62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1</v>
      </c>
      <c r="AK169">
        <v>1</v>
      </c>
      <c r="AL169">
        <v>1</v>
      </c>
      <c r="AM169">
        <v>-2</v>
      </c>
      <c r="AN169">
        <v>0</v>
      </c>
      <c r="AO169">
        <v>1</v>
      </c>
      <c r="AP169">
        <v>1</v>
      </c>
      <c r="AQ169">
        <v>0</v>
      </c>
      <c r="AR169">
        <v>0</v>
      </c>
      <c r="AS169" t="s">
        <v>3</v>
      </c>
      <c r="AT169">
        <v>1.35</v>
      </c>
      <c r="AU169" t="s">
        <v>63</v>
      </c>
      <c r="AV169">
        <v>1</v>
      </c>
      <c r="AW169">
        <v>2</v>
      </c>
      <c r="AX169">
        <v>55936309</v>
      </c>
      <c r="AY169">
        <v>1</v>
      </c>
      <c r="AZ169">
        <v>0</v>
      </c>
      <c r="BA169">
        <v>195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U169">
        <f>ROUND(AT169*Source!I121*AH169*AL169,2)</f>
        <v>0</v>
      </c>
      <c r="CV169">
        <f>ROUND(Y169*Source!I121,9)</f>
        <v>1.62</v>
      </c>
      <c r="CW169">
        <v>0</v>
      </c>
      <c r="CX169">
        <f>ROUND(Y169*Source!I121,9)</f>
        <v>1.62</v>
      </c>
      <c r="CY169">
        <f>AD169</f>
        <v>0</v>
      </c>
      <c r="CZ169">
        <f>AH169</f>
        <v>0</v>
      </c>
      <c r="DA169">
        <f>AL169</f>
        <v>1</v>
      </c>
      <c r="DB169">
        <f>ROUND((ROUND(AT169*CZ169,2)*1.2),6)</f>
        <v>0</v>
      </c>
      <c r="DC169">
        <f>ROUND((ROUND(AT169*AG169,2)*1.2),6)</f>
        <v>0</v>
      </c>
      <c r="DD169" t="s">
        <v>3</v>
      </c>
      <c r="DE169" t="s">
        <v>3</v>
      </c>
      <c r="DF169">
        <f t="shared" ref="DF169:DF177" si="39">ROUND(ROUND(AE169,2)*CX169,2)</f>
        <v>0</v>
      </c>
      <c r="DG169">
        <f t="shared" si="38"/>
        <v>0</v>
      </c>
      <c r="DH169">
        <f t="shared" si="37"/>
        <v>0</v>
      </c>
      <c r="DI169">
        <f t="shared" si="30"/>
        <v>0</v>
      </c>
      <c r="DJ169">
        <f>DI169</f>
        <v>0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5">
      <c r="A170">
        <f>ROW(Source!A121)</f>
        <v>121</v>
      </c>
      <c r="B170">
        <v>55936046</v>
      </c>
      <c r="C170">
        <v>55936308</v>
      </c>
      <c r="D170">
        <v>55490209</v>
      </c>
      <c r="E170">
        <v>1</v>
      </c>
      <c r="F170">
        <v>1</v>
      </c>
      <c r="G170">
        <v>1081</v>
      </c>
      <c r="H170">
        <v>2</v>
      </c>
      <c r="I170" t="s">
        <v>265</v>
      </c>
      <c r="J170" t="s">
        <v>266</v>
      </c>
      <c r="K170" t="s">
        <v>267</v>
      </c>
      <c r="L170">
        <v>1368</v>
      </c>
      <c r="N170">
        <v>1011</v>
      </c>
      <c r="O170" t="s">
        <v>268</v>
      </c>
      <c r="P170" t="s">
        <v>268</v>
      </c>
      <c r="Q170">
        <v>1</v>
      </c>
      <c r="W170">
        <v>0</v>
      </c>
      <c r="X170">
        <v>874612079</v>
      </c>
      <c r="Y170">
        <f>(AT170*1.2)</f>
        <v>1.2E-2</v>
      </c>
      <c r="AA170">
        <v>0</v>
      </c>
      <c r="AB170">
        <v>87.01</v>
      </c>
      <c r="AC170">
        <v>13.21</v>
      </c>
      <c r="AD170">
        <v>0</v>
      </c>
      <c r="AE170">
        <v>0</v>
      </c>
      <c r="AF170">
        <v>83.1</v>
      </c>
      <c r="AG170">
        <v>12.62</v>
      </c>
      <c r="AH170">
        <v>0</v>
      </c>
      <c r="AI170">
        <v>1</v>
      </c>
      <c r="AJ170">
        <v>1</v>
      </c>
      <c r="AK170">
        <v>1</v>
      </c>
      <c r="AL170">
        <v>1</v>
      </c>
      <c r="AM170">
        <v>-2</v>
      </c>
      <c r="AN170">
        <v>0</v>
      </c>
      <c r="AO170">
        <v>1</v>
      </c>
      <c r="AP170">
        <v>1</v>
      </c>
      <c r="AQ170">
        <v>0</v>
      </c>
      <c r="AR170">
        <v>0</v>
      </c>
      <c r="AS170" t="s">
        <v>3</v>
      </c>
      <c r="AT170">
        <v>0.01</v>
      </c>
      <c r="AU170" t="s">
        <v>63</v>
      </c>
      <c r="AV170">
        <v>0</v>
      </c>
      <c r="AW170">
        <v>2</v>
      </c>
      <c r="AX170">
        <v>55936310</v>
      </c>
      <c r="AY170">
        <v>1</v>
      </c>
      <c r="AZ170">
        <v>0</v>
      </c>
      <c r="BA170">
        <v>196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f>ROUND(Y170*Source!I121*DO170,9)</f>
        <v>0.15143999999999999</v>
      </c>
      <c r="CX170">
        <f>ROUND(Y170*Source!I121,9)</f>
        <v>1.2E-2</v>
      </c>
      <c r="CY170">
        <f>AB170</f>
        <v>87.01</v>
      </c>
      <c r="CZ170">
        <f>AF170</f>
        <v>83.1</v>
      </c>
      <c r="DA170">
        <f>AJ170</f>
        <v>1</v>
      </c>
      <c r="DB170">
        <f>ROUND((ROUND(AT170*CZ170,2)*1.2),6)</f>
        <v>0.996</v>
      </c>
      <c r="DC170">
        <f>ROUND((ROUND(AT170*AG170,2)*1.2),6)</f>
        <v>0.156</v>
      </c>
      <c r="DD170" t="s">
        <v>3</v>
      </c>
      <c r="DE170" t="s">
        <v>3</v>
      </c>
      <c r="DF170">
        <f t="shared" si="39"/>
        <v>0</v>
      </c>
      <c r="DG170">
        <f t="shared" si="38"/>
        <v>1</v>
      </c>
      <c r="DH170">
        <f t="shared" si="37"/>
        <v>0.15</v>
      </c>
      <c r="DI170">
        <f t="shared" si="30"/>
        <v>0</v>
      </c>
      <c r="DJ170">
        <f>DG170</f>
        <v>1</v>
      </c>
      <c r="DK170">
        <v>0</v>
      </c>
      <c r="DL170" t="s">
        <v>269</v>
      </c>
      <c r="DM170">
        <v>0</v>
      </c>
      <c r="DN170" t="s">
        <v>264</v>
      </c>
      <c r="DO170">
        <v>12.62</v>
      </c>
    </row>
    <row r="171" spans="1:119" x14ac:dyDescent="0.25">
      <c r="A171">
        <f>ROW(Source!A121)</f>
        <v>121</v>
      </c>
      <c r="B171">
        <v>55936046</v>
      </c>
      <c r="C171">
        <v>55936308</v>
      </c>
      <c r="D171">
        <v>55490296</v>
      </c>
      <c r="E171">
        <v>1</v>
      </c>
      <c r="F171">
        <v>1</v>
      </c>
      <c r="G171">
        <v>1081</v>
      </c>
      <c r="H171">
        <v>2</v>
      </c>
      <c r="I171" t="s">
        <v>270</v>
      </c>
      <c r="J171" t="s">
        <v>271</v>
      </c>
      <c r="K171" t="s">
        <v>272</v>
      </c>
      <c r="L171">
        <v>1368</v>
      </c>
      <c r="N171">
        <v>1011</v>
      </c>
      <c r="O171" t="s">
        <v>268</v>
      </c>
      <c r="P171" t="s">
        <v>268</v>
      </c>
      <c r="Q171">
        <v>1</v>
      </c>
      <c r="W171">
        <v>0</v>
      </c>
      <c r="X171">
        <v>-643591644</v>
      </c>
      <c r="Y171">
        <f>(AT171*1.2)</f>
        <v>0.20400000000000001</v>
      </c>
      <c r="AA171">
        <v>0</v>
      </c>
      <c r="AB171">
        <v>0.49</v>
      </c>
      <c r="AC171">
        <v>0</v>
      </c>
      <c r="AD171">
        <v>0</v>
      </c>
      <c r="AE171">
        <v>0</v>
      </c>
      <c r="AF171">
        <v>0.47</v>
      </c>
      <c r="AG171">
        <v>0</v>
      </c>
      <c r="AH171">
        <v>0</v>
      </c>
      <c r="AI171">
        <v>1</v>
      </c>
      <c r="AJ171">
        <v>1</v>
      </c>
      <c r="AK171">
        <v>1</v>
      </c>
      <c r="AL171">
        <v>1</v>
      </c>
      <c r="AM171">
        <v>-2</v>
      </c>
      <c r="AN171">
        <v>0</v>
      </c>
      <c r="AO171">
        <v>1</v>
      </c>
      <c r="AP171">
        <v>1</v>
      </c>
      <c r="AQ171">
        <v>0</v>
      </c>
      <c r="AR171">
        <v>0</v>
      </c>
      <c r="AS171" t="s">
        <v>3</v>
      </c>
      <c r="AT171">
        <v>0.17</v>
      </c>
      <c r="AU171" t="s">
        <v>63</v>
      </c>
      <c r="AV171">
        <v>0</v>
      </c>
      <c r="AW171">
        <v>2</v>
      </c>
      <c r="AX171">
        <v>55936311</v>
      </c>
      <c r="AY171">
        <v>1</v>
      </c>
      <c r="AZ171">
        <v>0</v>
      </c>
      <c r="BA171">
        <v>197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V171">
        <v>0</v>
      </c>
      <c r="CW171">
        <f>ROUND(Y171*Source!I121*DO171,9)</f>
        <v>0</v>
      </c>
      <c r="CX171">
        <f>ROUND(Y171*Source!I121,9)</f>
        <v>0.20399999999999999</v>
      </c>
      <c r="CY171">
        <f>AB171</f>
        <v>0.49</v>
      </c>
      <c r="CZ171">
        <f>AF171</f>
        <v>0.47</v>
      </c>
      <c r="DA171">
        <f>AJ171</f>
        <v>1</v>
      </c>
      <c r="DB171">
        <f>ROUND((ROUND(AT171*CZ171,2)*1.2),6)</f>
        <v>9.6000000000000002E-2</v>
      </c>
      <c r="DC171">
        <f>ROUND((ROUND(AT171*AG171,2)*1.2),6)</f>
        <v>0</v>
      </c>
      <c r="DD171" t="s">
        <v>3</v>
      </c>
      <c r="DE171" t="s">
        <v>3</v>
      </c>
      <c r="DF171">
        <f t="shared" si="39"/>
        <v>0</v>
      </c>
      <c r="DG171">
        <f t="shared" si="38"/>
        <v>0.1</v>
      </c>
      <c r="DH171">
        <f t="shared" si="37"/>
        <v>0</v>
      </c>
      <c r="DI171">
        <f t="shared" si="30"/>
        <v>0</v>
      </c>
      <c r="DJ171">
        <f>DG171</f>
        <v>0.1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5">
      <c r="A172">
        <f>ROW(Source!A121)</f>
        <v>121</v>
      </c>
      <c r="B172">
        <v>55936046</v>
      </c>
      <c r="C172">
        <v>55936308</v>
      </c>
      <c r="D172">
        <v>55460882</v>
      </c>
      <c r="E172">
        <v>1</v>
      </c>
      <c r="F172">
        <v>1</v>
      </c>
      <c r="G172">
        <v>1081</v>
      </c>
      <c r="H172">
        <v>3</v>
      </c>
      <c r="I172" t="s">
        <v>273</v>
      </c>
      <c r="J172" t="s">
        <v>274</v>
      </c>
      <c r="K172" t="s">
        <v>275</v>
      </c>
      <c r="L172">
        <v>1348</v>
      </c>
      <c r="N172">
        <v>1009</v>
      </c>
      <c r="O172" t="s">
        <v>223</v>
      </c>
      <c r="P172" t="s">
        <v>223</v>
      </c>
      <c r="Q172">
        <v>1000</v>
      </c>
      <c r="W172">
        <v>0</v>
      </c>
      <c r="X172">
        <v>-1448166212</v>
      </c>
      <c r="Y172">
        <f>(AT172*1)</f>
        <v>3.0000000000000001E-5</v>
      </c>
      <c r="AA172">
        <v>14327.51</v>
      </c>
      <c r="AB172">
        <v>0</v>
      </c>
      <c r="AC172">
        <v>0</v>
      </c>
      <c r="AD172">
        <v>0</v>
      </c>
      <c r="AE172">
        <v>14327.51</v>
      </c>
      <c r="AF172">
        <v>0</v>
      </c>
      <c r="AG172">
        <v>0</v>
      </c>
      <c r="AH172">
        <v>0</v>
      </c>
      <c r="AI172">
        <v>1</v>
      </c>
      <c r="AJ172">
        <v>1</v>
      </c>
      <c r="AK172">
        <v>1</v>
      </c>
      <c r="AL172">
        <v>1</v>
      </c>
      <c r="AM172">
        <v>-2</v>
      </c>
      <c r="AN172">
        <v>0</v>
      </c>
      <c r="AO172">
        <v>1</v>
      </c>
      <c r="AP172">
        <v>1</v>
      </c>
      <c r="AQ172">
        <v>0</v>
      </c>
      <c r="AR172">
        <v>0</v>
      </c>
      <c r="AS172" t="s">
        <v>3</v>
      </c>
      <c r="AT172">
        <v>3.0000000000000001E-5</v>
      </c>
      <c r="AU172" t="s">
        <v>62</v>
      </c>
      <c r="AV172">
        <v>0</v>
      </c>
      <c r="AW172">
        <v>2</v>
      </c>
      <c r="AX172">
        <v>55936312</v>
      </c>
      <c r="AY172">
        <v>1</v>
      </c>
      <c r="AZ172">
        <v>0</v>
      </c>
      <c r="BA172">
        <v>198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v>0</v>
      </c>
      <c r="CX172">
        <f>ROUND(Y172*Source!I121,9)</f>
        <v>3.0000000000000001E-5</v>
      </c>
      <c r="CY172">
        <f>AA172</f>
        <v>14327.51</v>
      </c>
      <c r="CZ172">
        <f>AE172</f>
        <v>14327.51</v>
      </c>
      <c r="DA172">
        <f>AI172</f>
        <v>1</v>
      </c>
      <c r="DB172">
        <f>ROUND((ROUND(AT172*CZ172,2)*1),6)</f>
        <v>0.43</v>
      </c>
      <c r="DC172">
        <f>ROUND((ROUND(AT172*AG172,2)*1),6)</f>
        <v>0</v>
      </c>
      <c r="DD172" t="s">
        <v>3</v>
      </c>
      <c r="DE172" t="s">
        <v>3</v>
      </c>
      <c r="DF172">
        <f t="shared" si="39"/>
        <v>0.43</v>
      </c>
      <c r="DG172">
        <f t="shared" si="38"/>
        <v>0</v>
      </c>
      <c r="DH172">
        <f t="shared" si="37"/>
        <v>0</v>
      </c>
      <c r="DI172">
        <f t="shared" si="30"/>
        <v>0</v>
      </c>
      <c r="DJ172">
        <f>DF172</f>
        <v>0.43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5">
      <c r="A173">
        <f>ROW(Source!A121)</f>
        <v>121</v>
      </c>
      <c r="B173">
        <v>55936046</v>
      </c>
      <c r="C173">
        <v>55936308</v>
      </c>
      <c r="D173">
        <v>55459794</v>
      </c>
      <c r="E173">
        <v>1</v>
      </c>
      <c r="F173">
        <v>1</v>
      </c>
      <c r="G173">
        <v>1081</v>
      </c>
      <c r="H173">
        <v>3</v>
      </c>
      <c r="I173" t="s">
        <v>292</v>
      </c>
      <c r="J173" t="s">
        <v>293</v>
      </c>
      <c r="K173" t="s">
        <v>294</v>
      </c>
      <c r="L173">
        <v>1348</v>
      </c>
      <c r="N173">
        <v>1009</v>
      </c>
      <c r="O173" t="s">
        <v>223</v>
      </c>
      <c r="P173" t="s">
        <v>223</v>
      </c>
      <c r="Q173">
        <v>1000</v>
      </c>
      <c r="W173">
        <v>0</v>
      </c>
      <c r="X173">
        <v>-1737481261</v>
      </c>
      <c r="Y173">
        <f>(AT173*1)</f>
        <v>1.0000000000000001E-5</v>
      </c>
      <c r="AA173">
        <v>78558.289999999994</v>
      </c>
      <c r="AB173">
        <v>0</v>
      </c>
      <c r="AC173">
        <v>0</v>
      </c>
      <c r="AD173">
        <v>0</v>
      </c>
      <c r="AE173">
        <v>78558.289999999994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-2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1.0000000000000001E-5</v>
      </c>
      <c r="AU173" t="s">
        <v>62</v>
      </c>
      <c r="AV173">
        <v>0</v>
      </c>
      <c r="AW173">
        <v>2</v>
      </c>
      <c r="AX173">
        <v>55936313</v>
      </c>
      <c r="AY173">
        <v>1</v>
      </c>
      <c r="AZ173">
        <v>0</v>
      </c>
      <c r="BA173">
        <v>199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V173">
        <v>0</v>
      </c>
      <c r="CW173">
        <v>0</v>
      </c>
      <c r="CX173">
        <f>ROUND(Y173*Source!I121,9)</f>
        <v>1.0000000000000001E-5</v>
      </c>
      <c r="CY173">
        <f>AA173</f>
        <v>78558.289999999994</v>
      </c>
      <c r="CZ173">
        <f>AE173</f>
        <v>78558.289999999994</v>
      </c>
      <c r="DA173">
        <f>AI173</f>
        <v>1</v>
      </c>
      <c r="DB173">
        <f>ROUND((ROUND(AT173*CZ173,2)*1),6)</f>
        <v>0.79</v>
      </c>
      <c r="DC173">
        <f>ROUND((ROUND(AT173*AG173,2)*1),6)</f>
        <v>0</v>
      </c>
      <c r="DD173" t="s">
        <v>3</v>
      </c>
      <c r="DE173" t="s">
        <v>3</v>
      </c>
      <c r="DF173">
        <f t="shared" si="39"/>
        <v>0.79</v>
      </c>
      <c r="DG173">
        <f t="shared" si="38"/>
        <v>0</v>
      </c>
      <c r="DH173">
        <f t="shared" si="37"/>
        <v>0</v>
      </c>
      <c r="DI173">
        <f t="shared" si="30"/>
        <v>0</v>
      </c>
      <c r="DJ173">
        <f>DF173</f>
        <v>0.79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5">
      <c r="A174">
        <f>ROW(Source!A121)</f>
        <v>121</v>
      </c>
      <c r="B174">
        <v>55936046</v>
      </c>
      <c r="C174">
        <v>55936308</v>
      </c>
      <c r="D174">
        <v>0</v>
      </c>
      <c r="E174">
        <v>0</v>
      </c>
      <c r="F174">
        <v>1</v>
      </c>
      <c r="G174">
        <v>1081</v>
      </c>
      <c r="H174">
        <v>3</v>
      </c>
      <c r="I174" t="s">
        <v>324</v>
      </c>
      <c r="J174" t="s">
        <v>324</v>
      </c>
      <c r="K174" t="s">
        <v>190</v>
      </c>
      <c r="L174">
        <v>1371</v>
      </c>
      <c r="N174">
        <v>1013</v>
      </c>
      <c r="O174" t="s">
        <v>144</v>
      </c>
      <c r="P174" t="s">
        <v>144</v>
      </c>
      <c r="Q174">
        <v>1</v>
      </c>
      <c r="W174">
        <v>0</v>
      </c>
      <c r="X174">
        <v>2085510315</v>
      </c>
      <c r="Y174">
        <f>(AT174*1)</f>
        <v>1</v>
      </c>
      <c r="AA174">
        <v>1726.85</v>
      </c>
      <c r="AB174">
        <v>0</v>
      </c>
      <c r="AC174">
        <v>0</v>
      </c>
      <c r="AD174">
        <v>0</v>
      </c>
      <c r="AE174">
        <v>1726.8500000000001</v>
      </c>
      <c r="AF174">
        <v>0</v>
      </c>
      <c r="AG174">
        <v>0</v>
      </c>
      <c r="AH174">
        <v>0</v>
      </c>
      <c r="AI174">
        <v>1</v>
      </c>
      <c r="AJ174">
        <v>1</v>
      </c>
      <c r="AK174">
        <v>1</v>
      </c>
      <c r="AL174">
        <v>1</v>
      </c>
      <c r="AM174">
        <v>0</v>
      </c>
      <c r="AN174">
        <v>0</v>
      </c>
      <c r="AO174">
        <v>0</v>
      </c>
      <c r="AP174">
        <v>1</v>
      </c>
      <c r="AQ174">
        <v>0</v>
      </c>
      <c r="AR174">
        <v>0</v>
      </c>
      <c r="AS174" t="s">
        <v>3</v>
      </c>
      <c r="AT174">
        <v>1</v>
      </c>
      <c r="AU174" t="s">
        <v>62</v>
      </c>
      <c r="AV174">
        <v>0</v>
      </c>
      <c r="AW174">
        <v>1</v>
      </c>
      <c r="AX174">
        <v>-1</v>
      </c>
      <c r="AY174">
        <v>0</v>
      </c>
      <c r="AZ174">
        <v>0</v>
      </c>
      <c r="BA174" t="s">
        <v>3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v>0</v>
      </c>
      <c r="CX174">
        <f>ROUND(Y174*Source!I121,9)</f>
        <v>1</v>
      </c>
      <c r="CY174">
        <f>AA174</f>
        <v>1726.85</v>
      </c>
      <c r="CZ174">
        <f>AE174</f>
        <v>1726.8500000000001</v>
      </c>
      <c r="DA174">
        <f>AI174</f>
        <v>1</v>
      </c>
      <c r="DB174">
        <f>ROUND((ROUND(AT174*CZ174,2)*1),6)</f>
        <v>1726.85</v>
      </c>
      <c r="DC174">
        <f>ROUND((ROUND(AT174*AG174,2)*1),6)</f>
        <v>0</v>
      </c>
      <c r="DD174" t="s">
        <v>3</v>
      </c>
      <c r="DE174" t="s">
        <v>3</v>
      </c>
      <c r="DF174">
        <f t="shared" si="39"/>
        <v>1726.85</v>
      </c>
      <c r="DG174">
        <f t="shared" si="38"/>
        <v>0</v>
      </c>
      <c r="DH174">
        <f t="shared" si="37"/>
        <v>0</v>
      </c>
      <c r="DI174">
        <f t="shared" si="30"/>
        <v>0</v>
      </c>
      <c r="DJ174">
        <f>DF174</f>
        <v>1726.85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5">
      <c r="A175">
        <f>ROW(Source!A122)</f>
        <v>122</v>
      </c>
      <c r="B175">
        <v>55936048</v>
      </c>
      <c r="C175">
        <v>55936308</v>
      </c>
      <c r="D175">
        <v>55424304</v>
      </c>
      <c r="E175">
        <v>1081</v>
      </c>
      <c r="F175">
        <v>1</v>
      </c>
      <c r="G175">
        <v>1081</v>
      </c>
      <c r="H175">
        <v>1</v>
      </c>
      <c r="I175" t="s">
        <v>262</v>
      </c>
      <c r="J175" t="s">
        <v>3</v>
      </c>
      <c r="K175" t="s">
        <v>263</v>
      </c>
      <c r="L175">
        <v>1191</v>
      </c>
      <c r="N175">
        <v>1013</v>
      </c>
      <c r="O175" t="s">
        <v>264</v>
      </c>
      <c r="P175" t="s">
        <v>264</v>
      </c>
      <c r="Q175">
        <v>1</v>
      </c>
      <c r="W175">
        <v>0</v>
      </c>
      <c r="X175">
        <v>476480486</v>
      </c>
      <c r="Y175">
        <f>(AT175*1.2)</f>
        <v>1.62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5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1.35</v>
      </c>
      <c r="AU175" t="s">
        <v>63</v>
      </c>
      <c r="AV175">
        <v>1</v>
      </c>
      <c r="AW175">
        <v>2</v>
      </c>
      <c r="AX175">
        <v>55936309</v>
      </c>
      <c r="AY175">
        <v>1</v>
      </c>
      <c r="AZ175">
        <v>0</v>
      </c>
      <c r="BA175">
        <v>201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U175">
        <f>ROUND(AT175*Source!I122*AH175*AL175,2)</f>
        <v>0</v>
      </c>
      <c r="CV175">
        <f>ROUND(Y175*Source!I122,9)</f>
        <v>1.62</v>
      </c>
      <c r="CW175">
        <v>0</v>
      </c>
      <c r="CX175">
        <f>ROUND(Y175*Source!I122,9)</f>
        <v>1.62</v>
      </c>
      <c r="CY175">
        <f>AD175</f>
        <v>0</v>
      </c>
      <c r="CZ175">
        <f>AH175</f>
        <v>0</v>
      </c>
      <c r="DA175">
        <f>AL175</f>
        <v>1</v>
      </c>
      <c r="DB175">
        <f>ROUND((ROUND(AT175*CZ175,2)*1.2),6)</f>
        <v>0</v>
      </c>
      <c r="DC175">
        <f>ROUND((ROUND(AT175*AG175,2)*1.2),6)</f>
        <v>0</v>
      </c>
      <c r="DD175" t="s">
        <v>3</v>
      </c>
      <c r="DE175" t="s">
        <v>3</v>
      </c>
      <c r="DF175">
        <f t="shared" si="39"/>
        <v>0</v>
      </c>
      <c r="DG175">
        <f t="shared" si="38"/>
        <v>0</v>
      </c>
      <c r="DH175">
        <f t="shared" si="37"/>
        <v>0</v>
      </c>
      <c r="DI175">
        <f t="shared" si="30"/>
        <v>0</v>
      </c>
      <c r="DJ175">
        <f>DI175</f>
        <v>0</v>
      </c>
      <c r="DK175">
        <v>0</v>
      </c>
      <c r="DL175" t="s">
        <v>3</v>
      </c>
      <c r="DM175">
        <v>0</v>
      </c>
      <c r="DN175" t="s">
        <v>3</v>
      </c>
      <c r="DO175">
        <v>0</v>
      </c>
    </row>
    <row r="176" spans="1:119" x14ac:dyDescent="0.25">
      <c r="A176">
        <f>ROW(Source!A122)</f>
        <v>122</v>
      </c>
      <c r="B176">
        <v>55936048</v>
      </c>
      <c r="C176">
        <v>55936308</v>
      </c>
      <c r="D176">
        <v>55490209</v>
      </c>
      <c r="E176">
        <v>1</v>
      </c>
      <c r="F176">
        <v>1</v>
      </c>
      <c r="G176">
        <v>1081</v>
      </c>
      <c r="H176">
        <v>2</v>
      </c>
      <c r="I176" t="s">
        <v>265</v>
      </c>
      <c r="J176" t="s">
        <v>266</v>
      </c>
      <c r="K176" t="s">
        <v>267</v>
      </c>
      <c r="L176">
        <v>1368</v>
      </c>
      <c r="N176">
        <v>1011</v>
      </c>
      <c r="O176" t="s">
        <v>268</v>
      </c>
      <c r="P176" t="s">
        <v>268</v>
      </c>
      <c r="Q176">
        <v>1</v>
      </c>
      <c r="W176">
        <v>0</v>
      </c>
      <c r="X176">
        <v>874612079</v>
      </c>
      <c r="Y176">
        <f>(AT176*1.2)</f>
        <v>1.2E-2</v>
      </c>
      <c r="AA176">
        <v>0</v>
      </c>
      <c r="AB176">
        <v>1485.19</v>
      </c>
      <c r="AC176">
        <v>744.56</v>
      </c>
      <c r="AD176">
        <v>0</v>
      </c>
      <c r="AE176">
        <v>0</v>
      </c>
      <c r="AF176">
        <v>83.1</v>
      </c>
      <c r="AG176">
        <v>12.62</v>
      </c>
      <c r="AH176">
        <v>0</v>
      </c>
      <c r="AI176">
        <v>1</v>
      </c>
      <c r="AJ176">
        <v>17.07</v>
      </c>
      <c r="AK176">
        <v>56.35</v>
      </c>
      <c r="AL176">
        <v>1</v>
      </c>
      <c r="AM176">
        <v>2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0.01</v>
      </c>
      <c r="AU176" t="s">
        <v>63</v>
      </c>
      <c r="AV176">
        <v>0</v>
      </c>
      <c r="AW176">
        <v>2</v>
      </c>
      <c r="AX176">
        <v>55936310</v>
      </c>
      <c r="AY176">
        <v>1</v>
      </c>
      <c r="AZ176">
        <v>0</v>
      </c>
      <c r="BA176">
        <v>202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V176">
        <v>0</v>
      </c>
      <c r="CW176">
        <f>ROUND(Y176*Source!I122*DO176,9)</f>
        <v>0.15143999999999999</v>
      </c>
      <c r="CX176">
        <f>ROUND(Y176*Source!I122,9)</f>
        <v>1.2E-2</v>
      </c>
      <c r="CY176">
        <f>AB176</f>
        <v>1485.19</v>
      </c>
      <c r="CZ176">
        <f>AF176</f>
        <v>83.1</v>
      </c>
      <c r="DA176">
        <f>AJ176</f>
        <v>17.07</v>
      </c>
      <c r="DB176">
        <f>ROUND((ROUND(AT176*CZ176,2)*1.2),6)</f>
        <v>0.996</v>
      </c>
      <c r="DC176">
        <f>ROUND((ROUND(AT176*AG176,2)*1.2),6)</f>
        <v>0.156</v>
      </c>
      <c r="DD176" t="s">
        <v>3</v>
      </c>
      <c r="DE176" t="s">
        <v>3</v>
      </c>
      <c r="DF176">
        <f t="shared" si="39"/>
        <v>0</v>
      </c>
      <c r="DG176">
        <f>ROUND(ROUND(AF176*AJ176,2)*CX176,2)</f>
        <v>17.02</v>
      </c>
      <c r="DH176">
        <f>ROUND(ROUND(AG176*AK176,2)*CX176,2)</f>
        <v>8.5299999999999994</v>
      </c>
      <c r="DI176">
        <f t="shared" si="30"/>
        <v>0</v>
      </c>
      <c r="DJ176">
        <f>DG176</f>
        <v>17.02</v>
      </c>
      <c r="DK176">
        <v>0</v>
      </c>
      <c r="DL176" t="s">
        <v>269</v>
      </c>
      <c r="DM176">
        <v>0</v>
      </c>
      <c r="DN176" t="s">
        <v>264</v>
      </c>
      <c r="DO176">
        <v>12.62</v>
      </c>
    </row>
    <row r="177" spans="1:119" x14ac:dyDescent="0.25">
      <c r="A177">
        <f>ROW(Source!A122)</f>
        <v>122</v>
      </c>
      <c r="B177">
        <v>55936048</v>
      </c>
      <c r="C177">
        <v>55936308</v>
      </c>
      <c r="D177">
        <v>55490296</v>
      </c>
      <c r="E177">
        <v>1</v>
      </c>
      <c r="F177">
        <v>1</v>
      </c>
      <c r="G177">
        <v>1081</v>
      </c>
      <c r="H177">
        <v>2</v>
      </c>
      <c r="I177" t="s">
        <v>270</v>
      </c>
      <c r="J177" t="s">
        <v>271</v>
      </c>
      <c r="K177" t="s">
        <v>272</v>
      </c>
      <c r="L177">
        <v>1368</v>
      </c>
      <c r="N177">
        <v>1011</v>
      </c>
      <c r="O177" t="s">
        <v>268</v>
      </c>
      <c r="P177" t="s">
        <v>268</v>
      </c>
      <c r="Q177">
        <v>1</v>
      </c>
      <c r="W177">
        <v>0</v>
      </c>
      <c r="X177">
        <v>-643591644</v>
      </c>
      <c r="Y177">
        <f>(AT177*1.2)</f>
        <v>0.20400000000000001</v>
      </c>
      <c r="AA177">
        <v>0</v>
      </c>
      <c r="AB177">
        <v>4.75</v>
      </c>
      <c r="AC177">
        <v>0</v>
      </c>
      <c r="AD177">
        <v>0</v>
      </c>
      <c r="AE177">
        <v>0</v>
      </c>
      <c r="AF177">
        <v>0.47</v>
      </c>
      <c r="AG177">
        <v>0</v>
      </c>
      <c r="AH177">
        <v>0</v>
      </c>
      <c r="AI177">
        <v>1</v>
      </c>
      <c r="AJ177">
        <v>9.66</v>
      </c>
      <c r="AK177">
        <v>1</v>
      </c>
      <c r="AL177">
        <v>1</v>
      </c>
      <c r="AM177">
        <v>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0.17</v>
      </c>
      <c r="AU177" t="s">
        <v>63</v>
      </c>
      <c r="AV177">
        <v>0</v>
      </c>
      <c r="AW177">
        <v>2</v>
      </c>
      <c r="AX177">
        <v>55936311</v>
      </c>
      <c r="AY177">
        <v>1</v>
      </c>
      <c r="AZ177">
        <v>0</v>
      </c>
      <c r="BA177">
        <v>203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V177">
        <v>0</v>
      </c>
      <c r="CW177">
        <f>ROUND(Y177*Source!I122*DO177,9)</f>
        <v>0</v>
      </c>
      <c r="CX177">
        <f>ROUND(Y177*Source!I122,9)</f>
        <v>0.20399999999999999</v>
      </c>
      <c r="CY177">
        <f>AB177</f>
        <v>4.75</v>
      </c>
      <c r="CZ177">
        <f>AF177</f>
        <v>0.47</v>
      </c>
      <c r="DA177">
        <f>AJ177</f>
        <v>9.66</v>
      </c>
      <c r="DB177">
        <f>ROUND((ROUND(AT177*CZ177,2)*1.2),6)</f>
        <v>9.6000000000000002E-2</v>
      </c>
      <c r="DC177">
        <f>ROUND((ROUND(AT177*AG177,2)*1.2),6)</f>
        <v>0</v>
      </c>
      <c r="DD177" t="s">
        <v>3</v>
      </c>
      <c r="DE177" t="s">
        <v>3</v>
      </c>
      <c r="DF177">
        <f t="shared" si="39"/>
        <v>0</v>
      </c>
      <c r="DG177">
        <f>ROUND(ROUND(AF177*AJ177,2)*CX177,2)</f>
        <v>0.93</v>
      </c>
      <c r="DH177">
        <f t="shared" ref="DH177:DH208" si="40">ROUND(ROUND(AG177,2)*CX177,2)</f>
        <v>0</v>
      </c>
      <c r="DI177">
        <f t="shared" si="30"/>
        <v>0</v>
      </c>
      <c r="DJ177">
        <f>DG177</f>
        <v>0.93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5">
      <c r="A178">
        <f>ROW(Source!A122)</f>
        <v>122</v>
      </c>
      <c r="B178">
        <v>55936048</v>
      </c>
      <c r="C178">
        <v>55936308</v>
      </c>
      <c r="D178">
        <v>55460882</v>
      </c>
      <c r="E178">
        <v>1</v>
      </c>
      <c r="F178">
        <v>1</v>
      </c>
      <c r="G178">
        <v>1081</v>
      </c>
      <c r="H178">
        <v>3</v>
      </c>
      <c r="I178" t="s">
        <v>273</v>
      </c>
      <c r="J178" t="s">
        <v>274</v>
      </c>
      <c r="K178" t="s">
        <v>275</v>
      </c>
      <c r="L178">
        <v>1348</v>
      </c>
      <c r="N178">
        <v>1009</v>
      </c>
      <c r="O178" t="s">
        <v>223</v>
      </c>
      <c r="P178" t="s">
        <v>223</v>
      </c>
      <c r="Q178">
        <v>1000</v>
      </c>
      <c r="W178">
        <v>0</v>
      </c>
      <c r="X178">
        <v>-1448166212</v>
      </c>
      <c r="Y178">
        <f>(AT178*1)</f>
        <v>3.0000000000000001E-5</v>
      </c>
      <c r="AA178">
        <v>109175.63</v>
      </c>
      <c r="AB178">
        <v>0</v>
      </c>
      <c r="AC178">
        <v>0</v>
      </c>
      <c r="AD178">
        <v>0</v>
      </c>
      <c r="AE178">
        <v>14327.51</v>
      </c>
      <c r="AF178">
        <v>0</v>
      </c>
      <c r="AG178">
        <v>0</v>
      </c>
      <c r="AH178">
        <v>0</v>
      </c>
      <c r="AI178">
        <v>7.62</v>
      </c>
      <c r="AJ178">
        <v>1</v>
      </c>
      <c r="AK178">
        <v>1</v>
      </c>
      <c r="AL178">
        <v>1</v>
      </c>
      <c r="AM178">
        <v>2</v>
      </c>
      <c r="AN178">
        <v>0</v>
      </c>
      <c r="AO178">
        <v>1</v>
      </c>
      <c r="AP178">
        <v>1</v>
      </c>
      <c r="AQ178">
        <v>0</v>
      </c>
      <c r="AR178">
        <v>0</v>
      </c>
      <c r="AS178" t="s">
        <v>3</v>
      </c>
      <c r="AT178">
        <v>3.0000000000000001E-5</v>
      </c>
      <c r="AU178" t="s">
        <v>62</v>
      </c>
      <c r="AV178">
        <v>0</v>
      </c>
      <c r="AW178">
        <v>2</v>
      </c>
      <c r="AX178">
        <v>55936312</v>
      </c>
      <c r="AY178">
        <v>1</v>
      </c>
      <c r="AZ178">
        <v>0</v>
      </c>
      <c r="BA178">
        <v>204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v>0</v>
      </c>
      <c r="CX178">
        <f>ROUND(Y178*Source!I122,9)</f>
        <v>3.0000000000000001E-5</v>
      </c>
      <c r="CY178">
        <f>AA178</f>
        <v>109175.63</v>
      </c>
      <c r="CZ178">
        <f>AE178</f>
        <v>14327.51</v>
      </c>
      <c r="DA178">
        <f>AI178</f>
        <v>7.62</v>
      </c>
      <c r="DB178">
        <f>ROUND((ROUND(AT178*CZ178,2)*1),6)</f>
        <v>0.43</v>
      </c>
      <c r="DC178">
        <f>ROUND((ROUND(AT178*AG178,2)*1),6)</f>
        <v>0</v>
      </c>
      <c r="DD178" t="s">
        <v>3</v>
      </c>
      <c r="DE178" t="s">
        <v>3</v>
      </c>
      <c r="DF178">
        <f>ROUND(ROUND(AE178*AI178,2)*CX178,2)</f>
        <v>3.28</v>
      </c>
      <c r="DG178">
        <f t="shared" ref="DG178:DG191" si="41">ROUND(ROUND(AF178,2)*CX178,2)</f>
        <v>0</v>
      </c>
      <c r="DH178">
        <f t="shared" si="40"/>
        <v>0</v>
      </c>
      <c r="DI178">
        <f t="shared" si="30"/>
        <v>0</v>
      </c>
      <c r="DJ178">
        <f>DF178</f>
        <v>3.28</v>
      </c>
      <c r="DK178">
        <v>0</v>
      </c>
      <c r="DL178" t="s">
        <v>3</v>
      </c>
      <c r="DM178">
        <v>0</v>
      </c>
      <c r="DN178" t="s">
        <v>3</v>
      </c>
      <c r="DO178">
        <v>0</v>
      </c>
    </row>
    <row r="179" spans="1:119" x14ac:dyDescent="0.25">
      <c r="A179">
        <f>ROW(Source!A122)</f>
        <v>122</v>
      </c>
      <c r="B179">
        <v>55936048</v>
      </c>
      <c r="C179">
        <v>55936308</v>
      </c>
      <c r="D179">
        <v>55459794</v>
      </c>
      <c r="E179">
        <v>1</v>
      </c>
      <c r="F179">
        <v>1</v>
      </c>
      <c r="G179">
        <v>1081</v>
      </c>
      <c r="H179">
        <v>3</v>
      </c>
      <c r="I179" t="s">
        <v>292</v>
      </c>
      <c r="J179" t="s">
        <v>293</v>
      </c>
      <c r="K179" t="s">
        <v>294</v>
      </c>
      <c r="L179">
        <v>1348</v>
      </c>
      <c r="N179">
        <v>1009</v>
      </c>
      <c r="O179" t="s">
        <v>223</v>
      </c>
      <c r="P179" t="s">
        <v>223</v>
      </c>
      <c r="Q179">
        <v>1000</v>
      </c>
      <c r="W179">
        <v>0</v>
      </c>
      <c r="X179">
        <v>-1737481261</v>
      </c>
      <c r="Y179">
        <f>(AT179*1)</f>
        <v>1.0000000000000001E-5</v>
      </c>
      <c r="AA179">
        <v>2802174.2</v>
      </c>
      <c r="AB179">
        <v>0</v>
      </c>
      <c r="AC179">
        <v>0</v>
      </c>
      <c r="AD179">
        <v>0</v>
      </c>
      <c r="AE179">
        <v>78558.289999999994</v>
      </c>
      <c r="AF179">
        <v>0</v>
      </c>
      <c r="AG179">
        <v>0</v>
      </c>
      <c r="AH179">
        <v>0</v>
      </c>
      <c r="AI179">
        <v>35.67</v>
      </c>
      <c r="AJ179">
        <v>1</v>
      </c>
      <c r="AK179">
        <v>1</v>
      </c>
      <c r="AL179">
        <v>1</v>
      </c>
      <c r="AM179">
        <v>2</v>
      </c>
      <c r="AN179">
        <v>0</v>
      </c>
      <c r="AO179">
        <v>1</v>
      </c>
      <c r="AP179">
        <v>1</v>
      </c>
      <c r="AQ179">
        <v>0</v>
      </c>
      <c r="AR179">
        <v>0</v>
      </c>
      <c r="AS179" t="s">
        <v>3</v>
      </c>
      <c r="AT179">
        <v>1.0000000000000001E-5</v>
      </c>
      <c r="AU179" t="s">
        <v>62</v>
      </c>
      <c r="AV179">
        <v>0</v>
      </c>
      <c r="AW179">
        <v>2</v>
      </c>
      <c r="AX179">
        <v>55936313</v>
      </c>
      <c r="AY179">
        <v>1</v>
      </c>
      <c r="AZ179">
        <v>0</v>
      </c>
      <c r="BA179">
        <v>205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V179">
        <v>0</v>
      </c>
      <c r="CW179">
        <v>0</v>
      </c>
      <c r="CX179">
        <f>ROUND(Y179*Source!I122,9)</f>
        <v>1.0000000000000001E-5</v>
      </c>
      <c r="CY179">
        <f>AA179</f>
        <v>2802174.2</v>
      </c>
      <c r="CZ179">
        <f>AE179</f>
        <v>78558.289999999994</v>
      </c>
      <c r="DA179">
        <f>AI179</f>
        <v>35.67</v>
      </c>
      <c r="DB179">
        <f>ROUND((ROUND(AT179*CZ179,2)*1),6)</f>
        <v>0.79</v>
      </c>
      <c r="DC179">
        <f>ROUND((ROUND(AT179*AG179,2)*1),6)</f>
        <v>0</v>
      </c>
      <c r="DD179" t="s">
        <v>3</v>
      </c>
      <c r="DE179" t="s">
        <v>3</v>
      </c>
      <c r="DF179">
        <f>ROUND(ROUND(AE179*AI179,2)*CX179,2)</f>
        <v>28.02</v>
      </c>
      <c r="DG179">
        <f t="shared" si="41"/>
        <v>0</v>
      </c>
      <c r="DH179">
        <f t="shared" si="40"/>
        <v>0</v>
      </c>
      <c r="DI179">
        <f t="shared" si="30"/>
        <v>0</v>
      </c>
      <c r="DJ179">
        <f>DF179</f>
        <v>28.02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5">
      <c r="A180">
        <f>ROW(Source!A122)</f>
        <v>122</v>
      </c>
      <c r="B180">
        <v>55936048</v>
      </c>
      <c r="C180">
        <v>55936308</v>
      </c>
      <c r="D180">
        <v>0</v>
      </c>
      <c r="E180">
        <v>0</v>
      </c>
      <c r="F180">
        <v>1</v>
      </c>
      <c r="G180">
        <v>1081</v>
      </c>
      <c r="H180">
        <v>3</v>
      </c>
      <c r="I180" t="s">
        <v>324</v>
      </c>
      <c r="J180" t="s">
        <v>324</v>
      </c>
      <c r="K180" t="s">
        <v>190</v>
      </c>
      <c r="L180">
        <v>1371</v>
      </c>
      <c r="N180">
        <v>1013</v>
      </c>
      <c r="O180" t="s">
        <v>144</v>
      </c>
      <c r="P180" t="s">
        <v>144</v>
      </c>
      <c r="Q180">
        <v>1</v>
      </c>
      <c r="W180">
        <v>0</v>
      </c>
      <c r="X180">
        <v>2085510315</v>
      </c>
      <c r="Y180">
        <f>(AT180*1)</f>
        <v>1</v>
      </c>
      <c r="AA180">
        <v>13072.25</v>
      </c>
      <c r="AB180">
        <v>0</v>
      </c>
      <c r="AC180">
        <v>0</v>
      </c>
      <c r="AD180">
        <v>0</v>
      </c>
      <c r="AE180">
        <v>1726.8500000000001</v>
      </c>
      <c r="AF180">
        <v>0</v>
      </c>
      <c r="AG180">
        <v>0</v>
      </c>
      <c r="AH180">
        <v>0</v>
      </c>
      <c r="AI180">
        <v>7.57</v>
      </c>
      <c r="AJ180">
        <v>1</v>
      </c>
      <c r="AK180">
        <v>1</v>
      </c>
      <c r="AL180">
        <v>1</v>
      </c>
      <c r="AM180">
        <v>0</v>
      </c>
      <c r="AN180">
        <v>0</v>
      </c>
      <c r="AO180">
        <v>0</v>
      </c>
      <c r="AP180">
        <v>1</v>
      </c>
      <c r="AQ180">
        <v>0</v>
      </c>
      <c r="AR180">
        <v>0</v>
      </c>
      <c r="AS180" t="s">
        <v>3</v>
      </c>
      <c r="AT180">
        <v>1</v>
      </c>
      <c r="AU180" t="s">
        <v>62</v>
      </c>
      <c r="AV180">
        <v>0</v>
      </c>
      <c r="AW180">
        <v>1</v>
      </c>
      <c r="AX180">
        <v>-1</v>
      </c>
      <c r="AY180">
        <v>0</v>
      </c>
      <c r="AZ180">
        <v>0</v>
      </c>
      <c r="BA180" t="s">
        <v>3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v>0</v>
      </c>
      <c r="CX180">
        <f>ROUND(Y180*Source!I122,9)</f>
        <v>1</v>
      </c>
      <c r="CY180">
        <f>AA180</f>
        <v>13072.25</v>
      </c>
      <c r="CZ180">
        <f>AE180</f>
        <v>1726.8500000000001</v>
      </c>
      <c r="DA180">
        <f>AI180</f>
        <v>7.57</v>
      </c>
      <c r="DB180">
        <f>ROUND((ROUND(AT180*CZ180,2)*1),6)</f>
        <v>1726.85</v>
      </c>
      <c r="DC180">
        <f>ROUND((ROUND(AT180*AG180,2)*1),6)</f>
        <v>0</v>
      </c>
      <c r="DD180" t="s">
        <v>3</v>
      </c>
      <c r="DE180" t="s">
        <v>3</v>
      </c>
      <c r="DF180">
        <f>ROUND(ROUND(AE180*AI180,2)*CX180,2)</f>
        <v>13072.25</v>
      </c>
      <c r="DG180">
        <f t="shared" si="41"/>
        <v>0</v>
      </c>
      <c r="DH180">
        <f t="shared" si="40"/>
        <v>0</v>
      </c>
      <c r="DI180">
        <f t="shared" si="30"/>
        <v>0</v>
      </c>
      <c r="DJ180">
        <f>DF180</f>
        <v>13072.25</v>
      </c>
      <c r="DK180">
        <v>0</v>
      </c>
      <c r="DL180" t="s">
        <v>3</v>
      </c>
      <c r="DM180">
        <v>0</v>
      </c>
      <c r="DN180" t="s">
        <v>3</v>
      </c>
      <c r="DO180">
        <v>0</v>
      </c>
    </row>
    <row r="181" spans="1:119" x14ac:dyDescent="0.25">
      <c r="A181">
        <f>ROW(Source!A160)</f>
        <v>160</v>
      </c>
      <c r="B181">
        <v>55936046</v>
      </c>
      <c r="C181">
        <v>55936383</v>
      </c>
      <c r="D181">
        <v>55424304</v>
      </c>
      <c r="E181">
        <v>1081</v>
      </c>
      <c r="F181">
        <v>1</v>
      </c>
      <c r="G181">
        <v>1081</v>
      </c>
      <c r="H181">
        <v>1</v>
      </c>
      <c r="I181" t="s">
        <v>262</v>
      </c>
      <c r="J181" t="s">
        <v>3</v>
      </c>
      <c r="K181" t="s">
        <v>263</v>
      </c>
      <c r="L181">
        <v>1191</v>
      </c>
      <c r="N181">
        <v>1013</v>
      </c>
      <c r="O181" t="s">
        <v>264</v>
      </c>
      <c r="P181" t="s">
        <v>264</v>
      </c>
      <c r="Q181">
        <v>1</v>
      </c>
      <c r="W181">
        <v>0</v>
      </c>
      <c r="X181">
        <v>476480486</v>
      </c>
      <c r="Y181">
        <f>(AT181*1.2)</f>
        <v>19.920000000000002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1</v>
      </c>
      <c r="AL181">
        <v>1</v>
      </c>
      <c r="AM181">
        <v>-2</v>
      </c>
      <c r="AN181">
        <v>0</v>
      </c>
      <c r="AO181">
        <v>1</v>
      </c>
      <c r="AP181">
        <v>1</v>
      </c>
      <c r="AQ181">
        <v>0</v>
      </c>
      <c r="AR181">
        <v>0</v>
      </c>
      <c r="AS181" t="s">
        <v>3</v>
      </c>
      <c r="AT181">
        <v>16.600000000000001</v>
      </c>
      <c r="AU181" t="s">
        <v>63</v>
      </c>
      <c r="AV181">
        <v>1</v>
      </c>
      <c r="AW181">
        <v>2</v>
      </c>
      <c r="AX181">
        <v>55936384</v>
      </c>
      <c r="AY181">
        <v>1</v>
      </c>
      <c r="AZ181">
        <v>0</v>
      </c>
      <c r="BA181">
        <v>207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U181">
        <f>ROUND(AT181*Source!I160*AH181*AL181,2)</f>
        <v>0</v>
      </c>
      <c r="CV181">
        <f>ROUND(Y181*Source!I160,9)</f>
        <v>72.309600000000003</v>
      </c>
      <c r="CW181">
        <v>0</v>
      </c>
      <c r="CX181">
        <f>ROUND(Y181*Source!I160,9)</f>
        <v>72.309600000000003</v>
      </c>
      <c r="CY181">
        <f>AD181</f>
        <v>0</v>
      </c>
      <c r="CZ181">
        <f>AH181</f>
        <v>0</v>
      </c>
      <c r="DA181">
        <f>AL181</f>
        <v>1</v>
      </c>
      <c r="DB181">
        <f>ROUND((ROUND(AT181*CZ181,2)*1.2),6)</f>
        <v>0</v>
      </c>
      <c r="DC181">
        <f>ROUND((ROUND(AT181*AG181,2)*1.2),6)</f>
        <v>0</v>
      </c>
      <c r="DD181" t="s">
        <v>3</v>
      </c>
      <c r="DE181" t="s">
        <v>3</v>
      </c>
      <c r="DF181">
        <f t="shared" ref="DF181:DF193" si="42">ROUND(ROUND(AE181,2)*CX181,2)</f>
        <v>0</v>
      </c>
      <c r="DG181">
        <f t="shared" si="41"/>
        <v>0</v>
      </c>
      <c r="DH181">
        <f t="shared" si="40"/>
        <v>0</v>
      </c>
      <c r="DI181">
        <f t="shared" si="30"/>
        <v>0</v>
      </c>
      <c r="DJ181">
        <f>DI181</f>
        <v>0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5">
      <c r="A182">
        <f>ROW(Source!A160)</f>
        <v>160</v>
      </c>
      <c r="B182">
        <v>55936046</v>
      </c>
      <c r="C182">
        <v>55936383</v>
      </c>
      <c r="D182">
        <v>55490263</v>
      </c>
      <c r="E182">
        <v>1</v>
      </c>
      <c r="F182">
        <v>1</v>
      </c>
      <c r="G182">
        <v>1081</v>
      </c>
      <c r="H182">
        <v>2</v>
      </c>
      <c r="I182" t="s">
        <v>297</v>
      </c>
      <c r="J182" t="s">
        <v>298</v>
      </c>
      <c r="K182" t="s">
        <v>299</v>
      </c>
      <c r="L182">
        <v>1368</v>
      </c>
      <c r="N182">
        <v>1011</v>
      </c>
      <c r="O182" t="s">
        <v>268</v>
      </c>
      <c r="P182" t="s">
        <v>268</v>
      </c>
      <c r="Q182">
        <v>1</v>
      </c>
      <c r="W182">
        <v>0</v>
      </c>
      <c r="X182">
        <v>-1895752648</v>
      </c>
      <c r="Y182">
        <f>(AT182*1.2)</f>
        <v>1.38</v>
      </c>
      <c r="AA182">
        <v>0</v>
      </c>
      <c r="AB182">
        <v>0.81</v>
      </c>
      <c r="AC182">
        <v>0</v>
      </c>
      <c r="AD182">
        <v>0</v>
      </c>
      <c r="AE182">
        <v>0</v>
      </c>
      <c r="AF182">
        <v>0.77</v>
      </c>
      <c r="AG182">
        <v>0</v>
      </c>
      <c r="AH182">
        <v>0</v>
      </c>
      <c r="AI182">
        <v>1</v>
      </c>
      <c r="AJ182">
        <v>1</v>
      </c>
      <c r="AK182">
        <v>1</v>
      </c>
      <c r="AL182">
        <v>1</v>
      </c>
      <c r="AM182">
        <v>-2</v>
      </c>
      <c r="AN182">
        <v>0</v>
      </c>
      <c r="AO182">
        <v>1</v>
      </c>
      <c r="AP182">
        <v>1</v>
      </c>
      <c r="AQ182">
        <v>0</v>
      </c>
      <c r="AR182">
        <v>0</v>
      </c>
      <c r="AS182" t="s">
        <v>3</v>
      </c>
      <c r="AT182">
        <v>1.1499999999999999</v>
      </c>
      <c r="AU182" t="s">
        <v>63</v>
      </c>
      <c r="AV182">
        <v>0</v>
      </c>
      <c r="AW182">
        <v>2</v>
      </c>
      <c r="AX182">
        <v>55936385</v>
      </c>
      <c r="AY182">
        <v>1</v>
      </c>
      <c r="AZ182">
        <v>0</v>
      </c>
      <c r="BA182">
        <v>208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V182">
        <v>0</v>
      </c>
      <c r="CW182">
        <f>ROUND(Y182*Source!I160*DO182,9)</f>
        <v>0</v>
      </c>
      <c r="CX182">
        <f>ROUND(Y182*Source!I160,9)</f>
        <v>5.0094000000000003</v>
      </c>
      <c r="CY182">
        <f>AB182</f>
        <v>0.81</v>
      </c>
      <c r="CZ182">
        <f>AF182</f>
        <v>0.77</v>
      </c>
      <c r="DA182">
        <f>AJ182</f>
        <v>1</v>
      </c>
      <c r="DB182">
        <f>ROUND((ROUND(AT182*CZ182,2)*1.2),6)</f>
        <v>1.0680000000000001</v>
      </c>
      <c r="DC182">
        <f>ROUND((ROUND(AT182*AG182,2)*1.2),6)</f>
        <v>0</v>
      </c>
      <c r="DD182" t="s">
        <v>3</v>
      </c>
      <c r="DE182" t="s">
        <v>3</v>
      </c>
      <c r="DF182">
        <f t="shared" si="42"/>
        <v>0</v>
      </c>
      <c r="DG182">
        <f t="shared" si="41"/>
        <v>3.86</v>
      </c>
      <c r="DH182">
        <f t="shared" si="40"/>
        <v>0</v>
      </c>
      <c r="DI182">
        <f t="shared" si="30"/>
        <v>0</v>
      </c>
      <c r="DJ182">
        <f>DG182</f>
        <v>3.86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5">
      <c r="A183">
        <f>ROW(Source!A160)</f>
        <v>160</v>
      </c>
      <c r="B183">
        <v>55936046</v>
      </c>
      <c r="C183">
        <v>55936383</v>
      </c>
      <c r="D183">
        <v>55490296</v>
      </c>
      <c r="E183">
        <v>1</v>
      </c>
      <c r="F183">
        <v>1</v>
      </c>
      <c r="G183">
        <v>1081</v>
      </c>
      <c r="H183">
        <v>2</v>
      </c>
      <c r="I183" t="s">
        <v>270</v>
      </c>
      <c r="J183" t="s">
        <v>271</v>
      </c>
      <c r="K183" t="s">
        <v>272</v>
      </c>
      <c r="L183">
        <v>1368</v>
      </c>
      <c r="N183">
        <v>1011</v>
      </c>
      <c r="O183" t="s">
        <v>268</v>
      </c>
      <c r="P183" t="s">
        <v>268</v>
      </c>
      <c r="Q183">
        <v>1</v>
      </c>
      <c r="W183">
        <v>0</v>
      </c>
      <c r="X183">
        <v>-643591644</v>
      </c>
      <c r="Y183">
        <f>(AT183*1.2)</f>
        <v>2.16</v>
      </c>
      <c r="AA183">
        <v>0</v>
      </c>
      <c r="AB183">
        <v>0.49</v>
      </c>
      <c r="AC183">
        <v>0</v>
      </c>
      <c r="AD183">
        <v>0</v>
      </c>
      <c r="AE183">
        <v>0</v>
      </c>
      <c r="AF183">
        <v>0.47</v>
      </c>
      <c r="AG183">
        <v>0</v>
      </c>
      <c r="AH183">
        <v>0</v>
      </c>
      <c r="AI183">
        <v>1</v>
      </c>
      <c r="AJ183">
        <v>1</v>
      </c>
      <c r="AK183">
        <v>1</v>
      </c>
      <c r="AL183">
        <v>1</v>
      </c>
      <c r="AM183">
        <v>-2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1.8</v>
      </c>
      <c r="AU183" t="s">
        <v>63</v>
      </c>
      <c r="AV183">
        <v>0</v>
      </c>
      <c r="AW183">
        <v>2</v>
      </c>
      <c r="AX183">
        <v>55936386</v>
      </c>
      <c r="AY183">
        <v>1</v>
      </c>
      <c r="AZ183">
        <v>0</v>
      </c>
      <c r="BA183">
        <v>209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V183">
        <v>0</v>
      </c>
      <c r="CW183">
        <f>ROUND(Y183*Source!I160*DO183,9)</f>
        <v>0</v>
      </c>
      <c r="CX183">
        <f>ROUND(Y183*Source!I160,9)</f>
        <v>7.8407999999999998</v>
      </c>
      <c r="CY183">
        <f>AB183</f>
        <v>0.49</v>
      </c>
      <c r="CZ183">
        <f>AF183</f>
        <v>0.47</v>
      </c>
      <c r="DA183">
        <f>AJ183</f>
        <v>1</v>
      </c>
      <c r="DB183">
        <f>ROUND((ROUND(AT183*CZ183,2)*1.2),6)</f>
        <v>1.02</v>
      </c>
      <c r="DC183">
        <f>ROUND((ROUND(AT183*AG183,2)*1.2),6)</f>
        <v>0</v>
      </c>
      <c r="DD183" t="s">
        <v>3</v>
      </c>
      <c r="DE183" t="s">
        <v>3</v>
      </c>
      <c r="DF183">
        <f t="shared" si="42"/>
        <v>0</v>
      </c>
      <c r="DG183">
        <f t="shared" si="41"/>
        <v>3.69</v>
      </c>
      <c r="DH183">
        <f t="shared" si="40"/>
        <v>0</v>
      </c>
      <c r="DI183">
        <f t="shared" si="30"/>
        <v>0</v>
      </c>
      <c r="DJ183">
        <f>DG183</f>
        <v>3.69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5">
      <c r="A184">
        <f>ROW(Source!A160)</f>
        <v>160</v>
      </c>
      <c r="B184">
        <v>55936046</v>
      </c>
      <c r="C184">
        <v>55936383</v>
      </c>
      <c r="D184">
        <v>55460960</v>
      </c>
      <c r="E184">
        <v>1</v>
      </c>
      <c r="F184">
        <v>1</v>
      </c>
      <c r="G184">
        <v>1081</v>
      </c>
      <c r="H184">
        <v>3</v>
      </c>
      <c r="I184" t="s">
        <v>300</v>
      </c>
      <c r="J184" t="s">
        <v>301</v>
      </c>
      <c r="K184" t="s">
        <v>302</v>
      </c>
      <c r="L184">
        <v>1348</v>
      </c>
      <c r="N184">
        <v>1009</v>
      </c>
      <c r="O184" t="s">
        <v>223</v>
      </c>
      <c r="P184" t="s">
        <v>223</v>
      </c>
      <c r="Q184">
        <v>1000</v>
      </c>
      <c r="W184">
        <v>0</v>
      </c>
      <c r="X184">
        <v>-260579272</v>
      </c>
      <c r="Y184">
        <f t="shared" ref="Y184:Y190" si="43">(AT184*1)</f>
        <v>1E-3</v>
      </c>
      <c r="AA184">
        <v>58463.58</v>
      </c>
      <c r="AB184">
        <v>0</v>
      </c>
      <c r="AC184">
        <v>0</v>
      </c>
      <c r="AD184">
        <v>0</v>
      </c>
      <c r="AE184">
        <v>58463.58</v>
      </c>
      <c r="AF184">
        <v>0</v>
      </c>
      <c r="AG184">
        <v>0</v>
      </c>
      <c r="AH184">
        <v>0</v>
      </c>
      <c r="AI184">
        <v>1</v>
      </c>
      <c r="AJ184">
        <v>1</v>
      </c>
      <c r="AK184">
        <v>1</v>
      </c>
      <c r="AL184">
        <v>1</v>
      </c>
      <c r="AM184">
        <v>-2</v>
      </c>
      <c r="AN184">
        <v>0</v>
      </c>
      <c r="AO184">
        <v>1</v>
      </c>
      <c r="AP184">
        <v>1</v>
      </c>
      <c r="AQ184">
        <v>0</v>
      </c>
      <c r="AR184">
        <v>0</v>
      </c>
      <c r="AS184" t="s">
        <v>3</v>
      </c>
      <c r="AT184">
        <v>1E-3</v>
      </c>
      <c r="AU184" t="s">
        <v>62</v>
      </c>
      <c r="AV184">
        <v>0</v>
      </c>
      <c r="AW184">
        <v>2</v>
      </c>
      <c r="AX184">
        <v>55936387</v>
      </c>
      <c r="AY184">
        <v>1</v>
      </c>
      <c r="AZ184">
        <v>0</v>
      </c>
      <c r="BA184">
        <v>210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v>0</v>
      </c>
      <c r="CX184">
        <f>ROUND(Y184*Source!I160,9)</f>
        <v>3.63E-3</v>
      </c>
      <c r="CY184">
        <f t="shared" ref="CY184:CY190" si="44">AA184</f>
        <v>58463.58</v>
      </c>
      <c r="CZ184">
        <f t="shared" ref="CZ184:CZ190" si="45">AE184</f>
        <v>58463.58</v>
      </c>
      <c r="DA184">
        <f t="shared" ref="DA184:DA190" si="46">AI184</f>
        <v>1</v>
      </c>
      <c r="DB184">
        <f t="shared" ref="DB184:DB190" si="47">ROUND((ROUND(AT184*CZ184,2)*1),6)</f>
        <v>58.46</v>
      </c>
      <c r="DC184">
        <f t="shared" ref="DC184:DC190" si="48">ROUND((ROUND(AT184*AG184,2)*1),6)</f>
        <v>0</v>
      </c>
      <c r="DD184" t="s">
        <v>3</v>
      </c>
      <c r="DE184" t="s">
        <v>3</v>
      </c>
      <c r="DF184">
        <f t="shared" si="42"/>
        <v>212.22</v>
      </c>
      <c r="DG184">
        <f t="shared" si="41"/>
        <v>0</v>
      </c>
      <c r="DH184">
        <f t="shared" si="40"/>
        <v>0</v>
      </c>
      <c r="DI184">
        <f t="shared" si="30"/>
        <v>0</v>
      </c>
      <c r="DJ184">
        <f t="shared" ref="DJ184:DJ190" si="49">DF184</f>
        <v>212.22</v>
      </c>
      <c r="DK184">
        <v>0</v>
      </c>
      <c r="DL184" t="s">
        <v>3</v>
      </c>
      <c r="DM184">
        <v>0</v>
      </c>
      <c r="DN184" t="s">
        <v>3</v>
      </c>
      <c r="DO184">
        <v>0</v>
      </c>
    </row>
    <row r="185" spans="1:119" x14ac:dyDescent="0.25">
      <c r="A185">
        <f>ROW(Source!A160)</f>
        <v>160</v>
      </c>
      <c r="B185">
        <v>55936046</v>
      </c>
      <c r="C185">
        <v>55936383</v>
      </c>
      <c r="D185">
        <v>55461791</v>
      </c>
      <c r="E185">
        <v>1</v>
      </c>
      <c r="F185">
        <v>1</v>
      </c>
      <c r="G185">
        <v>1081</v>
      </c>
      <c r="H185">
        <v>3</v>
      </c>
      <c r="I185" t="s">
        <v>303</v>
      </c>
      <c r="J185" t="s">
        <v>304</v>
      </c>
      <c r="K185" t="s">
        <v>305</v>
      </c>
      <c r="L185">
        <v>1355</v>
      </c>
      <c r="N185">
        <v>1010</v>
      </c>
      <c r="O185" t="s">
        <v>205</v>
      </c>
      <c r="P185" t="s">
        <v>205</v>
      </c>
      <c r="Q185">
        <v>100</v>
      </c>
      <c r="W185">
        <v>0</v>
      </c>
      <c r="X185">
        <v>-429645653</v>
      </c>
      <c r="Y185">
        <f t="shared" si="43"/>
        <v>2.1419999999999999</v>
      </c>
      <c r="AA185">
        <v>10.6</v>
      </c>
      <c r="AB185">
        <v>0</v>
      </c>
      <c r="AC185">
        <v>0</v>
      </c>
      <c r="AD185">
        <v>0</v>
      </c>
      <c r="AE185">
        <v>10.6</v>
      </c>
      <c r="AF185">
        <v>0</v>
      </c>
      <c r="AG185">
        <v>0</v>
      </c>
      <c r="AH185">
        <v>0</v>
      </c>
      <c r="AI185">
        <v>1</v>
      </c>
      <c r="AJ185">
        <v>1</v>
      </c>
      <c r="AK185">
        <v>1</v>
      </c>
      <c r="AL185">
        <v>1</v>
      </c>
      <c r="AM185">
        <v>-2</v>
      </c>
      <c r="AN185">
        <v>0</v>
      </c>
      <c r="AO185">
        <v>1</v>
      </c>
      <c r="AP185">
        <v>1</v>
      </c>
      <c r="AQ185">
        <v>0</v>
      </c>
      <c r="AR185">
        <v>0</v>
      </c>
      <c r="AS185" t="s">
        <v>3</v>
      </c>
      <c r="AT185">
        <v>2.1419999999999999</v>
      </c>
      <c r="AU185" t="s">
        <v>62</v>
      </c>
      <c r="AV185">
        <v>0</v>
      </c>
      <c r="AW185">
        <v>2</v>
      </c>
      <c r="AX185">
        <v>55936388</v>
      </c>
      <c r="AY185">
        <v>1</v>
      </c>
      <c r="AZ185">
        <v>0</v>
      </c>
      <c r="BA185">
        <v>211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V185">
        <v>0</v>
      </c>
      <c r="CW185">
        <v>0</v>
      </c>
      <c r="CX185">
        <f>ROUND(Y185*Source!I160,9)</f>
        <v>7.7754599999999998</v>
      </c>
      <c r="CY185">
        <f t="shared" si="44"/>
        <v>10.6</v>
      </c>
      <c r="CZ185">
        <f t="shared" si="45"/>
        <v>10.6</v>
      </c>
      <c r="DA185">
        <f t="shared" si="46"/>
        <v>1</v>
      </c>
      <c r="DB185">
        <f t="shared" si="47"/>
        <v>22.71</v>
      </c>
      <c r="DC185">
        <f t="shared" si="48"/>
        <v>0</v>
      </c>
      <c r="DD185" t="s">
        <v>3</v>
      </c>
      <c r="DE185" t="s">
        <v>3</v>
      </c>
      <c r="DF185">
        <f t="shared" si="42"/>
        <v>82.42</v>
      </c>
      <c r="DG185">
        <f t="shared" si="41"/>
        <v>0</v>
      </c>
      <c r="DH185">
        <f t="shared" si="40"/>
        <v>0</v>
      </c>
      <c r="DI185">
        <f t="shared" si="30"/>
        <v>0</v>
      </c>
      <c r="DJ185">
        <f t="shared" si="49"/>
        <v>82.42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5">
      <c r="A186">
        <f>ROW(Source!A160)</f>
        <v>160</v>
      </c>
      <c r="B186">
        <v>55936046</v>
      </c>
      <c r="C186">
        <v>55936383</v>
      </c>
      <c r="D186">
        <v>55482161</v>
      </c>
      <c r="E186">
        <v>1</v>
      </c>
      <c r="F186">
        <v>1</v>
      </c>
      <c r="G186">
        <v>1081</v>
      </c>
      <c r="H186">
        <v>3</v>
      </c>
      <c r="I186" t="s">
        <v>203</v>
      </c>
      <c r="J186" t="s">
        <v>206</v>
      </c>
      <c r="K186" t="s">
        <v>204</v>
      </c>
      <c r="L186">
        <v>1355</v>
      </c>
      <c r="N186">
        <v>1010</v>
      </c>
      <c r="O186" t="s">
        <v>205</v>
      </c>
      <c r="P186" t="s">
        <v>205</v>
      </c>
      <c r="Q186">
        <v>100</v>
      </c>
      <c r="W186">
        <v>0</v>
      </c>
      <c r="X186">
        <v>289520784</v>
      </c>
      <c r="Y186">
        <f t="shared" si="43"/>
        <v>2.1640000000000001</v>
      </c>
      <c r="AA186">
        <v>146.88999999999999</v>
      </c>
      <c r="AB186">
        <v>0</v>
      </c>
      <c r="AC186">
        <v>0</v>
      </c>
      <c r="AD186">
        <v>0</v>
      </c>
      <c r="AE186">
        <v>146.88999999999999</v>
      </c>
      <c r="AF186">
        <v>0</v>
      </c>
      <c r="AG186">
        <v>0</v>
      </c>
      <c r="AH186">
        <v>0</v>
      </c>
      <c r="AI186">
        <v>1</v>
      </c>
      <c r="AJ186">
        <v>1</v>
      </c>
      <c r="AK186">
        <v>1</v>
      </c>
      <c r="AL186">
        <v>1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  <c r="AS186" t="s">
        <v>3</v>
      </c>
      <c r="AT186">
        <v>2.1640000000000001</v>
      </c>
      <c r="AU186" t="s">
        <v>62</v>
      </c>
      <c r="AV186">
        <v>0</v>
      </c>
      <c r="AW186">
        <v>1</v>
      </c>
      <c r="AX186">
        <v>-1</v>
      </c>
      <c r="AY186">
        <v>0</v>
      </c>
      <c r="AZ186">
        <v>0</v>
      </c>
      <c r="BA186" t="s">
        <v>3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v>0</v>
      </c>
      <c r="CX186">
        <f>ROUND(Y186*Source!I160,9)</f>
        <v>7.8553199999999999</v>
      </c>
      <c r="CY186">
        <f t="shared" si="44"/>
        <v>146.88999999999999</v>
      </c>
      <c r="CZ186">
        <f t="shared" si="45"/>
        <v>146.88999999999999</v>
      </c>
      <c r="DA186">
        <f t="shared" si="46"/>
        <v>1</v>
      </c>
      <c r="DB186">
        <f t="shared" si="47"/>
        <v>317.87</v>
      </c>
      <c r="DC186">
        <f t="shared" si="48"/>
        <v>0</v>
      </c>
      <c r="DD186" t="s">
        <v>3</v>
      </c>
      <c r="DE186" t="s">
        <v>3</v>
      </c>
      <c r="DF186">
        <f t="shared" si="42"/>
        <v>1153.8699999999999</v>
      </c>
      <c r="DG186">
        <f t="shared" si="41"/>
        <v>0</v>
      </c>
      <c r="DH186">
        <f t="shared" si="40"/>
        <v>0</v>
      </c>
      <c r="DI186">
        <f t="shared" si="30"/>
        <v>0</v>
      </c>
      <c r="DJ186">
        <f t="shared" si="49"/>
        <v>1153.8699999999999</v>
      </c>
      <c r="DK186">
        <v>0</v>
      </c>
      <c r="DL186" t="s">
        <v>3</v>
      </c>
      <c r="DM186">
        <v>0</v>
      </c>
      <c r="DN186" t="s">
        <v>3</v>
      </c>
      <c r="DO186">
        <v>0</v>
      </c>
    </row>
    <row r="187" spans="1:119" x14ac:dyDescent="0.25">
      <c r="A187">
        <f>ROW(Source!A160)</f>
        <v>160</v>
      </c>
      <c r="B187">
        <v>55936046</v>
      </c>
      <c r="C187">
        <v>55936383</v>
      </c>
      <c r="D187">
        <v>55482203</v>
      </c>
      <c r="E187">
        <v>1</v>
      </c>
      <c r="F187">
        <v>1</v>
      </c>
      <c r="G187">
        <v>1081</v>
      </c>
      <c r="H187">
        <v>3</v>
      </c>
      <c r="I187" t="s">
        <v>306</v>
      </c>
      <c r="J187" t="s">
        <v>307</v>
      </c>
      <c r="K187" t="s">
        <v>308</v>
      </c>
      <c r="L187">
        <v>1356</v>
      </c>
      <c r="N187">
        <v>1010</v>
      </c>
      <c r="O187" t="s">
        <v>309</v>
      </c>
      <c r="P187" t="s">
        <v>309</v>
      </c>
      <c r="Q187">
        <v>1000</v>
      </c>
      <c r="W187">
        <v>0</v>
      </c>
      <c r="X187">
        <v>474149623</v>
      </c>
      <c r="Y187">
        <f t="shared" si="43"/>
        <v>1.7000000000000001E-2</v>
      </c>
      <c r="AA187">
        <v>226.66</v>
      </c>
      <c r="AB187">
        <v>0</v>
      </c>
      <c r="AC187">
        <v>0</v>
      </c>
      <c r="AD187">
        <v>0</v>
      </c>
      <c r="AE187">
        <v>226.66</v>
      </c>
      <c r="AF187">
        <v>0</v>
      </c>
      <c r="AG187">
        <v>0</v>
      </c>
      <c r="AH187">
        <v>0</v>
      </c>
      <c r="AI187">
        <v>1</v>
      </c>
      <c r="AJ187">
        <v>1</v>
      </c>
      <c r="AK187">
        <v>1</v>
      </c>
      <c r="AL187">
        <v>1</v>
      </c>
      <c r="AM187">
        <v>-2</v>
      </c>
      <c r="AN187">
        <v>0</v>
      </c>
      <c r="AO187">
        <v>1</v>
      </c>
      <c r="AP187">
        <v>1</v>
      </c>
      <c r="AQ187">
        <v>0</v>
      </c>
      <c r="AR187">
        <v>0</v>
      </c>
      <c r="AS187" t="s">
        <v>3</v>
      </c>
      <c r="AT187">
        <v>1.7000000000000001E-2</v>
      </c>
      <c r="AU187" t="s">
        <v>62</v>
      </c>
      <c r="AV187">
        <v>0</v>
      </c>
      <c r="AW187">
        <v>2</v>
      </c>
      <c r="AX187">
        <v>55936389</v>
      </c>
      <c r="AY187">
        <v>1</v>
      </c>
      <c r="AZ187">
        <v>0</v>
      </c>
      <c r="BA187">
        <v>212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V187">
        <v>0</v>
      </c>
      <c r="CW187">
        <v>0</v>
      </c>
      <c r="CX187">
        <f>ROUND(Y187*Source!I160,9)</f>
        <v>6.1710000000000001E-2</v>
      </c>
      <c r="CY187">
        <f t="shared" si="44"/>
        <v>226.66</v>
      </c>
      <c r="CZ187">
        <f t="shared" si="45"/>
        <v>226.66</v>
      </c>
      <c r="DA187">
        <f t="shared" si="46"/>
        <v>1</v>
      </c>
      <c r="DB187">
        <f t="shared" si="47"/>
        <v>3.85</v>
      </c>
      <c r="DC187">
        <f t="shared" si="48"/>
        <v>0</v>
      </c>
      <c r="DD187" t="s">
        <v>3</v>
      </c>
      <c r="DE187" t="s">
        <v>3</v>
      </c>
      <c r="DF187">
        <f t="shared" si="42"/>
        <v>13.99</v>
      </c>
      <c r="DG187">
        <f t="shared" si="41"/>
        <v>0</v>
      </c>
      <c r="DH187">
        <f t="shared" si="40"/>
        <v>0</v>
      </c>
      <c r="DI187">
        <f t="shared" si="30"/>
        <v>0</v>
      </c>
      <c r="DJ187">
        <f t="shared" si="49"/>
        <v>13.99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5">
      <c r="A188">
        <f>ROW(Source!A160)</f>
        <v>160</v>
      </c>
      <c r="B188">
        <v>55936046</v>
      </c>
      <c r="C188">
        <v>55936383</v>
      </c>
      <c r="D188">
        <v>55481977</v>
      </c>
      <c r="E188">
        <v>1</v>
      </c>
      <c r="F188">
        <v>1</v>
      </c>
      <c r="G188">
        <v>1081</v>
      </c>
      <c r="H188">
        <v>3</v>
      </c>
      <c r="I188" t="s">
        <v>310</v>
      </c>
      <c r="J188" t="s">
        <v>311</v>
      </c>
      <c r="K188" t="s">
        <v>312</v>
      </c>
      <c r="L188">
        <v>1355</v>
      </c>
      <c r="N188">
        <v>1010</v>
      </c>
      <c r="O188" t="s">
        <v>205</v>
      </c>
      <c r="P188" t="s">
        <v>205</v>
      </c>
      <c r="Q188">
        <v>100</v>
      </c>
      <c r="W188">
        <v>0</v>
      </c>
      <c r="X188">
        <v>1356827684</v>
      </c>
      <c r="Y188">
        <f t="shared" si="43"/>
        <v>0.17</v>
      </c>
      <c r="AA188">
        <v>26.71</v>
      </c>
      <c r="AB188">
        <v>0</v>
      </c>
      <c r="AC188">
        <v>0</v>
      </c>
      <c r="AD188">
        <v>0</v>
      </c>
      <c r="AE188">
        <v>26.71</v>
      </c>
      <c r="AF188">
        <v>0</v>
      </c>
      <c r="AG188">
        <v>0</v>
      </c>
      <c r="AH188">
        <v>0</v>
      </c>
      <c r="AI188">
        <v>1</v>
      </c>
      <c r="AJ188">
        <v>1</v>
      </c>
      <c r="AK188">
        <v>1</v>
      </c>
      <c r="AL188">
        <v>1</v>
      </c>
      <c r="AM188">
        <v>-2</v>
      </c>
      <c r="AN188">
        <v>0</v>
      </c>
      <c r="AO188">
        <v>1</v>
      </c>
      <c r="AP188">
        <v>1</v>
      </c>
      <c r="AQ188">
        <v>0</v>
      </c>
      <c r="AR188">
        <v>0</v>
      </c>
      <c r="AS188" t="s">
        <v>3</v>
      </c>
      <c r="AT188">
        <v>0.17</v>
      </c>
      <c r="AU188" t="s">
        <v>62</v>
      </c>
      <c r="AV188">
        <v>0</v>
      </c>
      <c r="AW188">
        <v>2</v>
      </c>
      <c r="AX188">
        <v>55936390</v>
      </c>
      <c r="AY188">
        <v>1</v>
      </c>
      <c r="AZ188">
        <v>0</v>
      </c>
      <c r="BA188">
        <v>213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v>0</v>
      </c>
      <c r="CX188">
        <f>ROUND(Y188*Source!I160,9)</f>
        <v>0.61709999999999998</v>
      </c>
      <c r="CY188">
        <f t="shared" si="44"/>
        <v>26.71</v>
      </c>
      <c r="CZ188">
        <f t="shared" si="45"/>
        <v>26.71</v>
      </c>
      <c r="DA188">
        <f t="shared" si="46"/>
        <v>1</v>
      </c>
      <c r="DB188">
        <f t="shared" si="47"/>
        <v>4.54</v>
      </c>
      <c r="DC188">
        <f t="shared" si="48"/>
        <v>0</v>
      </c>
      <c r="DD188" t="s">
        <v>3</v>
      </c>
      <c r="DE188" t="s">
        <v>3</v>
      </c>
      <c r="DF188">
        <f t="shared" si="42"/>
        <v>16.48</v>
      </c>
      <c r="DG188">
        <f t="shared" si="41"/>
        <v>0</v>
      </c>
      <c r="DH188">
        <f t="shared" si="40"/>
        <v>0</v>
      </c>
      <c r="DI188">
        <f t="shared" si="30"/>
        <v>0</v>
      </c>
      <c r="DJ188">
        <f t="shared" si="49"/>
        <v>16.48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5">
      <c r="A189">
        <f>ROW(Source!A160)</f>
        <v>160</v>
      </c>
      <c r="B189">
        <v>55936046</v>
      </c>
      <c r="C189">
        <v>55936383</v>
      </c>
      <c r="D189">
        <v>55469271</v>
      </c>
      <c r="E189">
        <v>1</v>
      </c>
      <c r="F189">
        <v>1</v>
      </c>
      <c r="G189">
        <v>1081</v>
      </c>
      <c r="H189">
        <v>3</v>
      </c>
      <c r="I189" t="s">
        <v>313</v>
      </c>
      <c r="J189" t="s">
        <v>314</v>
      </c>
      <c r="K189" t="s">
        <v>315</v>
      </c>
      <c r="L189">
        <v>1354</v>
      </c>
      <c r="N189">
        <v>1010</v>
      </c>
      <c r="O189" t="s">
        <v>159</v>
      </c>
      <c r="P189" t="s">
        <v>159</v>
      </c>
      <c r="Q189">
        <v>1</v>
      </c>
      <c r="W189">
        <v>0</v>
      </c>
      <c r="X189">
        <v>1339646332</v>
      </c>
      <c r="Y189">
        <f t="shared" si="43"/>
        <v>0.161</v>
      </c>
      <c r="AA189">
        <v>14.56</v>
      </c>
      <c r="AB189">
        <v>0</v>
      </c>
      <c r="AC189">
        <v>0</v>
      </c>
      <c r="AD189">
        <v>0</v>
      </c>
      <c r="AE189">
        <v>14.56</v>
      </c>
      <c r="AF189">
        <v>0</v>
      </c>
      <c r="AG189">
        <v>0</v>
      </c>
      <c r="AH189">
        <v>0</v>
      </c>
      <c r="AI189">
        <v>1</v>
      </c>
      <c r="AJ189">
        <v>1</v>
      </c>
      <c r="AK189">
        <v>1</v>
      </c>
      <c r="AL189">
        <v>1</v>
      </c>
      <c r="AM189">
        <v>-2</v>
      </c>
      <c r="AN189">
        <v>0</v>
      </c>
      <c r="AO189">
        <v>1</v>
      </c>
      <c r="AP189">
        <v>1</v>
      </c>
      <c r="AQ189">
        <v>0</v>
      </c>
      <c r="AR189">
        <v>0</v>
      </c>
      <c r="AS189" t="s">
        <v>3</v>
      </c>
      <c r="AT189">
        <v>0.161</v>
      </c>
      <c r="AU189" t="s">
        <v>62</v>
      </c>
      <c r="AV189">
        <v>0</v>
      </c>
      <c r="AW189">
        <v>2</v>
      </c>
      <c r="AX189">
        <v>55936391</v>
      </c>
      <c r="AY189">
        <v>1</v>
      </c>
      <c r="AZ189">
        <v>0</v>
      </c>
      <c r="BA189">
        <v>214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V189">
        <v>0</v>
      </c>
      <c r="CW189">
        <v>0</v>
      </c>
      <c r="CX189">
        <f>ROUND(Y189*Source!I160,9)</f>
        <v>0.58443000000000001</v>
      </c>
      <c r="CY189">
        <f t="shared" si="44"/>
        <v>14.56</v>
      </c>
      <c r="CZ189">
        <f t="shared" si="45"/>
        <v>14.56</v>
      </c>
      <c r="DA189">
        <f t="shared" si="46"/>
        <v>1</v>
      </c>
      <c r="DB189">
        <f t="shared" si="47"/>
        <v>2.34</v>
      </c>
      <c r="DC189">
        <f t="shared" si="48"/>
        <v>0</v>
      </c>
      <c r="DD189" t="s">
        <v>3</v>
      </c>
      <c r="DE189" t="s">
        <v>3</v>
      </c>
      <c r="DF189">
        <f t="shared" si="42"/>
        <v>8.51</v>
      </c>
      <c r="DG189">
        <f t="shared" si="41"/>
        <v>0</v>
      </c>
      <c r="DH189">
        <f t="shared" si="40"/>
        <v>0</v>
      </c>
      <c r="DI189">
        <f t="shared" si="30"/>
        <v>0</v>
      </c>
      <c r="DJ189">
        <f t="shared" si="49"/>
        <v>8.51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5">
      <c r="A190">
        <f>ROW(Source!A160)</f>
        <v>160</v>
      </c>
      <c r="B190">
        <v>55936046</v>
      </c>
      <c r="C190">
        <v>55936383</v>
      </c>
      <c r="D190">
        <v>0</v>
      </c>
      <c r="E190">
        <v>0</v>
      </c>
      <c r="F190">
        <v>1</v>
      </c>
      <c r="G190">
        <v>1081</v>
      </c>
      <c r="H190">
        <v>3</v>
      </c>
      <c r="I190" t="s">
        <v>325</v>
      </c>
      <c r="J190" t="s">
        <v>325</v>
      </c>
      <c r="K190" t="s">
        <v>196</v>
      </c>
      <c r="L190">
        <v>1301</v>
      </c>
      <c r="N190">
        <v>1003</v>
      </c>
      <c r="O190" t="s">
        <v>197</v>
      </c>
      <c r="P190" t="s">
        <v>197</v>
      </c>
      <c r="Q190">
        <v>1</v>
      </c>
      <c r="W190">
        <v>0</v>
      </c>
      <c r="X190">
        <v>-918756995</v>
      </c>
      <c r="Y190">
        <f t="shared" si="43"/>
        <v>102</v>
      </c>
      <c r="AA190">
        <v>11.3</v>
      </c>
      <c r="AB190">
        <v>0</v>
      </c>
      <c r="AC190">
        <v>0</v>
      </c>
      <c r="AD190">
        <v>0</v>
      </c>
      <c r="AE190">
        <v>11.3</v>
      </c>
      <c r="AF190">
        <v>0</v>
      </c>
      <c r="AG190">
        <v>0</v>
      </c>
      <c r="AH190">
        <v>0</v>
      </c>
      <c r="AI190">
        <v>1</v>
      </c>
      <c r="AJ190">
        <v>1</v>
      </c>
      <c r="AK190">
        <v>1</v>
      </c>
      <c r="AL190">
        <v>1</v>
      </c>
      <c r="AM190">
        <v>0</v>
      </c>
      <c r="AN190">
        <v>0</v>
      </c>
      <c r="AO190">
        <v>0</v>
      </c>
      <c r="AP190">
        <v>1</v>
      </c>
      <c r="AQ190">
        <v>0</v>
      </c>
      <c r="AR190">
        <v>0</v>
      </c>
      <c r="AS190" t="s">
        <v>3</v>
      </c>
      <c r="AT190">
        <v>102</v>
      </c>
      <c r="AU190" t="s">
        <v>62</v>
      </c>
      <c r="AV190">
        <v>0</v>
      </c>
      <c r="AW190">
        <v>1</v>
      </c>
      <c r="AX190">
        <v>-1</v>
      </c>
      <c r="AY190">
        <v>0</v>
      </c>
      <c r="AZ190">
        <v>0</v>
      </c>
      <c r="BA190" t="s">
        <v>3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v>0</v>
      </c>
      <c r="CX190">
        <f>ROUND(Y190*Source!I160,9)</f>
        <v>370.26</v>
      </c>
      <c r="CY190">
        <f t="shared" si="44"/>
        <v>11.3</v>
      </c>
      <c r="CZ190">
        <f t="shared" si="45"/>
        <v>11.3</v>
      </c>
      <c r="DA190">
        <f t="shared" si="46"/>
        <v>1</v>
      </c>
      <c r="DB190">
        <f t="shared" si="47"/>
        <v>1152.5999999999999</v>
      </c>
      <c r="DC190">
        <f t="shared" si="48"/>
        <v>0</v>
      </c>
      <c r="DD190" t="s">
        <v>3</v>
      </c>
      <c r="DE190" t="s">
        <v>3</v>
      </c>
      <c r="DF190">
        <f t="shared" si="42"/>
        <v>4183.9399999999996</v>
      </c>
      <c r="DG190">
        <f t="shared" si="41"/>
        <v>0</v>
      </c>
      <c r="DH190">
        <f t="shared" si="40"/>
        <v>0</v>
      </c>
      <c r="DI190">
        <f t="shared" si="30"/>
        <v>0</v>
      </c>
      <c r="DJ190">
        <f t="shared" si="49"/>
        <v>4183.9399999999996</v>
      </c>
      <c r="DK190">
        <v>0</v>
      </c>
      <c r="DL190" t="s">
        <v>3</v>
      </c>
      <c r="DM190">
        <v>0</v>
      </c>
      <c r="DN190" t="s">
        <v>3</v>
      </c>
      <c r="DO190">
        <v>0</v>
      </c>
    </row>
    <row r="191" spans="1:119" x14ac:dyDescent="0.25">
      <c r="A191">
        <f>ROW(Source!A161)</f>
        <v>161</v>
      </c>
      <c r="B191">
        <v>55936048</v>
      </c>
      <c r="C191">
        <v>55936383</v>
      </c>
      <c r="D191">
        <v>55424304</v>
      </c>
      <c r="E191">
        <v>1081</v>
      </c>
      <c r="F191">
        <v>1</v>
      </c>
      <c r="G191">
        <v>1081</v>
      </c>
      <c r="H191">
        <v>1</v>
      </c>
      <c r="I191" t="s">
        <v>262</v>
      </c>
      <c r="J191" t="s">
        <v>3</v>
      </c>
      <c r="K191" t="s">
        <v>263</v>
      </c>
      <c r="L191">
        <v>1191</v>
      </c>
      <c r="N191">
        <v>1013</v>
      </c>
      <c r="O191" t="s">
        <v>264</v>
      </c>
      <c r="P191" t="s">
        <v>264</v>
      </c>
      <c r="Q191">
        <v>1</v>
      </c>
      <c r="W191">
        <v>0</v>
      </c>
      <c r="X191">
        <v>476480486</v>
      </c>
      <c r="Y191">
        <f>(AT191*1.2)</f>
        <v>19.920000000000002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1</v>
      </c>
      <c r="AK191">
        <v>1</v>
      </c>
      <c r="AL191">
        <v>1</v>
      </c>
      <c r="AM191">
        <v>5</v>
      </c>
      <c r="AN191">
        <v>0</v>
      </c>
      <c r="AO191">
        <v>1</v>
      </c>
      <c r="AP191">
        <v>1</v>
      </c>
      <c r="AQ191">
        <v>0</v>
      </c>
      <c r="AR191">
        <v>0</v>
      </c>
      <c r="AS191" t="s">
        <v>3</v>
      </c>
      <c r="AT191">
        <v>16.600000000000001</v>
      </c>
      <c r="AU191" t="s">
        <v>63</v>
      </c>
      <c r="AV191">
        <v>1</v>
      </c>
      <c r="AW191">
        <v>2</v>
      </c>
      <c r="AX191">
        <v>55936384</v>
      </c>
      <c r="AY191">
        <v>1</v>
      </c>
      <c r="AZ191">
        <v>0</v>
      </c>
      <c r="BA191">
        <v>218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U191">
        <f>ROUND(AT191*Source!I161*AH191*AL191,2)</f>
        <v>0</v>
      </c>
      <c r="CV191">
        <f>ROUND(Y191*Source!I161,9)</f>
        <v>72.309600000000003</v>
      </c>
      <c r="CW191">
        <v>0</v>
      </c>
      <c r="CX191">
        <f>ROUND(Y191*Source!I161,9)</f>
        <v>72.309600000000003</v>
      </c>
      <c r="CY191">
        <f>AD191</f>
        <v>0</v>
      </c>
      <c r="CZ191">
        <f>AH191</f>
        <v>0</v>
      </c>
      <c r="DA191">
        <f>AL191</f>
        <v>1</v>
      </c>
      <c r="DB191">
        <f>ROUND((ROUND(AT191*CZ191,2)*1.2),6)</f>
        <v>0</v>
      </c>
      <c r="DC191">
        <f>ROUND((ROUND(AT191*AG191,2)*1.2),6)</f>
        <v>0</v>
      </c>
      <c r="DD191" t="s">
        <v>3</v>
      </c>
      <c r="DE191" t="s">
        <v>3</v>
      </c>
      <c r="DF191">
        <f t="shared" si="42"/>
        <v>0</v>
      </c>
      <c r="DG191">
        <f t="shared" si="41"/>
        <v>0</v>
      </c>
      <c r="DH191">
        <f t="shared" si="40"/>
        <v>0</v>
      </c>
      <c r="DI191">
        <f t="shared" si="30"/>
        <v>0</v>
      </c>
      <c r="DJ191">
        <f>DI191</f>
        <v>0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5">
      <c r="A192">
        <f>ROW(Source!A161)</f>
        <v>161</v>
      </c>
      <c r="B192">
        <v>55936048</v>
      </c>
      <c r="C192">
        <v>55936383</v>
      </c>
      <c r="D192">
        <v>55490263</v>
      </c>
      <c r="E192">
        <v>1</v>
      </c>
      <c r="F192">
        <v>1</v>
      </c>
      <c r="G192">
        <v>1081</v>
      </c>
      <c r="H192">
        <v>2</v>
      </c>
      <c r="I192" t="s">
        <v>297</v>
      </c>
      <c r="J192" t="s">
        <v>298</v>
      </c>
      <c r="K192" t="s">
        <v>299</v>
      </c>
      <c r="L192">
        <v>1368</v>
      </c>
      <c r="N192">
        <v>1011</v>
      </c>
      <c r="O192" t="s">
        <v>268</v>
      </c>
      <c r="P192" t="s">
        <v>268</v>
      </c>
      <c r="Q192">
        <v>1</v>
      </c>
      <c r="W192">
        <v>0</v>
      </c>
      <c r="X192">
        <v>-1895752648</v>
      </c>
      <c r="Y192">
        <f>(AT192*1.2)</f>
        <v>1.38</v>
      </c>
      <c r="AA192">
        <v>0</v>
      </c>
      <c r="AB192">
        <v>7.71</v>
      </c>
      <c r="AC192">
        <v>0</v>
      </c>
      <c r="AD192">
        <v>0</v>
      </c>
      <c r="AE192">
        <v>0</v>
      </c>
      <c r="AF192">
        <v>0.77</v>
      </c>
      <c r="AG192">
        <v>0</v>
      </c>
      <c r="AH192">
        <v>0</v>
      </c>
      <c r="AI192">
        <v>1</v>
      </c>
      <c r="AJ192">
        <v>9.56</v>
      </c>
      <c r="AK192">
        <v>1</v>
      </c>
      <c r="AL192">
        <v>1</v>
      </c>
      <c r="AM192">
        <v>2</v>
      </c>
      <c r="AN192">
        <v>0</v>
      </c>
      <c r="AO192">
        <v>1</v>
      </c>
      <c r="AP192">
        <v>1</v>
      </c>
      <c r="AQ192">
        <v>0</v>
      </c>
      <c r="AR192">
        <v>0</v>
      </c>
      <c r="AS192" t="s">
        <v>3</v>
      </c>
      <c r="AT192">
        <v>1.1499999999999999</v>
      </c>
      <c r="AU192" t="s">
        <v>63</v>
      </c>
      <c r="AV192">
        <v>0</v>
      </c>
      <c r="AW192">
        <v>2</v>
      </c>
      <c r="AX192">
        <v>55936385</v>
      </c>
      <c r="AY192">
        <v>1</v>
      </c>
      <c r="AZ192">
        <v>0</v>
      </c>
      <c r="BA192">
        <v>219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f>ROUND(Y192*Source!I161*DO192,9)</f>
        <v>0</v>
      </c>
      <c r="CX192">
        <f>ROUND(Y192*Source!I161,9)</f>
        <v>5.0094000000000003</v>
      </c>
      <c r="CY192">
        <f>AB192</f>
        <v>7.71</v>
      </c>
      <c r="CZ192">
        <f>AF192</f>
        <v>0.77</v>
      </c>
      <c r="DA192">
        <f>AJ192</f>
        <v>9.56</v>
      </c>
      <c r="DB192">
        <f>ROUND((ROUND(AT192*CZ192,2)*1.2),6)</f>
        <v>1.0680000000000001</v>
      </c>
      <c r="DC192">
        <f>ROUND((ROUND(AT192*AG192,2)*1.2),6)</f>
        <v>0</v>
      </c>
      <c r="DD192" t="s">
        <v>3</v>
      </c>
      <c r="DE192" t="s">
        <v>3</v>
      </c>
      <c r="DF192">
        <f t="shared" si="42"/>
        <v>0</v>
      </c>
      <c r="DG192">
        <f>ROUND(ROUND(AF192*AJ192,2)*CX192,2)</f>
        <v>36.869999999999997</v>
      </c>
      <c r="DH192">
        <f t="shared" si="40"/>
        <v>0</v>
      </c>
      <c r="DI192">
        <f t="shared" si="30"/>
        <v>0</v>
      </c>
      <c r="DJ192">
        <f>DG192</f>
        <v>36.869999999999997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5">
      <c r="A193">
        <f>ROW(Source!A161)</f>
        <v>161</v>
      </c>
      <c r="B193">
        <v>55936048</v>
      </c>
      <c r="C193">
        <v>55936383</v>
      </c>
      <c r="D193">
        <v>55490296</v>
      </c>
      <c r="E193">
        <v>1</v>
      </c>
      <c r="F193">
        <v>1</v>
      </c>
      <c r="G193">
        <v>1081</v>
      </c>
      <c r="H193">
        <v>2</v>
      </c>
      <c r="I193" t="s">
        <v>270</v>
      </c>
      <c r="J193" t="s">
        <v>271</v>
      </c>
      <c r="K193" t="s">
        <v>272</v>
      </c>
      <c r="L193">
        <v>1368</v>
      </c>
      <c r="N193">
        <v>1011</v>
      </c>
      <c r="O193" t="s">
        <v>268</v>
      </c>
      <c r="P193" t="s">
        <v>268</v>
      </c>
      <c r="Q193">
        <v>1</v>
      </c>
      <c r="W193">
        <v>0</v>
      </c>
      <c r="X193">
        <v>-643591644</v>
      </c>
      <c r="Y193">
        <f>(AT193*1.2)</f>
        <v>2.16</v>
      </c>
      <c r="AA193">
        <v>0</v>
      </c>
      <c r="AB193">
        <v>4.75</v>
      </c>
      <c r="AC193">
        <v>0</v>
      </c>
      <c r="AD193">
        <v>0</v>
      </c>
      <c r="AE193">
        <v>0</v>
      </c>
      <c r="AF193">
        <v>0.47</v>
      </c>
      <c r="AG193">
        <v>0</v>
      </c>
      <c r="AH193">
        <v>0</v>
      </c>
      <c r="AI193">
        <v>1</v>
      </c>
      <c r="AJ193">
        <v>9.66</v>
      </c>
      <c r="AK193">
        <v>1</v>
      </c>
      <c r="AL193">
        <v>1</v>
      </c>
      <c r="AM193">
        <v>2</v>
      </c>
      <c r="AN193">
        <v>0</v>
      </c>
      <c r="AO193">
        <v>1</v>
      </c>
      <c r="AP193">
        <v>1</v>
      </c>
      <c r="AQ193">
        <v>0</v>
      </c>
      <c r="AR193">
        <v>0</v>
      </c>
      <c r="AS193" t="s">
        <v>3</v>
      </c>
      <c r="AT193">
        <v>1.8</v>
      </c>
      <c r="AU193" t="s">
        <v>63</v>
      </c>
      <c r="AV193">
        <v>0</v>
      </c>
      <c r="AW193">
        <v>2</v>
      </c>
      <c r="AX193">
        <v>55936386</v>
      </c>
      <c r="AY193">
        <v>1</v>
      </c>
      <c r="AZ193">
        <v>0</v>
      </c>
      <c r="BA193">
        <v>220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V193">
        <v>0</v>
      </c>
      <c r="CW193">
        <f>ROUND(Y193*Source!I161*DO193,9)</f>
        <v>0</v>
      </c>
      <c r="CX193">
        <f>ROUND(Y193*Source!I161,9)</f>
        <v>7.8407999999999998</v>
      </c>
      <c r="CY193">
        <f>AB193</f>
        <v>4.75</v>
      </c>
      <c r="CZ193">
        <f>AF193</f>
        <v>0.47</v>
      </c>
      <c r="DA193">
        <f>AJ193</f>
        <v>9.66</v>
      </c>
      <c r="DB193">
        <f>ROUND((ROUND(AT193*CZ193,2)*1.2),6)</f>
        <v>1.02</v>
      </c>
      <c r="DC193">
        <f>ROUND((ROUND(AT193*AG193,2)*1.2),6)</f>
        <v>0</v>
      </c>
      <c r="DD193" t="s">
        <v>3</v>
      </c>
      <c r="DE193" t="s">
        <v>3</v>
      </c>
      <c r="DF193">
        <f t="shared" si="42"/>
        <v>0</v>
      </c>
      <c r="DG193">
        <f>ROUND(ROUND(AF193*AJ193,2)*CX193,2)</f>
        <v>35.6</v>
      </c>
      <c r="DH193">
        <f t="shared" si="40"/>
        <v>0</v>
      </c>
      <c r="DI193">
        <f t="shared" ref="DI193:DI212" si="50">ROUND(ROUND(AH193,2)*CX193,2)</f>
        <v>0</v>
      </c>
      <c r="DJ193">
        <f>DG193</f>
        <v>35.6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5">
      <c r="A194">
        <f>ROW(Source!A161)</f>
        <v>161</v>
      </c>
      <c r="B194">
        <v>55936048</v>
      </c>
      <c r="C194">
        <v>55936383</v>
      </c>
      <c r="D194">
        <v>55460960</v>
      </c>
      <c r="E194">
        <v>1</v>
      </c>
      <c r="F194">
        <v>1</v>
      </c>
      <c r="G194">
        <v>1081</v>
      </c>
      <c r="H194">
        <v>3</v>
      </c>
      <c r="I194" t="s">
        <v>300</v>
      </c>
      <c r="J194" t="s">
        <v>301</v>
      </c>
      <c r="K194" t="s">
        <v>302</v>
      </c>
      <c r="L194">
        <v>1348</v>
      </c>
      <c r="N194">
        <v>1009</v>
      </c>
      <c r="O194" t="s">
        <v>223</v>
      </c>
      <c r="P194" t="s">
        <v>223</v>
      </c>
      <c r="Q194">
        <v>1000</v>
      </c>
      <c r="W194">
        <v>0</v>
      </c>
      <c r="X194">
        <v>-260579272</v>
      </c>
      <c r="Y194">
        <f t="shared" ref="Y194:Y200" si="51">(AT194*1)</f>
        <v>1E-3</v>
      </c>
      <c r="AA194">
        <v>136220.14000000001</v>
      </c>
      <c r="AB194">
        <v>0</v>
      </c>
      <c r="AC194">
        <v>0</v>
      </c>
      <c r="AD194">
        <v>0</v>
      </c>
      <c r="AE194">
        <v>58463.58</v>
      </c>
      <c r="AF194">
        <v>0</v>
      </c>
      <c r="AG194">
        <v>0</v>
      </c>
      <c r="AH194">
        <v>0</v>
      </c>
      <c r="AI194">
        <v>2.33</v>
      </c>
      <c r="AJ194">
        <v>1</v>
      </c>
      <c r="AK194">
        <v>1</v>
      </c>
      <c r="AL194">
        <v>1</v>
      </c>
      <c r="AM194">
        <v>2</v>
      </c>
      <c r="AN194">
        <v>0</v>
      </c>
      <c r="AO194">
        <v>1</v>
      </c>
      <c r="AP194">
        <v>1</v>
      </c>
      <c r="AQ194">
        <v>0</v>
      </c>
      <c r="AR194">
        <v>0</v>
      </c>
      <c r="AS194" t="s">
        <v>3</v>
      </c>
      <c r="AT194">
        <v>1E-3</v>
      </c>
      <c r="AU194" t="s">
        <v>62</v>
      </c>
      <c r="AV194">
        <v>0</v>
      </c>
      <c r="AW194">
        <v>2</v>
      </c>
      <c r="AX194">
        <v>55936387</v>
      </c>
      <c r="AY194">
        <v>1</v>
      </c>
      <c r="AZ194">
        <v>0</v>
      </c>
      <c r="BA194">
        <v>221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v>0</v>
      </c>
      <c r="CX194">
        <f>ROUND(Y194*Source!I161,9)</f>
        <v>3.63E-3</v>
      </c>
      <c r="CY194">
        <f t="shared" ref="CY194:CY200" si="52">AA194</f>
        <v>136220.14000000001</v>
      </c>
      <c r="CZ194">
        <f t="shared" ref="CZ194:CZ200" si="53">AE194</f>
        <v>58463.58</v>
      </c>
      <c r="DA194">
        <f t="shared" ref="DA194:DA200" si="54">AI194</f>
        <v>2.33</v>
      </c>
      <c r="DB194">
        <f t="shared" ref="DB194:DB200" si="55">ROUND((ROUND(AT194*CZ194,2)*1),6)</f>
        <v>58.46</v>
      </c>
      <c r="DC194">
        <f t="shared" ref="DC194:DC200" si="56">ROUND((ROUND(AT194*AG194,2)*1),6)</f>
        <v>0</v>
      </c>
      <c r="DD194" t="s">
        <v>3</v>
      </c>
      <c r="DE194" t="s">
        <v>3</v>
      </c>
      <c r="DF194">
        <f t="shared" ref="DF194:DF200" si="57">ROUND(ROUND(AE194*AI194,2)*CX194,2)</f>
        <v>494.48</v>
      </c>
      <c r="DG194">
        <f t="shared" ref="DG194:DG208" si="58">ROUND(ROUND(AF194,2)*CX194,2)</f>
        <v>0</v>
      </c>
      <c r="DH194">
        <f t="shared" si="40"/>
        <v>0</v>
      </c>
      <c r="DI194">
        <f t="shared" si="50"/>
        <v>0</v>
      </c>
      <c r="DJ194">
        <f t="shared" ref="DJ194:DJ200" si="59">DF194</f>
        <v>494.48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5">
      <c r="A195">
        <f>ROW(Source!A161)</f>
        <v>161</v>
      </c>
      <c r="B195">
        <v>55936048</v>
      </c>
      <c r="C195">
        <v>55936383</v>
      </c>
      <c r="D195">
        <v>55461791</v>
      </c>
      <c r="E195">
        <v>1</v>
      </c>
      <c r="F195">
        <v>1</v>
      </c>
      <c r="G195">
        <v>1081</v>
      </c>
      <c r="H195">
        <v>3</v>
      </c>
      <c r="I195" t="s">
        <v>303</v>
      </c>
      <c r="J195" t="s">
        <v>304</v>
      </c>
      <c r="K195" t="s">
        <v>305</v>
      </c>
      <c r="L195">
        <v>1355</v>
      </c>
      <c r="N195">
        <v>1010</v>
      </c>
      <c r="O195" t="s">
        <v>205</v>
      </c>
      <c r="P195" t="s">
        <v>205</v>
      </c>
      <c r="Q195">
        <v>100</v>
      </c>
      <c r="W195">
        <v>0</v>
      </c>
      <c r="X195">
        <v>-429645653</v>
      </c>
      <c r="Y195">
        <f t="shared" si="51"/>
        <v>2.1419999999999999</v>
      </c>
      <c r="AA195">
        <v>16.43</v>
      </c>
      <c r="AB195">
        <v>0</v>
      </c>
      <c r="AC195">
        <v>0</v>
      </c>
      <c r="AD195">
        <v>0</v>
      </c>
      <c r="AE195">
        <v>10.6</v>
      </c>
      <c r="AF195">
        <v>0</v>
      </c>
      <c r="AG195">
        <v>0</v>
      </c>
      <c r="AH195">
        <v>0</v>
      </c>
      <c r="AI195">
        <v>1.55</v>
      </c>
      <c r="AJ195">
        <v>1</v>
      </c>
      <c r="AK195">
        <v>1</v>
      </c>
      <c r="AL195">
        <v>1</v>
      </c>
      <c r="AM195">
        <v>2</v>
      </c>
      <c r="AN195">
        <v>0</v>
      </c>
      <c r="AO195">
        <v>1</v>
      </c>
      <c r="AP195">
        <v>1</v>
      </c>
      <c r="AQ195">
        <v>0</v>
      </c>
      <c r="AR195">
        <v>0</v>
      </c>
      <c r="AS195" t="s">
        <v>3</v>
      </c>
      <c r="AT195">
        <v>2.1419999999999999</v>
      </c>
      <c r="AU195" t="s">
        <v>62</v>
      </c>
      <c r="AV195">
        <v>0</v>
      </c>
      <c r="AW195">
        <v>2</v>
      </c>
      <c r="AX195">
        <v>55936388</v>
      </c>
      <c r="AY195">
        <v>1</v>
      </c>
      <c r="AZ195">
        <v>0</v>
      </c>
      <c r="BA195">
        <v>222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V195">
        <v>0</v>
      </c>
      <c r="CW195">
        <v>0</v>
      </c>
      <c r="CX195">
        <f>ROUND(Y195*Source!I161,9)</f>
        <v>7.7754599999999998</v>
      </c>
      <c r="CY195">
        <f t="shared" si="52"/>
        <v>16.43</v>
      </c>
      <c r="CZ195">
        <f t="shared" si="53"/>
        <v>10.6</v>
      </c>
      <c r="DA195">
        <f t="shared" si="54"/>
        <v>1.55</v>
      </c>
      <c r="DB195">
        <f t="shared" si="55"/>
        <v>22.71</v>
      </c>
      <c r="DC195">
        <f t="shared" si="56"/>
        <v>0</v>
      </c>
      <c r="DD195" t="s">
        <v>3</v>
      </c>
      <c r="DE195" t="s">
        <v>3</v>
      </c>
      <c r="DF195">
        <f t="shared" si="57"/>
        <v>127.75</v>
      </c>
      <c r="DG195">
        <f t="shared" si="58"/>
        <v>0</v>
      </c>
      <c r="DH195">
        <f t="shared" si="40"/>
        <v>0</v>
      </c>
      <c r="DI195">
        <f t="shared" si="50"/>
        <v>0</v>
      </c>
      <c r="DJ195">
        <f t="shared" si="59"/>
        <v>127.75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5">
      <c r="A196">
        <f>ROW(Source!A161)</f>
        <v>161</v>
      </c>
      <c r="B196">
        <v>55936048</v>
      </c>
      <c r="C196">
        <v>55936383</v>
      </c>
      <c r="D196">
        <v>55482161</v>
      </c>
      <c r="E196">
        <v>1</v>
      </c>
      <c r="F196">
        <v>1</v>
      </c>
      <c r="G196">
        <v>1081</v>
      </c>
      <c r="H196">
        <v>3</v>
      </c>
      <c r="I196" t="s">
        <v>203</v>
      </c>
      <c r="J196" t="s">
        <v>206</v>
      </c>
      <c r="K196" t="s">
        <v>204</v>
      </c>
      <c r="L196">
        <v>1355</v>
      </c>
      <c r="N196">
        <v>1010</v>
      </c>
      <c r="O196" t="s">
        <v>205</v>
      </c>
      <c r="P196" t="s">
        <v>205</v>
      </c>
      <c r="Q196">
        <v>100</v>
      </c>
      <c r="W196">
        <v>0</v>
      </c>
      <c r="X196">
        <v>289520784</v>
      </c>
      <c r="Y196">
        <f t="shared" si="51"/>
        <v>2.1640000000000001</v>
      </c>
      <c r="AA196">
        <v>255.59</v>
      </c>
      <c r="AB196">
        <v>0</v>
      </c>
      <c r="AC196">
        <v>0</v>
      </c>
      <c r="AD196">
        <v>0</v>
      </c>
      <c r="AE196">
        <v>146.88999999999999</v>
      </c>
      <c r="AF196">
        <v>0</v>
      </c>
      <c r="AG196">
        <v>0</v>
      </c>
      <c r="AH196">
        <v>0</v>
      </c>
      <c r="AI196">
        <v>1.74</v>
      </c>
      <c r="AJ196">
        <v>1</v>
      </c>
      <c r="AK196">
        <v>1</v>
      </c>
      <c r="AL196">
        <v>1</v>
      </c>
      <c r="AM196">
        <v>0</v>
      </c>
      <c r="AN196">
        <v>0</v>
      </c>
      <c r="AO196">
        <v>0</v>
      </c>
      <c r="AP196">
        <v>1</v>
      </c>
      <c r="AQ196">
        <v>0</v>
      </c>
      <c r="AR196">
        <v>0</v>
      </c>
      <c r="AS196" t="s">
        <v>3</v>
      </c>
      <c r="AT196">
        <v>2.1640000000000001</v>
      </c>
      <c r="AU196" t="s">
        <v>62</v>
      </c>
      <c r="AV196">
        <v>0</v>
      </c>
      <c r="AW196">
        <v>1</v>
      </c>
      <c r="AX196">
        <v>-1</v>
      </c>
      <c r="AY196">
        <v>0</v>
      </c>
      <c r="AZ196">
        <v>0</v>
      </c>
      <c r="BA196" t="s">
        <v>3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v>0</v>
      </c>
      <c r="CX196">
        <f>ROUND(Y196*Source!I161,9)</f>
        <v>7.8553199999999999</v>
      </c>
      <c r="CY196">
        <f t="shared" si="52"/>
        <v>255.59</v>
      </c>
      <c r="CZ196">
        <f t="shared" si="53"/>
        <v>146.88999999999999</v>
      </c>
      <c r="DA196">
        <f t="shared" si="54"/>
        <v>1.74</v>
      </c>
      <c r="DB196">
        <f t="shared" si="55"/>
        <v>317.87</v>
      </c>
      <c r="DC196">
        <f t="shared" si="56"/>
        <v>0</v>
      </c>
      <c r="DD196" t="s">
        <v>3</v>
      </c>
      <c r="DE196" t="s">
        <v>3</v>
      </c>
      <c r="DF196">
        <f t="shared" si="57"/>
        <v>2007.74</v>
      </c>
      <c r="DG196">
        <f t="shared" si="58"/>
        <v>0</v>
      </c>
      <c r="DH196">
        <f t="shared" si="40"/>
        <v>0</v>
      </c>
      <c r="DI196">
        <f t="shared" si="50"/>
        <v>0</v>
      </c>
      <c r="DJ196">
        <f t="shared" si="59"/>
        <v>2007.74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5">
      <c r="A197">
        <f>ROW(Source!A161)</f>
        <v>161</v>
      </c>
      <c r="B197">
        <v>55936048</v>
      </c>
      <c r="C197">
        <v>55936383</v>
      </c>
      <c r="D197">
        <v>55482203</v>
      </c>
      <c r="E197">
        <v>1</v>
      </c>
      <c r="F197">
        <v>1</v>
      </c>
      <c r="G197">
        <v>1081</v>
      </c>
      <c r="H197">
        <v>3</v>
      </c>
      <c r="I197" t="s">
        <v>306</v>
      </c>
      <c r="J197" t="s">
        <v>307</v>
      </c>
      <c r="K197" t="s">
        <v>308</v>
      </c>
      <c r="L197">
        <v>1356</v>
      </c>
      <c r="N197">
        <v>1010</v>
      </c>
      <c r="O197" t="s">
        <v>309</v>
      </c>
      <c r="P197" t="s">
        <v>309</v>
      </c>
      <c r="Q197">
        <v>1000</v>
      </c>
      <c r="W197">
        <v>0</v>
      </c>
      <c r="X197">
        <v>474149623</v>
      </c>
      <c r="Y197">
        <f t="shared" si="51"/>
        <v>1.7000000000000001E-2</v>
      </c>
      <c r="AA197">
        <v>1527.69</v>
      </c>
      <c r="AB197">
        <v>0</v>
      </c>
      <c r="AC197">
        <v>0</v>
      </c>
      <c r="AD197">
        <v>0</v>
      </c>
      <c r="AE197">
        <v>226.66</v>
      </c>
      <c r="AF197">
        <v>0</v>
      </c>
      <c r="AG197">
        <v>0</v>
      </c>
      <c r="AH197">
        <v>0</v>
      </c>
      <c r="AI197">
        <v>6.74</v>
      </c>
      <c r="AJ197">
        <v>1</v>
      </c>
      <c r="AK197">
        <v>1</v>
      </c>
      <c r="AL197">
        <v>1</v>
      </c>
      <c r="AM197">
        <v>2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1.7000000000000001E-2</v>
      </c>
      <c r="AU197" t="s">
        <v>62</v>
      </c>
      <c r="AV197">
        <v>0</v>
      </c>
      <c r="AW197">
        <v>2</v>
      </c>
      <c r="AX197">
        <v>55936389</v>
      </c>
      <c r="AY197">
        <v>1</v>
      </c>
      <c r="AZ197">
        <v>0</v>
      </c>
      <c r="BA197">
        <v>223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V197">
        <v>0</v>
      </c>
      <c r="CW197">
        <v>0</v>
      </c>
      <c r="CX197">
        <f>ROUND(Y197*Source!I161,9)</f>
        <v>6.1710000000000001E-2</v>
      </c>
      <c r="CY197">
        <f t="shared" si="52"/>
        <v>1527.69</v>
      </c>
      <c r="CZ197">
        <f t="shared" si="53"/>
        <v>226.66</v>
      </c>
      <c r="DA197">
        <f t="shared" si="54"/>
        <v>6.74</v>
      </c>
      <c r="DB197">
        <f t="shared" si="55"/>
        <v>3.85</v>
      </c>
      <c r="DC197">
        <f t="shared" si="56"/>
        <v>0</v>
      </c>
      <c r="DD197" t="s">
        <v>3</v>
      </c>
      <c r="DE197" t="s">
        <v>3</v>
      </c>
      <c r="DF197">
        <f t="shared" si="57"/>
        <v>94.27</v>
      </c>
      <c r="DG197">
        <f t="shared" si="58"/>
        <v>0</v>
      </c>
      <c r="DH197">
        <f t="shared" si="40"/>
        <v>0</v>
      </c>
      <c r="DI197">
        <f t="shared" si="50"/>
        <v>0</v>
      </c>
      <c r="DJ197">
        <f t="shared" si="59"/>
        <v>94.27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5">
      <c r="A198">
        <f>ROW(Source!A161)</f>
        <v>161</v>
      </c>
      <c r="B198">
        <v>55936048</v>
      </c>
      <c r="C198">
        <v>55936383</v>
      </c>
      <c r="D198">
        <v>55481977</v>
      </c>
      <c r="E198">
        <v>1</v>
      </c>
      <c r="F198">
        <v>1</v>
      </c>
      <c r="G198">
        <v>1081</v>
      </c>
      <c r="H198">
        <v>3</v>
      </c>
      <c r="I198" t="s">
        <v>310</v>
      </c>
      <c r="J198" t="s">
        <v>311</v>
      </c>
      <c r="K198" t="s">
        <v>312</v>
      </c>
      <c r="L198">
        <v>1355</v>
      </c>
      <c r="N198">
        <v>1010</v>
      </c>
      <c r="O198" t="s">
        <v>205</v>
      </c>
      <c r="P198" t="s">
        <v>205</v>
      </c>
      <c r="Q198">
        <v>100</v>
      </c>
      <c r="W198">
        <v>0</v>
      </c>
      <c r="X198">
        <v>1356827684</v>
      </c>
      <c r="Y198">
        <f t="shared" si="51"/>
        <v>0.17</v>
      </c>
      <c r="AA198">
        <v>105.5</v>
      </c>
      <c r="AB198">
        <v>0</v>
      </c>
      <c r="AC198">
        <v>0</v>
      </c>
      <c r="AD198">
        <v>0</v>
      </c>
      <c r="AE198">
        <v>26.71</v>
      </c>
      <c r="AF198">
        <v>0</v>
      </c>
      <c r="AG198">
        <v>0</v>
      </c>
      <c r="AH198">
        <v>0</v>
      </c>
      <c r="AI198">
        <v>3.95</v>
      </c>
      <c r="AJ198">
        <v>1</v>
      </c>
      <c r="AK198">
        <v>1</v>
      </c>
      <c r="AL198">
        <v>1</v>
      </c>
      <c r="AM198">
        <v>2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0.17</v>
      </c>
      <c r="AU198" t="s">
        <v>62</v>
      </c>
      <c r="AV198">
        <v>0</v>
      </c>
      <c r="AW198">
        <v>2</v>
      </c>
      <c r="AX198">
        <v>55936390</v>
      </c>
      <c r="AY198">
        <v>1</v>
      </c>
      <c r="AZ198">
        <v>0</v>
      </c>
      <c r="BA198">
        <v>224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V198">
        <v>0</v>
      </c>
      <c r="CW198">
        <v>0</v>
      </c>
      <c r="CX198">
        <f>ROUND(Y198*Source!I161,9)</f>
        <v>0.61709999999999998</v>
      </c>
      <c r="CY198">
        <f t="shared" si="52"/>
        <v>105.5</v>
      </c>
      <c r="CZ198">
        <f t="shared" si="53"/>
        <v>26.71</v>
      </c>
      <c r="DA198">
        <f t="shared" si="54"/>
        <v>3.95</v>
      </c>
      <c r="DB198">
        <f t="shared" si="55"/>
        <v>4.54</v>
      </c>
      <c r="DC198">
        <f t="shared" si="56"/>
        <v>0</v>
      </c>
      <c r="DD198" t="s">
        <v>3</v>
      </c>
      <c r="DE198" t="s">
        <v>3</v>
      </c>
      <c r="DF198">
        <f t="shared" si="57"/>
        <v>65.099999999999994</v>
      </c>
      <c r="DG198">
        <f t="shared" si="58"/>
        <v>0</v>
      </c>
      <c r="DH198">
        <f t="shared" si="40"/>
        <v>0</v>
      </c>
      <c r="DI198">
        <f t="shared" si="50"/>
        <v>0</v>
      </c>
      <c r="DJ198">
        <f t="shared" si="59"/>
        <v>65.099999999999994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5">
      <c r="A199">
        <f>ROW(Source!A161)</f>
        <v>161</v>
      </c>
      <c r="B199">
        <v>55936048</v>
      </c>
      <c r="C199">
        <v>55936383</v>
      </c>
      <c r="D199">
        <v>55469271</v>
      </c>
      <c r="E199">
        <v>1</v>
      </c>
      <c r="F199">
        <v>1</v>
      </c>
      <c r="G199">
        <v>1081</v>
      </c>
      <c r="H199">
        <v>3</v>
      </c>
      <c r="I199" t="s">
        <v>313</v>
      </c>
      <c r="J199" t="s">
        <v>314</v>
      </c>
      <c r="K199" t="s">
        <v>315</v>
      </c>
      <c r="L199">
        <v>1354</v>
      </c>
      <c r="N199">
        <v>1010</v>
      </c>
      <c r="O199" t="s">
        <v>159</v>
      </c>
      <c r="P199" t="s">
        <v>159</v>
      </c>
      <c r="Q199">
        <v>1</v>
      </c>
      <c r="W199">
        <v>0</v>
      </c>
      <c r="X199">
        <v>1339646332</v>
      </c>
      <c r="Y199">
        <f t="shared" si="51"/>
        <v>0.161</v>
      </c>
      <c r="AA199">
        <v>71.78</v>
      </c>
      <c r="AB199">
        <v>0</v>
      </c>
      <c r="AC199">
        <v>0</v>
      </c>
      <c r="AD199">
        <v>0</v>
      </c>
      <c r="AE199">
        <v>14.56</v>
      </c>
      <c r="AF199">
        <v>0</v>
      </c>
      <c r="AG199">
        <v>0</v>
      </c>
      <c r="AH199">
        <v>0</v>
      </c>
      <c r="AI199">
        <v>4.93</v>
      </c>
      <c r="AJ199">
        <v>1</v>
      </c>
      <c r="AK199">
        <v>1</v>
      </c>
      <c r="AL199">
        <v>1</v>
      </c>
      <c r="AM199">
        <v>2</v>
      </c>
      <c r="AN199">
        <v>0</v>
      </c>
      <c r="AO199">
        <v>1</v>
      </c>
      <c r="AP199">
        <v>1</v>
      </c>
      <c r="AQ199">
        <v>0</v>
      </c>
      <c r="AR199">
        <v>0</v>
      </c>
      <c r="AS199" t="s">
        <v>3</v>
      </c>
      <c r="AT199">
        <v>0.161</v>
      </c>
      <c r="AU199" t="s">
        <v>62</v>
      </c>
      <c r="AV199">
        <v>0</v>
      </c>
      <c r="AW199">
        <v>2</v>
      </c>
      <c r="AX199">
        <v>55936391</v>
      </c>
      <c r="AY199">
        <v>1</v>
      </c>
      <c r="AZ199">
        <v>0</v>
      </c>
      <c r="BA199">
        <v>225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V199">
        <v>0</v>
      </c>
      <c r="CW199">
        <v>0</v>
      </c>
      <c r="CX199">
        <f>ROUND(Y199*Source!I161,9)</f>
        <v>0.58443000000000001</v>
      </c>
      <c r="CY199">
        <f t="shared" si="52"/>
        <v>71.78</v>
      </c>
      <c r="CZ199">
        <f t="shared" si="53"/>
        <v>14.56</v>
      </c>
      <c r="DA199">
        <f t="shared" si="54"/>
        <v>4.93</v>
      </c>
      <c r="DB199">
        <f t="shared" si="55"/>
        <v>2.34</v>
      </c>
      <c r="DC199">
        <f t="shared" si="56"/>
        <v>0</v>
      </c>
      <c r="DD199" t="s">
        <v>3</v>
      </c>
      <c r="DE199" t="s">
        <v>3</v>
      </c>
      <c r="DF199">
        <f t="shared" si="57"/>
        <v>41.95</v>
      </c>
      <c r="DG199">
        <f t="shared" si="58"/>
        <v>0</v>
      </c>
      <c r="DH199">
        <f t="shared" si="40"/>
        <v>0</v>
      </c>
      <c r="DI199">
        <f t="shared" si="50"/>
        <v>0</v>
      </c>
      <c r="DJ199">
        <f t="shared" si="59"/>
        <v>41.95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5">
      <c r="A200">
        <f>ROW(Source!A161)</f>
        <v>161</v>
      </c>
      <c r="B200">
        <v>55936048</v>
      </c>
      <c r="C200">
        <v>55936383</v>
      </c>
      <c r="D200">
        <v>0</v>
      </c>
      <c r="E200">
        <v>0</v>
      </c>
      <c r="F200">
        <v>1</v>
      </c>
      <c r="G200">
        <v>1081</v>
      </c>
      <c r="H200">
        <v>3</v>
      </c>
      <c r="I200" t="s">
        <v>325</v>
      </c>
      <c r="J200" t="s">
        <v>325</v>
      </c>
      <c r="K200" t="s">
        <v>196</v>
      </c>
      <c r="L200">
        <v>1301</v>
      </c>
      <c r="N200">
        <v>1003</v>
      </c>
      <c r="O200" t="s">
        <v>197</v>
      </c>
      <c r="P200" t="s">
        <v>197</v>
      </c>
      <c r="Q200">
        <v>1</v>
      </c>
      <c r="W200">
        <v>0</v>
      </c>
      <c r="X200">
        <v>-918756995</v>
      </c>
      <c r="Y200">
        <f t="shared" si="51"/>
        <v>102</v>
      </c>
      <c r="AA200">
        <v>111.19</v>
      </c>
      <c r="AB200">
        <v>0</v>
      </c>
      <c r="AC200">
        <v>0</v>
      </c>
      <c r="AD200">
        <v>0</v>
      </c>
      <c r="AE200">
        <v>11.3</v>
      </c>
      <c r="AF200">
        <v>0</v>
      </c>
      <c r="AG200">
        <v>0</v>
      </c>
      <c r="AH200">
        <v>0</v>
      </c>
      <c r="AI200">
        <v>9.84</v>
      </c>
      <c r="AJ200">
        <v>1</v>
      </c>
      <c r="AK200">
        <v>1</v>
      </c>
      <c r="AL200">
        <v>1</v>
      </c>
      <c r="AM200">
        <v>0</v>
      </c>
      <c r="AN200">
        <v>0</v>
      </c>
      <c r="AO200">
        <v>0</v>
      </c>
      <c r="AP200">
        <v>1</v>
      </c>
      <c r="AQ200">
        <v>0</v>
      </c>
      <c r="AR200">
        <v>0</v>
      </c>
      <c r="AS200" t="s">
        <v>3</v>
      </c>
      <c r="AT200">
        <v>102</v>
      </c>
      <c r="AU200" t="s">
        <v>62</v>
      </c>
      <c r="AV200">
        <v>0</v>
      </c>
      <c r="AW200">
        <v>1</v>
      </c>
      <c r="AX200">
        <v>-1</v>
      </c>
      <c r="AY200">
        <v>0</v>
      </c>
      <c r="AZ200">
        <v>0</v>
      </c>
      <c r="BA200" t="s">
        <v>3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v>0</v>
      </c>
      <c r="CX200">
        <f>ROUND(Y200*Source!I161,9)</f>
        <v>370.26</v>
      </c>
      <c r="CY200">
        <f t="shared" si="52"/>
        <v>111.19</v>
      </c>
      <c r="CZ200">
        <f t="shared" si="53"/>
        <v>11.3</v>
      </c>
      <c r="DA200">
        <f t="shared" si="54"/>
        <v>9.84</v>
      </c>
      <c r="DB200">
        <f t="shared" si="55"/>
        <v>1152.5999999999999</v>
      </c>
      <c r="DC200">
        <f t="shared" si="56"/>
        <v>0</v>
      </c>
      <c r="DD200" t="s">
        <v>3</v>
      </c>
      <c r="DE200" t="s">
        <v>3</v>
      </c>
      <c r="DF200">
        <f t="shared" si="57"/>
        <v>41169.21</v>
      </c>
      <c r="DG200">
        <f t="shared" si="58"/>
        <v>0</v>
      </c>
      <c r="DH200">
        <f t="shared" si="40"/>
        <v>0</v>
      </c>
      <c r="DI200">
        <f t="shared" si="50"/>
        <v>0</v>
      </c>
      <c r="DJ200">
        <f t="shared" si="59"/>
        <v>41169.21</v>
      </c>
      <c r="DK200">
        <v>0</v>
      </c>
      <c r="DL200" t="s">
        <v>3</v>
      </c>
      <c r="DM200">
        <v>0</v>
      </c>
      <c r="DN200" t="s">
        <v>3</v>
      </c>
      <c r="DO200">
        <v>0</v>
      </c>
    </row>
    <row r="201" spans="1:119" x14ac:dyDescent="0.25">
      <c r="A201">
        <f>ROW(Source!A170)</f>
        <v>170</v>
      </c>
      <c r="B201">
        <v>55936046</v>
      </c>
      <c r="C201">
        <v>55936434</v>
      </c>
      <c r="D201">
        <v>55424304</v>
      </c>
      <c r="E201">
        <v>1081</v>
      </c>
      <c r="F201">
        <v>1</v>
      </c>
      <c r="G201">
        <v>1081</v>
      </c>
      <c r="H201">
        <v>1</v>
      </c>
      <c r="I201" t="s">
        <v>262</v>
      </c>
      <c r="J201" t="s">
        <v>3</v>
      </c>
      <c r="K201" t="s">
        <v>263</v>
      </c>
      <c r="L201">
        <v>1191</v>
      </c>
      <c r="N201">
        <v>1013</v>
      </c>
      <c r="O201" t="s">
        <v>264</v>
      </c>
      <c r="P201" t="s">
        <v>264</v>
      </c>
      <c r="Q201">
        <v>1</v>
      </c>
      <c r="W201">
        <v>0</v>
      </c>
      <c r="X201">
        <v>476480486</v>
      </c>
      <c r="Y201">
        <f>(AT201*1.2)</f>
        <v>1.512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1</v>
      </c>
      <c r="AK201">
        <v>1</v>
      </c>
      <c r="AL201">
        <v>1</v>
      </c>
      <c r="AM201">
        <v>-2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1.26</v>
      </c>
      <c r="AU201" t="s">
        <v>63</v>
      </c>
      <c r="AV201">
        <v>1</v>
      </c>
      <c r="AW201">
        <v>2</v>
      </c>
      <c r="AX201">
        <v>55936438</v>
      </c>
      <c r="AY201">
        <v>1</v>
      </c>
      <c r="AZ201">
        <v>0</v>
      </c>
      <c r="BA201">
        <v>229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U201">
        <f>ROUND(AT201*Source!I170*AH201*AL201,2)</f>
        <v>0</v>
      </c>
      <c r="CV201">
        <f>ROUND(Y201*Source!I170,9)</f>
        <v>14.12208</v>
      </c>
      <c r="CW201">
        <v>0</v>
      </c>
      <c r="CX201">
        <f>ROUND(Y201*Source!I170,9)</f>
        <v>14.12208</v>
      </c>
      <c r="CY201">
        <f>AD201</f>
        <v>0</v>
      </c>
      <c r="CZ201">
        <f>AH201</f>
        <v>0</v>
      </c>
      <c r="DA201">
        <f>AL201</f>
        <v>1</v>
      </c>
      <c r="DB201">
        <f>ROUND((ROUND(AT201*CZ201,2)*1.2),6)</f>
        <v>0</v>
      </c>
      <c r="DC201">
        <f>ROUND((ROUND(AT201*AG201,2)*1.2),6)</f>
        <v>0</v>
      </c>
      <c r="DD201" t="s">
        <v>3</v>
      </c>
      <c r="DE201" t="s">
        <v>3</v>
      </c>
      <c r="DF201">
        <f t="shared" ref="DF201:DF210" si="60">ROUND(ROUND(AE201,2)*CX201,2)</f>
        <v>0</v>
      </c>
      <c r="DG201">
        <f t="shared" si="58"/>
        <v>0</v>
      </c>
      <c r="DH201">
        <f t="shared" si="40"/>
        <v>0</v>
      </c>
      <c r="DI201">
        <f t="shared" si="50"/>
        <v>0</v>
      </c>
      <c r="DJ201">
        <f>DI201</f>
        <v>0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5">
      <c r="A202">
        <f>ROW(Source!A171)</f>
        <v>171</v>
      </c>
      <c r="B202">
        <v>55936048</v>
      </c>
      <c r="C202">
        <v>55936434</v>
      </c>
      <c r="D202">
        <v>55424304</v>
      </c>
      <c r="E202">
        <v>1081</v>
      </c>
      <c r="F202">
        <v>1</v>
      </c>
      <c r="G202">
        <v>1081</v>
      </c>
      <c r="H202">
        <v>1</v>
      </c>
      <c r="I202" t="s">
        <v>262</v>
      </c>
      <c r="J202" t="s">
        <v>3</v>
      </c>
      <c r="K202" t="s">
        <v>263</v>
      </c>
      <c r="L202">
        <v>1191</v>
      </c>
      <c r="N202">
        <v>1013</v>
      </c>
      <c r="O202" t="s">
        <v>264</v>
      </c>
      <c r="P202" t="s">
        <v>264</v>
      </c>
      <c r="Q202">
        <v>1</v>
      </c>
      <c r="W202">
        <v>0</v>
      </c>
      <c r="X202">
        <v>476480486</v>
      </c>
      <c r="Y202">
        <f>(AT202*1.2)</f>
        <v>1.512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1</v>
      </c>
      <c r="AJ202">
        <v>1</v>
      </c>
      <c r="AK202">
        <v>1</v>
      </c>
      <c r="AL202">
        <v>1</v>
      </c>
      <c r="AM202">
        <v>5</v>
      </c>
      <c r="AN202">
        <v>0</v>
      </c>
      <c r="AO202">
        <v>1</v>
      </c>
      <c r="AP202">
        <v>1</v>
      </c>
      <c r="AQ202">
        <v>0</v>
      </c>
      <c r="AR202">
        <v>0</v>
      </c>
      <c r="AS202" t="s">
        <v>3</v>
      </c>
      <c r="AT202">
        <v>1.26</v>
      </c>
      <c r="AU202" t="s">
        <v>63</v>
      </c>
      <c r="AV202">
        <v>1</v>
      </c>
      <c r="AW202">
        <v>2</v>
      </c>
      <c r="AX202">
        <v>55936438</v>
      </c>
      <c r="AY202">
        <v>1</v>
      </c>
      <c r="AZ202">
        <v>0</v>
      </c>
      <c r="BA202">
        <v>231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U202">
        <f>ROUND(AT202*Source!I171*AH202*AL202,2)</f>
        <v>0</v>
      </c>
      <c r="CV202">
        <f>ROUND(Y202*Source!I171,9)</f>
        <v>14.12208</v>
      </c>
      <c r="CW202">
        <v>0</v>
      </c>
      <c r="CX202">
        <f>ROUND(Y202*Source!I171,9)</f>
        <v>14.12208</v>
      </c>
      <c r="CY202">
        <f>AD202</f>
        <v>0</v>
      </c>
      <c r="CZ202">
        <f>AH202</f>
        <v>0</v>
      </c>
      <c r="DA202">
        <f>AL202</f>
        <v>1</v>
      </c>
      <c r="DB202">
        <f>ROUND((ROUND(AT202*CZ202,2)*1.2),6)</f>
        <v>0</v>
      </c>
      <c r="DC202">
        <f>ROUND((ROUND(AT202*AG202,2)*1.2),6)</f>
        <v>0</v>
      </c>
      <c r="DD202" t="s">
        <v>3</v>
      </c>
      <c r="DE202" t="s">
        <v>3</v>
      </c>
      <c r="DF202">
        <f t="shared" si="60"/>
        <v>0</v>
      </c>
      <c r="DG202">
        <f t="shared" si="58"/>
        <v>0</v>
      </c>
      <c r="DH202">
        <f t="shared" si="40"/>
        <v>0</v>
      </c>
      <c r="DI202">
        <f t="shared" si="50"/>
        <v>0</v>
      </c>
      <c r="DJ202">
        <f>DI202</f>
        <v>0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5">
      <c r="A203">
        <f>ROW(Source!A211)</f>
        <v>211</v>
      </c>
      <c r="B203">
        <v>55936046</v>
      </c>
      <c r="C203">
        <v>55936504</v>
      </c>
      <c r="D203">
        <v>55424304</v>
      </c>
      <c r="E203">
        <v>1081</v>
      </c>
      <c r="F203">
        <v>1</v>
      </c>
      <c r="G203">
        <v>1081</v>
      </c>
      <c r="H203">
        <v>1</v>
      </c>
      <c r="I203" t="s">
        <v>262</v>
      </c>
      <c r="J203" t="s">
        <v>3</v>
      </c>
      <c r="K203" t="s">
        <v>263</v>
      </c>
      <c r="L203">
        <v>1191</v>
      </c>
      <c r="N203">
        <v>1013</v>
      </c>
      <c r="O203" t="s">
        <v>264</v>
      </c>
      <c r="P203" t="s">
        <v>264</v>
      </c>
      <c r="Q203">
        <v>1</v>
      </c>
      <c r="W203">
        <v>0</v>
      </c>
      <c r="X203">
        <v>476480486</v>
      </c>
      <c r="Y203">
        <f>(AT203*1.2)</f>
        <v>0.624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1</v>
      </c>
      <c r="AK203">
        <v>1</v>
      </c>
      <c r="AL203">
        <v>1</v>
      </c>
      <c r="AM203">
        <v>-2</v>
      </c>
      <c r="AN203">
        <v>0</v>
      </c>
      <c r="AO203">
        <v>1</v>
      </c>
      <c r="AP203">
        <v>1</v>
      </c>
      <c r="AQ203">
        <v>0</v>
      </c>
      <c r="AR203">
        <v>0</v>
      </c>
      <c r="AS203" t="s">
        <v>3</v>
      </c>
      <c r="AT203">
        <v>0.52</v>
      </c>
      <c r="AU203" t="s">
        <v>63</v>
      </c>
      <c r="AV203">
        <v>1</v>
      </c>
      <c r="AW203">
        <v>2</v>
      </c>
      <c r="AX203">
        <v>55936519</v>
      </c>
      <c r="AY203">
        <v>1</v>
      </c>
      <c r="AZ203">
        <v>0</v>
      </c>
      <c r="BA203">
        <v>233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U203">
        <f>ROUND(AT203*Source!I211*AH203*AL203,2)</f>
        <v>0</v>
      </c>
      <c r="CV203">
        <f>ROUND(Y203*Source!I211,9)</f>
        <v>16.847999999999999</v>
      </c>
      <c r="CW203">
        <v>0</v>
      </c>
      <c r="CX203">
        <f>ROUND(Y203*Source!I211,9)</f>
        <v>16.847999999999999</v>
      </c>
      <c r="CY203">
        <f>AD203</f>
        <v>0</v>
      </c>
      <c r="CZ203">
        <f>AH203</f>
        <v>0</v>
      </c>
      <c r="DA203">
        <f>AL203</f>
        <v>1</v>
      </c>
      <c r="DB203">
        <f>ROUND((ROUND(AT203*CZ203,2)*1.2),6)</f>
        <v>0</v>
      </c>
      <c r="DC203">
        <f>ROUND((ROUND(AT203*AG203,2)*1.2),6)</f>
        <v>0</v>
      </c>
      <c r="DD203" t="s">
        <v>3</v>
      </c>
      <c r="DE203" t="s">
        <v>3</v>
      </c>
      <c r="DF203">
        <f t="shared" si="60"/>
        <v>0</v>
      </c>
      <c r="DG203">
        <f t="shared" si="58"/>
        <v>0</v>
      </c>
      <c r="DH203">
        <f t="shared" si="40"/>
        <v>0</v>
      </c>
      <c r="DI203">
        <f t="shared" si="50"/>
        <v>0</v>
      </c>
      <c r="DJ203">
        <f>DI203</f>
        <v>0</v>
      </c>
      <c r="DK203">
        <v>0</v>
      </c>
      <c r="DL203" t="s">
        <v>3</v>
      </c>
      <c r="DM203">
        <v>0</v>
      </c>
      <c r="DN203" t="s">
        <v>3</v>
      </c>
      <c r="DO203">
        <v>0</v>
      </c>
    </row>
    <row r="204" spans="1:119" x14ac:dyDescent="0.25">
      <c r="A204">
        <f>ROW(Source!A211)</f>
        <v>211</v>
      </c>
      <c r="B204">
        <v>55936046</v>
      </c>
      <c r="C204">
        <v>55936504</v>
      </c>
      <c r="D204">
        <v>55490209</v>
      </c>
      <c r="E204">
        <v>1</v>
      </c>
      <c r="F204">
        <v>1</v>
      </c>
      <c r="G204">
        <v>1081</v>
      </c>
      <c r="H204">
        <v>2</v>
      </c>
      <c r="I204" t="s">
        <v>265</v>
      </c>
      <c r="J204" t="s">
        <v>266</v>
      </c>
      <c r="K204" t="s">
        <v>267</v>
      </c>
      <c r="L204">
        <v>1368</v>
      </c>
      <c r="N204">
        <v>1011</v>
      </c>
      <c r="O204" t="s">
        <v>268</v>
      </c>
      <c r="P204" t="s">
        <v>268</v>
      </c>
      <c r="Q204">
        <v>1</v>
      </c>
      <c r="W204">
        <v>0</v>
      </c>
      <c r="X204">
        <v>874612079</v>
      </c>
      <c r="Y204">
        <f>(AT204*1.2)</f>
        <v>2.4E-2</v>
      </c>
      <c r="AA204">
        <v>0</v>
      </c>
      <c r="AB204">
        <v>87.01</v>
      </c>
      <c r="AC204">
        <v>13.21</v>
      </c>
      <c r="AD204">
        <v>0</v>
      </c>
      <c r="AE204">
        <v>0</v>
      </c>
      <c r="AF204">
        <v>83.1</v>
      </c>
      <c r="AG204">
        <v>12.62</v>
      </c>
      <c r="AH204">
        <v>0</v>
      </c>
      <c r="AI204">
        <v>1</v>
      </c>
      <c r="AJ204">
        <v>1</v>
      </c>
      <c r="AK204">
        <v>1</v>
      </c>
      <c r="AL204">
        <v>1</v>
      </c>
      <c r="AM204">
        <v>-2</v>
      </c>
      <c r="AN204">
        <v>0</v>
      </c>
      <c r="AO204">
        <v>1</v>
      </c>
      <c r="AP204">
        <v>1</v>
      </c>
      <c r="AQ204">
        <v>0</v>
      </c>
      <c r="AR204">
        <v>0</v>
      </c>
      <c r="AS204" t="s">
        <v>3</v>
      </c>
      <c r="AT204">
        <v>0.02</v>
      </c>
      <c r="AU204" t="s">
        <v>63</v>
      </c>
      <c r="AV204">
        <v>0</v>
      </c>
      <c r="AW204">
        <v>2</v>
      </c>
      <c r="AX204">
        <v>55936520</v>
      </c>
      <c r="AY204">
        <v>1</v>
      </c>
      <c r="AZ204">
        <v>0</v>
      </c>
      <c r="BA204">
        <v>234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f>ROUND(Y204*Source!I211*DO204,9)</f>
        <v>8.1777599999999993</v>
      </c>
      <c r="CX204">
        <f>ROUND(Y204*Source!I211,9)</f>
        <v>0.64800000000000002</v>
      </c>
      <c r="CY204">
        <f>AB204</f>
        <v>87.01</v>
      </c>
      <c r="CZ204">
        <f>AF204</f>
        <v>83.1</v>
      </c>
      <c r="DA204">
        <f>AJ204</f>
        <v>1</v>
      </c>
      <c r="DB204">
        <f>ROUND((ROUND(AT204*CZ204,2)*1.2),6)</f>
        <v>1.992</v>
      </c>
      <c r="DC204">
        <f>ROUND((ROUND(AT204*AG204,2)*1.2),6)</f>
        <v>0.3</v>
      </c>
      <c r="DD204" t="s">
        <v>3</v>
      </c>
      <c r="DE204" t="s">
        <v>3</v>
      </c>
      <c r="DF204">
        <f t="shared" si="60"/>
        <v>0</v>
      </c>
      <c r="DG204">
        <f t="shared" si="58"/>
        <v>53.85</v>
      </c>
      <c r="DH204">
        <f t="shared" si="40"/>
        <v>8.18</v>
      </c>
      <c r="DI204">
        <f t="shared" si="50"/>
        <v>0</v>
      </c>
      <c r="DJ204">
        <f>DG204</f>
        <v>53.85</v>
      </c>
      <c r="DK204">
        <v>0</v>
      </c>
      <c r="DL204" t="s">
        <v>269</v>
      </c>
      <c r="DM204">
        <v>0</v>
      </c>
      <c r="DN204" t="s">
        <v>264</v>
      </c>
      <c r="DO204">
        <v>12.62</v>
      </c>
    </row>
    <row r="205" spans="1:119" x14ac:dyDescent="0.25">
      <c r="A205">
        <f>ROW(Source!A211)</f>
        <v>211</v>
      </c>
      <c r="B205">
        <v>55936046</v>
      </c>
      <c r="C205">
        <v>55936504</v>
      </c>
      <c r="D205">
        <v>55489519</v>
      </c>
      <c r="E205">
        <v>1</v>
      </c>
      <c r="F205">
        <v>1</v>
      </c>
      <c r="G205">
        <v>1081</v>
      </c>
      <c r="H205">
        <v>2</v>
      </c>
      <c r="I205" t="s">
        <v>316</v>
      </c>
      <c r="J205" t="s">
        <v>317</v>
      </c>
      <c r="K205" t="s">
        <v>318</v>
      </c>
      <c r="L205">
        <v>1368</v>
      </c>
      <c r="N205">
        <v>1011</v>
      </c>
      <c r="O205" t="s">
        <v>268</v>
      </c>
      <c r="P205" t="s">
        <v>268</v>
      </c>
      <c r="Q205">
        <v>1</v>
      </c>
      <c r="W205">
        <v>0</v>
      </c>
      <c r="X205">
        <v>-323623021</v>
      </c>
      <c r="Y205">
        <f>(AT205*1.2)</f>
        <v>0.24</v>
      </c>
      <c r="AA205">
        <v>0</v>
      </c>
      <c r="AB205">
        <v>138.9</v>
      </c>
      <c r="AC205">
        <v>15.22</v>
      </c>
      <c r="AD205">
        <v>0</v>
      </c>
      <c r="AE205">
        <v>0</v>
      </c>
      <c r="AF205">
        <v>132.66</v>
      </c>
      <c r="AG205">
        <v>14.54</v>
      </c>
      <c r="AH205">
        <v>0</v>
      </c>
      <c r="AI205">
        <v>1</v>
      </c>
      <c r="AJ205">
        <v>1</v>
      </c>
      <c r="AK205">
        <v>1</v>
      </c>
      <c r="AL205">
        <v>1</v>
      </c>
      <c r="AM205">
        <v>-2</v>
      </c>
      <c r="AN205">
        <v>0</v>
      </c>
      <c r="AO205">
        <v>1</v>
      </c>
      <c r="AP205">
        <v>1</v>
      </c>
      <c r="AQ205">
        <v>0</v>
      </c>
      <c r="AR205">
        <v>0</v>
      </c>
      <c r="AS205" t="s">
        <v>3</v>
      </c>
      <c r="AT205">
        <v>0.2</v>
      </c>
      <c r="AU205" t="s">
        <v>63</v>
      </c>
      <c r="AV205">
        <v>0</v>
      </c>
      <c r="AW205">
        <v>2</v>
      </c>
      <c r="AX205">
        <v>55936521</v>
      </c>
      <c r="AY205">
        <v>1</v>
      </c>
      <c r="AZ205">
        <v>0</v>
      </c>
      <c r="BA205">
        <v>235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V205">
        <v>0</v>
      </c>
      <c r="CW205">
        <f>ROUND(Y205*Source!I211*DO205,9)</f>
        <v>94.219200000000001</v>
      </c>
      <c r="CX205">
        <f>ROUND(Y205*Source!I211,9)</f>
        <v>6.48</v>
      </c>
      <c r="CY205">
        <f>AB205</f>
        <v>138.9</v>
      </c>
      <c r="CZ205">
        <f>AF205</f>
        <v>132.66</v>
      </c>
      <c r="DA205">
        <f>AJ205</f>
        <v>1</v>
      </c>
      <c r="DB205">
        <f>ROUND((ROUND(AT205*CZ205,2)*1.2),6)</f>
        <v>31.835999999999999</v>
      </c>
      <c r="DC205">
        <f>ROUND((ROUND(AT205*AG205,2)*1.2),6)</f>
        <v>3.492</v>
      </c>
      <c r="DD205" t="s">
        <v>3</v>
      </c>
      <c r="DE205" t="s">
        <v>3</v>
      </c>
      <c r="DF205">
        <f t="shared" si="60"/>
        <v>0</v>
      </c>
      <c r="DG205">
        <f t="shared" si="58"/>
        <v>859.64</v>
      </c>
      <c r="DH205">
        <f t="shared" si="40"/>
        <v>94.22</v>
      </c>
      <c r="DI205">
        <f t="shared" si="50"/>
        <v>0</v>
      </c>
      <c r="DJ205">
        <f>DG205</f>
        <v>859.64</v>
      </c>
      <c r="DK205">
        <v>0</v>
      </c>
      <c r="DL205" t="s">
        <v>269</v>
      </c>
      <c r="DM205">
        <v>0</v>
      </c>
      <c r="DN205" t="s">
        <v>264</v>
      </c>
      <c r="DO205">
        <v>14.54</v>
      </c>
    </row>
    <row r="206" spans="1:119" x14ac:dyDescent="0.25">
      <c r="A206">
        <f>ROW(Source!A211)</f>
        <v>211</v>
      </c>
      <c r="B206">
        <v>55936046</v>
      </c>
      <c r="C206">
        <v>55936504</v>
      </c>
      <c r="D206">
        <v>55466111</v>
      </c>
      <c r="E206">
        <v>1</v>
      </c>
      <c r="F206">
        <v>1</v>
      </c>
      <c r="G206">
        <v>1081</v>
      </c>
      <c r="H206">
        <v>3</v>
      </c>
      <c r="I206" t="s">
        <v>236</v>
      </c>
      <c r="J206" t="s">
        <v>239</v>
      </c>
      <c r="K206" t="s">
        <v>237</v>
      </c>
      <c r="L206">
        <v>1346</v>
      </c>
      <c r="N206">
        <v>1009</v>
      </c>
      <c r="O206" t="s">
        <v>238</v>
      </c>
      <c r="P206" t="s">
        <v>238</v>
      </c>
      <c r="Q206">
        <v>1</v>
      </c>
      <c r="W206">
        <v>0</v>
      </c>
      <c r="X206">
        <v>-2097101800</v>
      </c>
      <c r="Y206">
        <f>(AT206*1)</f>
        <v>3.2000000000000003E-4</v>
      </c>
      <c r="AA206">
        <v>31.08</v>
      </c>
      <c r="AB206">
        <v>0</v>
      </c>
      <c r="AC206">
        <v>0</v>
      </c>
      <c r="AD206">
        <v>0</v>
      </c>
      <c r="AE206">
        <v>31.08</v>
      </c>
      <c r="AF206">
        <v>0</v>
      </c>
      <c r="AG206">
        <v>0</v>
      </c>
      <c r="AH206">
        <v>0</v>
      </c>
      <c r="AI206">
        <v>1</v>
      </c>
      <c r="AJ206">
        <v>1</v>
      </c>
      <c r="AK206">
        <v>1</v>
      </c>
      <c r="AL206">
        <v>1</v>
      </c>
      <c r="AM206">
        <v>0</v>
      </c>
      <c r="AN206">
        <v>0</v>
      </c>
      <c r="AO206">
        <v>0</v>
      </c>
      <c r="AP206">
        <v>1</v>
      </c>
      <c r="AQ206">
        <v>0</v>
      </c>
      <c r="AR206">
        <v>0</v>
      </c>
      <c r="AS206" t="s">
        <v>3</v>
      </c>
      <c r="AT206">
        <v>3.2000000000000003E-4</v>
      </c>
      <c r="AU206" t="s">
        <v>62</v>
      </c>
      <c r="AV206">
        <v>0</v>
      </c>
      <c r="AW206">
        <v>1</v>
      </c>
      <c r="AX206">
        <v>-1</v>
      </c>
      <c r="AY206">
        <v>0</v>
      </c>
      <c r="AZ206">
        <v>0</v>
      </c>
      <c r="BA206" t="s">
        <v>3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v>0</v>
      </c>
      <c r="CX206">
        <f>ROUND(Y206*Source!I211,9)</f>
        <v>8.6400000000000001E-3</v>
      </c>
      <c r="CY206">
        <f>AA206</f>
        <v>31.08</v>
      </c>
      <c r="CZ206">
        <f>AE206</f>
        <v>31.08</v>
      </c>
      <c r="DA206">
        <f>AI206</f>
        <v>1</v>
      </c>
      <c r="DB206">
        <f>ROUND((ROUND(AT206*CZ206,2)*1),6)</f>
        <v>0.01</v>
      </c>
      <c r="DC206">
        <f>ROUND((ROUND(AT206*AG206,2)*1),6)</f>
        <v>0</v>
      </c>
      <c r="DD206" t="s">
        <v>3</v>
      </c>
      <c r="DE206" t="s">
        <v>3</v>
      </c>
      <c r="DF206">
        <f t="shared" si="60"/>
        <v>0.27</v>
      </c>
      <c r="DG206">
        <f t="shared" si="58"/>
        <v>0</v>
      </c>
      <c r="DH206">
        <f t="shared" si="40"/>
        <v>0</v>
      </c>
      <c r="DI206">
        <f t="shared" si="50"/>
        <v>0</v>
      </c>
      <c r="DJ206">
        <f>DF206</f>
        <v>0.27</v>
      </c>
      <c r="DK206">
        <v>0</v>
      </c>
      <c r="DL206" t="s">
        <v>3</v>
      </c>
      <c r="DM206">
        <v>0</v>
      </c>
      <c r="DN206" t="s">
        <v>3</v>
      </c>
      <c r="DO206">
        <v>0</v>
      </c>
    </row>
    <row r="207" spans="1:119" x14ac:dyDescent="0.25">
      <c r="A207">
        <f>ROW(Source!A211)</f>
        <v>211</v>
      </c>
      <c r="B207">
        <v>55936046</v>
      </c>
      <c r="C207">
        <v>55936504</v>
      </c>
      <c r="D207">
        <v>0</v>
      </c>
      <c r="E207">
        <v>0</v>
      </c>
      <c r="F207">
        <v>1</v>
      </c>
      <c r="G207">
        <v>1081</v>
      </c>
      <c r="H207">
        <v>3</v>
      </c>
      <c r="I207" t="s">
        <v>326</v>
      </c>
      <c r="J207" t="s">
        <v>326</v>
      </c>
      <c r="K207" t="s">
        <v>242</v>
      </c>
      <c r="L207">
        <v>1371</v>
      </c>
      <c r="N207">
        <v>1013</v>
      </c>
      <c r="O207" t="s">
        <v>144</v>
      </c>
      <c r="P207" t="s">
        <v>144</v>
      </c>
      <c r="Q207">
        <v>1</v>
      </c>
      <c r="W207">
        <v>0</v>
      </c>
      <c r="X207">
        <v>1446077148</v>
      </c>
      <c r="Y207">
        <f>(AT207*1)</f>
        <v>1</v>
      </c>
      <c r="AA207">
        <v>949.77</v>
      </c>
      <c r="AB207">
        <v>0</v>
      </c>
      <c r="AC207">
        <v>0</v>
      </c>
      <c r="AD207">
        <v>0</v>
      </c>
      <c r="AE207">
        <v>949.77</v>
      </c>
      <c r="AF207">
        <v>0</v>
      </c>
      <c r="AG207">
        <v>0</v>
      </c>
      <c r="AH207">
        <v>0</v>
      </c>
      <c r="AI207">
        <v>1</v>
      </c>
      <c r="AJ207">
        <v>1</v>
      </c>
      <c r="AK207">
        <v>1</v>
      </c>
      <c r="AL207">
        <v>1</v>
      </c>
      <c r="AM207">
        <v>0</v>
      </c>
      <c r="AN207">
        <v>0</v>
      </c>
      <c r="AO207">
        <v>0</v>
      </c>
      <c r="AP207">
        <v>1</v>
      </c>
      <c r="AQ207">
        <v>0</v>
      </c>
      <c r="AR207">
        <v>0</v>
      </c>
      <c r="AS207" t="s">
        <v>3</v>
      </c>
      <c r="AT207">
        <v>1</v>
      </c>
      <c r="AU207" t="s">
        <v>62</v>
      </c>
      <c r="AV207">
        <v>0</v>
      </c>
      <c r="AW207">
        <v>1</v>
      </c>
      <c r="AX207">
        <v>-1</v>
      </c>
      <c r="AY207">
        <v>0</v>
      </c>
      <c r="AZ207">
        <v>0</v>
      </c>
      <c r="BA207" t="s">
        <v>3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V207">
        <v>0</v>
      </c>
      <c r="CW207">
        <v>0</v>
      </c>
      <c r="CX207">
        <f>ROUND(Y207*Source!I211,9)</f>
        <v>27</v>
      </c>
      <c r="CY207">
        <f>AA207</f>
        <v>949.77</v>
      </c>
      <c r="CZ207">
        <f>AE207</f>
        <v>949.77</v>
      </c>
      <c r="DA207">
        <f>AI207</f>
        <v>1</v>
      </c>
      <c r="DB207">
        <f>ROUND((ROUND(AT207*CZ207,2)*1),6)</f>
        <v>949.77</v>
      </c>
      <c r="DC207">
        <f>ROUND((ROUND(AT207*AG207,2)*1),6)</f>
        <v>0</v>
      </c>
      <c r="DD207" t="s">
        <v>3</v>
      </c>
      <c r="DE207" t="s">
        <v>3</v>
      </c>
      <c r="DF207">
        <f t="shared" si="60"/>
        <v>25643.79</v>
      </c>
      <c r="DG207">
        <f t="shared" si="58"/>
        <v>0</v>
      </c>
      <c r="DH207">
        <f t="shared" si="40"/>
        <v>0</v>
      </c>
      <c r="DI207">
        <f t="shared" si="50"/>
        <v>0</v>
      </c>
      <c r="DJ207">
        <f>DF207</f>
        <v>25643.79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5">
      <c r="A208">
        <f>ROW(Source!A212)</f>
        <v>212</v>
      </c>
      <c r="B208">
        <v>55936048</v>
      </c>
      <c r="C208">
        <v>55936504</v>
      </c>
      <c r="D208">
        <v>55424304</v>
      </c>
      <c r="E208">
        <v>1081</v>
      </c>
      <c r="F208">
        <v>1</v>
      </c>
      <c r="G208">
        <v>1081</v>
      </c>
      <c r="H208">
        <v>1</v>
      </c>
      <c r="I208" t="s">
        <v>262</v>
      </c>
      <c r="J208" t="s">
        <v>3</v>
      </c>
      <c r="K208" t="s">
        <v>263</v>
      </c>
      <c r="L208">
        <v>1191</v>
      </c>
      <c r="N208">
        <v>1013</v>
      </c>
      <c r="O208" t="s">
        <v>264</v>
      </c>
      <c r="P208" t="s">
        <v>264</v>
      </c>
      <c r="Q208">
        <v>1</v>
      </c>
      <c r="W208">
        <v>0</v>
      </c>
      <c r="X208">
        <v>476480486</v>
      </c>
      <c r="Y208">
        <f>(AT208*1.2)</f>
        <v>0.624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5</v>
      </c>
      <c r="AN208">
        <v>0</v>
      </c>
      <c r="AO208">
        <v>1</v>
      </c>
      <c r="AP208">
        <v>1</v>
      </c>
      <c r="AQ208">
        <v>0</v>
      </c>
      <c r="AR208">
        <v>0</v>
      </c>
      <c r="AS208" t="s">
        <v>3</v>
      </c>
      <c r="AT208">
        <v>0.52</v>
      </c>
      <c r="AU208" t="s">
        <v>63</v>
      </c>
      <c r="AV208">
        <v>1</v>
      </c>
      <c r="AW208">
        <v>2</v>
      </c>
      <c r="AX208">
        <v>55936519</v>
      </c>
      <c r="AY208">
        <v>1</v>
      </c>
      <c r="AZ208">
        <v>0</v>
      </c>
      <c r="BA208">
        <v>238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U208">
        <f>ROUND(AT208*Source!I212*AH208*AL208,2)</f>
        <v>0</v>
      </c>
      <c r="CV208">
        <f>ROUND(Y208*Source!I212,9)</f>
        <v>16.847999999999999</v>
      </c>
      <c r="CW208">
        <v>0</v>
      </c>
      <c r="CX208">
        <f>ROUND(Y208*Source!I212,9)</f>
        <v>16.847999999999999</v>
      </c>
      <c r="CY208">
        <f>AD208</f>
        <v>0</v>
      </c>
      <c r="CZ208">
        <f>AH208</f>
        <v>0</v>
      </c>
      <c r="DA208">
        <f>AL208</f>
        <v>1</v>
      </c>
      <c r="DB208">
        <f>ROUND((ROUND(AT208*CZ208,2)*1.2),6)</f>
        <v>0</v>
      </c>
      <c r="DC208">
        <f>ROUND((ROUND(AT208*AG208,2)*1.2),6)</f>
        <v>0</v>
      </c>
      <c r="DD208" t="s">
        <v>3</v>
      </c>
      <c r="DE208" t="s">
        <v>3</v>
      </c>
      <c r="DF208">
        <f t="shared" si="60"/>
        <v>0</v>
      </c>
      <c r="DG208">
        <f t="shared" si="58"/>
        <v>0</v>
      </c>
      <c r="DH208">
        <f t="shared" si="40"/>
        <v>0</v>
      </c>
      <c r="DI208">
        <f t="shared" si="50"/>
        <v>0</v>
      </c>
      <c r="DJ208">
        <f>DI208</f>
        <v>0</v>
      </c>
      <c r="DK208">
        <v>0</v>
      </c>
      <c r="DL208" t="s">
        <v>3</v>
      </c>
      <c r="DM208">
        <v>0</v>
      </c>
      <c r="DN208" t="s">
        <v>3</v>
      </c>
      <c r="DO208">
        <v>0</v>
      </c>
    </row>
    <row r="209" spans="1:119" x14ac:dyDescent="0.25">
      <c r="A209">
        <f>ROW(Source!A212)</f>
        <v>212</v>
      </c>
      <c r="B209">
        <v>55936048</v>
      </c>
      <c r="C209">
        <v>55936504</v>
      </c>
      <c r="D209">
        <v>55490209</v>
      </c>
      <c r="E209">
        <v>1</v>
      </c>
      <c r="F209">
        <v>1</v>
      </c>
      <c r="G209">
        <v>1081</v>
      </c>
      <c r="H209">
        <v>2</v>
      </c>
      <c r="I209" t="s">
        <v>265</v>
      </c>
      <c r="J209" t="s">
        <v>266</v>
      </c>
      <c r="K209" t="s">
        <v>267</v>
      </c>
      <c r="L209">
        <v>1368</v>
      </c>
      <c r="N209">
        <v>1011</v>
      </c>
      <c r="O209" t="s">
        <v>268</v>
      </c>
      <c r="P209" t="s">
        <v>268</v>
      </c>
      <c r="Q209">
        <v>1</v>
      </c>
      <c r="W209">
        <v>0</v>
      </c>
      <c r="X209">
        <v>874612079</v>
      </c>
      <c r="Y209">
        <f>(AT209*1.2)</f>
        <v>2.4E-2</v>
      </c>
      <c r="AA209">
        <v>0</v>
      </c>
      <c r="AB209">
        <v>1485.19</v>
      </c>
      <c r="AC209">
        <v>744.56</v>
      </c>
      <c r="AD209">
        <v>0</v>
      </c>
      <c r="AE209">
        <v>0</v>
      </c>
      <c r="AF209">
        <v>83.1</v>
      </c>
      <c r="AG209">
        <v>12.62</v>
      </c>
      <c r="AH209">
        <v>0</v>
      </c>
      <c r="AI209">
        <v>1</v>
      </c>
      <c r="AJ209">
        <v>17.07</v>
      </c>
      <c r="AK209">
        <v>56.35</v>
      </c>
      <c r="AL209">
        <v>1</v>
      </c>
      <c r="AM209">
        <v>2</v>
      </c>
      <c r="AN209">
        <v>0</v>
      </c>
      <c r="AO209">
        <v>1</v>
      </c>
      <c r="AP209">
        <v>1</v>
      </c>
      <c r="AQ209">
        <v>0</v>
      </c>
      <c r="AR209">
        <v>0</v>
      </c>
      <c r="AS209" t="s">
        <v>3</v>
      </c>
      <c r="AT209">
        <v>0.02</v>
      </c>
      <c r="AU209" t="s">
        <v>63</v>
      </c>
      <c r="AV209">
        <v>0</v>
      </c>
      <c r="AW209">
        <v>2</v>
      </c>
      <c r="AX209">
        <v>55936520</v>
      </c>
      <c r="AY209">
        <v>1</v>
      </c>
      <c r="AZ209">
        <v>0</v>
      </c>
      <c r="BA209">
        <v>239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V209">
        <v>0</v>
      </c>
      <c r="CW209">
        <f>ROUND(Y209*Source!I212*DO209,9)</f>
        <v>8.1777599999999993</v>
      </c>
      <c r="CX209">
        <f>ROUND(Y209*Source!I212,9)</f>
        <v>0.64800000000000002</v>
      </c>
      <c r="CY209">
        <f>AB209</f>
        <v>1485.19</v>
      </c>
      <c r="CZ209">
        <f>AF209</f>
        <v>83.1</v>
      </c>
      <c r="DA209">
        <f>AJ209</f>
        <v>17.07</v>
      </c>
      <c r="DB209">
        <f>ROUND((ROUND(AT209*CZ209,2)*1.2),6)</f>
        <v>1.992</v>
      </c>
      <c r="DC209">
        <f>ROUND((ROUND(AT209*AG209,2)*1.2),6)</f>
        <v>0.3</v>
      </c>
      <c r="DD209" t="s">
        <v>3</v>
      </c>
      <c r="DE209" t="s">
        <v>3</v>
      </c>
      <c r="DF209">
        <f t="shared" si="60"/>
        <v>0</v>
      </c>
      <c r="DG209">
        <f>ROUND(ROUND(AF209*AJ209,2)*CX209,2)</f>
        <v>919.2</v>
      </c>
      <c r="DH209">
        <f>ROUND(ROUND(AG209*AK209,2)*CX209,2)</f>
        <v>460.82</v>
      </c>
      <c r="DI209">
        <f t="shared" si="50"/>
        <v>0</v>
      </c>
      <c r="DJ209">
        <f>DG209</f>
        <v>919.2</v>
      </c>
      <c r="DK209">
        <v>0</v>
      </c>
      <c r="DL209" t="s">
        <v>269</v>
      </c>
      <c r="DM209">
        <v>0</v>
      </c>
      <c r="DN209" t="s">
        <v>264</v>
      </c>
      <c r="DO209">
        <v>12.62</v>
      </c>
    </row>
    <row r="210" spans="1:119" x14ac:dyDescent="0.25">
      <c r="A210">
        <f>ROW(Source!A212)</f>
        <v>212</v>
      </c>
      <c r="B210">
        <v>55936048</v>
      </c>
      <c r="C210">
        <v>55936504</v>
      </c>
      <c r="D210">
        <v>55489519</v>
      </c>
      <c r="E210">
        <v>1</v>
      </c>
      <c r="F210">
        <v>1</v>
      </c>
      <c r="G210">
        <v>1081</v>
      </c>
      <c r="H210">
        <v>2</v>
      </c>
      <c r="I210" t="s">
        <v>316</v>
      </c>
      <c r="J210" t="s">
        <v>317</v>
      </c>
      <c r="K210" t="s">
        <v>318</v>
      </c>
      <c r="L210">
        <v>1368</v>
      </c>
      <c r="N210">
        <v>1011</v>
      </c>
      <c r="O210" t="s">
        <v>268</v>
      </c>
      <c r="P210" t="s">
        <v>268</v>
      </c>
      <c r="Q210">
        <v>1</v>
      </c>
      <c r="W210">
        <v>0</v>
      </c>
      <c r="X210">
        <v>-323623021</v>
      </c>
      <c r="Y210">
        <f>(AT210*1.2)</f>
        <v>0.24</v>
      </c>
      <c r="AA210">
        <v>0</v>
      </c>
      <c r="AB210">
        <v>2143.15</v>
      </c>
      <c r="AC210">
        <v>857.84</v>
      </c>
      <c r="AD210">
        <v>0</v>
      </c>
      <c r="AE210">
        <v>0</v>
      </c>
      <c r="AF210">
        <v>132.66</v>
      </c>
      <c r="AG210">
        <v>14.54</v>
      </c>
      <c r="AH210">
        <v>0</v>
      </c>
      <c r="AI210">
        <v>1</v>
      </c>
      <c r="AJ210">
        <v>15.43</v>
      </c>
      <c r="AK210">
        <v>56.35</v>
      </c>
      <c r="AL210">
        <v>1</v>
      </c>
      <c r="AM210">
        <v>2</v>
      </c>
      <c r="AN210">
        <v>0</v>
      </c>
      <c r="AO210">
        <v>1</v>
      </c>
      <c r="AP210">
        <v>1</v>
      </c>
      <c r="AQ210">
        <v>0</v>
      </c>
      <c r="AR210">
        <v>0</v>
      </c>
      <c r="AS210" t="s">
        <v>3</v>
      </c>
      <c r="AT210">
        <v>0.2</v>
      </c>
      <c r="AU210" t="s">
        <v>63</v>
      </c>
      <c r="AV210">
        <v>0</v>
      </c>
      <c r="AW210">
        <v>2</v>
      </c>
      <c r="AX210">
        <v>55936521</v>
      </c>
      <c r="AY210">
        <v>1</v>
      </c>
      <c r="AZ210">
        <v>0</v>
      </c>
      <c r="BA210">
        <v>240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f>ROUND(Y210*Source!I212*DO210,9)</f>
        <v>94.219200000000001</v>
      </c>
      <c r="CX210">
        <f>ROUND(Y210*Source!I212,9)</f>
        <v>6.48</v>
      </c>
      <c r="CY210">
        <f>AB210</f>
        <v>2143.15</v>
      </c>
      <c r="CZ210">
        <f>AF210</f>
        <v>132.66</v>
      </c>
      <c r="DA210">
        <f>AJ210</f>
        <v>15.43</v>
      </c>
      <c r="DB210">
        <f>ROUND((ROUND(AT210*CZ210,2)*1.2),6)</f>
        <v>31.835999999999999</v>
      </c>
      <c r="DC210">
        <f>ROUND((ROUND(AT210*AG210,2)*1.2),6)</f>
        <v>3.492</v>
      </c>
      <c r="DD210" t="s">
        <v>3</v>
      </c>
      <c r="DE210" t="s">
        <v>3</v>
      </c>
      <c r="DF210">
        <f t="shared" si="60"/>
        <v>0</v>
      </c>
      <c r="DG210">
        <f>ROUND(ROUND(AF210*AJ210,2)*CX210,2)</f>
        <v>13264.17</v>
      </c>
      <c r="DH210">
        <f>ROUND(ROUND(AG210*AK210,2)*CX210,2)</f>
        <v>5309.26</v>
      </c>
      <c r="DI210">
        <f t="shared" si="50"/>
        <v>0</v>
      </c>
      <c r="DJ210">
        <f>DG210</f>
        <v>13264.17</v>
      </c>
      <c r="DK210">
        <v>0</v>
      </c>
      <c r="DL210" t="s">
        <v>269</v>
      </c>
      <c r="DM210">
        <v>0</v>
      </c>
      <c r="DN210" t="s">
        <v>264</v>
      </c>
      <c r="DO210">
        <v>14.54</v>
      </c>
    </row>
    <row r="211" spans="1:119" x14ac:dyDescent="0.25">
      <c r="A211">
        <f>ROW(Source!A212)</f>
        <v>212</v>
      </c>
      <c r="B211">
        <v>55936048</v>
      </c>
      <c r="C211">
        <v>55936504</v>
      </c>
      <c r="D211">
        <v>55466111</v>
      </c>
      <c r="E211">
        <v>1</v>
      </c>
      <c r="F211">
        <v>1</v>
      </c>
      <c r="G211">
        <v>1081</v>
      </c>
      <c r="H211">
        <v>3</v>
      </c>
      <c r="I211" t="s">
        <v>236</v>
      </c>
      <c r="J211" t="s">
        <v>239</v>
      </c>
      <c r="K211" t="s">
        <v>237</v>
      </c>
      <c r="L211">
        <v>1346</v>
      </c>
      <c r="N211">
        <v>1009</v>
      </c>
      <c r="O211" t="s">
        <v>238</v>
      </c>
      <c r="P211" t="s">
        <v>238</v>
      </c>
      <c r="Q211">
        <v>1</v>
      </c>
      <c r="W211">
        <v>0</v>
      </c>
      <c r="X211">
        <v>-2097101800</v>
      </c>
      <c r="Y211">
        <f>(AT211*1)</f>
        <v>3.2000000000000003E-4</v>
      </c>
      <c r="AA211">
        <v>111.58</v>
      </c>
      <c r="AB211">
        <v>0</v>
      </c>
      <c r="AC211">
        <v>0</v>
      </c>
      <c r="AD211">
        <v>0</v>
      </c>
      <c r="AE211">
        <v>31.08</v>
      </c>
      <c r="AF211">
        <v>0</v>
      </c>
      <c r="AG211">
        <v>0</v>
      </c>
      <c r="AH211">
        <v>0</v>
      </c>
      <c r="AI211">
        <v>3.59</v>
      </c>
      <c r="AJ211">
        <v>1</v>
      </c>
      <c r="AK211">
        <v>1</v>
      </c>
      <c r="AL211">
        <v>1</v>
      </c>
      <c r="AM211">
        <v>0</v>
      </c>
      <c r="AN211">
        <v>0</v>
      </c>
      <c r="AO211">
        <v>0</v>
      </c>
      <c r="AP211">
        <v>1</v>
      </c>
      <c r="AQ211">
        <v>0</v>
      </c>
      <c r="AR211">
        <v>0</v>
      </c>
      <c r="AS211" t="s">
        <v>3</v>
      </c>
      <c r="AT211">
        <v>3.2000000000000003E-4</v>
      </c>
      <c r="AU211" t="s">
        <v>62</v>
      </c>
      <c r="AV211">
        <v>0</v>
      </c>
      <c r="AW211">
        <v>1</v>
      </c>
      <c r="AX211">
        <v>-1</v>
      </c>
      <c r="AY211">
        <v>0</v>
      </c>
      <c r="AZ211">
        <v>0</v>
      </c>
      <c r="BA211" t="s">
        <v>3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V211">
        <v>0</v>
      </c>
      <c r="CW211">
        <v>0</v>
      </c>
      <c r="CX211">
        <f>ROUND(Y211*Source!I212,9)</f>
        <v>8.6400000000000001E-3</v>
      </c>
      <c r="CY211">
        <f>AA211</f>
        <v>111.58</v>
      </c>
      <c r="CZ211">
        <f>AE211</f>
        <v>31.08</v>
      </c>
      <c r="DA211">
        <f>AI211</f>
        <v>3.59</v>
      </c>
      <c r="DB211">
        <f>ROUND((ROUND(AT211*CZ211,2)*1),6)</f>
        <v>0.01</v>
      </c>
      <c r="DC211">
        <f>ROUND((ROUND(AT211*AG211,2)*1),6)</f>
        <v>0</v>
      </c>
      <c r="DD211" t="s">
        <v>3</v>
      </c>
      <c r="DE211" t="s">
        <v>3</v>
      </c>
      <c r="DF211">
        <f>ROUND(ROUND(AE211*AI211,2)*CX211,2)</f>
        <v>0.96</v>
      </c>
      <c r="DG211">
        <f>ROUND(ROUND(AF211,2)*CX211,2)</f>
        <v>0</v>
      </c>
      <c r="DH211">
        <f>ROUND(ROUND(AG211,2)*CX211,2)</f>
        <v>0</v>
      </c>
      <c r="DI211">
        <f t="shared" si="50"/>
        <v>0</v>
      </c>
      <c r="DJ211">
        <f>DF211</f>
        <v>0.96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5">
      <c r="A212">
        <f>ROW(Source!A212)</f>
        <v>212</v>
      </c>
      <c r="B212">
        <v>55936048</v>
      </c>
      <c r="C212">
        <v>55936504</v>
      </c>
      <c r="D212">
        <v>0</v>
      </c>
      <c r="E212">
        <v>0</v>
      </c>
      <c r="F212">
        <v>1</v>
      </c>
      <c r="G212">
        <v>1081</v>
      </c>
      <c r="H212">
        <v>3</v>
      </c>
      <c r="I212" t="s">
        <v>326</v>
      </c>
      <c r="J212" t="s">
        <v>326</v>
      </c>
      <c r="K212" t="s">
        <v>242</v>
      </c>
      <c r="L212">
        <v>1371</v>
      </c>
      <c r="N212">
        <v>1013</v>
      </c>
      <c r="O212" t="s">
        <v>144</v>
      </c>
      <c r="P212" t="s">
        <v>144</v>
      </c>
      <c r="Q212">
        <v>1</v>
      </c>
      <c r="W212">
        <v>0</v>
      </c>
      <c r="X212">
        <v>1446077148</v>
      </c>
      <c r="Y212">
        <f>(AT212*1)</f>
        <v>1</v>
      </c>
      <c r="AA212">
        <v>7189.76</v>
      </c>
      <c r="AB212">
        <v>0</v>
      </c>
      <c r="AC212">
        <v>0</v>
      </c>
      <c r="AD212">
        <v>0</v>
      </c>
      <c r="AE212">
        <v>949.77</v>
      </c>
      <c r="AF212">
        <v>0</v>
      </c>
      <c r="AG212">
        <v>0</v>
      </c>
      <c r="AH212">
        <v>0</v>
      </c>
      <c r="AI212">
        <v>7.57</v>
      </c>
      <c r="AJ212">
        <v>1</v>
      </c>
      <c r="AK212">
        <v>1</v>
      </c>
      <c r="AL212">
        <v>1</v>
      </c>
      <c r="AM212">
        <v>0</v>
      </c>
      <c r="AN212">
        <v>0</v>
      </c>
      <c r="AO212">
        <v>0</v>
      </c>
      <c r="AP212">
        <v>1</v>
      </c>
      <c r="AQ212">
        <v>0</v>
      </c>
      <c r="AR212">
        <v>0</v>
      </c>
      <c r="AS212" t="s">
        <v>3</v>
      </c>
      <c r="AT212">
        <v>1</v>
      </c>
      <c r="AU212" t="s">
        <v>62</v>
      </c>
      <c r="AV212">
        <v>0</v>
      </c>
      <c r="AW212">
        <v>1</v>
      </c>
      <c r="AX212">
        <v>-1</v>
      </c>
      <c r="AY212">
        <v>0</v>
      </c>
      <c r="AZ212">
        <v>0</v>
      </c>
      <c r="BA212" t="s">
        <v>3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v>0</v>
      </c>
      <c r="CX212">
        <f>ROUND(Y212*Source!I212,9)</f>
        <v>27</v>
      </c>
      <c r="CY212">
        <f>AA212</f>
        <v>7189.76</v>
      </c>
      <c r="CZ212">
        <f>AE212</f>
        <v>949.77</v>
      </c>
      <c r="DA212">
        <f>AI212</f>
        <v>7.57</v>
      </c>
      <c r="DB212">
        <f>ROUND((ROUND(AT212*CZ212,2)*1),6)</f>
        <v>949.77</v>
      </c>
      <c r="DC212">
        <f>ROUND((ROUND(AT212*AG212,2)*1),6)</f>
        <v>0</v>
      </c>
      <c r="DD212" t="s">
        <v>3</v>
      </c>
      <c r="DE212" t="s">
        <v>3</v>
      </c>
      <c r="DF212">
        <f>ROUND(ROUND(AE212*AI212,2)*CX212,2)</f>
        <v>194123.51999999999</v>
      </c>
      <c r="DG212">
        <f>ROUND(ROUND(AF212,2)*CX212,2)</f>
        <v>0</v>
      </c>
      <c r="DH212">
        <f>ROUND(ROUND(AG212,2)*CX212,2)</f>
        <v>0</v>
      </c>
      <c r="DI212">
        <f t="shared" si="50"/>
        <v>0</v>
      </c>
      <c r="DJ212">
        <f>DF212</f>
        <v>194123.51999999999</v>
      </c>
      <c r="DK212">
        <v>0</v>
      </c>
      <c r="DL212" t="s">
        <v>3</v>
      </c>
      <c r="DM212">
        <v>0</v>
      </c>
      <c r="DN212" t="s">
        <v>3</v>
      </c>
      <c r="DO2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242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44" x14ac:dyDescent="0.25">
      <c r="A1">
        <f>ROW(Source!A28)</f>
        <v>28</v>
      </c>
      <c r="B1">
        <v>55984237</v>
      </c>
      <c r="C1">
        <v>55984232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262</v>
      </c>
      <c r="J1" t="s">
        <v>3</v>
      </c>
      <c r="K1" t="s">
        <v>263</v>
      </c>
      <c r="L1">
        <v>1191</v>
      </c>
      <c r="N1">
        <v>1013</v>
      </c>
      <c r="O1" t="s">
        <v>264</v>
      </c>
      <c r="P1" t="s">
        <v>264</v>
      </c>
      <c r="Q1">
        <v>1</v>
      </c>
      <c r="X1">
        <v>29.96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25</v>
      </c>
      <c r="AG1">
        <v>10.785599999999999</v>
      </c>
      <c r="AH1">
        <v>2</v>
      </c>
      <c r="AI1">
        <v>55984233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5">
      <c r="A2">
        <f>ROW(Source!A28)</f>
        <v>28</v>
      </c>
      <c r="B2">
        <v>55984238</v>
      </c>
      <c r="C2">
        <v>55984232</v>
      </c>
      <c r="D2">
        <v>55490209</v>
      </c>
      <c r="E2">
        <v>1</v>
      </c>
      <c r="F2">
        <v>1</v>
      </c>
      <c r="G2">
        <v>1081</v>
      </c>
      <c r="H2">
        <v>2</v>
      </c>
      <c r="I2" t="s">
        <v>265</v>
      </c>
      <c r="J2" t="s">
        <v>266</v>
      </c>
      <c r="K2" t="s">
        <v>267</v>
      </c>
      <c r="L2">
        <v>1368</v>
      </c>
      <c r="N2">
        <v>1011</v>
      </c>
      <c r="O2" t="s">
        <v>268</v>
      </c>
      <c r="P2" t="s">
        <v>268</v>
      </c>
      <c r="Q2">
        <v>1</v>
      </c>
      <c r="X2">
        <v>0.01</v>
      </c>
      <c r="Y2">
        <v>0</v>
      </c>
      <c r="Z2">
        <v>83.1</v>
      </c>
      <c r="AA2">
        <v>12.62</v>
      </c>
      <c r="AB2">
        <v>0</v>
      </c>
      <c r="AC2">
        <v>0</v>
      </c>
      <c r="AD2">
        <v>1</v>
      </c>
      <c r="AE2">
        <v>0</v>
      </c>
      <c r="AF2" t="s">
        <v>25</v>
      </c>
      <c r="AG2">
        <v>3.5999999999999999E-3</v>
      </c>
      <c r="AH2">
        <v>2</v>
      </c>
      <c r="AI2">
        <v>55984234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5">
      <c r="A3">
        <f>ROW(Source!A28)</f>
        <v>28</v>
      </c>
      <c r="B3">
        <v>55984239</v>
      </c>
      <c r="C3">
        <v>55984232</v>
      </c>
      <c r="D3">
        <v>55490296</v>
      </c>
      <c r="E3">
        <v>1</v>
      </c>
      <c r="F3">
        <v>1</v>
      </c>
      <c r="G3">
        <v>1081</v>
      </c>
      <c r="H3">
        <v>2</v>
      </c>
      <c r="I3" t="s">
        <v>270</v>
      </c>
      <c r="J3" t="s">
        <v>271</v>
      </c>
      <c r="K3" t="s">
        <v>272</v>
      </c>
      <c r="L3">
        <v>1368</v>
      </c>
      <c r="N3">
        <v>1011</v>
      </c>
      <c r="O3" t="s">
        <v>268</v>
      </c>
      <c r="P3" t="s">
        <v>268</v>
      </c>
      <c r="Q3">
        <v>1</v>
      </c>
      <c r="X3">
        <v>0.57999999999999996</v>
      </c>
      <c r="Y3">
        <v>0</v>
      </c>
      <c r="Z3">
        <v>0.47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25</v>
      </c>
      <c r="AG3">
        <v>0.20879999999999999</v>
      </c>
      <c r="AH3">
        <v>2</v>
      </c>
      <c r="AI3">
        <v>55984235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5">
      <c r="A4">
        <f>ROW(Source!A28)</f>
        <v>28</v>
      </c>
      <c r="B4">
        <v>55984240</v>
      </c>
      <c r="C4">
        <v>55984232</v>
      </c>
      <c r="D4">
        <v>55460882</v>
      </c>
      <c r="E4">
        <v>1</v>
      </c>
      <c r="F4">
        <v>1</v>
      </c>
      <c r="G4">
        <v>1081</v>
      </c>
      <c r="H4">
        <v>3</v>
      </c>
      <c r="I4" t="s">
        <v>273</v>
      </c>
      <c r="J4" t="s">
        <v>274</v>
      </c>
      <c r="K4" t="s">
        <v>275</v>
      </c>
      <c r="L4">
        <v>1348</v>
      </c>
      <c r="N4">
        <v>1009</v>
      </c>
      <c r="O4" t="s">
        <v>223</v>
      </c>
      <c r="P4" t="s">
        <v>223</v>
      </c>
      <c r="Q4">
        <v>1000</v>
      </c>
      <c r="X4">
        <v>9.0000000000000006E-5</v>
      </c>
      <c r="Y4">
        <v>14327.51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24</v>
      </c>
      <c r="AG4">
        <v>0</v>
      </c>
      <c r="AH4">
        <v>2</v>
      </c>
      <c r="AI4">
        <v>55984236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5">
      <c r="A5">
        <f>ROW(Source!A28)</f>
        <v>28</v>
      </c>
      <c r="B5">
        <v>55984241</v>
      </c>
      <c r="C5">
        <v>55984232</v>
      </c>
      <c r="D5">
        <v>55441135</v>
      </c>
      <c r="E5">
        <v>1081</v>
      </c>
      <c r="F5">
        <v>1</v>
      </c>
      <c r="G5">
        <v>1081</v>
      </c>
      <c r="H5">
        <v>3</v>
      </c>
      <c r="I5" t="s">
        <v>327</v>
      </c>
      <c r="J5" t="s">
        <v>3</v>
      </c>
      <c r="K5" t="s">
        <v>328</v>
      </c>
      <c r="L5">
        <v>1358</v>
      </c>
      <c r="N5">
        <v>1010</v>
      </c>
      <c r="O5" t="s">
        <v>22</v>
      </c>
      <c r="P5" t="s">
        <v>22</v>
      </c>
      <c r="Q5">
        <v>10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s">
        <v>24</v>
      </c>
      <c r="AG5">
        <v>0</v>
      </c>
      <c r="AH5">
        <v>3</v>
      </c>
      <c r="AI5">
        <v>-1</v>
      </c>
      <c r="AJ5" t="s">
        <v>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5">
      <c r="A6">
        <f>ROW(Source!A29)</f>
        <v>29</v>
      </c>
      <c r="B6">
        <v>55984237</v>
      </c>
      <c r="C6">
        <v>55984232</v>
      </c>
      <c r="D6">
        <v>55424304</v>
      </c>
      <c r="E6">
        <v>1081</v>
      </c>
      <c r="F6">
        <v>1</v>
      </c>
      <c r="G6">
        <v>1081</v>
      </c>
      <c r="H6">
        <v>1</v>
      </c>
      <c r="I6" t="s">
        <v>262</v>
      </c>
      <c r="J6" t="s">
        <v>3</v>
      </c>
      <c r="K6" t="s">
        <v>263</v>
      </c>
      <c r="L6">
        <v>1191</v>
      </c>
      <c r="N6">
        <v>1013</v>
      </c>
      <c r="O6" t="s">
        <v>264</v>
      </c>
      <c r="P6" t="s">
        <v>264</v>
      </c>
      <c r="Q6">
        <v>1</v>
      </c>
      <c r="X6">
        <v>29.96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 t="s">
        <v>25</v>
      </c>
      <c r="AG6">
        <v>10.785599999999999</v>
      </c>
      <c r="AH6">
        <v>2</v>
      </c>
      <c r="AI6">
        <v>55984233</v>
      </c>
      <c r="AJ6">
        <v>5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5">
      <c r="A7">
        <f>ROW(Source!A29)</f>
        <v>29</v>
      </c>
      <c r="B7">
        <v>55984238</v>
      </c>
      <c r="C7">
        <v>55984232</v>
      </c>
      <c r="D7">
        <v>55490209</v>
      </c>
      <c r="E7">
        <v>1</v>
      </c>
      <c r="F7">
        <v>1</v>
      </c>
      <c r="G7">
        <v>1081</v>
      </c>
      <c r="H7">
        <v>2</v>
      </c>
      <c r="I7" t="s">
        <v>265</v>
      </c>
      <c r="J7" t="s">
        <v>266</v>
      </c>
      <c r="K7" t="s">
        <v>267</v>
      </c>
      <c r="L7">
        <v>1368</v>
      </c>
      <c r="N7">
        <v>1011</v>
      </c>
      <c r="O7" t="s">
        <v>268</v>
      </c>
      <c r="P7" t="s">
        <v>268</v>
      </c>
      <c r="Q7">
        <v>1</v>
      </c>
      <c r="X7">
        <v>0.01</v>
      </c>
      <c r="Y7">
        <v>0</v>
      </c>
      <c r="Z7">
        <v>83.1</v>
      </c>
      <c r="AA7">
        <v>12.62</v>
      </c>
      <c r="AB7">
        <v>0</v>
      </c>
      <c r="AC7">
        <v>0</v>
      </c>
      <c r="AD7">
        <v>1</v>
      </c>
      <c r="AE7">
        <v>0</v>
      </c>
      <c r="AF7" t="s">
        <v>25</v>
      </c>
      <c r="AG7">
        <v>3.5999999999999999E-3</v>
      </c>
      <c r="AH7">
        <v>2</v>
      </c>
      <c r="AI7">
        <v>55984234</v>
      </c>
      <c r="AJ7">
        <v>6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5">
      <c r="A8">
        <f>ROW(Source!A29)</f>
        <v>29</v>
      </c>
      <c r="B8">
        <v>55984239</v>
      </c>
      <c r="C8">
        <v>55984232</v>
      </c>
      <c r="D8">
        <v>55490296</v>
      </c>
      <c r="E8">
        <v>1</v>
      </c>
      <c r="F8">
        <v>1</v>
      </c>
      <c r="G8">
        <v>1081</v>
      </c>
      <c r="H8">
        <v>2</v>
      </c>
      <c r="I8" t="s">
        <v>270</v>
      </c>
      <c r="J8" t="s">
        <v>271</v>
      </c>
      <c r="K8" t="s">
        <v>272</v>
      </c>
      <c r="L8">
        <v>1368</v>
      </c>
      <c r="N8">
        <v>1011</v>
      </c>
      <c r="O8" t="s">
        <v>268</v>
      </c>
      <c r="P8" t="s">
        <v>268</v>
      </c>
      <c r="Q8">
        <v>1</v>
      </c>
      <c r="X8">
        <v>0.57999999999999996</v>
      </c>
      <c r="Y8">
        <v>0</v>
      </c>
      <c r="Z8">
        <v>0.47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25</v>
      </c>
      <c r="AG8">
        <v>0.20879999999999999</v>
      </c>
      <c r="AH8">
        <v>2</v>
      </c>
      <c r="AI8">
        <v>55984235</v>
      </c>
      <c r="AJ8">
        <v>7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5">
      <c r="A9">
        <f>ROW(Source!A29)</f>
        <v>29</v>
      </c>
      <c r="B9">
        <v>55984240</v>
      </c>
      <c r="C9">
        <v>55984232</v>
      </c>
      <c r="D9">
        <v>55460882</v>
      </c>
      <c r="E9">
        <v>1</v>
      </c>
      <c r="F9">
        <v>1</v>
      </c>
      <c r="G9">
        <v>1081</v>
      </c>
      <c r="H9">
        <v>3</v>
      </c>
      <c r="I9" t="s">
        <v>273</v>
      </c>
      <c r="J9" t="s">
        <v>274</v>
      </c>
      <c r="K9" t="s">
        <v>275</v>
      </c>
      <c r="L9">
        <v>1348</v>
      </c>
      <c r="N9">
        <v>1009</v>
      </c>
      <c r="O9" t="s">
        <v>223</v>
      </c>
      <c r="P9" t="s">
        <v>223</v>
      </c>
      <c r="Q9">
        <v>1000</v>
      </c>
      <c r="X9">
        <v>9.0000000000000006E-5</v>
      </c>
      <c r="Y9">
        <v>14327.51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24</v>
      </c>
      <c r="AG9">
        <v>0</v>
      </c>
      <c r="AH9">
        <v>2</v>
      </c>
      <c r="AI9">
        <v>55984236</v>
      </c>
      <c r="AJ9">
        <v>8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5">
      <c r="A10">
        <f>ROW(Source!A29)</f>
        <v>29</v>
      </c>
      <c r="B10">
        <v>55984241</v>
      </c>
      <c r="C10">
        <v>55984232</v>
      </c>
      <c r="D10">
        <v>55441135</v>
      </c>
      <c r="E10">
        <v>1081</v>
      </c>
      <c r="F10">
        <v>1</v>
      </c>
      <c r="G10">
        <v>1081</v>
      </c>
      <c r="H10">
        <v>3</v>
      </c>
      <c r="I10" t="s">
        <v>327</v>
      </c>
      <c r="J10" t="s">
        <v>3</v>
      </c>
      <c r="K10" t="s">
        <v>328</v>
      </c>
      <c r="L10">
        <v>1358</v>
      </c>
      <c r="N10">
        <v>1010</v>
      </c>
      <c r="O10" t="s">
        <v>22</v>
      </c>
      <c r="P10" t="s">
        <v>22</v>
      </c>
      <c r="Q10">
        <v>10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t="s">
        <v>24</v>
      </c>
      <c r="AG10">
        <v>0</v>
      </c>
      <c r="AH10">
        <v>3</v>
      </c>
      <c r="AI10">
        <v>-1</v>
      </c>
      <c r="AJ10" t="s">
        <v>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5">
      <c r="A11">
        <f>ROW(Source!A30)</f>
        <v>30</v>
      </c>
      <c r="B11">
        <v>55984244</v>
      </c>
      <c r="C11">
        <v>55984242</v>
      </c>
      <c r="D11">
        <v>55424304</v>
      </c>
      <c r="E11">
        <v>1081</v>
      </c>
      <c r="F11">
        <v>1</v>
      </c>
      <c r="G11">
        <v>1081</v>
      </c>
      <c r="H11">
        <v>1</v>
      </c>
      <c r="I11" t="s">
        <v>262</v>
      </c>
      <c r="J11" t="s">
        <v>3</v>
      </c>
      <c r="K11" t="s">
        <v>263</v>
      </c>
      <c r="L11">
        <v>1191</v>
      </c>
      <c r="N11">
        <v>1013</v>
      </c>
      <c r="O11" t="s">
        <v>264</v>
      </c>
      <c r="P11" t="s">
        <v>264</v>
      </c>
      <c r="Q11">
        <v>1</v>
      </c>
      <c r="X11">
        <v>0.84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 t="s">
        <v>25</v>
      </c>
      <c r="AG11">
        <v>0.3024</v>
      </c>
      <c r="AH11">
        <v>2</v>
      </c>
      <c r="AI11">
        <v>55984243</v>
      </c>
      <c r="AJ11">
        <v>9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5">
      <c r="A12">
        <f>ROW(Source!A31)</f>
        <v>31</v>
      </c>
      <c r="B12">
        <v>55984244</v>
      </c>
      <c r="C12">
        <v>55984242</v>
      </c>
      <c r="D12">
        <v>55424304</v>
      </c>
      <c r="E12">
        <v>1081</v>
      </c>
      <c r="F12">
        <v>1</v>
      </c>
      <c r="G12">
        <v>1081</v>
      </c>
      <c r="H12">
        <v>1</v>
      </c>
      <c r="I12" t="s">
        <v>262</v>
      </c>
      <c r="J12" t="s">
        <v>3</v>
      </c>
      <c r="K12" t="s">
        <v>263</v>
      </c>
      <c r="L12">
        <v>1191</v>
      </c>
      <c r="N12">
        <v>1013</v>
      </c>
      <c r="O12" t="s">
        <v>264</v>
      </c>
      <c r="P12" t="s">
        <v>264</v>
      </c>
      <c r="Q12">
        <v>1</v>
      </c>
      <c r="X12">
        <v>0.84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1</v>
      </c>
      <c r="AF12" t="s">
        <v>25</v>
      </c>
      <c r="AG12">
        <v>0.3024</v>
      </c>
      <c r="AH12">
        <v>2</v>
      </c>
      <c r="AI12">
        <v>55984243</v>
      </c>
      <c r="AJ12">
        <v>10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5">
      <c r="A13">
        <f>ROW(Source!A32)</f>
        <v>32</v>
      </c>
      <c r="B13">
        <v>55984250</v>
      </c>
      <c r="C13">
        <v>55984245</v>
      </c>
      <c r="D13">
        <v>55424304</v>
      </c>
      <c r="E13">
        <v>1081</v>
      </c>
      <c r="F13">
        <v>1</v>
      </c>
      <c r="G13">
        <v>1081</v>
      </c>
      <c r="H13">
        <v>1</v>
      </c>
      <c r="I13" t="s">
        <v>262</v>
      </c>
      <c r="J13" t="s">
        <v>3</v>
      </c>
      <c r="K13" t="s">
        <v>263</v>
      </c>
      <c r="L13">
        <v>1191</v>
      </c>
      <c r="N13">
        <v>1013</v>
      </c>
      <c r="O13" t="s">
        <v>264</v>
      </c>
      <c r="P13" t="s">
        <v>264</v>
      </c>
      <c r="Q13">
        <v>1</v>
      </c>
      <c r="X13">
        <v>3.18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 t="s">
        <v>25</v>
      </c>
      <c r="AG13">
        <v>1.1447999999999998</v>
      </c>
      <c r="AH13">
        <v>2</v>
      </c>
      <c r="AI13">
        <v>55984246</v>
      </c>
      <c r="AJ13">
        <v>11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5">
      <c r="A14">
        <f>ROW(Source!A32)</f>
        <v>32</v>
      </c>
      <c r="B14">
        <v>55984251</v>
      </c>
      <c r="C14">
        <v>55984245</v>
      </c>
      <c r="D14">
        <v>55461074</v>
      </c>
      <c r="E14">
        <v>1</v>
      </c>
      <c r="F14">
        <v>1</v>
      </c>
      <c r="G14">
        <v>1081</v>
      </c>
      <c r="H14">
        <v>3</v>
      </c>
      <c r="I14" t="s">
        <v>276</v>
      </c>
      <c r="J14" t="s">
        <v>277</v>
      </c>
      <c r="K14" t="s">
        <v>278</v>
      </c>
      <c r="L14">
        <v>1346</v>
      </c>
      <c r="N14">
        <v>1009</v>
      </c>
      <c r="O14" t="s">
        <v>238</v>
      </c>
      <c r="P14" t="s">
        <v>238</v>
      </c>
      <c r="Q14">
        <v>1</v>
      </c>
      <c r="X14">
        <v>6.2700000000000004E-3</v>
      </c>
      <c r="Y14">
        <v>27.62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24</v>
      </c>
      <c r="AG14">
        <v>0</v>
      </c>
      <c r="AH14">
        <v>2</v>
      </c>
      <c r="AI14">
        <v>55984247</v>
      </c>
      <c r="AJ14">
        <v>12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5">
      <c r="A15">
        <f>ROW(Source!A32)</f>
        <v>32</v>
      </c>
      <c r="B15">
        <v>55984252</v>
      </c>
      <c r="C15">
        <v>55984245</v>
      </c>
      <c r="D15">
        <v>55459793</v>
      </c>
      <c r="E15">
        <v>1</v>
      </c>
      <c r="F15">
        <v>1</v>
      </c>
      <c r="G15">
        <v>1081</v>
      </c>
      <c r="H15">
        <v>3</v>
      </c>
      <c r="I15" t="s">
        <v>279</v>
      </c>
      <c r="J15" t="s">
        <v>280</v>
      </c>
      <c r="K15" t="s">
        <v>281</v>
      </c>
      <c r="L15">
        <v>1348</v>
      </c>
      <c r="N15">
        <v>1009</v>
      </c>
      <c r="O15" t="s">
        <v>223</v>
      </c>
      <c r="P15" t="s">
        <v>223</v>
      </c>
      <c r="Q15">
        <v>1000</v>
      </c>
      <c r="X15">
        <v>1.0000000000000001E-5</v>
      </c>
      <c r="Y15">
        <v>64123.05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 t="s">
        <v>24</v>
      </c>
      <c r="AG15">
        <v>0</v>
      </c>
      <c r="AH15">
        <v>2</v>
      </c>
      <c r="AI15">
        <v>55984248</v>
      </c>
      <c r="AJ15">
        <v>13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5">
      <c r="A16">
        <f>ROW(Source!A32)</f>
        <v>32</v>
      </c>
      <c r="B16">
        <v>55984253</v>
      </c>
      <c r="C16">
        <v>55984245</v>
      </c>
      <c r="D16">
        <v>55469253</v>
      </c>
      <c r="E16">
        <v>1</v>
      </c>
      <c r="F16">
        <v>1</v>
      </c>
      <c r="G16">
        <v>1081</v>
      </c>
      <c r="H16">
        <v>3</v>
      </c>
      <c r="I16" t="s">
        <v>282</v>
      </c>
      <c r="J16" t="s">
        <v>283</v>
      </c>
      <c r="K16" t="s">
        <v>284</v>
      </c>
      <c r="L16">
        <v>1354</v>
      </c>
      <c r="N16">
        <v>1010</v>
      </c>
      <c r="O16" t="s">
        <v>159</v>
      </c>
      <c r="P16" t="s">
        <v>159</v>
      </c>
      <c r="Q16">
        <v>1</v>
      </c>
      <c r="X16">
        <v>0.1</v>
      </c>
      <c r="Y16">
        <v>15.25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 t="s">
        <v>24</v>
      </c>
      <c r="AG16">
        <v>0</v>
      </c>
      <c r="AH16">
        <v>2</v>
      </c>
      <c r="AI16">
        <v>55984249</v>
      </c>
      <c r="AJ16">
        <v>14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5">
      <c r="A17">
        <f>ROW(Source!A32)</f>
        <v>32</v>
      </c>
      <c r="B17">
        <v>55984254</v>
      </c>
      <c r="C17">
        <v>55984245</v>
      </c>
      <c r="D17">
        <v>55441135</v>
      </c>
      <c r="E17">
        <v>1081</v>
      </c>
      <c r="F17">
        <v>1</v>
      </c>
      <c r="G17">
        <v>1081</v>
      </c>
      <c r="H17">
        <v>3</v>
      </c>
      <c r="I17" t="s">
        <v>327</v>
      </c>
      <c r="J17" t="s">
        <v>3</v>
      </c>
      <c r="K17" t="s">
        <v>329</v>
      </c>
      <c r="L17">
        <v>1354</v>
      </c>
      <c r="N17">
        <v>1010</v>
      </c>
      <c r="O17" t="s">
        <v>159</v>
      </c>
      <c r="P17" t="s">
        <v>159</v>
      </c>
      <c r="Q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t="s">
        <v>24</v>
      </c>
      <c r="AG17">
        <v>0</v>
      </c>
      <c r="AH17">
        <v>3</v>
      </c>
      <c r="AI17">
        <v>-1</v>
      </c>
      <c r="AJ17" t="s">
        <v>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>
        <f>ROW(Source!A33)</f>
        <v>33</v>
      </c>
      <c r="B18">
        <v>55984250</v>
      </c>
      <c r="C18">
        <v>55984245</v>
      </c>
      <c r="D18">
        <v>55424304</v>
      </c>
      <c r="E18">
        <v>1081</v>
      </c>
      <c r="F18">
        <v>1</v>
      </c>
      <c r="G18">
        <v>1081</v>
      </c>
      <c r="H18">
        <v>1</v>
      </c>
      <c r="I18" t="s">
        <v>262</v>
      </c>
      <c r="J18" t="s">
        <v>3</v>
      </c>
      <c r="K18" t="s">
        <v>263</v>
      </c>
      <c r="L18">
        <v>1191</v>
      </c>
      <c r="N18">
        <v>1013</v>
      </c>
      <c r="O18" t="s">
        <v>264</v>
      </c>
      <c r="P18" t="s">
        <v>264</v>
      </c>
      <c r="Q18">
        <v>1</v>
      </c>
      <c r="X18">
        <v>3.18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1</v>
      </c>
      <c r="AF18" t="s">
        <v>25</v>
      </c>
      <c r="AG18">
        <v>1.1447999999999998</v>
      </c>
      <c r="AH18">
        <v>2</v>
      </c>
      <c r="AI18">
        <v>55984246</v>
      </c>
      <c r="AJ18">
        <v>15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>
        <f>ROW(Source!A33)</f>
        <v>33</v>
      </c>
      <c r="B19">
        <v>55984251</v>
      </c>
      <c r="C19">
        <v>55984245</v>
      </c>
      <c r="D19">
        <v>55461074</v>
      </c>
      <c r="E19">
        <v>1</v>
      </c>
      <c r="F19">
        <v>1</v>
      </c>
      <c r="G19">
        <v>1081</v>
      </c>
      <c r="H19">
        <v>3</v>
      </c>
      <c r="I19" t="s">
        <v>276</v>
      </c>
      <c r="J19" t="s">
        <v>277</v>
      </c>
      <c r="K19" t="s">
        <v>278</v>
      </c>
      <c r="L19">
        <v>1346</v>
      </c>
      <c r="N19">
        <v>1009</v>
      </c>
      <c r="O19" t="s">
        <v>238</v>
      </c>
      <c r="P19" t="s">
        <v>238</v>
      </c>
      <c r="Q19">
        <v>1</v>
      </c>
      <c r="X19">
        <v>6.2700000000000004E-3</v>
      </c>
      <c r="Y19">
        <v>27.62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24</v>
      </c>
      <c r="AG19">
        <v>0</v>
      </c>
      <c r="AH19">
        <v>2</v>
      </c>
      <c r="AI19">
        <v>55984247</v>
      </c>
      <c r="AJ19">
        <v>16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5">
      <c r="A20">
        <f>ROW(Source!A33)</f>
        <v>33</v>
      </c>
      <c r="B20">
        <v>55984252</v>
      </c>
      <c r="C20">
        <v>55984245</v>
      </c>
      <c r="D20">
        <v>55459793</v>
      </c>
      <c r="E20">
        <v>1</v>
      </c>
      <c r="F20">
        <v>1</v>
      </c>
      <c r="G20">
        <v>1081</v>
      </c>
      <c r="H20">
        <v>3</v>
      </c>
      <c r="I20" t="s">
        <v>279</v>
      </c>
      <c r="J20" t="s">
        <v>280</v>
      </c>
      <c r="K20" t="s">
        <v>281</v>
      </c>
      <c r="L20">
        <v>1348</v>
      </c>
      <c r="N20">
        <v>1009</v>
      </c>
      <c r="O20" t="s">
        <v>223</v>
      </c>
      <c r="P20" t="s">
        <v>223</v>
      </c>
      <c r="Q20">
        <v>1000</v>
      </c>
      <c r="X20">
        <v>1.0000000000000001E-5</v>
      </c>
      <c r="Y20">
        <v>64123.05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24</v>
      </c>
      <c r="AG20">
        <v>0</v>
      </c>
      <c r="AH20">
        <v>2</v>
      </c>
      <c r="AI20">
        <v>55984248</v>
      </c>
      <c r="AJ20">
        <v>17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5">
      <c r="A21">
        <f>ROW(Source!A33)</f>
        <v>33</v>
      </c>
      <c r="B21">
        <v>55984253</v>
      </c>
      <c r="C21">
        <v>55984245</v>
      </c>
      <c r="D21">
        <v>55469253</v>
      </c>
      <c r="E21">
        <v>1</v>
      </c>
      <c r="F21">
        <v>1</v>
      </c>
      <c r="G21">
        <v>1081</v>
      </c>
      <c r="H21">
        <v>3</v>
      </c>
      <c r="I21" t="s">
        <v>282</v>
      </c>
      <c r="J21" t="s">
        <v>283</v>
      </c>
      <c r="K21" t="s">
        <v>284</v>
      </c>
      <c r="L21">
        <v>1354</v>
      </c>
      <c r="N21">
        <v>1010</v>
      </c>
      <c r="O21" t="s">
        <v>159</v>
      </c>
      <c r="P21" t="s">
        <v>159</v>
      </c>
      <c r="Q21">
        <v>1</v>
      </c>
      <c r="X21">
        <v>0.1</v>
      </c>
      <c r="Y21">
        <v>15.25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 t="s">
        <v>24</v>
      </c>
      <c r="AG21">
        <v>0</v>
      </c>
      <c r="AH21">
        <v>2</v>
      </c>
      <c r="AI21">
        <v>55984249</v>
      </c>
      <c r="AJ21">
        <v>18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A22">
        <f>ROW(Source!A33)</f>
        <v>33</v>
      </c>
      <c r="B22">
        <v>55984254</v>
      </c>
      <c r="C22">
        <v>55984245</v>
      </c>
      <c r="D22">
        <v>55441135</v>
      </c>
      <c r="E22">
        <v>1081</v>
      </c>
      <c r="F22">
        <v>1</v>
      </c>
      <c r="G22">
        <v>1081</v>
      </c>
      <c r="H22">
        <v>3</v>
      </c>
      <c r="I22" t="s">
        <v>327</v>
      </c>
      <c r="J22" t="s">
        <v>3</v>
      </c>
      <c r="K22" t="s">
        <v>329</v>
      </c>
      <c r="L22">
        <v>1354</v>
      </c>
      <c r="N22">
        <v>1010</v>
      </c>
      <c r="O22" t="s">
        <v>159</v>
      </c>
      <c r="P22" t="s">
        <v>159</v>
      </c>
      <c r="Q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 t="s">
        <v>24</v>
      </c>
      <c r="AG22">
        <v>0</v>
      </c>
      <c r="AH22">
        <v>3</v>
      </c>
      <c r="AI22">
        <v>-1</v>
      </c>
      <c r="AJ22" t="s">
        <v>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>
        <f>ROW(Source!A34)</f>
        <v>34</v>
      </c>
      <c r="B23">
        <v>55984261</v>
      </c>
      <c r="C23">
        <v>55984255</v>
      </c>
      <c r="D23">
        <v>55424304</v>
      </c>
      <c r="E23">
        <v>1081</v>
      </c>
      <c r="F23">
        <v>1</v>
      </c>
      <c r="G23">
        <v>1081</v>
      </c>
      <c r="H23">
        <v>1</v>
      </c>
      <c r="I23" t="s">
        <v>262</v>
      </c>
      <c r="J23" t="s">
        <v>3</v>
      </c>
      <c r="K23" t="s">
        <v>263</v>
      </c>
      <c r="L23">
        <v>1191</v>
      </c>
      <c r="N23">
        <v>1013</v>
      </c>
      <c r="O23" t="s">
        <v>264</v>
      </c>
      <c r="P23" t="s">
        <v>264</v>
      </c>
      <c r="Q23">
        <v>1</v>
      </c>
      <c r="X23">
        <v>14.64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1</v>
      </c>
      <c r="AF23" t="s">
        <v>25</v>
      </c>
      <c r="AG23">
        <v>5.2704000000000004</v>
      </c>
      <c r="AH23">
        <v>2</v>
      </c>
      <c r="AI23">
        <v>55984256</v>
      </c>
      <c r="AJ23">
        <v>19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A24">
        <f>ROW(Source!A34)</f>
        <v>34</v>
      </c>
      <c r="B24">
        <v>55984262</v>
      </c>
      <c r="C24">
        <v>55984255</v>
      </c>
      <c r="D24">
        <v>55490209</v>
      </c>
      <c r="E24">
        <v>1</v>
      </c>
      <c r="F24">
        <v>1</v>
      </c>
      <c r="G24">
        <v>1081</v>
      </c>
      <c r="H24">
        <v>2</v>
      </c>
      <c r="I24" t="s">
        <v>265</v>
      </c>
      <c r="J24" t="s">
        <v>266</v>
      </c>
      <c r="K24" t="s">
        <v>267</v>
      </c>
      <c r="L24">
        <v>1368</v>
      </c>
      <c r="N24">
        <v>1011</v>
      </c>
      <c r="O24" t="s">
        <v>268</v>
      </c>
      <c r="P24" t="s">
        <v>268</v>
      </c>
      <c r="Q24">
        <v>1</v>
      </c>
      <c r="X24">
        <v>0.06</v>
      </c>
      <c r="Y24">
        <v>0</v>
      </c>
      <c r="Z24">
        <v>83.1</v>
      </c>
      <c r="AA24">
        <v>12.62</v>
      </c>
      <c r="AB24">
        <v>0</v>
      </c>
      <c r="AC24">
        <v>0</v>
      </c>
      <c r="AD24">
        <v>1</v>
      </c>
      <c r="AE24">
        <v>0</v>
      </c>
      <c r="AF24" t="s">
        <v>25</v>
      </c>
      <c r="AG24">
        <v>2.1599999999999998E-2</v>
      </c>
      <c r="AH24">
        <v>2</v>
      </c>
      <c r="AI24">
        <v>55984257</v>
      </c>
      <c r="AJ24">
        <v>20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>
        <f>ROW(Source!A34)</f>
        <v>34</v>
      </c>
      <c r="B25">
        <v>55984263</v>
      </c>
      <c r="C25">
        <v>55984255</v>
      </c>
      <c r="D25">
        <v>55490330</v>
      </c>
      <c r="E25">
        <v>1</v>
      </c>
      <c r="F25">
        <v>1</v>
      </c>
      <c r="G25">
        <v>1081</v>
      </c>
      <c r="H25">
        <v>2</v>
      </c>
      <c r="I25" t="s">
        <v>285</v>
      </c>
      <c r="J25" t="s">
        <v>286</v>
      </c>
      <c r="K25" t="s">
        <v>287</v>
      </c>
      <c r="L25">
        <v>1368</v>
      </c>
      <c r="N25">
        <v>1011</v>
      </c>
      <c r="O25" t="s">
        <v>268</v>
      </c>
      <c r="P25" t="s">
        <v>268</v>
      </c>
      <c r="Q25">
        <v>1</v>
      </c>
      <c r="X25">
        <v>0.81</v>
      </c>
      <c r="Y25">
        <v>0</v>
      </c>
      <c r="Z25">
        <v>0.8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25</v>
      </c>
      <c r="AG25">
        <v>0.29159999999999997</v>
      </c>
      <c r="AH25">
        <v>2</v>
      </c>
      <c r="AI25">
        <v>55984258</v>
      </c>
      <c r="AJ25">
        <v>21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>
        <f>ROW(Source!A34)</f>
        <v>34</v>
      </c>
      <c r="B26">
        <v>55984264</v>
      </c>
      <c r="C26">
        <v>55984255</v>
      </c>
      <c r="D26">
        <v>55490296</v>
      </c>
      <c r="E26">
        <v>1</v>
      </c>
      <c r="F26">
        <v>1</v>
      </c>
      <c r="G26">
        <v>1081</v>
      </c>
      <c r="H26">
        <v>2</v>
      </c>
      <c r="I26" t="s">
        <v>270</v>
      </c>
      <c r="J26" t="s">
        <v>271</v>
      </c>
      <c r="K26" t="s">
        <v>272</v>
      </c>
      <c r="L26">
        <v>1368</v>
      </c>
      <c r="N26">
        <v>1011</v>
      </c>
      <c r="O26" t="s">
        <v>268</v>
      </c>
      <c r="P26" t="s">
        <v>268</v>
      </c>
      <c r="Q26">
        <v>1</v>
      </c>
      <c r="X26">
        <v>0.93</v>
      </c>
      <c r="Y26">
        <v>0</v>
      </c>
      <c r="Z26">
        <v>0.47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25</v>
      </c>
      <c r="AG26">
        <v>0.33480000000000004</v>
      </c>
      <c r="AH26">
        <v>2</v>
      </c>
      <c r="AI26">
        <v>55984259</v>
      </c>
      <c r="AJ26">
        <v>22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>
        <f>ROW(Source!A34)</f>
        <v>34</v>
      </c>
      <c r="B27">
        <v>55984265</v>
      </c>
      <c r="C27">
        <v>55984255</v>
      </c>
      <c r="D27">
        <v>55460882</v>
      </c>
      <c r="E27">
        <v>1</v>
      </c>
      <c r="F27">
        <v>1</v>
      </c>
      <c r="G27">
        <v>1081</v>
      </c>
      <c r="H27">
        <v>3</v>
      </c>
      <c r="I27" t="s">
        <v>273</v>
      </c>
      <c r="J27" t="s">
        <v>274</v>
      </c>
      <c r="K27" t="s">
        <v>275</v>
      </c>
      <c r="L27">
        <v>1348</v>
      </c>
      <c r="N27">
        <v>1009</v>
      </c>
      <c r="O27" t="s">
        <v>223</v>
      </c>
      <c r="P27" t="s">
        <v>223</v>
      </c>
      <c r="Q27">
        <v>1000</v>
      </c>
      <c r="X27">
        <v>1.7000000000000001E-4</v>
      </c>
      <c r="Y27">
        <v>14327.51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24</v>
      </c>
      <c r="AG27">
        <v>0</v>
      </c>
      <c r="AH27">
        <v>2</v>
      </c>
      <c r="AI27">
        <v>55984260</v>
      </c>
      <c r="AJ27">
        <v>23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5">
      <c r="A28">
        <f>ROW(Source!A34)</f>
        <v>34</v>
      </c>
      <c r="B28">
        <v>55984266</v>
      </c>
      <c r="C28">
        <v>55984255</v>
      </c>
      <c r="D28">
        <v>55441128</v>
      </c>
      <c r="E28">
        <v>1081</v>
      </c>
      <c r="F28">
        <v>1</v>
      </c>
      <c r="G28">
        <v>1081</v>
      </c>
      <c r="H28">
        <v>3</v>
      </c>
      <c r="I28" t="s">
        <v>330</v>
      </c>
      <c r="J28" t="s">
        <v>3</v>
      </c>
      <c r="K28" t="s">
        <v>331</v>
      </c>
      <c r="L28">
        <v>1358</v>
      </c>
      <c r="N28">
        <v>1010</v>
      </c>
      <c r="O28" t="s">
        <v>22</v>
      </c>
      <c r="P28" t="s">
        <v>22</v>
      </c>
      <c r="Q28">
        <v>10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 t="s">
        <v>24</v>
      </c>
      <c r="AG28">
        <v>0</v>
      </c>
      <c r="AH28">
        <v>3</v>
      </c>
      <c r="AI28">
        <v>-1</v>
      </c>
      <c r="AJ28" t="s">
        <v>3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5">
      <c r="A29">
        <f>ROW(Source!A35)</f>
        <v>35</v>
      </c>
      <c r="B29">
        <v>55984261</v>
      </c>
      <c r="C29">
        <v>55984255</v>
      </c>
      <c r="D29">
        <v>55424304</v>
      </c>
      <c r="E29">
        <v>1081</v>
      </c>
      <c r="F29">
        <v>1</v>
      </c>
      <c r="G29">
        <v>1081</v>
      </c>
      <c r="H29">
        <v>1</v>
      </c>
      <c r="I29" t="s">
        <v>262</v>
      </c>
      <c r="J29" t="s">
        <v>3</v>
      </c>
      <c r="K29" t="s">
        <v>263</v>
      </c>
      <c r="L29">
        <v>1191</v>
      </c>
      <c r="N29">
        <v>1013</v>
      </c>
      <c r="O29" t="s">
        <v>264</v>
      </c>
      <c r="P29" t="s">
        <v>264</v>
      </c>
      <c r="Q29">
        <v>1</v>
      </c>
      <c r="X29">
        <v>14.64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1</v>
      </c>
      <c r="AF29" t="s">
        <v>25</v>
      </c>
      <c r="AG29">
        <v>5.2704000000000004</v>
      </c>
      <c r="AH29">
        <v>2</v>
      </c>
      <c r="AI29">
        <v>55984256</v>
      </c>
      <c r="AJ29">
        <v>24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5">
      <c r="A30">
        <f>ROW(Source!A35)</f>
        <v>35</v>
      </c>
      <c r="B30">
        <v>55984262</v>
      </c>
      <c r="C30">
        <v>55984255</v>
      </c>
      <c r="D30">
        <v>55490209</v>
      </c>
      <c r="E30">
        <v>1</v>
      </c>
      <c r="F30">
        <v>1</v>
      </c>
      <c r="G30">
        <v>1081</v>
      </c>
      <c r="H30">
        <v>2</v>
      </c>
      <c r="I30" t="s">
        <v>265</v>
      </c>
      <c r="J30" t="s">
        <v>266</v>
      </c>
      <c r="K30" t="s">
        <v>267</v>
      </c>
      <c r="L30">
        <v>1368</v>
      </c>
      <c r="N30">
        <v>1011</v>
      </c>
      <c r="O30" t="s">
        <v>268</v>
      </c>
      <c r="P30" t="s">
        <v>268</v>
      </c>
      <c r="Q30">
        <v>1</v>
      </c>
      <c r="X30">
        <v>0.06</v>
      </c>
      <c r="Y30">
        <v>0</v>
      </c>
      <c r="Z30">
        <v>83.1</v>
      </c>
      <c r="AA30">
        <v>12.62</v>
      </c>
      <c r="AB30">
        <v>0</v>
      </c>
      <c r="AC30">
        <v>0</v>
      </c>
      <c r="AD30">
        <v>1</v>
      </c>
      <c r="AE30">
        <v>0</v>
      </c>
      <c r="AF30" t="s">
        <v>25</v>
      </c>
      <c r="AG30">
        <v>2.1599999999999998E-2</v>
      </c>
      <c r="AH30">
        <v>2</v>
      </c>
      <c r="AI30">
        <v>55984257</v>
      </c>
      <c r="AJ30">
        <v>25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5">
      <c r="A31">
        <f>ROW(Source!A35)</f>
        <v>35</v>
      </c>
      <c r="B31">
        <v>55984263</v>
      </c>
      <c r="C31">
        <v>55984255</v>
      </c>
      <c r="D31">
        <v>55490330</v>
      </c>
      <c r="E31">
        <v>1</v>
      </c>
      <c r="F31">
        <v>1</v>
      </c>
      <c r="G31">
        <v>1081</v>
      </c>
      <c r="H31">
        <v>2</v>
      </c>
      <c r="I31" t="s">
        <v>285</v>
      </c>
      <c r="J31" t="s">
        <v>286</v>
      </c>
      <c r="K31" t="s">
        <v>287</v>
      </c>
      <c r="L31">
        <v>1368</v>
      </c>
      <c r="N31">
        <v>1011</v>
      </c>
      <c r="O31" t="s">
        <v>268</v>
      </c>
      <c r="P31" t="s">
        <v>268</v>
      </c>
      <c r="Q31">
        <v>1</v>
      </c>
      <c r="X31">
        <v>0.81</v>
      </c>
      <c r="Y31">
        <v>0</v>
      </c>
      <c r="Z31">
        <v>0.8</v>
      </c>
      <c r="AA31">
        <v>0</v>
      </c>
      <c r="AB31">
        <v>0</v>
      </c>
      <c r="AC31">
        <v>0</v>
      </c>
      <c r="AD31">
        <v>1</v>
      </c>
      <c r="AE31">
        <v>0</v>
      </c>
      <c r="AF31" t="s">
        <v>25</v>
      </c>
      <c r="AG31">
        <v>0.29159999999999997</v>
      </c>
      <c r="AH31">
        <v>2</v>
      </c>
      <c r="AI31">
        <v>55984258</v>
      </c>
      <c r="AJ31">
        <v>26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A32">
        <f>ROW(Source!A35)</f>
        <v>35</v>
      </c>
      <c r="B32">
        <v>55984264</v>
      </c>
      <c r="C32">
        <v>55984255</v>
      </c>
      <c r="D32">
        <v>55490296</v>
      </c>
      <c r="E32">
        <v>1</v>
      </c>
      <c r="F32">
        <v>1</v>
      </c>
      <c r="G32">
        <v>1081</v>
      </c>
      <c r="H32">
        <v>2</v>
      </c>
      <c r="I32" t="s">
        <v>270</v>
      </c>
      <c r="J32" t="s">
        <v>271</v>
      </c>
      <c r="K32" t="s">
        <v>272</v>
      </c>
      <c r="L32">
        <v>1368</v>
      </c>
      <c r="N32">
        <v>1011</v>
      </c>
      <c r="O32" t="s">
        <v>268</v>
      </c>
      <c r="P32" t="s">
        <v>268</v>
      </c>
      <c r="Q32">
        <v>1</v>
      </c>
      <c r="X32">
        <v>0.93</v>
      </c>
      <c r="Y32">
        <v>0</v>
      </c>
      <c r="Z32">
        <v>0.47</v>
      </c>
      <c r="AA32">
        <v>0</v>
      </c>
      <c r="AB32">
        <v>0</v>
      </c>
      <c r="AC32">
        <v>0</v>
      </c>
      <c r="AD32">
        <v>1</v>
      </c>
      <c r="AE32">
        <v>0</v>
      </c>
      <c r="AF32" t="s">
        <v>25</v>
      </c>
      <c r="AG32">
        <v>0.33480000000000004</v>
      </c>
      <c r="AH32">
        <v>2</v>
      </c>
      <c r="AI32">
        <v>55984259</v>
      </c>
      <c r="AJ32">
        <v>27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5">
      <c r="A33">
        <f>ROW(Source!A35)</f>
        <v>35</v>
      </c>
      <c r="B33">
        <v>55984265</v>
      </c>
      <c r="C33">
        <v>55984255</v>
      </c>
      <c r="D33">
        <v>55460882</v>
      </c>
      <c r="E33">
        <v>1</v>
      </c>
      <c r="F33">
        <v>1</v>
      </c>
      <c r="G33">
        <v>1081</v>
      </c>
      <c r="H33">
        <v>3</v>
      </c>
      <c r="I33" t="s">
        <v>273</v>
      </c>
      <c r="J33" t="s">
        <v>274</v>
      </c>
      <c r="K33" t="s">
        <v>275</v>
      </c>
      <c r="L33">
        <v>1348</v>
      </c>
      <c r="N33">
        <v>1009</v>
      </c>
      <c r="O33" t="s">
        <v>223</v>
      </c>
      <c r="P33" t="s">
        <v>223</v>
      </c>
      <c r="Q33">
        <v>1000</v>
      </c>
      <c r="X33">
        <v>1.7000000000000001E-4</v>
      </c>
      <c r="Y33">
        <v>14327.51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 t="s">
        <v>24</v>
      </c>
      <c r="AG33">
        <v>0</v>
      </c>
      <c r="AH33">
        <v>2</v>
      </c>
      <c r="AI33">
        <v>55984260</v>
      </c>
      <c r="AJ33">
        <v>28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5">
      <c r="A34">
        <f>ROW(Source!A35)</f>
        <v>35</v>
      </c>
      <c r="B34">
        <v>55984266</v>
      </c>
      <c r="C34">
        <v>55984255</v>
      </c>
      <c r="D34">
        <v>55441128</v>
      </c>
      <c r="E34">
        <v>1081</v>
      </c>
      <c r="F34">
        <v>1</v>
      </c>
      <c r="G34">
        <v>1081</v>
      </c>
      <c r="H34">
        <v>3</v>
      </c>
      <c r="I34" t="s">
        <v>330</v>
      </c>
      <c r="J34" t="s">
        <v>3</v>
      </c>
      <c r="K34" t="s">
        <v>331</v>
      </c>
      <c r="L34">
        <v>1358</v>
      </c>
      <c r="N34">
        <v>1010</v>
      </c>
      <c r="O34" t="s">
        <v>22</v>
      </c>
      <c r="P34" t="s">
        <v>22</v>
      </c>
      <c r="Q34">
        <v>10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 t="s">
        <v>24</v>
      </c>
      <c r="AG34">
        <v>0</v>
      </c>
      <c r="AH34">
        <v>3</v>
      </c>
      <c r="AI34">
        <v>-1</v>
      </c>
      <c r="AJ34" t="s">
        <v>3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>
        <f>ROW(Source!A36)</f>
        <v>36</v>
      </c>
      <c r="B35">
        <v>55984271</v>
      </c>
      <c r="C35">
        <v>55984267</v>
      </c>
      <c r="D35">
        <v>55424304</v>
      </c>
      <c r="E35">
        <v>1081</v>
      </c>
      <c r="F35">
        <v>1</v>
      </c>
      <c r="G35">
        <v>1081</v>
      </c>
      <c r="H35">
        <v>1</v>
      </c>
      <c r="I35" t="s">
        <v>262</v>
      </c>
      <c r="J35" t="s">
        <v>3</v>
      </c>
      <c r="K35" t="s">
        <v>263</v>
      </c>
      <c r="L35">
        <v>1191</v>
      </c>
      <c r="N35">
        <v>1013</v>
      </c>
      <c r="O35" t="s">
        <v>264</v>
      </c>
      <c r="P35" t="s">
        <v>264</v>
      </c>
      <c r="Q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1</v>
      </c>
      <c r="AF35" t="s">
        <v>25</v>
      </c>
      <c r="AG35">
        <v>0.36</v>
      </c>
      <c r="AH35">
        <v>2</v>
      </c>
      <c r="AI35">
        <v>55984268</v>
      </c>
      <c r="AJ35">
        <v>29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5">
      <c r="A36">
        <f>ROW(Source!A36)</f>
        <v>36</v>
      </c>
      <c r="B36">
        <v>55984272</v>
      </c>
      <c r="C36">
        <v>55984267</v>
      </c>
      <c r="D36">
        <v>55459793</v>
      </c>
      <c r="E36">
        <v>1</v>
      </c>
      <c r="F36">
        <v>1</v>
      </c>
      <c r="G36">
        <v>1081</v>
      </c>
      <c r="H36">
        <v>3</v>
      </c>
      <c r="I36" t="s">
        <v>279</v>
      </c>
      <c r="J36" t="s">
        <v>280</v>
      </c>
      <c r="K36" t="s">
        <v>281</v>
      </c>
      <c r="L36">
        <v>1348</v>
      </c>
      <c r="N36">
        <v>1009</v>
      </c>
      <c r="O36" t="s">
        <v>223</v>
      </c>
      <c r="P36" t="s">
        <v>223</v>
      </c>
      <c r="Q36">
        <v>1000</v>
      </c>
      <c r="X36">
        <v>1.0000000000000001E-5</v>
      </c>
      <c r="Y36">
        <v>64123.05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24</v>
      </c>
      <c r="AG36">
        <v>0</v>
      </c>
      <c r="AH36">
        <v>2</v>
      </c>
      <c r="AI36">
        <v>55984269</v>
      </c>
      <c r="AJ36">
        <v>30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5">
      <c r="A37">
        <f>ROW(Source!A36)</f>
        <v>36</v>
      </c>
      <c r="B37">
        <v>55984273</v>
      </c>
      <c r="C37">
        <v>55984267</v>
      </c>
      <c r="D37">
        <v>55487942</v>
      </c>
      <c r="E37">
        <v>1</v>
      </c>
      <c r="F37">
        <v>1</v>
      </c>
      <c r="G37">
        <v>1081</v>
      </c>
      <c r="H37">
        <v>3</v>
      </c>
      <c r="I37" t="s">
        <v>288</v>
      </c>
      <c r="J37" t="s">
        <v>289</v>
      </c>
      <c r="K37" t="s">
        <v>290</v>
      </c>
      <c r="L37">
        <v>1303</v>
      </c>
      <c r="N37">
        <v>1003</v>
      </c>
      <c r="O37" t="s">
        <v>291</v>
      </c>
      <c r="P37" t="s">
        <v>291</v>
      </c>
      <c r="Q37">
        <v>1000</v>
      </c>
      <c r="X37">
        <v>2E-3</v>
      </c>
      <c r="Y37">
        <v>516.63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 t="s">
        <v>24</v>
      </c>
      <c r="AG37">
        <v>0</v>
      </c>
      <c r="AH37">
        <v>2</v>
      </c>
      <c r="AI37">
        <v>55984270</v>
      </c>
      <c r="AJ37">
        <v>31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5">
      <c r="A38">
        <f>ROW(Source!A36)</f>
        <v>36</v>
      </c>
      <c r="B38">
        <v>55984274</v>
      </c>
      <c r="C38">
        <v>55984267</v>
      </c>
      <c r="D38">
        <v>55431425</v>
      </c>
      <c r="E38">
        <v>1081</v>
      </c>
      <c r="F38">
        <v>1</v>
      </c>
      <c r="G38">
        <v>1081</v>
      </c>
      <c r="H38">
        <v>3</v>
      </c>
      <c r="I38" t="s">
        <v>332</v>
      </c>
      <c r="J38" t="s">
        <v>3</v>
      </c>
      <c r="K38" t="s">
        <v>333</v>
      </c>
      <c r="L38">
        <v>1354</v>
      </c>
      <c r="N38">
        <v>1010</v>
      </c>
      <c r="O38" t="s">
        <v>159</v>
      </c>
      <c r="P38" t="s">
        <v>159</v>
      </c>
      <c r="Q38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 t="s">
        <v>24</v>
      </c>
      <c r="AG38">
        <v>0</v>
      </c>
      <c r="AH38">
        <v>3</v>
      </c>
      <c r="AI38">
        <v>-1</v>
      </c>
      <c r="AJ38" t="s">
        <v>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5">
      <c r="A39">
        <f>ROW(Source!A37)</f>
        <v>37</v>
      </c>
      <c r="B39">
        <v>55984271</v>
      </c>
      <c r="C39">
        <v>55984267</v>
      </c>
      <c r="D39">
        <v>55424304</v>
      </c>
      <c r="E39">
        <v>1081</v>
      </c>
      <c r="F39">
        <v>1</v>
      </c>
      <c r="G39">
        <v>1081</v>
      </c>
      <c r="H39">
        <v>1</v>
      </c>
      <c r="I39" t="s">
        <v>262</v>
      </c>
      <c r="J39" t="s">
        <v>3</v>
      </c>
      <c r="K39" t="s">
        <v>263</v>
      </c>
      <c r="L39">
        <v>1191</v>
      </c>
      <c r="N39">
        <v>1013</v>
      </c>
      <c r="O39" t="s">
        <v>264</v>
      </c>
      <c r="P39" t="s">
        <v>264</v>
      </c>
      <c r="Q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1</v>
      </c>
      <c r="AF39" t="s">
        <v>25</v>
      </c>
      <c r="AG39">
        <v>0.36</v>
      </c>
      <c r="AH39">
        <v>2</v>
      </c>
      <c r="AI39">
        <v>55984268</v>
      </c>
      <c r="AJ39">
        <v>32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5">
      <c r="A40">
        <f>ROW(Source!A37)</f>
        <v>37</v>
      </c>
      <c r="B40">
        <v>55984272</v>
      </c>
      <c r="C40">
        <v>55984267</v>
      </c>
      <c r="D40">
        <v>55459793</v>
      </c>
      <c r="E40">
        <v>1</v>
      </c>
      <c r="F40">
        <v>1</v>
      </c>
      <c r="G40">
        <v>1081</v>
      </c>
      <c r="H40">
        <v>3</v>
      </c>
      <c r="I40" t="s">
        <v>279</v>
      </c>
      <c r="J40" t="s">
        <v>280</v>
      </c>
      <c r="K40" t="s">
        <v>281</v>
      </c>
      <c r="L40">
        <v>1348</v>
      </c>
      <c r="N40">
        <v>1009</v>
      </c>
      <c r="O40" t="s">
        <v>223</v>
      </c>
      <c r="P40" t="s">
        <v>223</v>
      </c>
      <c r="Q40">
        <v>1000</v>
      </c>
      <c r="X40">
        <v>1.0000000000000001E-5</v>
      </c>
      <c r="Y40">
        <v>64123.05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24</v>
      </c>
      <c r="AG40">
        <v>0</v>
      </c>
      <c r="AH40">
        <v>2</v>
      </c>
      <c r="AI40">
        <v>55984269</v>
      </c>
      <c r="AJ40">
        <v>33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5">
      <c r="A41">
        <f>ROW(Source!A37)</f>
        <v>37</v>
      </c>
      <c r="B41">
        <v>55984273</v>
      </c>
      <c r="C41">
        <v>55984267</v>
      </c>
      <c r="D41">
        <v>55487942</v>
      </c>
      <c r="E41">
        <v>1</v>
      </c>
      <c r="F41">
        <v>1</v>
      </c>
      <c r="G41">
        <v>1081</v>
      </c>
      <c r="H41">
        <v>3</v>
      </c>
      <c r="I41" t="s">
        <v>288</v>
      </c>
      <c r="J41" t="s">
        <v>289</v>
      </c>
      <c r="K41" t="s">
        <v>290</v>
      </c>
      <c r="L41">
        <v>1303</v>
      </c>
      <c r="N41">
        <v>1003</v>
      </c>
      <c r="O41" t="s">
        <v>291</v>
      </c>
      <c r="P41" t="s">
        <v>291</v>
      </c>
      <c r="Q41">
        <v>1000</v>
      </c>
      <c r="X41">
        <v>2E-3</v>
      </c>
      <c r="Y41">
        <v>516.63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 t="s">
        <v>24</v>
      </c>
      <c r="AG41">
        <v>0</v>
      </c>
      <c r="AH41">
        <v>2</v>
      </c>
      <c r="AI41">
        <v>55984270</v>
      </c>
      <c r="AJ41">
        <v>34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5">
      <c r="A42">
        <f>ROW(Source!A37)</f>
        <v>37</v>
      </c>
      <c r="B42">
        <v>55984274</v>
      </c>
      <c r="C42">
        <v>55984267</v>
      </c>
      <c r="D42">
        <v>55431425</v>
      </c>
      <c r="E42">
        <v>1081</v>
      </c>
      <c r="F42">
        <v>1</v>
      </c>
      <c r="G42">
        <v>1081</v>
      </c>
      <c r="H42">
        <v>3</v>
      </c>
      <c r="I42" t="s">
        <v>332</v>
      </c>
      <c r="J42" t="s">
        <v>3</v>
      </c>
      <c r="K42" t="s">
        <v>333</v>
      </c>
      <c r="L42">
        <v>1354</v>
      </c>
      <c r="N42">
        <v>1010</v>
      </c>
      <c r="O42" t="s">
        <v>159</v>
      </c>
      <c r="P42" t="s">
        <v>159</v>
      </c>
      <c r="Q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 t="s">
        <v>24</v>
      </c>
      <c r="AG42">
        <v>0</v>
      </c>
      <c r="AH42">
        <v>3</v>
      </c>
      <c r="AI42">
        <v>-1</v>
      </c>
      <c r="AJ42" t="s">
        <v>3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5">
      <c r="A43">
        <f>ROW(Source!A38)</f>
        <v>38</v>
      </c>
      <c r="B43">
        <v>55984281</v>
      </c>
      <c r="C43">
        <v>55984275</v>
      </c>
      <c r="D43">
        <v>55424304</v>
      </c>
      <c r="E43">
        <v>1081</v>
      </c>
      <c r="F43">
        <v>1</v>
      </c>
      <c r="G43">
        <v>1081</v>
      </c>
      <c r="H43">
        <v>1</v>
      </c>
      <c r="I43" t="s">
        <v>262</v>
      </c>
      <c r="J43" t="s">
        <v>3</v>
      </c>
      <c r="K43" t="s">
        <v>263</v>
      </c>
      <c r="L43">
        <v>1191</v>
      </c>
      <c r="N43">
        <v>1013</v>
      </c>
      <c r="O43" t="s">
        <v>264</v>
      </c>
      <c r="P43" t="s">
        <v>264</v>
      </c>
      <c r="Q43">
        <v>1</v>
      </c>
      <c r="X43">
        <v>14.64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1</v>
      </c>
      <c r="AF43" t="s">
        <v>25</v>
      </c>
      <c r="AG43">
        <v>5.2704000000000004</v>
      </c>
      <c r="AH43">
        <v>2</v>
      </c>
      <c r="AI43">
        <v>55984276</v>
      </c>
      <c r="AJ43">
        <v>35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5">
      <c r="A44">
        <f>ROW(Source!A38)</f>
        <v>38</v>
      </c>
      <c r="B44">
        <v>55984282</v>
      </c>
      <c r="C44">
        <v>55984275</v>
      </c>
      <c r="D44">
        <v>55490209</v>
      </c>
      <c r="E44">
        <v>1</v>
      </c>
      <c r="F44">
        <v>1</v>
      </c>
      <c r="G44">
        <v>1081</v>
      </c>
      <c r="H44">
        <v>2</v>
      </c>
      <c r="I44" t="s">
        <v>265</v>
      </c>
      <c r="J44" t="s">
        <v>266</v>
      </c>
      <c r="K44" t="s">
        <v>267</v>
      </c>
      <c r="L44">
        <v>1368</v>
      </c>
      <c r="N44">
        <v>1011</v>
      </c>
      <c r="O44" t="s">
        <v>268</v>
      </c>
      <c r="P44" t="s">
        <v>268</v>
      </c>
      <c r="Q44">
        <v>1</v>
      </c>
      <c r="X44">
        <v>0.06</v>
      </c>
      <c r="Y44">
        <v>0</v>
      </c>
      <c r="Z44">
        <v>83.1</v>
      </c>
      <c r="AA44">
        <v>12.62</v>
      </c>
      <c r="AB44">
        <v>0</v>
      </c>
      <c r="AC44">
        <v>0</v>
      </c>
      <c r="AD44">
        <v>1</v>
      </c>
      <c r="AE44">
        <v>0</v>
      </c>
      <c r="AF44" t="s">
        <v>25</v>
      </c>
      <c r="AG44">
        <v>2.1599999999999998E-2</v>
      </c>
      <c r="AH44">
        <v>2</v>
      </c>
      <c r="AI44">
        <v>55984277</v>
      </c>
      <c r="AJ44">
        <v>36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5">
      <c r="A45">
        <f>ROW(Source!A38)</f>
        <v>38</v>
      </c>
      <c r="B45">
        <v>55984283</v>
      </c>
      <c r="C45">
        <v>55984275</v>
      </c>
      <c r="D45">
        <v>55490330</v>
      </c>
      <c r="E45">
        <v>1</v>
      </c>
      <c r="F45">
        <v>1</v>
      </c>
      <c r="G45">
        <v>1081</v>
      </c>
      <c r="H45">
        <v>2</v>
      </c>
      <c r="I45" t="s">
        <v>285</v>
      </c>
      <c r="J45" t="s">
        <v>286</v>
      </c>
      <c r="K45" t="s">
        <v>287</v>
      </c>
      <c r="L45">
        <v>1368</v>
      </c>
      <c r="N45">
        <v>1011</v>
      </c>
      <c r="O45" t="s">
        <v>268</v>
      </c>
      <c r="P45" t="s">
        <v>268</v>
      </c>
      <c r="Q45">
        <v>1</v>
      </c>
      <c r="X45">
        <v>0.81</v>
      </c>
      <c r="Y45">
        <v>0</v>
      </c>
      <c r="Z45">
        <v>0.8</v>
      </c>
      <c r="AA45">
        <v>0</v>
      </c>
      <c r="AB45">
        <v>0</v>
      </c>
      <c r="AC45">
        <v>0</v>
      </c>
      <c r="AD45">
        <v>1</v>
      </c>
      <c r="AE45">
        <v>0</v>
      </c>
      <c r="AF45" t="s">
        <v>25</v>
      </c>
      <c r="AG45">
        <v>0.29159999999999997</v>
      </c>
      <c r="AH45">
        <v>2</v>
      </c>
      <c r="AI45">
        <v>55984278</v>
      </c>
      <c r="AJ45">
        <v>37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5">
      <c r="A46">
        <f>ROW(Source!A38)</f>
        <v>38</v>
      </c>
      <c r="B46">
        <v>55984284</v>
      </c>
      <c r="C46">
        <v>55984275</v>
      </c>
      <c r="D46">
        <v>55490296</v>
      </c>
      <c r="E46">
        <v>1</v>
      </c>
      <c r="F46">
        <v>1</v>
      </c>
      <c r="G46">
        <v>1081</v>
      </c>
      <c r="H46">
        <v>2</v>
      </c>
      <c r="I46" t="s">
        <v>270</v>
      </c>
      <c r="J46" t="s">
        <v>271</v>
      </c>
      <c r="K46" t="s">
        <v>272</v>
      </c>
      <c r="L46">
        <v>1368</v>
      </c>
      <c r="N46">
        <v>1011</v>
      </c>
      <c r="O46" t="s">
        <v>268</v>
      </c>
      <c r="P46" t="s">
        <v>268</v>
      </c>
      <c r="Q46">
        <v>1</v>
      </c>
      <c r="X46">
        <v>0.93</v>
      </c>
      <c r="Y46">
        <v>0</v>
      </c>
      <c r="Z46">
        <v>0.47</v>
      </c>
      <c r="AA46">
        <v>0</v>
      </c>
      <c r="AB46">
        <v>0</v>
      </c>
      <c r="AC46">
        <v>0</v>
      </c>
      <c r="AD46">
        <v>1</v>
      </c>
      <c r="AE46">
        <v>0</v>
      </c>
      <c r="AF46" t="s">
        <v>25</v>
      </c>
      <c r="AG46">
        <v>0.33480000000000004</v>
      </c>
      <c r="AH46">
        <v>2</v>
      </c>
      <c r="AI46">
        <v>55984279</v>
      </c>
      <c r="AJ46">
        <v>38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5">
      <c r="A47">
        <f>ROW(Source!A38)</f>
        <v>38</v>
      </c>
      <c r="B47">
        <v>55984285</v>
      </c>
      <c r="C47">
        <v>55984275</v>
      </c>
      <c r="D47">
        <v>55460882</v>
      </c>
      <c r="E47">
        <v>1</v>
      </c>
      <c r="F47">
        <v>1</v>
      </c>
      <c r="G47">
        <v>1081</v>
      </c>
      <c r="H47">
        <v>3</v>
      </c>
      <c r="I47" t="s">
        <v>273</v>
      </c>
      <c r="J47" t="s">
        <v>274</v>
      </c>
      <c r="K47" t="s">
        <v>275</v>
      </c>
      <c r="L47">
        <v>1348</v>
      </c>
      <c r="N47">
        <v>1009</v>
      </c>
      <c r="O47" t="s">
        <v>223</v>
      </c>
      <c r="P47" t="s">
        <v>223</v>
      </c>
      <c r="Q47">
        <v>1000</v>
      </c>
      <c r="X47">
        <v>1.7000000000000001E-4</v>
      </c>
      <c r="Y47">
        <v>14327.51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24</v>
      </c>
      <c r="AG47">
        <v>0</v>
      </c>
      <c r="AH47">
        <v>2</v>
      </c>
      <c r="AI47">
        <v>55984280</v>
      </c>
      <c r="AJ47">
        <v>39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5">
      <c r="A48">
        <f>ROW(Source!A38)</f>
        <v>38</v>
      </c>
      <c r="B48">
        <v>55984286</v>
      </c>
      <c r="C48">
        <v>55984275</v>
      </c>
      <c r="D48">
        <v>55441128</v>
      </c>
      <c r="E48">
        <v>1081</v>
      </c>
      <c r="F48">
        <v>1</v>
      </c>
      <c r="G48">
        <v>1081</v>
      </c>
      <c r="H48">
        <v>3</v>
      </c>
      <c r="I48" t="s">
        <v>330</v>
      </c>
      <c r="J48" t="s">
        <v>3</v>
      </c>
      <c r="K48" t="s">
        <v>331</v>
      </c>
      <c r="L48">
        <v>1358</v>
      </c>
      <c r="N48">
        <v>1010</v>
      </c>
      <c r="O48" t="s">
        <v>22</v>
      </c>
      <c r="P48" t="s">
        <v>22</v>
      </c>
      <c r="Q48">
        <v>10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 t="s">
        <v>24</v>
      </c>
      <c r="AG48">
        <v>0</v>
      </c>
      <c r="AH48">
        <v>3</v>
      </c>
      <c r="AI48">
        <v>-1</v>
      </c>
      <c r="AJ48" t="s">
        <v>3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5">
      <c r="A49">
        <f>ROW(Source!A39)</f>
        <v>39</v>
      </c>
      <c r="B49">
        <v>55984281</v>
      </c>
      <c r="C49">
        <v>55984275</v>
      </c>
      <c r="D49">
        <v>55424304</v>
      </c>
      <c r="E49">
        <v>1081</v>
      </c>
      <c r="F49">
        <v>1</v>
      </c>
      <c r="G49">
        <v>1081</v>
      </c>
      <c r="H49">
        <v>1</v>
      </c>
      <c r="I49" t="s">
        <v>262</v>
      </c>
      <c r="J49" t="s">
        <v>3</v>
      </c>
      <c r="K49" t="s">
        <v>263</v>
      </c>
      <c r="L49">
        <v>1191</v>
      </c>
      <c r="N49">
        <v>1013</v>
      </c>
      <c r="O49" t="s">
        <v>264</v>
      </c>
      <c r="P49" t="s">
        <v>264</v>
      </c>
      <c r="Q49">
        <v>1</v>
      </c>
      <c r="X49">
        <v>14.64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1</v>
      </c>
      <c r="AF49" t="s">
        <v>25</v>
      </c>
      <c r="AG49">
        <v>5.2704000000000004</v>
      </c>
      <c r="AH49">
        <v>2</v>
      </c>
      <c r="AI49">
        <v>55984276</v>
      </c>
      <c r="AJ49">
        <v>40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5">
      <c r="A50">
        <f>ROW(Source!A39)</f>
        <v>39</v>
      </c>
      <c r="B50">
        <v>55984282</v>
      </c>
      <c r="C50">
        <v>55984275</v>
      </c>
      <c r="D50">
        <v>55490209</v>
      </c>
      <c r="E50">
        <v>1</v>
      </c>
      <c r="F50">
        <v>1</v>
      </c>
      <c r="G50">
        <v>1081</v>
      </c>
      <c r="H50">
        <v>2</v>
      </c>
      <c r="I50" t="s">
        <v>265</v>
      </c>
      <c r="J50" t="s">
        <v>266</v>
      </c>
      <c r="K50" t="s">
        <v>267</v>
      </c>
      <c r="L50">
        <v>1368</v>
      </c>
      <c r="N50">
        <v>1011</v>
      </c>
      <c r="O50" t="s">
        <v>268</v>
      </c>
      <c r="P50" t="s">
        <v>268</v>
      </c>
      <c r="Q50">
        <v>1</v>
      </c>
      <c r="X50">
        <v>0.06</v>
      </c>
      <c r="Y50">
        <v>0</v>
      </c>
      <c r="Z50">
        <v>83.1</v>
      </c>
      <c r="AA50">
        <v>12.62</v>
      </c>
      <c r="AB50">
        <v>0</v>
      </c>
      <c r="AC50">
        <v>0</v>
      </c>
      <c r="AD50">
        <v>1</v>
      </c>
      <c r="AE50">
        <v>0</v>
      </c>
      <c r="AF50" t="s">
        <v>25</v>
      </c>
      <c r="AG50">
        <v>2.1599999999999998E-2</v>
      </c>
      <c r="AH50">
        <v>2</v>
      </c>
      <c r="AI50">
        <v>55984277</v>
      </c>
      <c r="AJ50">
        <v>41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5">
      <c r="A51">
        <f>ROW(Source!A39)</f>
        <v>39</v>
      </c>
      <c r="B51">
        <v>55984283</v>
      </c>
      <c r="C51">
        <v>55984275</v>
      </c>
      <c r="D51">
        <v>55490330</v>
      </c>
      <c r="E51">
        <v>1</v>
      </c>
      <c r="F51">
        <v>1</v>
      </c>
      <c r="G51">
        <v>1081</v>
      </c>
      <c r="H51">
        <v>2</v>
      </c>
      <c r="I51" t="s">
        <v>285</v>
      </c>
      <c r="J51" t="s">
        <v>286</v>
      </c>
      <c r="K51" t="s">
        <v>287</v>
      </c>
      <c r="L51">
        <v>1368</v>
      </c>
      <c r="N51">
        <v>1011</v>
      </c>
      <c r="O51" t="s">
        <v>268</v>
      </c>
      <c r="P51" t="s">
        <v>268</v>
      </c>
      <c r="Q51">
        <v>1</v>
      </c>
      <c r="X51">
        <v>0.81</v>
      </c>
      <c r="Y51">
        <v>0</v>
      </c>
      <c r="Z51">
        <v>0.8</v>
      </c>
      <c r="AA51">
        <v>0</v>
      </c>
      <c r="AB51">
        <v>0</v>
      </c>
      <c r="AC51">
        <v>0</v>
      </c>
      <c r="AD51">
        <v>1</v>
      </c>
      <c r="AE51">
        <v>0</v>
      </c>
      <c r="AF51" t="s">
        <v>25</v>
      </c>
      <c r="AG51">
        <v>0.29159999999999997</v>
      </c>
      <c r="AH51">
        <v>2</v>
      </c>
      <c r="AI51">
        <v>55984278</v>
      </c>
      <c r="AJ51">
        <v>42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5">
      <c r="A52">
        <f>ROW(Source!A39)</f>
        <v>39</v>
      </c>
      <c r="B52">
        <v>55984284</v>
      </c>
      <c r="C52">
        <v>55984275</v>
      </c>
      <c r="D52">
        <v>55490296</v>
      </c>
      <c r="E52">
        <v>1</v>
      </c>
      <c r="F52">
        <v>1</v>
      </c>
      <c r="G52">
        <v>1081</v>
      </c>
      <c r="H52">
        <v>2</v>
      </c>
      <c r="I52" t="s">
        <v>270</v>
      </c>
      <c r="J52" t="s">
        <v>271</v>
      </c>
      <c r="K52" t="s">
        <v>272</v>
      </c>
      <c r="L52">
        <v>1368</v>
      </c>
      <c r="N52">
        <v>1011</v>
      </c>
      <c r="O52" t="s">
        <v>268</v>
      </c>
      <c r="P52" t="s">
        <v>268</v>
      </c>
      <c r="Q52">
        <v>1</v>
      </c>
      <c r="X52">
        <v>0.93</v>
      </c>
      <c r="Y52">
        <v>0</v>
      </c>
      <c r="Z52">
        <v>0.47</v>
      </c>
      <c r="AA52">
        <v>0</v>
      </c>
      <c r="AB52">
        <v>0</v>
      </c>
      <c r="AC52">
        <v>0</v>
      </c>
      <c r="AD52">
        <v>1</v>
      </c>
      <c r="AE52">
        <v>0</v>
      </c>
      <c r="AF52" t="s">
        <v>25</v>
      </c>
      <c r="AG52">
        <v>0.33480000000000004</v>
      </c>
      <c r="AH52">
        <v>2</v>
      </c>
      <c r="AI52">
        <v>55984279</v>
      </c>
      <c r="AJ52">
        <v>43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5">
      <c r="A53">
        <f>ROW(Source!A39)</f>
        <v>39</v>
      </c>
      <c r="B53">
        <v>55984285</v>
      </c>
      <c r="C53">
        <v>55984275</v>
      </c>
      <c r="D53">
        <v>55460882</v>
      </c>
      <c r="E53">
        <v>1</v>
      </c>
      <c r="F53">
        <v>1</v>
      </c>
      <c r="G53">
        <v>1081</v>
      </c>
      <c r="H53">
        <v>3</v>
      </c>
      <c r="I53" t="s">
        <v>273</v>
      </c>
      <c r="J53" t="s">
        <v>274</v>
      </c>
      <c r="K53" t="s">
        <v>275</v>
      </c>
      <c r="L53">
        <v>1348</v>
      </c>
      <c r="N53">
        <v>1009</v>
      </c>
      <c r="O53" t="s">
        <v>223</v>
      </c>
      <c r="P53" t="s">
        <v>223</v>
      </c>
      <c r="Q53">
        <v>1000</v>
      </c>
      <c r="X53">
        <v>1.7000000000000001E-4</v>
      </c>
      <c r="Y53">
        <v>14327.51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 t="s">
        <v>24</v>
      </c>
      <c r="AG53">
        <v>0</v>
      </c>
      <c r="AH53">
        <v>2</v>
      </c>
      <c r="AI53">
        <v>55984280</v>
      </c>
      <c r="AJ53">
        <v>44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5">
      <c r="A54">
        <f>ROW(Source!A39)</f>
        <v>39</v>
      </c>
      <c r="B54">
        <v>55984286</v>
      </c>
      <c r="C54">
        <v>55984275</v>
      </c>
      <c r="D54">
        <v>55441128</v>
      </c>
      <c r="E54">
        <v>1081</v>
      </c>
      <c r="F54">
        <v>1</v>
      </c>
      <c r="G54">
        <v>1081</v>
      </c>
      <c r="H54">
        <v>3</v>
      </c>
      <c r="I54" t="s">
        <v>330</v>
      </c>
      <c r="J54" t="s">
        <v>3</v>
      </c>
      <c r="K54" t="s">
        <v>331</v>
      </c>
      <c r="L54">
        <v>1358</v>
      </c>
      <c r="N54">
        <v>1010</v>
      </c>
      <c r="O54" t="s">
        <v>22</v>
      </c>
      <c r="P54" t="s">
        <v>22</v>
      </c>
      <c r="Q54">
        <v>10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24</v>
      </c>
      <c r="AG54">
        <v>0</v>
      </c>
      <c r="AH54">
        <v>3</v>
      </c>
      <c r="AI54">
        <v>-1</v>
      </c>
      <c r="AJ54" t="s">
        <v>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5">
      <c r="A55">
        <f>ROW(Source!A40)</f>
        <v>40</v>
      </c>
      <c r="B55">
        <v>55984293</v>
      </c>
      <c r="C55">
        <v>55984287</v>
      </c>
      <c r="D55">
        <v>55424304</v>
      </c>
      <c r="E55">
        <v>1081</v>
      </c>
      <c r="F55">
        <v>1</v>
      </c>
      <c r="G55">
        <v>1081</v>
      </c>
      <c r="H55">
        <v>1</v>
      </c>
      <c r="I55" t="s">
        <v>262</v>
      </c>
      <c r="J55" t="s">
        <v>3</v>
      </c>
      <c r="K55" t="s">
        <v>263</v>
      </c>
      <c r="L55">
        <v>1191</v>
      </c>
      <c r="N55">
        <v>1013</v>
      </c>
      <c r="O55" t="s">
        <v>264</v>
      </c>
      <c r="P55" t="s">
        <v>264</v>
      </c>
      <c r="Q55">
        <v>1</v>
      </c>
      <c r="X55">
        <v>14.64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1</v>
      </c>
      <c r="AF55" t="s">
        <v>25</v>
      </c>
      <c r="AG55">
        <v>5.2704000000000004</v>
      </c>
      <c r="AH55">
        <v>2</v>
      </c>
      <c r="AI55">
        <v>55984288</v>
      </c>
      <c r="AJ55">
        <v>45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5">
      <c r="A56">
        <f>ROW(Source!A40)</f>
        <v>40</v>
      </c>
      <c r="B56">
        <v>55984294</v>
      </c>
      <c r="C56">
        <v>55984287</v>
      </c>
      <c r="D56">
        <v>55490209</v>
      </c>
      <c r="E56">
        <v>1</v>
      </c>
      <c r="F56">
        <v>1</v>
      </c>
      <c r="G56">
        <v>1081</v>
      </c>
      <c r="H56">
        <v>2</v>
      </c>
      <c r="I56" t="s">
        <v>265</v>
      </c>
      <c r="J56" t="s">
        <v>266</v>
      </c>
      <c r="K56" t="s">
        <v>267</v>
      </c>
      <c r="L56">
        <v>1368</v>
      </c>
      <c r="N56">
        <v>1011</v>
      </c>
      <c r="O56" t="s">
        <v>268</v>
      </c>
      <c r="P56" t="s">
        <v>268</v>
      </c>
      <c r="Q56">
        <v>1</v>
      </c>
      <c r="X56">
        <v>0.06</v>
      </c>
      <c r="Y56">
        <v>0</v>
      </c>
      <c r="Z56">
        <v>83.1</v>
      </c>
      <c r="AA56">
        <v>12.62</v>
      </c>
      <c r="AB56">
        <v>0</v>
      </c>
      <c r="AC56">
        <v>0</v>
      </c>
      <c r="AD56">
        <v>1</v>
      </c>
      <c r="AE56">
        <v>0</v>
      </c>
      <c r="AF56" t="s">
        <v>25</v>
      </c>
      <c r="AG56">
        <v>2.1599999999999998E-2</v>
      </c>
      <c r="AH56">
        <v>2</v>
      </c>
      <c r="AI56">
        <v>55984289</v>
      </c>
      <c r="AJ56">
        <v>46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5">
      <c r="A57">
        <f>ROW(Source!A40)</f>
        <v>40</v>
      </c>
      <c r="B57">
        <v>55984295</v>
      </c>
      <c r="C57">
        <v>55984287</v>
      </c>
      <c r="D57">
        <v>55490330</v>
      </c>
      <c r="E57">
        <v>1</v>
      </c>
      <c r="F57">
        <v>1</v>
      </c>
      <c r="G57">
        <v>1081</v>
      </c>
      <c r="H57">
        <v>2</v>
      </c>
      <c r="I57" t="s">
        <v>285</v>
      </c>
      <c r="J57" t="s">
        <v>286</v>
      </c>
      <c r="K57" t="s">
        <v>287</v>
      </c>
      <c r="L57">
        <v>1368</v>
      </c>
      <c r="N57">
        <v>1011</v>
      </c>
      <c r="O57" t="s">
        <v>268</v>
      </c>
      <c r="P57" t="s">
        <v>268</v>
      </c>
      <c r="Q57">
        <v>1</v>
      </c>
      <c r="X57">
        <v>0.81</v>
      </c>
      <c r="Y57">
        <v>0</v>
      </c>
      <c r="Z57">
        <v>0.8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25</v>
      </c>
      <c r="AG57">
        <v>0.29159999999999997</v>
      </c>
      <c r="AH57">
        <v>2</v>
      </c>
      <c r="AI57">
        <v>55984290</v>
      </c>
      <c r="AJ57">
        <v>47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5">
      <c r="A58">
        <f>ROW(Source!A40)</f>
        <v>40</v>
      </c>
      <c r="B58">
        <v>55984296</v>
      </c>
      <c r="C58">
        <v>55984287</v>
      </c>
      <c r="D58">
        <v>55490296</v>
      </c>
      <c r="E58">
        <v>1</v>
      </c>
      <c r="F58">
        <v>1</v>
      </c>
      <c r="G58">
        <v>1081</v>
      </c>
      <c r="H58">
        <v>2</v>
      </c>
      <c r="I58" t="s">
        <v>270</v>
      </c>
      <c r="J58" t="s">
        <v>271</v>
      </c>
      <c r="K58" t="s">
        <v>272</v>
      </c>
      <c r="L58">
        <v>1368</v>
      </c>
      <c r="N58">
        <v>1011</v>
      </c>
      <c r="O58" t="s">
        <v>268</v>
      </c>
      <c r="P58" t="s">
        <v>268</v>
      </c>
      <c r="Q58">
        <v>1</v>
      </c>
      <c r="X58">
        <v>0.93</v>
      </c>
      <c r="Y58">
        <v>0</v>
      </c>
      <c r="Z58">
        <v>0.47</v>
      </c>
      <c r="AA58">
        <v>0</v>
      </c>
      <c r="AB58">
        <v>0</v>
      </c>
      <c r="AC58">
        <v>0</v>
      </c>
      <c r="AD58">
        <v>1</v>
      </c>
      <c r="AE58">
        <v>0</v>
      </c>
      <c r="AF58" t="s">
        <v>25</v>
      </c>
      <c r="AG58">
        <v>0.33480000000000004</v>
      </c>
      <c r="AH58">
        <v>2</v>
      </c>
      <c r="AI58">
        <v>55984291</v>
      </c>
      <c r="AJ58">
        <v>48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5">
      <c r="A59">
        <f>ROW(Source!A40)</f>
        <v>40</v>
      </c>
      <c r="B59">
        <v>55984297</v>
      </c>
      <c r="C59">
        <v>55984287</v>
      </c>
      <c r="D59">
        <v>55460882</v>
      </c>
      <c r="E59">
        <v>1</v>
      </c>
      <c r="F59">
        <v>1</v>
      </c>
      <c r="G59">
        <v>1081</v>
      </c>
      <c r="H59">
        <v>3</v>
      </c>
      <c r="I59" t="s">
        <v>273</v>
      </c>
      <c r="J59" t="s">
        <v>274</v>
      </c>
      <c r="K59" t="s">
        <v>275</v>
      </c>
      <c r="L59">
        <v>1348</v>
      </c>
      <c r="N59">
        <v>1009</v>
      </c>
      <c r="O59" t="s">
        <v>223</v>
      </c>
      <c r="P59" t="s">
        <v>223</v>
      </c>
      <c r="Q59">
        <v>1000</v>
      </c>
      <c r="X59">
        <v>1.7000000000000001E-4</v>
      </c>
      <c r="Y59">
        <v>14327.51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 t="s">
        <v>24</v>
      </c>
      <c r="AG59">
        <v>0</v>
      </c>
      <c r="AH59">
        <v>2</v>
      </c>
      <c r="AI59">
        <v>55984292</v>
      </c>
      <c r="AJ59">
        <v>49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5">
      <c r="A60">
        <f>ROW(Source!A40)</f>
        <v>40</v>
      </c>
      <c r="B60">
        <v>55984298</v>
      </c>
      <c r="C60">
        <v>55984287</v>
      </c>
      <c r="D60">
        <v>55441128</v>
      </c>
      <c r="E60">
        <v>1081</v>
      </c>
      <c r="F60">
        <v>1</v>
      </c>
      <c r="G60">
        <v>1081</v>
      </c>
      <c r="H60">
        <v>3</v>
      </c>
      <c r="I60" t="s">
        <v>330</v>
      </c>
      <c r="J60" t="s">
        <v>3</v>
      </c>
      <c r="K60" t="s">
        <v>331</v>
      </c>
      <c r="L60">
        <v>1358</v>
      </c>
      <c r="N60">
        <v>1010</v>
      </c>
      <c r="O60" t="s">
        <v>22</v>
      </c>
      <c r="P60" t="s">
        <v>22</v>
      </c>
      <c r="Q60">
        <v>10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 t="s">
        <v>24</v>
      </c>
      <c r="AG60">
        <v>0</v>
      </c>
      <c r="AH60">
        <v>3</v>
      </c>
      <c r="AI60">
        <v>-1</v>
      </c>
      <c r="AJ60" t="s">
        <v>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5">
      <c r="A61">
        <f>ROW(Source!A41)</f>
        <v>41</v>
      </c>
      <c r="B61">
        <v>55984293</v>
      </c>
      <c r="C61">
        <v>55984287</v>
      </c>
      <c r="D61">
        <v>55424304</v>
      </c>
      <c r="E61">
        <v>1081</v>
      </c>
      <c r="F61">
        <v>1</v>
      </c>
      <c r="G61">
        <v>1081</v>
      </c>
      <c r="H61">
        <v>1</v>
      </c>
      <c r="I61" t="s">
        <v>262</v>
      </c>
      <c r="J61" t="s">
        <v>3</v>
      </c>
      <c r="K61" t="s">
        <v>263</v>
      </c>
      <c r="L61">
        <v>1191</v>
      </c>
      <c r="N61">
        <v>1013</v>
      </c>
      <c r="O61" t="s">
        <v>264</v>
      </c>
      <c r="P61" t="s">
        <v>264</v>
      </c>
      <c r="Q61">
        <v>1</v>
      </c>
      <c r="X61">
        <v>14.64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1</v>
      </c>
      <c r="AF61" t="s">
        <v>25</v>
      </c>
      <c r="AG61">
        <v>5.2704000000000004</v>
      </c>
      <c r="AH61">
        <v>2</v>
      </c>
      <c r="AI61">
        <v>55984288</v>
      </c>
      <c r="AJ61">
        <v>50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5">
      <c r="A62">
        <f>ROW(Source!A41)</f>
        <v>41</v>
      </c>
      <c r="B62">
        <v>55984294</v>
      </c>
      <c r="C62">
        <v>55984287</v>
      </c>
      <c r="D62">
        <v>55490209</v>
      </c>
      <c r="E62">
        <v>1</v>
      </c>
      <c r="F62">
        <v>1</v>
      </c>
      <c r="G62">
        <v>1081</v>
      </c>
      <c r="H62">
        <v>2</v>
      </c>
      <c r="I62" t="s">
        <v>265</v>
      </c>
      <c r="J62" t="s">
        <v>266</v>
      </c>
      <c r="K62" t="s">
        <v>267</v>
      </c>
      <c r="L62">
        <v>1368</v>
      </c>
      <c r="N62">
        <v>1011</v>
      </c>
      <c r="O62" t="s">
        <v>268</v>
      </c>
      <c r="P62" t="s">
        <v>268</v>
      </c>
      <c r="Q62">
        <v>1</v>
      </c>
      <c r="X62">
        <v>0.06</v>
      </c>
      <c r="Y62">
        <v>0</v>
      </c>
      <c r="Z62">
        <v>83.1</v>
      </c>
      <c r="AA62">
        <v>12.62</v>
      </c>
      <c r="AB62">
        <v>0</v>
      </c>
      <c r="AC62">
        <v>0</v>
      </c>
      <c r="AD62">
        <v>1</v>
      </c>
      <c r="AE62">
        <v>0</v>
      </c>
      <c r="AF62" t="s">
        <v>25</v>
      </c>
      <c r="AG62">
        <v>2.1599999999999998E-2</v>
      </c>
      <c r="AH62">
        <v>2</v>
      </c>
      <c r="AI62">
        <v>55984289</v>
      </c>
      <c r="AJ62">
        <v>51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5">
      <c r="A63">
        <f>ROW(Source!A41)</f>
        <v>41</v>
      </c>
      <c r="B63">
        <v>55984295</v>
      </c>
      <c r="C63">
        <v>55984287</v>
      </c>
      <c r="D63">
        <v>55490330</v>
      </c>
      <c r="E63">
        <v>1</v>
      </c>
      <c r="F63">
        <v>1</v>
      </c>
      <c r="G63">
        <v>1081</v>
      </c>
      <c r="H63">
        <v>2</v>
      </c>
      <c r="I63" t="s">
        <v>285</v>
      </c>
      <c r="J63" t="s">
        <v>286</v>
      </c>
      <c r="K63" t="s">
        <v>287</v>
      </c>
      <c r="L63">
        <v>1368</v>
      </c>
      <c r="N63">
        <v>1011</v>
      </c>
      <c r="O63" t="s">
        <v>268</v>
      </c>
      <c r="P63" t="s">
        <v>268</v>
      </c>
      <c r="Q63">
        <v>1</v>
      </c>
      <c r="X63">
        <v>0.81</v>
      </c>
      <c r="Y63">
        <v>0</v>
      </c>
      <c r="Z63">
        <v>0.8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25</v>
      </c>
      <c r="AG63">
        <v>0.29159999999999997</v>
      </c>
      <c r="AH63">
        <v>2</v>
      </c>
      <c r="AI63">
        <v>55984290</v>
      </c>
      <c r="AJ63">
        <v>52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5">
      <c r="A64">
        <f>ROW(Source!A41)</f>
        <v>41</v>
      </c>
      <c r="B64">
        <v>55984296</v>
      </c>
      <c r="C64">
        <v>55984287</v>
      </c>
      <c r="D64">
        <v>55490296</v>
      </c>
      <c r="E64">
        <v>1</v>
      </c>
      <c r="F64">
        <v>1</v>
      </c>
      <c r="G64">
        <v>1081</v>
      </c>
      <c r="H64">
        <v>2</v>
      </c>
      <c r="I64" t="s">
        <v>270</v>
      </c>
      <c r="J64" t="s">
        <v>271</v>
      </c>
      <c r="K64" t="s">
        <v>272</v>
      </c>
      <c r="L64">
        <v>1368</v>
      </c>
      <c r="N64">
        <v>1011</v>
      </c>
      <c r="O64" t="s">
        <v>268</v>
      </c>
      <c r="P64" t="s">
        <v>268</v>
      </c>
      <c r="Q64">
        <v>1</v>
      </c>
      <c r="X64">
        <v>0.93</v>
      </c>
      <c r="Y64">
        <v>0</v>
      </c>
      <c r="Z64">
        <v>0.47</v>
      </c>
      <c r="AA64">
        <v>0</v>
      </c>
      <c r="AB64">
        <v>0</v>
      </c>
      <c r="AC64">
        <v>0</v>
      </c>
      <c r="AD64">
        <v>1</v>
      </c>
      <c r="AE64">
        <v>0</v>
      </c>
      <c r="AF64" t="s">
        <v>25</v>
      </c>
      <c r="AG64">
        <v>0.33480000000000004</v>
      </c>
      <c r="AH64">
        <v>2</v>
      </c>
      <c r="AI64">
        <v>55984291</v>
      </c>
      <c r="AJ64">
        <v>53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5">
      <c r="A65">
        <f>ROW(Source!A41)</f>
        <v>41</v>
      </c>
      <c r="B65">
        <v>55984297</v>
      </c>
      <c r="C65">
        <v>55984287</v>
      </c>
      <c r="D65">
        <v>55460882</v>
      </c>
      <c r="E65">
        <v>1</v>
      </c>
      <c r="F65">
        <v>1</v>
      </c>
      <c r="G65">
        <v>1081</v>
      </c>
      <c r="H65">
        <v>3</v>
      </c>
      <c r="I65" t="s">
        <v>273</v>
      </c>
      <c r="J65" t="s">
        <v>274</v>
      </c>
      <c r="K65" t="s">
        <v>275</v>
      </c>
      <c r="L65">
        <v>1348</v>
      </c>
      <c r="N65">
        <v>1009</v>
      </c>
      <c r="O65" t="s">
        <v>223</v>
      </c>
      <c r="P65" t="s">
        <v>223</v>
      </c>
      <c r="Q65">
        <v>1000</v>
      </c>
      <c r="X65">
        <v>1.7000000000000001E-4</v>
      </c>
      <c r="Y65">
        <v>14327.51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 t="s">
        <v>24</v>
      </c>
      <c r="AG65">
        <v>0</v>
      </c>
      <c r="AH65">
        <v>2</v>
      </c>
      <c r="AI65">
        <v>55984292</v>
      </c>
      <c r="AJ65">
        <v>54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5">
      <c r="A66">
        <f>ROW(Source!A41)</f>
        <v>41</v>
      </c>
      <c r="B66">
        <v>55984298</v>
      </c>
      <c r="C66">
        <v>55984287</v>
      </c>
      <c r="D66">
        <v>55441128</v>
      </c>
      <c r="E66">
        <v>1081</v>
      </c>
      <c r="F66">
        <v>1</v>
      </c>
      <c r="G66">
        <v>1081</v>
      </c>
      <c r="H66">
        <v>3</v>
      </c>
      <c r="I66" t="s">
        <v>330</v>
      </c>
      <c r="J66" t="s">
        <v>3</v>
      </c>
      <c r="K66" t="s">
        <v>331</v>
      </c>
      <c r="L66">
        <v>1358</v>
      </c>
      <c r="N66">
        <v>1010</v>
      </c>
      <c r="O66" t="s">
        <v>22</v>
      </c>
      <c r="P66" t="s">
        <v>22</v>
      </c>
      <c r="Q66">
        <v>10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 t="s">
        <v>24</v>
      </c>
      <c r="AG66">
        <v>0</v>
      </c>
      <c r="AH66">
        <v>3</v>
      </c>
      <c r="AI66">
        <v>-1</v>
      </c>
      <c r="AJ66" t="s">
        <v>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5">
      <c r="A67">
        <f>ROW(Source!A42)</f>
        <v>42</v>
      </c>
      <c r="B67">
        <v>55984305</v>
      </c>
      <c r="C67">
        <v>55984299</v>
      </c>
      <c r="D67">
        <v>55424304</v>
      </c>
      <c r="E67">
        <v>1081</v>
      </c>
      <c r="F67">
        <v>1</v>
      </c>
      <c r="G67">
        <v>1081</v>
      </c>
      <c r="H67">
        <v>1</v>
      </c>
      <c r="I67" t="s">
        <v>262</v>
      </c>
      <c r="J67" t="s">
        <v>3</v>
      </c>
      <c r="K67" t="s">
        <v>263</v>
      </c>
      <c r="L67">
        <v>1191</v>
      </c>
      <c r="N67">
        <v>1013</v>
      </c>
      <c r="O67" t="s">
        <v>264</v>
      </c>
      <c r="P67" t="s">
        <v>264</v>
      </c>
      <c r="Q67">
        <v>1</v>
      </c>
      <c r="X67">
        <v>1.35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1</v>
      </c>
      <c r="AF67" t="s">
        <v>25</v>
      </c>
      <c r="AG67">
        <v>0.48599999999999999</v>
      </c>
      <c r="AH67">
        <v>2</v>
      </c>
      <c r="AI67">
        <v>55984300</v>
      </c>
      <c r="AJ67">
        <v>55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5">
      <c r="A68">
        <f>ROW(Source!A42)</f>
        <v>42</v>
      </c>
      <c r="B68">
        <v>55984306</v>
      </c>
      <c r="C68">
        <v>55984299</v>
      </c>
      <c r="D68">
        <v>55490209</v>
      </c>
      <c r="E68">
        <v>1</v>
      </c>
      <c r="F68">
        <v>1</v>
      </c>
      <c r="G68">
        <v>1081</v>
      </c>
      <c r="H68">
        <v>2</v>
      </c>
      <c r="I68" t="s">
        <v>265</v>
      </c>
      <c r="J68" t="s">
        <v>266</v>
      </c>
      <c r="K68" t="s">
        <v>267</v>
      </c>
      <c r="L68">
        <v>1368</v>
      </c>
      <c r="N68">
        <v>1011</v>
      </c>
      <c r="O68" t="s">
        <v>268</v>
      </c>
      <c r="P68" t="s">
        <v>268</v>
      </c>
      <c r="Q68">
        <v>1</v>
      </c>
      <c r="X68">
        <v>0.01</v>
      </c>
      <c r="Y68">
        <v>0</v>
      </c>
      <c r="Z68">
        <v>83.1</v>
      </c>
      <c r="AA68">
        <v>12.62</v>
      </c>
      <c r="AB68">
        <v>0</v>
      </c>
      <c r="AC68">
        <v>0</v>
      </c>
      <c r="AD68">
        <v>1</v>
      </c>
      <c r="AE68">
        <v>0</v>
      </c>
      <c r="AF68" t="s">
        <v>25</v>
      </c>
      <c r="AG68">
        <v>3.5999999999999999E-3</v>
      </c>
      <c r="AH68">
        <v>2</v>
      </c>
      <c r="AI68">
        <v>55984301</v>
      </c>
      <c r="AJ68">
        <v>56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5">
      <c r="A69">
        <f>ROW(Source!A42)</f>
        <v>42</v>
      </c>
      <c r="B69">
        <v>55984307</v>
      </c>
      <c r="C69">
        <v>55984299</v>
      </c>
      <c r="D69">
        <v>55490296</v>
      </c>
      <c r="E69">
        <v>1</v>
      </c>
      <c r="F69">
        <v>1</v>
      </c>
      <c r="G69">
        <v>1081</v>
      </c>
      <c r="H69">
        <v>2</v>
      </c>
      <c r="I69" t="s">
        <v>270</v>
      </c>
      <c r="J69" t="s">
        <v>271</v>
      </c>
      <c r="K69" t="s">
        <v>272</v>
      </c>
      <c r="L69">
        <v>1368</v>
      </c>
      <c r="N69">
        <v>1011</v>
      </c>
      <c r="O69" t="s">
        <v>268</v>
      </c>
      <c r="P69" t="s">
        <v>268</v>
      </c>
      <c r="Q69">
        <v>1</v>
      </c>
      <c r="X69">
        <v>0.17</v>
      </c>
      <c r="Y69">
        <v>0</v>
      </c>
      <c r="Z69">
        <v>0.47</v>
      </c>
      <c r="AA69">
        <v>0</v>
      </c>
      <c r="AB69">
        <v>0</v>
      </c>
      <c r="AC69">
        <v>0</v>
      </c>
      <c r="AD69">
        <v>1</v>
      </c>
      <c r="AE69">
        <v>0</v>
      </c>
      <c r="AF69" t="s">
        <v>25</v>
      </c>
      <c r="AG69">
        <v>6.1200000000000004E-2</v>
      </c>
      <c r="AH69">
        <v>2</v>
      </c>
      <c r="AI69">
        <v>55984302</v>
      </c>
      <c r="AJ69">
        <v>57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5">
      <c r="A70">
        <f>ROW(Source!A42)</f>
        <v>42</v>
      </c>
      <c r="B70">
        <v>55984308</v>
      </c>
      <c r="C70">
        <v>55984299</v>
      </c>
      <c r="D70">
        <v>55460882</v>
      </c>
      <c r="E70">
        <v>1</v>
      </c>
      <c r="F70">
        <v>1</v>
      </c>
      <c r="G70">
        <v>1081</v>
      </c>
      <c r="H70">
        <v>3</v>
      </c>
      <c r="I70" t="s">
        <v>273</v>
      </c>
      <c r="J70" t="s">
        <v>274</v>
      </c>
      <c r="K70" t="s">
        <v>275</v>
      </c>
      <c r="L70">
        <v>1348</v>
      </c>
      <c r="N70">
        <v>1009</v>
      </c>
      <c r="O70" t="s">
        <v>223</v>
      </c>
      <c r="P70" t="s">
        <v>223</v>
      </c>
      <c r="Q70">
        <v>1000</v>
      </c>
      <c r="X70">
        <v>3.0000000000000001E-5</v>
      </c>
      <c r="Y70">
        <v>14327.51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 t="s">
        <v>24</v>
      </c>
      <c r="AG70">
        <v>0</v>
      </c>
      <c r="AH70">
        <v>2</v>
      </c>
      <c r="AI70">
        <v>55984303</v>
      </c>
      <c r="AJ70">
        <v>58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5">
      <c r="A71">
        <f>ROW(Source!A42)</f>
        <v>42</v>
      </c>
      <c r="B71">
        <v>55984309</v>
      </c>
      <c r="C71">
        <v>55984299</v>
      </c>
      <c r="D71">
        <v>55459794</v>
      </c>
      <c r="E71">
        <v>1</v>
      </c>
      <c r="F71">
        <v>1</v>
      </c>
      <c r="G71">
        <v>1081</v>
      </c>
      <c r="H71">
        <v>3</v>
      </c>
      <c r="I71" t="s">
        <v>292</v>
      </c>
      <c r="J71" t="s">
        <v>293</v>
      </c>
      <c r="K71" t="s">
        <v>294</v>
      </c>
      <c r="L71">
        <v>1348</v>
      </c>
      <c r="N71">
        <v>1009</v>
      </c>
      <c r="O71" t="s">
        <v>223</v>
      </c>
      <c r="P71" t="s">
        <v>223</v>
      </c>
      <c r="Q71">
        <v>1000</v>
      </c>
      <c r="X71">
        <v>1.0000000000000001E-5</v>
      </c>
      <c r="Y71">
        <v>78558.289999999994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 t="s">
        <v>24</v>
      </c>
      <c r="AG71">
        <v>0</v>
      </c>
      <c r="AH71">
        <v>2</v>
      </c>
      <c r="AI71">
        <v>55984304</v>
      </c>
      <c r="AJ71">
        <v>59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5">
      <c r="A72">
        <f>ROW(Source!A42)</f>
        <v>42</v>
      </c>
      <c r="B72">
        <v>55984310</v>
      </c>
      <c r="C72">
        <v>55984299</v>
      </c>
      <c r="D72">
        <v>55441140</v>
      </c>
      <c r="E72">
        <v>1081</v>
      </c>
      <c r="F72">
        <v>1</v>
      </c>
      <c r="G72">
        <v>1081</v>
      </c>
      <c r="H72">
        <v>3</v>
      </c>
      <c r="I72" t="s">
        <v>334</v>
      </c>
      <c r="J72" t="s">
        <v>3</v>
      </c>
      <c r="K72" t="s">
        <v>335</v>
      </c>
      <c r="L72">
        <v>1354</v>
      </c>
      <c r="N72">
        <v>1010</v>
      </c>
      <c r="O72" t="s">
        <v>159</v>
      </c>
      <c r="P72" t="s">
        <v>159</v>
      </c>
      <c r="Q72">
        <v>1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 t="s">
        <v>24</v>
      </c>
      <c r="AG72">
        <v>0</v>
      </c>
      <c r="AH72">
        <v>3</v>
      </c>
      <c r="AI72">
        <v>-1</v>
      </c>
      <c r="AJ72" t="s">
        <v>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5">
      <c r="A73">
        <f>ROW(Source!A43)</f>
        <v>43</v>
      </c>
      <c r="B73">
        <v>55984305</v>
      </c>
      <c r="C73">
        <v>55984299</v>
      </c>
      <c r="D73">
        <v>55424304</v>
      </c>
      <c r="E73">
        <v>1081</v>
      </c>
      <c r="F73">
        <v>1</v>
      </c>
      <c r="G73">
        <v>1081</v>
      </c>
      <c r="H73">
        <v>1</v>
      </c>
      <c r="I73" t="s">
        <v>262</v>
      </c>
      <c r="J73" t="s">
        <v>3</v>
      </c>
      <c r="K73" t="s">
        <v>263</v>
      </c>
      <c r="L73">
        <v>1191</v>
      </c>
      <c r="N73">
        <v>1013</v>
      </c>
      <c r="O73" t="s">
        <v>264</v>
      </c>
      <c r="P73" t="s">
        <v>264</v>
      </c>
      <c r="Q73">
        <v>1</v>
      </c>
      <c r="X73">
        <v>1.35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1</v>
      </c>
      <c r="AF73" t="s">
        <v>25</v>
      </c>
      <c r="AG73">
        <v>0.48599999999999999</v>
      </c>
      <c r="AH73">
        <v>2</v>
      </c>
      <c r="AI73">
        <v>55984300</v>
      </c>
      <c r="AJ73">
        <v>60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5">
      <c r="A74">
        <f>ROW(Source!A43)</f>
        <v>43</v>
      </c>
      <c r="B74">
        <v>55984306</v>
      </c>
      <c r="C74">
        <v>55984299</v>
      </c>
      <c r="D74">
        <v>55490209</v>
      </c>
      <c r="E74">
        <v>1</v>
      </c>
      <c r="F74">
        <v>1</v>
      </c>
      <c r="G74">
        <v>1081</v>
      </c>
      <c r="H74">
        <v>2</v>
      </c>
      <c r="I74" t="s">
        <v>265</v>
      </c>
      <c r="J74" t="s">
        <v>266</v>
      </c>
      <c r="K74" t="s">
        <v>267</v>
      </c>
      <c r="L74">
        <v>1368</v>
      </c>
      <c r="N74">
        <v>1011</v>
      </c>
      <c r="O74" t="s">
        <v>268</v>
      </c>
      <c r="P74" t="s">
        <v>268</v>
      </c>
      <c r="Q74">
        <v>1</v>
      </c>
      <c r="X74">
        <v>0.01</v>
      </c>
      <c r="Y74">
        <v>0</v>
      </c>
      <c r="Z74">
        <v>83.1</v>
      </c>
      <c r="AA74">
        <v>12.62</v>
      </c>
      <c r="AB74">
        <v>0</v>
      </c>
      <c r="AC74">
        <v>0</v>
      </c>
      <c r="AD74">
        <v>1</v>
      </c>
      <c r="AE74">
        <v>0</v>
      </c>
      <c r="AF74" t="s">
        <v>25</v>
      </c>
      <c r="AG74">
        <v>3.5999999999999999E-3</v>
      </c>
      <c r="AH74">
        <v>2</v>
      </c>
      <c r="AI74">
        <v>55984301</v>
      </c>
      <c r="AJ74">
        <v>61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5">
      <c r="A75">
        <f>ROW(Source!A43)</f>
        <v>43</v>
      </c>
      <c r="B75">
        <v>55984307</v>
      </c>
      <c r="C75">
        <v>55984299</v>
      </c>
      <c r="D75">
        <v>55490296</v>
      </c>
      <c r="E75">
        <v>1</v>
      </c>
      <c r="F75">
        <v>1</v>
      </c>
      <c r="G75">
        <v>1081</v>
      </c>
      <c r="H75">
        <v>2</v>
      </c>
      <c r="I75" t="s">
        <v>270</v>
      </c>
      <c r="J75" t="s">
        <v>271</v>
      </c>
      <c r="K75" t="s">
        <v>272</v>
      </c>
      <c r="L75">
        <v>1368</v>
      </c>
      <c r="N75">
        <v>1011</v>
      </c>
      <c r="O75" t="s">
        <v>268</v>
      </c>
      <c r="P75" t="s">
        <v>268</v>
      </c>
      <c r="Q75">
        <v>1</v>
      </c>
      <c r="X75">
        <v>0.17</v>
      </c>
      <c r="Y75">
        <v>0</v>
      </c>
      <c r="Z75">
        <v>0.47</v>
      </c>
      <c r="AA75">
        <v>0</v>
      </c>
      <c r="AB75">
        <v>0</v>
      </c>
      <c r="AC75">
        <v>0</v>
      </c>
      <c r="AD75">
        <v>1</v>
      </c>
      <c r="AE75">
        <v>0</v>
      </c>
      <c r="AF75" t="s">
        <v>25</v>
      </c>
      <c r="AG75">
        <v>6.1200000000000004E-2</v>
      </c>
      <c r="AH75">
        <v>2</v>
      </c>
      <c r="AI75">
        <v>55984302</v>
      </c>
      <c r="AJ75">
        <v>62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5">
      <c r="A76">
        <f>ROW(Source!A43)</f>
        <v>43</v>
      </c>
      <c r="B76">
        <v>55984308</v>
      </c>
      <c r="C76">
        <v>55984299</v>
      </c>
      <c r="D76">
        <v>55460882</v>
      </c>
      <c r="E76">
        <v>1</v>
      </c>
      <c r="F76">
        <v>1</v>
      </c>
      <c r="G76">
        <v>1081</v>
      </c>
      <c r="H76">
        <v>3</v>
      </c>
      <c r="I76" t="s">
        <v>273</v>
      </c>
      <c r="J76" t="s">
        <v>274</v>
      </c>
      <c r="K76" t="s">
        <v>275</v>
      </c>
      <c r="L76">
        <v>1348</v>
      </c>
      <c r="N76">
        <v>1009</v>
      </c>
      <c r="O76" t="s">
        <v>223</v>
      </c>
      <c r="P76" t="s">
        <v>223</v>
      </c>
      <c r="Q76">
        <v>1000</v>
      </c>
      <c r="X76">
        <v>3.0000000000000001E-5</v>
      </c>
      <c r="Y76">
        <v>14327.51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24</v>
      </c>
      <c r="AG76">
        <v>0</v>
      </c>
      <c r="AH76">
        <v>2</v>
      </c>
      <c r="AI76">
        <v>55984303</v>
      </c>
      <c r="AJ76">
        <v>63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5">
      <c r="A77">
        <f>ROW(Source!A43)</f>
        <v>43</v>
      </c>
      <c r="B77">
        <v>55984309</v>
      </c>
      <c r="C77">
        <v>55984299</v>
      </c>
      <c r="D77">
        <v>55459794</v>
      </c>
      <c r="E77">
        <v>1</v>
      </c>
      <c r="F77">
        <v>1</v>
      </c>
      <c r="G77">
        <v>1081</v>
      </c>
      <c r="H77">
        <v>3</v>
      </c>
      <c r="I77" t="s">
        <v>292</v>
      </c>
      <c r="J77" t="s">
        <v>293</v>
      </c>
      <c r="K77" t="s">
        <v>294</v>
      </c>
      <c r="L77">
        <v>1348</v>
      </c>
      <c r="N77">
        <v>1009</v>
      </c>
      <c r="O77" t="s">
        <v>223</v>
      </c>
      <c r="P77" t="s">
        <v>223</v>
      </c>
      <c r="Q77">
        <v>1000</v>
      </c>
      <c r="X77">
        <v>1.0000000000000001E-5</v>
      </c>
      <c r="Y77">
        <v>78558.289999999994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 t="s">
        <v>24</v>
      </c>
      <c r="AG77">
        <v>0</v>
      </c>
      <c r="AH77">
        <v>2</v>
      </c>
      <c r="AI77">
        <v>55984304</v>
      </c>
      <c r="AJ77">
        <v>64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5">
      <c r="A78">
        <f>ROW(Source!A43)</f>
        <v>43</v>
      </c>
      <c r="B78">
        <v>55984310</v>
      </c>
      <c r="C78">
        <v>55984299</v>
      </c>
      <c r="D78">
        <v>55441140</v>
      </c>
      <c r="E78">
        <v>1081</v>
      </c>
      <c r="F78">
        <v>1</v>
      </c>
      <c r="G78">
        <v>1081</v>
      </c>
      <c r="H78">
        <v>3</v>
      </c>
      <c r="I78" t="s">
        <v>334</v>
      </c>
      <c r="J78" t="s">
        <v>3</v>
      </c>
      <c r="K78" t="s">
        <v>335</v>
      </c>
      <c r="L78">
        <v>1354</v>
      </c>
      <c r="N78">
        <v>1010</v>
      </c>
      <c r="O78" t="s">
        <v>159</v>
      </c>
      <c r="P78" t="s">
        <v>159</v>
      </c>
      <c r="Q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 t="s">
        <v>24</v>
      </c>
      <c r="AG78">
        <v>0</v>
      </c>
      <c r="AH78">
        <v>3</v>
      </c>
      <c r="AI78">
        <v>-1</v>
      </c>
      <c r="AJ78" t="s">
        <v>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5">
      <c r="A79">
        <f>ROW(Source!A44)</f>
        <v>44</v>
      </c>
      <c r="B79">
        <v>57037885</v>
      </c>
      <c r="C79">
        <v>57037884</v>
      </c>
      <c r="D79">
        <v>55424304</v>
      </c>
      <c r="E79">
        <v>1081</v>
      </c>
      <c r="F79">
        <v>1</v>
      </c>
      <c r="G79">
        <v>1081</v>
      </c>
      <c r="H79">
        <v>1</v>
      </c>
      <c r="I79" t="s">
        <v>262</v>
      </c>
      <c r="J79" t="s">
        <v>3</v>
      </c>
      <c r="K79" t="s">
        <v>263</v>
      </c>
      <c r="L79">
        <v>1191</v>
      </c>
      <c r="N79">
        <v>1013</v>
      </c>
      <c r="O79" t="s">
        <v>264</v>
      </c>
      <c r="P79" t="s">
        <v>264</v>
      </c>
      <c r="Q79">
        <v>1</v>
      </c>
      <c r="X79">
        <v>2.25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1</v>
      </c>
      <c r="AF79" t="s">
        <v>63</v>
      </c>
      <c r="AG79">
        <v>2.6999999999999997</v>
      </c>
      <c r="AH79">
        <v>2</v>
      </c>
      <c r="AI79">
        <v>57037885</v>
      </c>
      <c r="AJ79">
        <v>65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5">
      <c r="A80">
        <f>ROW(Source!A44)</f>
        <v>44</v>
      </c>
      <c r="B80">
        <v>57037886</v>
      </c>
      <c r="C80">
        <v>57037884</v>
      </c>
      <c r="D80">
        <v>55424288</v>
      </c>
      <c r="E80">
        <v>1081</v>
      </c>
      <c r="F80">
        <v>1</v>
      </c>
      <c r="G80">
        <v>1081</v>
      </c>
      <c r="H80">
        <v>3</v>
      </c>
      <c r="I80" t="s">
        <v>295</v>
      </c>
      <c r="J80" t="s">
        <v>3</v>
      </c>
      <c r="K80" t="s">
        <v>296</v>
      </c>
      <c r="L80">
        <v>1348</v>
      </c>
      <c r="N80">
        <v>1009</v>
      </c>
      <c r="O80" t="s">
        <v>223</v>
      </c>
      <c r="P80" t="s">
        <v>223</v>
      </c>
      <c r="Q80">
        <v>1000</v>
      </c>
      <c r="X80">
        <v>7.0000000000000001E-3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62</v>
      </c>
      <c r="AG80">
        <v>7.0000000000000001E-3</v>
      </c>
      <c r="AH80">
        <v>2</v>
      </c>
      <c r="AI80">
        <v>57037886</v>
      </c>
      <c r="AJ80">
        <v>66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5">
      <c r="A81">
        <f>ROW(Source!A45)</f>
        <v>45</v>
      </c>
      <c r="B81">
        <v>57037885</v>
      </c>
      <c r="C81">
        <v>57037884</v>
      </c>
      <c r="D81">
        <v>55424304</v>
      </c>
      <c r="E81">
        <v>1081</v>
      </c>
      <c r="F81">
        <v>1</v>
      </c>
      <c r="G81">
        <v>1081</v>
      </c>
      <c r="H81">
        <v>1</v>
      </c>
      <c r="I81" t="s">
        <v>262</v>
      </c>
      <c r="J81" t="s">
        <v>3</v>
      </c>
      <c r="K81" t="s">
        <v>263</v>
      </c>
      <c r="L81">
        <v>1191</v>
      </c>
      <c r="N81">
        <v>1013</v>
      </c>
      <c r="O81" t="s">
        <v>264</v>
      </c>
      <c r="P81" t="s">
        <v>264</v>
      </c>
      <c r="Q81">
        <v>1</v>
      </c>
      <c r="X81">
        <v>2.25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1</v>
      </c>
      <c r="AF81" t="s">
        <v>63</v>
      </c>
      <c r="AG81">
        <v>2.6999999999999997</v>
      </c>
      <c r="AH81">
        <v>2</v>
      </c>
      <c r="AI81">
        <v>57037885</v>
      </c>
      <c r="AJ81">
        <v>67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5">
      <c r="A82">
        <f>ROW(Source!A45)</f>
        <v>45</v>
      </c>
      <c r="B82">
        <v>57037886</v>
      </c>
      <c r="C82">
        <v>57037884</v>
      </c>
      <c r="D82">
        <v>55424288</v>
      </c>
      <c r="E82">
        <v>1081</v>
      </c>
      <c r="F82">
        <v>1</v>
      </c>
      <c r="G82">
        <v>1081</v>
      </c>
      <c r="H82">
        <v>3</v>
      </c>
      <c r="I82" t="s">
        <v>295</v>
      </c>
      <c r="J82" t="s">
        <v>3</v>
      </c>
      <c r="K82" t="s">
        <v>296</v>
      </c>
      <c r="L82">
        <v>1348</v>
      </c>
      <c r="N82">
        <v>1009</v>
      </c>
      <c r="O82" t="s">
        <v>223</v>
      </c>
      <c r="P82" t="s">
        <v>223</v>
      </c>
      <c r="Q82">
        <v>1000</v>
      </c>
      <c r="X82">
        <v>7.0000000000000001E-3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 t="s">
        <v>62</v>
      </c>
      <c r="AG82">
        <v>7.0000000000000001E-3</v>
      </c>
      <c r="AH82">
        <v>2</v>
      </c>
      <c r="AI82">
        <v>57037886</v>
      </c>
      <c r="AJ82">
        <v>68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5">
      <c r="A83">
        <f>ROW(Source!A46)</f>
        <v>46</v>
      </c>
      <c r="B83">
        <v>55984313</v>
      </c>
      <c r="C83">
        <v>55984311</v>
      </c>
      <c r="D83">
        <v>55424304</v>
      </c>
      <c r="E83">
        <v>1081</v>
      </c>
      <c r="F83">
        <v>1</v>
      </c>
      <c r="G83">
        <v>1081</v>
      </c>
      <c r="H83">
        <v>1</v>
      </c>
      <c r="I83" t="s">
        <v>262</v>
      </c>
      <c r="J83" t="s">
        <v>3</v>
      </c>
      <c r="K83" t="s">
        <v>263</v>
      </c>
      <c r="L83">
        <v>1191</v>
      </c>
      <c r="N83">
        <v>1013</v>
      </c>
      <c r="O83" t="s">
        <v>264</v>
      </c>
      <c r="P83" t="s">
        <v>264</v>
      </c>
      <c r="Q83">
        <v>1</v>
      </c>
      <c r="X83">
        <v>9.64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1</v>
      </c>
      <c r="AF83" t="s">
        <v>63</v>
      </c>
      <c r="AG83">
        <v>11.568</v>
      </c>
      <c r="AH83">
        <v>2</v>
      </c>
      <c r="AI83">
        <v>55984312</v>
      </c>
      <c r="AJ83">
        <v>69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5">
      <c r="A84">
        <f>ROW(Source!A47)</f>
        <v>47</v>
      </c>
      <c r="B84">
        <v>55984313</v>
      </c>
      <c r="C84">
        <v>55984311</v>
      </c>
      <c r="D84">
        <v>55424304</v>
      </c>
      <c r="E84">
        <v>1081</v>
      </c>
      <c r="F84">
        <v>1</v>
      </c>
      <c r="G84">
        <v>1081</v>
      </c>
      <c r="H84">
        <v>1</v>
      </c>
      <c r="I84" t="s">
        <v>262</v>
      </c>
      <c r="J84" t="s">
        <v>3</v>
      </c>
      <c r="K84" t="s">
        <v>263</v>
      </c>
      <c r="L84">
        <v>1191</v>
      </c>
      <c r="N84">
        <v>1013</v>
      </c>
      <c r="O84" t="s">
        <v>264</v>
      </c>
      <c r="P84" t="s">
        <v>264</v>
      </c>
      <c r="Q84">
        <v>1</v>
      </c>
      <c r="X84">
        <v>9.64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1</v>
      </c>
      <c r="AF84" t="s">
        <v>63</v>
      </c>
      <c r="AG84">
        <v>11.568</v>
      </c>
      <c r="AH84">
        <v>2</v>
      </c>
      <c r="AI84">
        <v>55984312</v>
      </c>
      <c r="AJ84">
        <v>70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5">
      <c r="A85">
        <f>ROW(Source!A48)</f>
        <v>48</v>
      </c>
      <c r="B85">
        <v>57037888</v>
      </c>
      <c r="C85">
        <v>57037887</v>
      </c>
      <c r="D85">
        <v>55424304</v>
      </c>
      <c r="E85">
        <v>1081</v>
      </c>
      <c r="F85">
        <v>1</v>
      </c>
      <c r="G85">
        <v>1081</v>
      </c>
      <c r="H85">
        <v>1</v>
      </c>
      <c r="I85" t="s">
        <v>262</v>
      </c>
      <c r="J85" t="s">
        <v>3</v>
      </c>
      <c r="K85" t="s">
        <v>263</v>
      </c>
      <c r="L85">
        <v>1191</v>
      </c>
      <c r="N85">
        <v>1013</v>
      </c>
      <c r="O85" t="s">
        <v>264</v>
      </c>
      <c r="P85" t="s">
        <v>264</v>
      </c>
      <c r="Q85">
        <v>1</v>
      </c>
      <c r="X85">
        <v>16.600000000000001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1</v>
      </c>
      <c r="AF85" t="s">
        <v>25</v>
      </c>
      <c r="AG85">
        <v>5.976</v>
      </c>
      <c r="AH85">
        <v>2</v>
      </c>
      <c r="AI85">
        <v>57037888</v>
      </c>
      <c r="AJ85">
        <v>71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5">
      <c r="A86">
        <f>ROW(Source!A48)</f>
        <v>48</v>
      </c>
      <c r="B86">
        <v>57037889</v>
      </c>
      <c r="C86">
        <v>57037887</v>
      </c>
      <c r="D86">
        <v>55490263</v>
      </c>
      <c r="E86">
        <v>1</v>
      </c>
      <c r="F86">
        <v>1</v>
      </c>
      <c r="G86">
        <v>1081</v>
      </c>
      <c r="H86">
        <v>2</v>
      </c>
      <c r="I86" t="s">
        <v>297</v>
      </c>
      <c r="J86" t="s">
        <v>298</v>
      </c>
      <c r="K86" t="s">
        <v>299</v>
      </c>
      <c r="L86">
        <v>1368</v>
      </c>
      <c r="N86">
        <v>1011</v>
      </c>
      <c r="O86" t="s">
        <v>268</v>
      </c>
      <c r="P86" t="s">
        <v>268</v>
      </c>
      <c r="Q86">
        <v>1</v>
      </c>
      <c r="X86">
        <v>1.1499999999999999</v>
      </c>
      <c r="Y86">
        <v>0</v>
      </c>
      <c r="Z86">
        <v>0.77</v>
      </c>
      <c r="AA86">
        <v>0</v>
      </c>
      <c r="AB86">
        <v>0</v>
      </c>
      <c r="AC86">
        <v>0</v>
      </c>
      <c r="AD86">
        <v>1</v>
      </c>
      <c r="AE86">
        <v>0</v>
      </c>
      <c r="AF86" t="s">
        <v>25</v>
      </c>
      <c r="AG86">
        <v>0.41399999999999998</v>
      </c>
      <c r="AH86">
        <v>2</v>
      </c>
      <c r="AI86">
        <v>57037889</v>
      </c>
      <c r="AJ86">
        <v>72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5">
      <c r="A87">
        <f>ROW(Source!A48)</f>
        <v>48</v>
      </c>
      <c r="B87">
        <v>57037890</v>
      </c>
      <c r="C87">
        <v>57037887</v>
      </c>
      <c r="D87">
        <v>55490296</v>
      </c>
      <c r="E87">
        <v>1</v>
      </c>
      <c r="F87">
        <v>1</v>
      </c>
      <c r="G87">
        <v>1081</v>
      </c>
      <c r="H87">
        <v>2</v>
      </c>
      <c r="I87" t="s">
        <v>270</v>
      </c>
      <c r="J87" t="s">
        <v>271</v>
      </c>
      <c r="K87" t="s">
        <v>272</v>
      </c>
      <c r="L87">
        <v>1368</v>
      </c>
      <c r="N87">
        <v>1011</v>
      </c>
      <c r="O87" t="s">
        <v>268</v>
      </c>
      <c r="P87" t="s">
        <v>268</v>
      </c>
      <c r="Q87">
        <v>1</v>
      </c>
      <c r="X87">
        <v>1.8</v>
      </c>
      <c r="Y87">
        <v>0</v>
      </c>
      <c r="Z87">
        <v>0.47</v>
      </c>
      <c r="AA87">
        <v>0</v>
      </c>
      <c r="AB87">
        <v>0</v>
      </c>
      <c r="AC87">
        <v>0</v>
      </c>
      <c r="AD87">
        <v>1</v>
      </c>
      <c r="AE87">
        <v>0</v>
      </c>
      <c r="AF87" t="s">
        <v>25</v>
      </c>
      <c r="AG87">
        <v>0.64800000000000002</v>
      </c>
      <c r="AH87">
        <v>2</v>
      </c>
      <c r="AI87">
        <v>57037890</v>
      </c>
      <c r="AJ87">
        <v>73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5">
      <c r="A88">
        <f>ROW(Source!A48)</f>
        <v>48</v>
      </c>
      <c r="B88">
        <v>57037891</v>
      </c>
      <c r="C88">
        <v>57037887</v>
      </c>
      <c r="D88">
        <v>55460960</v>
      </c>
      <c r="E88">
        <v>1</v>
      </c>
      <c r="F88">
        <v>1</v>
      </c>
      <c r="G88">
        <v>1081</v>
      </c>
      <c r="H88">
        <v>3</v>
      </c>
      <c r="I88" t="s">
        <v>300</v>
      </c>
      <c r="J88" t="s">
        <v>301</v>
      </c>
      <c r="K88" t="s">
        <v>302</v>
      </c>
      <c r="L88">
        <v>1348</v>
      </c>
      <c r="N88">
        <v>1009</v>
      </c>
      <c r="O88" t="s">
        <v>223</v>
      </c>
      <c r="P88" t="s">
        <v>223</v>
      </c>
      <c r="Q88">
        <v>1000</v>
      </c>
      <c r="X88">
        <v>1E-3</v>
      </c>
      <c r="Y88">
        <v>58463.58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 t="s">
        <v>24</v>
      </c>
      <c r="AG88">
        <v>0</v>
      </c>
      <c r="AH88">
        <v>2</v>
      </c>
      <c r="AI88">
        <v>57037891</v>
      </c>
      <c r="AJ88">
        <v>74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5">
      <c r="A89">
        <f>ROW(Source!A48)</f>
        <v>48</v>
      </c>
      <c r="B89">
        <v>57037892</v>
      </c>
      <c r="C89">
        <v>57037887</v>
      </c>
      <c r="D89">
        <v>55461791</v>
      </c>
      <c r="E89">
        <v>1</v>
      </c>
      <c r="F89">
        <v>1</v>
      </c>
      <c r="G89">
        <v>1081</v>
      </c>
      <c r="H89">
        <v>3</v>
      </c>
      <c r="I89" t="s">
        <v>303</v>
      </c>
      <c r="J89" t="s">
        <v>304</v>
      </c>
      <c r="K89" t="s">
        <v>305</v>
      </c>
      <c r="L89">
        <v>1355</v>
      </c>
      <c r="N89">
        <v>1010</v>
      </c>
      <c r="O89" t="s">
        <v>205</v>
      </c>
      <c r="P89" t="s">
        <v>205</v>
      </c>
      <c r="Q89">
        <v>100</v>
      </c>
      <c r="X89">
        <v>2.1419999999999999</v>
      </c>
      <c r="Y89">
        <v>10.6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 t="s">
        <v>24</v>
      </c>
      <c r="AG89">
        <v>0</v>
      </c>
      <c r="AH89">
        <v>2</v>
      </c>
      <c r="AI89">
        <v>57037892</v>
      </c>
      <c r="AJ89">
        <v>75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5">
      <c r="A90">
        <f>ROW(Source!A48)</f>
        <v>48</v>
      </c>
      <c r="B90">
        <v>57037893</v>
      </c>
      <c r="C90">
        <v>57037887</v>
      </c>
      <c r="D90">
        <v>55482203</v>
      </c>
      <c r="E90">
        <v>1</v>
      </c>
      <c r="F90">
        <v>1</v>
      </c>
      <c r="G90">
        <v>1081</v>
      </c>
      <c r="H90">
        <v>3</v>
      </c>
      <c r="I90" t="s">
        <v>306</v>
      </c>
      <c r="J90" t="s">
        <v>307</v>
      </c>
      <c r="K90" t="s">
        <v>308</v>
      </c>
      <c r="L90">
        <v>1356</v>
      </c>
      <c r="N90">
        <v>1010</v>
      </c>
      <c r="O90" t="s">
        <v>309</v>
      </c>
      <c r="P90" t="s">
        <v>309</v>
      </c>
      <c r="Q90">
        <v>1000</v>
      </c>
      <c r="X90">
        <v>1.7000000000000001E-2</v>
      </c>
      <c r="Y90">
        <v>226.66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 t="s">
        <v>24</v>
      </c>
      <c r="AG90">
        <v>0</v>
      </c>
      <c r="AH90">
        <v>2</v>
      </c>
      <c r="AI90">
        <v>57037893</v>
      </c>
      <c r="AJ90">
        <v>76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5">
      <c r="A91">
        <f>ROW(Source!A48)</f>
        <v>48</v>
      </c>
      <c r="B91">
        <v>57037894</v>
      </c>
      <c r="C91">
        <v>57037887</v>
      </c>
      <c r="D91">
        <v>55481977</v>
      </c>
      <c r="E91">
        <v>1</v>
      </c>
      <c r="F91">
        <v>1</v>
      </c>
      <c r="G91">
        <v>1081</v>
      </c>
      <c r="H91">
        <v>3</v>
      </c>
      <c r="I91" t="s">
        <v>310</v>
      </c>
      <c r="J91" t="s">
        <v>311</v>
      </c>
      <c r="K91" t="s">
        <v>312</v>
      </c>
      <c r="L91">
        <v>1355</v>
      </c>
      <c r="N91">
        <v>1010</v>
      </c>
      <c r="O91" t="s">
        <v>205</v>
      </c>
      <c r="P91" t="s">
        <v>205</v>
      </c>
      <c r="Q91">
        <v>100</v>
      </c>
      <c r="X91">
        <v>0.17</v>
      </c>
      <c r="Y91">
        <v>26.71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 t="s">
        <v>24</v>
      </c>
      <c r="AG91">
        <v>0</v>
      </c>
      <c r="AH91">
        <v>2</v>
      </c>
      <c r="AI91">
        <v>57037894</v>
      </c>
      <c r="AJ91">
        <v>77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5">
      <c r="A92">
        <f>ROW(Source!A48)</f>
        <v>48</v>
      </c>
      <c r="B92">
        <v>57037895</v>
      </c>
      <c r="C92">
        <v>57037887</v>
      </c>
      <c r="D92">
        <v>55469271</v>
      </c>
      <c r="E92">
        <v>1</v>
      </c>
      <c r="F92">
        <v>1</v>
      </c>
      <c r="G92">
        <v>1081</v>
      </c>
      <c r="H92">
        <v>3</v>
      </c>
      <c r="I92" t="s">
        <v>313</v>
      </c>
      <c r="J92" t="s">
        <v>314</v>
      </c>
      <c r="K92" t="s">
        <v>315</v>
      </c>
      <c r="L92">
        <v>1354</v>
      </c>
      <c r="N92">
        <v>1010</v>
      </c>
      <c r="O92" t="s">
        <v>159</v>
      </c>
      <c r="P92" t="s">
        <v>159</v>
      </c>
      <c r="Q92">
        <v>1</v>
      </c>
      <c r="X92">
        <v>0.161</v>
      </c>
      <c r="Y92">
        <v>14.56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 t="s">
        <v>24</v>
      </c>
      <c r="AG92">
        <v>0</v>
      </c>
      <c r="AH92">
        <v>2</v>
      </c>
      <c r="AI92">
        <v>57037895</v>
      </c>
      <c r="AJ92">
        <v>78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5">
      <c r="A93">
        <f>ROW(Source!A48)</f>
        <v>48</v>
      </c>
      <c r="B93">
        <v>57037896</v>
      </c>
      <c r="C93">
        <v>57037887</v>
      </c>
      <c r="D93">
        <v>55428305</v>
      </c>
      <c r="E93">
        <v>1081</v>
      </c>
      <c r="F93">
        <v>1</v>
      </c>
      <c r="G93">
        <v>1081</v>
      </c>
      <c r="H93">
        <v>3</v>
      </c>
      <c r="I93" t="s">
        <v>336</v>
      </c>
      <c r="J93" t="s">
        <v>3</v>
      </c>
      <c r="K93" t="s">
        <v>337</v>
      </c>
      <c r="L93">
        <v>1301</v>
      </c>
      <c r="N93">
        <v>1003</v>
      </c>
      <c r="O93" t="s">
        <v>197</v>
      </c>
      <c r="P93" t="s">
        <v>197</v>
      </c>
      <c r="Q93">
        <v>1</v>
      </c>
      <c r="X93">
        <v>102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 t="s">
        <v>24</v>
      </c>
      <c r="AG93">
        <v>0</v>
      </c>
      <c r="AH93">
        <v>3</v>
      </c>
      <c r="AI93">
        <v>-1</v>
      </c>
      <c r="AJ93" t="s">
        <v>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5">
      <c r="A94">
        <f>ROW(Source!A48)</f>
        <v>48</v>
      </c>
      <c r="B94">
        <v>57037897</v>
      </c>
      <c r="C94">
        <v>57037887</v>
      </c>
      <c r="D94">
        <v>55432095</v>
      </c>
      <c r="E94">
        <v>1081</v>
      </c>
      <c r="F94">
        <v>1</v>
      </c>
      <c r="G94">
        <v>1081</v>
      </c>
      <c r="H94">
        <v>3</v>
      </c>
      <c r="I94" t="s">
        <v>338</v>
      </c>
      <c r="J94" t="s">
        <v>3</v>
      </c>
      <c r="K94" t="s">
        <v>339</v>
      </c>
      <c r="L94">
        <v>1355</v>
      </c>
      <c r="N94">
        <v>1010</v>
      </c>
      <c r="O94" t="s">
        <v>205</v>
      </c>
      <c r="P94" t="s">
        <v>205</v>
      </c>
      <c r="Q94">
        <v>100</v>
      </c>
      <c r="X94">
        <v>2.1640000000000001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 t="s">
        <v>24</v>
      </c>
      <c r="AG94">
        <v>0</v>
      </c>
      <c r="AH94">
        <v>3</v>
      </c>
      <c r="AI94">
        <v>-1</v>
      </c>
      <c r="AJ94" t="s">
        <v>3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5">
      <c r="A95">
        <f>ROW(Source!A48)</f>
        <v>48</v>
      </c>
      <c r="B95">
        <v>57037898</v>
      </c>
      <c r="C95">
        <v>57037887</v>
      </c>
      <c r="D95">
        <v>55438984</v>
      </c>
      <c r="E95">
        <v>1081</v>
      </c>
      <c r="F95">
        <v>1</v>
      </c>
      <c r="G95">
        <v>1081</v>
      </c>
      <c r="H95">
        <v>3</v>
      </c>
      <c r="I95" t="s">
        <v>340</v>
      </c>
      <c r="J95" t="s">
        <v>3</v>
      </c>
      <c r="K95" t="s">
        <v>341</v>
      </c>
      <c r="L95">
        <v>1303</v>
      </c>
      <c r="N95">
        <v>1003</v>
      </c>
      <c r="O95" t="s">
        <v>291</v>
      </c>
      <c r="P95" t="s">
        <v>291</v>
      </c>
      <c r="Q95">
        <v>1000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 t="s">
        <v>24</v>
      </c>
      <c r="AG95">
        <v>0</v>
      </c>
      <c r="AH95">
        <v>3</v>
      </c>
      <c r="AI95">
        <v>-1</v>
      </c>
      <c r="AJ95" t="s">
        <v>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5">
      <c r="A96">
        <f>ROW(Source!A49)</f>
        <v>49</v>
      </c>
      <c r="B96">
        <v>57037888</v>
      </c>
      <c r="C96">
        <v>57037887</v>
      </c>
      <c r="D96">
        <v>55424304</v>
      </c>
      <c r="E96">
        <v>1081</v>
      </c>
      <c r="F96">
        <v>1</v>
      </c>
      <c r="G96">
        <v>1081</v>
      </c>
      <c r="H96">
        <v>1</v>
      </c>
      <c r="I96" t="s">
        <v>262</v>
      </c>
      <c r="J96" t="s">
        <v>3</v>
      </c>
      <c r="K96" t="s">
        <v>263</v>
      </c>
      <c r="L96">
        <v>1191</v>
      </c>
      <c r="N96">
        <v>1013</v>
      </c>
      <c r="O96" t="s">
        <v>264</v>
      </c>
      <c r="P96" t="s">
        <v>264</v>
      </c>
      <c r="Q96">
        <v>1</v>
      </c>
      <c r="X96">
        <v>16.600000000000001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1</v>
      </c>
      <c r="AF96" t="s">
        <v>25</v>
      </c>
      <c r="AG96">
        <v>5.976</v>
      </c>
      <c r="AH96">
        <v>2</v>
      </c>
      <c r="AI96">
        <v>57037888</v>
      </c>
      <c r="AJ96">
        <v>79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5">
      <c r="A97">
        <f>ROW(Source!A49)</f>
        <v>49</v>
      </c>
      <c r="B97">
        <v>57037889</v>
      </c>
      <c r="C97">
        <v>57037887</v>
      </c>
      <c r="D97">
        <v>55490263</v>
      </c>
      <c r="E97">
        <v>1</v>
      </c>
      <c r="F97">
        <v>1</v>
      </c>
      <c r="G97">
        <v>1081</v>
      </c>
      <c r="H97">
        <v>2</v>
      </c>
      <c r="I97" t="s">
        <v>297</v>
      </c>
      <c r="J97" t="s">
        <v>298</v>
      </c>
      <c r="K97" t="s">
        <v>299</v>
      </c>
      <c r="L97">
        <v>1368</v>
      </c>
      <c r="N97">
        <v>1011</v>
      </c>
      <c r="O97" t="s">
        <v>268</v>
      </c>
      <c r="P97" t="s">
        <v>268</v>
      </c>
      <c r="Q97">
        <v>1</v>
      </c>
      <c r="X97">
        <v>1.1499999999999999</v>
      </c>
      <c r="Y97">
        <v>0</v>
      </c>
      <c r="Z97">
        <v>0.77</v>
      </c>
      <c r="AA97">
        <v>0</v>
      </c>
      <c r="AB97">
        <v>0</v>
      </c>
      <c r="AC97">
        <v>0</v>
      </c>
      <c r="AD97">
        <v>1</v>
      </c>
      <c r="AE97">
        <v>0</v>
      </c>
      <c r="AF97" t="s">
        <v>25</v>
      </c>
      <c r="AG97">
        <v>0.41399999999999998</v>
      </c>
      <c r="AH97">
        <v>2</v>
      </c>
      <c r="AI97">
        <v>57037889</v>
      </c>
      <c r="AJ97">
        <v>80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5">
      <c r="A98">
        <f>ROW(Source!A49)</f>
        <v>49</v>
      </c>
      <c r="B98">
        <v>57037890</v>
      </c>
      <c r="C98">
        <v>57037887</v>
      </c>
      <c r="D98">
        <v>55490296</v>
      </c>
      <c r="E98">
        <v>1</v>
      </c>
      <c r="F98">
        <v>1</v>
      </c>
      <c r="G98">
        <v>1081</v>
      </c>
      <c r="H98">
        <v>2</v>
      </c>
      <c r="I98" t="s">
        <v>270</v>
      </c>
      <c r="J98" t="s">
        <v>271</v>
      </c>
      <c r="K98" t="s">
        <v>272</v>
      </c>
      <c r="L98">
        <v>1368</v>
      </c>
      <c r="N98">
        <v>1011</v>
      </c>
      <c r="O98" t="s">
        <v>268</v>
      </c>
      <c r="P98" t="s">
        <v>268</v>
      </c>
      <c r="Q98">
        <v>1</v>
      </c>
      <c r="X98">
        <v>1.8</v>
      </c>
      <c r="Y98">
        <v>0</v>
      </c>
      <c r="Z98">
        <v>0.47</v>
      </c>
      <c r="AA98">
        <v>0</v>
      </c>
      <c r="AB98">
        <v>0</v>
      </c>
      <c r="AC98">
        <v>0</v>
      </c>
      <c r="AD98">
        <v>1</v>
      </c>
      <c r="AE98">
        <v>0</v>
      </c>
      <c r="AF98" t="s">
        <v>25</v>
      </c>
      <c r="AG98">
        <v>0.64800000000000002</v>
      </c>
      <c r="AH98">
        <v>2</v>
      </c>
      <c r="AI98">
        <v>57037890</v>
      </c>
      <c r="AJ98">
        <v>81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5">
      <c r="A99">
        <f>ROW(Source!A49)</f>
        <v>49</v>
      </c>
      <c r="B99">
        <v>57037891</v>
      </c>
      <c r="C99">
        <v>57037887</v>
      </c>
      <c r="D99">
        <v>55460960</v>
      </c>
      <c r="E99">
        <v>1</v>
      </c>
      <c r="F99">
        <v>1</v>
      </c>
      <c r="G99">
        <v>1081</v>
      </c>
      <c r="H99">
        <v>3</v>
      </c>
      <c r="I99" t="s">
        <v>300</v>
      </c>
      <c r="J99" t="s">
        <v>301</v>
      </c>
      <c r="K99" t="s">
        <v>302</v>
      </c>
      <c r="L99">
        <v>1348</v>
      </c>
      <c r="N99">
        <v>1009</v>
      </c>
      <c r="O99" t="s">
        <v>223</v>
      </c>
      <c r="P99" t="s">
        <v>223</v>
      </c>
      <c r="Q99">
        <v>1000</v>
      </c>
      <c r="X99">
        <v>1E-3</v>
      </c>
      <c r="Y99">
        <v>58463.58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 t="s">
        <v>24</v>
      </c>
      <c r="AG99">
        <v>0</v>
      </c>
      <c r="AH99">
        <v>2</v>
      </c>
      <c r="AI99">
        <v>57037891</v>
      </c>
      <c r="AJ99">
        <v>82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5">
      <c r="A100">
        <f>ROW(Source!A49)</f>
        <v>49</v>
      </c>
      <c r="B100">
        <v>57037892</v>
      </c>
      <c r="C100">
        <v>57037887</v>
      </c>
      <c r="D100">
        <v>55461791</v>
      </c>
      <c r="E100">
        <v>1</v>
      </c>
      <c r="F100">
        <v>1</v>
      </c>
      <c r="G100">
        <v>1081</v>
      </c>
      <c r="H100">
        <v>3</v>
      </c>
      <c r="I100" t="s">
        <v>303</v>
      </c>
      <c r="J100" t="s">
        <v>304</v>
      </c>
      <c r="K100" t="s">
        <v>305</v>
      </c>
      <c r="L100">
        <v>1355</v>
      </c>
      <c r="N100">
        <v>1010</v>
      </c>
      <c r="O100" t="s">
        <v>205</v>
      </c>
      <c r="P100" t="s">
        <v>205</v>
      </c>
      <c r="Q100">
        <v>100</v>
      </c>
      <c r="X100">
        <v>2.1419999999999999</v>
      </c>
      <c r="Y100">
        <v>10.6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 t="s">
        <v>24</v>
      </c>
      <c r="AG100">
        <v>0</v>
      </c>
      <c r="AH100">
        <v>2</v>
      </c>
      <c r="AI100">
        <v>57037892</v>
      </c>
      <c r="AJ100">
        <v>83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5">
      <c r="A101">
        <f>ROW(Source!A49)</f>
        <v>49</v>
      </c>
      <c r="B101">
        <v>57037893</v>
      </c>
      <c r="C101">
        <v>57037887</v>
      </c>
      <c r="D101">
        <v>55482203</v>
      </c>
      <c r="E101">
        <v>1</v>
      </c>
      <c r="F101">
        <v>1</v>
      </c>
      <c r="G101">
        <v>1081</v>
      </c>
      <c r="H101">
        <v>3</v>
      </c>
      <c r="I101" t="s">
        <v>306</v>
      </c>
      <c r="J101" t="s">
        <v>307</v>
      </c>
      <c r="K101" t="s">
        <v>308</v>
      </c>
      <c r="L101">
        <v>1356</v>
      </c>
      <c r="N101">
        <v>1010</v>
      </c>
      <c r="O101" t="s">
        <v>309</v>
      </c>
      <c r="P101" t="s">
        <v>309</v>
      </c>
      <c r="Q101">
        <v>1000</v>
      </c>
      <c r="X101">
        <v>1.7000000000000001E-2</v>
      </c>
      <c r="Y101">
        <v>226.66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 t="s">
        <v>24</v>
      </c>
      <c r="AG101">
        <v>0</v>
      </c>
      <c r="AH101">
        <v>2</v>
      </c>
      <c r="AI101">
        <v>57037893</v>
      </c>
      <c r="AJ101">
        <v>84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5">
      <c r="A102">
        <f>ROW(Source!A49)</f>
        <v>49</v>
      </c>
      <c r="B102">
        <v>57037894</v>
      </c>
      <c r="C102">
        <v>57037887</v>
      </c>
      <c r="D102">
        <v>55481977</v>
      </c>
      <c r="E102">
        <v>1</v>
      </c>
      <c r="F102">
        <v>1</v>
      </c>
      <c r="G102">
        <v>1081</v>
      </c>
      <c r="H102">
        <v>3</v>
      </c>
      <c r="I102" t="s">
        <v>310</v>
      </c>
      <c r="J102" t="s">
        <v>311</v>
      </c>
      <c r="K102" t="s">
        <v>312</v>
      </c>
      <c r="L102">
        <v>1355</v>
      </c>
      <c r="N102">
        <v>1010</v>
      </c>
      <c r="O102" t="s">
        <v>205</v>
      </c>
      <c r="P102" t="s">
        <v>205</v>
      </c>
      <c r="Q102">
        <v>100</v>
      </c>
      <c r="X102">
        <v>0.17</v>
      </c>
      <c r="Y102">
        <v>26.71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 t="s">
        <v>24</v>
      </c>
      <c r="AG102">
        <v>0</v>
      </c>
      <c r="AH102">
        <v>2</v>
      </c>
      <c r="AI102">
        <v>57037894</v>
      </c>
      <c r="AJ102">
        <v>85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5">
      <c r="A103">
        <f>ROW(Source!A49)</f>
        <v>49</v>
      </c>
      <c r="B103">
        <v>57037895</v>
      </c>
      <c r="C103">
        <v>57037887</v>
      </c>
      <c r="D103">
        <v>55469271</v>
      </c>
      <c r="E103">
        <v>1</v>
      </c>
      <c r="F103">
        <v>1</v>
      </c>
      <c r="G103">
        <v>1081</v>
      </c>
      <c r="H103">
        <v>3</v>
      </c>
      <c r="I103" t="s">
        <v>313</v>
      </c>
      <c r="J103" t="s">
        <v>314</v>
      </c>
      <c r="K103" t="s">
        <v>315</v>
      </c>
      <c r="L103">
        <v>1354</v>
      </c>
      <c r="N103">
        <v>1010</v>
      </c>
      <c r="O103" t="s">
        <v>159</v>
      </c>
      <c r="P103" t="s">
        <v>159</v>
      </c>
      <c r="Q103">
        <v>1</v>
      </c>
      <c r="X103">
        <v>0.161</v>
      </c>
      <c r="Y103">
        <v>14.56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 t="s">
        <v>24</v>
      </c>
      <c r="AG103">
        <v>0</v>
      </c>
      <c r="AH103">
        <v>2</v>
      </c>
      <c r="AI103">
        <v>57037895</v>
      </c>
      <c r="AJ103">
        <v>86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5">
      <c r="A104">
        <f>ROW(Source!A49)</f>
        <v>49</v>
      </c>
      <c r="B104">
        <v>57037896</v>
      </c>
      <c r="C104">
        <v>57037887</v>
      </c>
      <c r="D104">
        <v>55428305</v>
      </c>
      <c r="E104">
        <v>1081</v>
      </c>
      <c r="F104">
        <v>1</v>
      </c>
      <c r="G104">
        <v>1081</v>
      </c>
      <c r="H104">
        <v>3</v>
      </c>
      <c r="I104" t="s">
        <v>336</v>
      </c>
      <c r="J104" t="s">
        <v>3</v>
      </c>
      <c r="K104" t="s">
        <v>337</v>
      </c>
      <c r="L104">
        <v>1301</v>
      </c>
      <c r="N104">
        <v>1003</v>
      </c>
      <c r="O104" t="s">
        <v>197</v>
      </c>
      <c r="P104" t="s">
        <v>197</v>
      </c>
      <c r="Q104">
        <v>1</v>
      </c>
      <c r="X104">
        <v>102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 t="s">
        <v>24</v>
      </c>
      <c r="AG104">
        <v>0</v>
      </c>
      <c r="AH104">
        <v>3</v>
      </c>
      <c r="AI104">
        <v>-1</v>
      </c>
      <c r="AJ104" t="s">
        <v>3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5">
      <c r="A105">
        <f>ROW(Source!A49)</f>
        <v>49</v>
      </c>
      <c r="B105">
        <v>57037897</v>
      </c>
      <c r="C105">
        <v>57037887</v>
      </c>
      <c r="D105">
        <v>55432095</v>
      </c>
      <c r="E105">
        <v>1081</v>
      </c>
      <c r="F105">
        <v>1</v>
      </c>
      <c r="G105">
        <v>1081</v>
      </c>
      <c r="H105">
        <v>3</v>
      </c>
      <c r="I105" t="s">
        <v>338</v>
      </c>
      <c r="J105" t="s">
        <v>3</v>
      </c>
      <c r="K105" t="s">
        <v>339</v>
      </c>
      <c r="L105">
        <v>1355</v>
      </c>
      <c r="N105">
        <v>1010</v>
      </c>
      <c r="O105" t="s">
        <v>205</v>
      </c>
      <c r="P105" t="s">
        <v>205</v>
      </c>
      <c r="Q105">
        <v>100</v>
      </c>
      <c r="X105">
        <v>2.1640000000000001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24</v>
      </c>
      <c r="AG105">
        <v>0</v>
      </c>
      <c r="AH105">
        <v>3</v>
      </c>
      <c r="AI105">
        <v>-1</v>
      </c>
      <c r="AJ105" t="s">
        <v>3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5">
      <c r="A106">
        <f>ROW(Source!A49)</f>
        <v>49</v>
      </c>
      <c r="B106">
        <v>57037898</v>
      </c>
      <c r="C106">
        <v>57037887</v>
      </c>
      <c r="D106">
        <v>55438984</v>
      </c>
      <c r="E106">
        <v>1081</v>
      </c>
      <c r="F106">
        <v>1</v>
      </c>
      <c r="G106">
        <v>1081</v>
      </c>
      <c r="H106">
        <v>3</v>
      </c>
      <c r="I106" t="s">
        <v>340</v>
      </c>
      <c r="J106" t="s">
        <v>3</v>
      </c>
      <c r="K106" t="s">
        <v>341</v>
      </c>
      <c r="L106">
        <v>1303</v>
      </c>
      <c r="N106">
        <v>1003</v>
      </c>
      <c r="O106" t="s">
        <v>291</v>
      </c>
      <c r="P106" t="s">
        <v>291</v>
      </c>
      <c r="Q106">
        <v>1000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24</v>
      </c>
      <c r="AG106">
        <v>0</v>
      </c>
      <c r="AH106">
        <v>3</v>
      </c>
      <c r="AI106">
        <v>-1</v>
      </c>
      <c r="AJ106" t="s">
        <v>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5">
      <c r="A107">
        <f>ROW(Source!A50)</f>
        <v>50</v>
      </c>
      <c r="B107">
        <v>55984317</v>
      </c>
      <c r="C107">
        <v>55984314</v>
      </c>
      <c r="D107">
        <v>55424304</v>
      </c>
      <c r="E107">
        <v>1081</v>
      </c>
      <c r="F107">
        <v>1</v>
      </c>
      <c r="G107">
        <v>1081</v>
      </c>
      <c r="H107">
        <v>1</v>
      </c>
      <c r="I107" t="s">
        <v>262</v>
      </c>
      <c r="J107" t="s">
        <v>3</v>
      </c>
      <c r="K107" t="s">
        <v>263</v>
      </c>
      <c r="L107">
        <v>1191</v>
      </c>
      <c r="N107">
        <v>1013</v>
      </c>
      <c r="O107" t="s">
        <v>264</v>
      </c>
      <c r="P107" t="s">
        <v>264</v>
      </c>
      <c r="Q107">
        <v>1</v>
      </c>
      <c r="X107">
        <v>30.44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1</v>
      </c>
      <c r="AF107" t="s">
        <v>63</v>
      </c>
      <c r="AG107">
        <v>36.527999999999999</v>
      </c>
      <c r="AH107">
        <v>2</v>
      </c>
      <c r="AI107">
        <v>55984315</v>
      </c>
      <c r="AJ107">
        <v>87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5">
      <c r="A108">
        <f>ROW(Source!A50)</f>
        <v>50</v>
      </c>
      <c r="B108">
        <v>55984318</v>
      </c>
      <c r="C108">
        <v>55984314</v>
      </c>
      <c r="D108">
        <v>55424288</v>
      </c>
      <c r="E108">
        <v>1081</v>
      </c>
      <c r="F108">
        <v>1</v>
      </c>
      <c r="G108">
        <v>1081</v>
      </c>
      <c r="H108">
        <v>3</v>
      </c>
      <c r="I108" t="s">
        <v>295</v>
      </c>
      <c r="J108" t="s">
        <v>3</v>
      </c>
      <c r="K108" t="s">
        <v>296</v>
      </c>
      <c r="L108">
        <v>1348</v>
      </c>
      <c r="N108">
        <v>1009</v>
      </c>
      <c r="O108" t="s">
        <v>223</v>
      </c>
      <c r="P108" t="s">
        <v>223</v>
      </c>
      <c r="Q108">
        <v>1000</v>
      </c>
      <c r="X108">
        <v>0.247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 t="s">
        <v>62</v>
      </c>
      <c r="AG108">
        <v>0.247</v>
      </c>
      <c r="AH108">
        <v>2</v>
      </c>
      <c r="AI108">
        <v>55984316</v>
      </c>
      <c r="AJ108">
        <v>88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5">
      <c r="A109">
        <f>ROW(Source!A51)</f>
        <v>51</v>
      </c>
      <c r="B109">
        <v>55984317</v>
      </c>
      <c r="C109">
        <v>55984314</v>
      </c>
      <c r="D109">
        <v>55424304</v>
      </c>
      <c r="E109">
        <v>1081</v>
      </c>
      <c r="F109">
        <v>1</v>
      </c>
      <c r="G109">
        <v>1081</v>
      </c>
      <c r="H109">
        <v>1</v>
      </c>
      <c r="I109" t="s">
        <v>262</v>
      </c>
      <c r="J109" t="s">
        <v>3</v>
      </c>
      <c r="K109" t="s">
        <v>263</v>
      </c>
      <c r="L109">
        <v>1191</v>
      </c>
      <c r="N109">
        <v>1013</v>
      </c>
      <c r="O109" t="s">
        <v>264</v>
      </c>
      <c r="P109" t="s">
        <v>264</v>
      </c>
      <c r="Q109">
        <v>1</v>
      </c>
      <c r="X109">
        <v>30.44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1</v>
      </c>
      <c r="AF109" t="s">
        <v>63</v>
      </c>
      <c r="AG109">
        <v>36.527999999999999</v>
      </c>
      <c r="AH109">
        <v>2</v>
      </c>
      <c r="AI109">
        <v>55984315</v>
      </c>
      <c r="AJ109">
        <v>89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5">
      <c r="A110">
        <f>ROW(Source!A51)</f>
        <v>51</v>
      </c>
      <c r="B110">
        <v>55984318</v>
      </c>
      <c r="C110">
        <v>55984314</v>
      </c>
      <c r="D110">
        <v>55424288</v>
      </c>
      <c r="E110">
        <v>1081</v>
      </c>
      <c r="F110">
        <v>1</v>
      </c>
      <c r="G110">
        <v>1081</v>
      </c>
      <c r="H110">
        <v>3</v>
      </c>
      <c r="I110" t="s">
        <v>295</v>
      </c>
      <c r="J110" t="s">
        <v>3</v>
      </c>
      <c r="K110" t="s">
        <v>296</v>
      </c>
      <c r="L110">
        <v>1348</v>
      </c>
      <c r="N110">
        <v>1009</v>
      </c>
      <c r="O110" t="s">
        <v>223</v>
      </c>
      <c r="P110" t="s">
        <v>223</v>
      </c>
      <c r="Q110">
        <v>1000</v>
      </c>
      <c r="X110">
        <v>0.247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 t="s">
        <v>62</v>
      </c>
      <c r="AG110">
        <v>0.247</v>
      </c>
      <c r="AH110">
        <v>2</v>
      </c>
      <c r="AI110">
        <v>55984316</v>
      </c>
      <c r="AJ110">
        <v>90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5">
      <c r="A111">
        <f>ROW(Source!A52)</f>
        <v>52</v>
      </c>
      <c r="B111">
        <v>55984323</v>
      </c>
      <c r="C111">
        <v>55984319</v>
      </c>
      <c r="D111">
        <v>55424304</v>
      </c>
      <c r="E111">
        <v>1081</v>
      </c>
      <c r="F111">
        <v>1</v>
      </c>
      <c r="G111">
        <v>1081</v>
      </c>
      <c r="H111">
        <v>1</v>
      </c>
      <c r="I111" t="s">
        <v>262</v>
      </c>
      <c r="J111" t="s">
        <v>3</v>
      </c>
      <c r="K111" t="s">
        <v>263</v>
      </c>
      <c r="L111">
        <v>1191</v>
      </c>
      <c r="N111">
        <v>1013</v>
      </c>
      <c r="O111" t="s">
        <v>264</v>
      </c>
      <c r="P111" t="s">
        <v>264</v>
      </c>
      <c r="Q111">
        <v>1</v>
      </c>
      <c r="X111">
        <v>0.52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1</v>
      </c>
      <c r="AF111" t="s">
        <v>25</v>
      </c>
      <c r="AG111">
        <v>0.18720000000000001</v>
      </c>
      <c r="AH111">
        <v>2</v>
      </c>
      <c r="AI111">
        <v>55984320</v>
      </c>
      <c r="AJ111">
        <v>91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5">
      <c r="A112">
        <f>ROW(Source!A52)</f>
        <v>52</v>
      </c>
      <c r="B112">
        <v>55984324</v>
      </c>
      <c r="C112">
        <v>55984319</v>
      </c>
      <c r="D112">
        <v>55490209</v>
      </c>
      <c r="E112">
        <v>1</v>
      </c>
      <c r="F112">
        <v>1</v>
      </c>
      <c r="G112">
        <v>1081</v>
      </c>
      <c r="H112">
        <v>2</v>
      </c>
      <c r="I112" t="s">
        <v>265</v>
      </c>
      <c r="J112" t="s">
        <v>266</v>
      </c>
      <c r="K112" t="s">
        <v>267</v>
      </c>
      <c r="L112">
        <v>1368</v>
      </c>
      <c r="N112">
        <v>1011</v>
      </c>
      <c r="O112" t="s">
        <v>268</v>
      </c>
      <c r="P112" t="s">
        <v>268</v>
      </c>
      <c r="Q112">
        <v>1</v>
      </c>
      <c r="X112">
        <v>0.02</v>
      </c>
      <c r="Y112">
        <v>0</v>
      </c>
      <c r="Z112">
        <v>83.1</v>
      </c>
      <c r="AA112">
        <v>12.62</v>
      </c>
      <c r="AB112">
        <v>0</v>
      </c>
      <c r="AC112">
        <v>0</v>
      </c>
      <c r="AD112">
        <v>1</v>
      </c>
      <c r="AE112">
        <v>0</v>
      </c>
      <c r="AF112" t="s">
        <v>25</v>
      </c>
      <c r="AG112">
        <v>7.1999999999999998E-3</v>
      </c>
      <c r="AH112">
        <v>2</v>
      </c>
      <c r="AI112">
        <v>55984321</v>
      </c>
      <c r="AJ112">
        <v>92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5">
      <c r="A113">
        <f>ROW(Source!A52)</f>
        <v>52</v>
      </c>
      <c r="B113">
        <v>55984325</v>
      </c>
      <c r="C113">
        <v>55984319</v>
      </c>
      <c r="D113">
        <v>55489519</v>
      </c>
      <c r="E113">
        <v>1</v>
      </c>
      <c r="F113">
        <v>1</v>
      </c>
      <c r="G113">
        <v>1081</v>
      </c>
      <c r="H113">
        <v>2</v>
      </c>
      <c r="I113" t="s">
        <v>316</v>
      </c>
      <c r="J113" t="s">
        <v>317</v>
      </c>
      <c r="K113" t="s">
        <v>318</v>
      </c>
      <c r="L113">
        <v>1368</v>
      </c>
      <c r="N113">
        <v>1011</v>
      </c>
      <c r="O113" t="s">
        <v>268</v>
      </c>
      <c r="P113" t="s">
        <v>268</v>
      </c>
      <c r="Q113">
        <v>1</v>
      </c>
      <c r="X113">
        <v>0.2</v>
      </c>
      <c r="Y113">
        <v>0</v>
      </c>
      <c r="Z113">
        <v>132.66</v>
      </c>
      <c r="AA113">
        <v>14.54</v>
      </c>
      <c r="AB113">
        <v>0</v>
      </c>
      <c r="AC113">
        <v>0</v>
      </c>
      <c r="AD113">
        <v>1</v>
      </c>
      <c r="AE113">
        <v>0</v>
      </c>
      <c r="AF113" t="s">
        <v>25</v>
      </c>
      <c r="AG113">
        <v>7.1999999999999995E-2</v>
      </c>
      <c r="AH113">
        <v>2</v>
      </c>
      <c r="AI113">
        <v>55984322</v>
      </c>
      <c r="AJ113">
        <v>93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5">
      <c r="A114">
        <f>ROW(Source!A52)</f>
        <v>52</v>
      </c>
      <c r="B114">
        <v>55984326</v>
      </c>
      <c r="C114">
        <v>55984319</v>
      </c>
      <c r="D114">
        <v>55416982</v>
      </c>
      <c r="E114">
        <v>1081</v>
      </c>
      <c r="F114">
        <v>1</v>
      </c>
      <c r="G114">
        <v>1081</v>
      </c>
      <c r="H114">
        <v>3</v>
      </c>
      <c r="I114" t="s">
        <v>342</v>
      </c>
      <c r="J114" t="s">
        <v>3</v>
      </c>
      <c r="K114" t="s">
        <v>343</v>
      </c>
      <c r="L114">
        <v>1346</v>
      </c>
      <c r="N114">
        <v>1009</v>
      </c>
      <c r="O114" t="s">
        <v>238</v>
      </c>
      <c r="P114" t="s">
        <v>238</v>
      </c>
      <c r="Q114">
        <v>1</v>
      </c>
      <c r="X114">
        <v>3.2000000000000003E-4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 t="s">
        <v>24</v>
      </c>
      <c r="AG114">
        <v>0</v>
      </c>
      <c r="AH114">
        <v>3</v>
      </c>
      <c r="AI114">
        <v>-1</v>
      </c>
      <c r="AJ114" t="s">
        <v>3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5">
      <c r="A115">
        <f>ROW(Source!A52)</f>
        <v>52</v>
      </c>
      <c r="B115">
        <v>55984327</v>
      </c>
      <c r="C115">
        <v>55984319</v>
      </c>
      <c r="D115">
        <v>55441022</v>
      </c>
      <c r="E115">
        <v>1081</v>
      </c>
      <c r="F115">
        <v>1</v>
      </c>
      <c r="G115">
        <v>1081</v>
      </c>
      <c r="H115">
        <v>3</v>
      </c>
      <c r="I115" t="s">
        <v>344</v>
      </c>
      <c r="J115" t="s">
        <v>3</v>
      </c>
      <c r="K115" t="s">
        <v>345</v>
      </c>
      <c r="L115">
        <v>1354</v>
      </c>
      <c r="N115">
        <v>1010</v>
      </c>
      <c r="O115" t="s">
        <v>159</v>
      </c>
      <c r="P115" t="s">
        <v>159</v>
      </c>
      <c r="Q115">
        <v>1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 t="s">
        <v>24</v>
      </c>
      <c r="AG115">
        <v>0</v>
      </c>
      <c r="AH115">
        <v>3</v>
      </c>
      <c r="AI115">
        <v>-1</v>
      </c>
      <c r="AJ115" t="s">
        <v>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5">
      <c r="A116">
        <f>ROW(Source!A53)</f>
        <v>53</v>
      </c>
      <c r="B116">
        <v>55984323</v>
      </c>
      <c r="C116">
        <v>55984319</v>
      </c>
      <c r="D116">
        <v>55424304</v>
      </c>
      <c r="E116">
        <v>1081</v>
      </c>
      <c r="F116">
        <v>1</v>
      </c>
      <c r="G116">
        <v>1081</v>
      </c>
      <c r="H116">
        <v>1</v>
      </c>
      <c r="I116" t="s">
        <v>262</v>
      </c>
      <c r="J116" t="s">
        <v>3</v>
      </c>
      <c r="K116" t="s">
        <v>263</v>
      </c>
      <c r="L116">
        <v>1191</v>
      </c>
      <c r="N116">
        <v>1013</v>
      </c>
      <c r="O116" t="s">
        <v>264</v>
      </c>
      <c r="P116" t="s">
        <v>264</v>
      </c>
      <c r="Q116">
        <v>1</v>
      </c>
      <c r="X116">
        <v>0.52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1</v>
      </c>
      <c r="AF116" t="s">
        <v>25</v>
      </c>
      <c r="AG116">
        <v>0.18720000000000001</v>
      </c>
      <c r="AH116">
        <v>2</v>
      </c>
      <c r="AI116">
        <v>55984320</v>
      </c>
      <c r="AJ116">
        <v>94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5">
      <c r="A117">
        <f>ROW(Source!A53)</f>
        <v>53</v>
      </c>
      <c r="B117">
        <v>55984324</v>
      </c>
      <c r="C117">
        <v>55984319</v>
      </c>
      <c r="D117">
        <v>55490209</v>
      </c>
      <c r="E117">
        <v>1</v>
      </c>
      <c r="F117">
        <v>1</v>
      </c>
      <c r="G117">
        <v>1081</v>
      </c>
      <c r="H117">
        <v>2</v>
      </c>
      <c r="I117" t="s">
        <v>265</v>
      </c>
      <c r="J117" t="s">
        <v>266</v>
      </c>
      <c r="K117" t="s">
        <v>267</v>
      </c>
      <c r="L117">
        <v>1368</v>
      </c>
      <c r="N117">
        <v>1011</v>
      </c>
      <c r="O117" t="s">
        <v>268</v>
      </c>
      <c r="P117" t="s">
        <v>268</v>
      </c>
      <c r="Q117">
        <v>1</v>
      </c>
      <c r="X117">
        <v>0.02</v>
      </c>
      <c r="Y117">
        <v>0</v>
      </c>
      <c r="Z117">
        <v>83.1</v>
      </c>
      <c r="AA117">
        <v>12.62</v>
      </c>
      <c r="AB117">
        <v>0</v>
      </c>
      <c r="AC117">
        <v>0</v>
      </c>
      <c r="AD117">
        <v>1</v>
      </c>
      <c r="AE117">
        <v>0</v>
      </c>
      <c r="AF117" t="s">
        <v>25</v>
      </c>
      <c r="AG117">
        <v>7.1999999999999998E-3</v>
      </c>
      <c r="AH117">
        <v>2</v>
      </c>
      <c r="AI117">
        <v>55984321</v>
      </c>
      <c r="AJ117">
        <v>95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5">
      <c r="A118">
        <f>ROW(Source!A53)</f>
        <v>53</v>
      </c>
      <c r="B118">
        <v>55984325</v>
      </c>
      <c r="C118">
        <v>55984319</v>
      </c>
      <c r="D118">
        <v>55489519</v>
      </c>
      <c r="E118">
        <v>1</v>
      </c>
      <c r="F118">
        <v>1</v>
      </c>
      <c r="G118">
        <v>1081</v>
      </c>
      <c r="H118">
        <v>2</v>
      </c>
      <c r="I118" t="s">
        <v>316</v>
      </c>
      <c r="J118" t="s">
        <v>317</v>
      </c>
      <c r="K118" t="s">
        <v>318</v>
      </c>
      <c r="L118">
        <v>1368</v>
      </c>
      <c r="N118">
        <v>1011</v>
      </c>
      <c r="O118" t="s">
        <v>268</v>
      </c>
      <c r="P118" t="s">
        <v>268</v>
      </c>
      <c r="Q118">
        <v>1</v>
      </c>
      <c r="X118">
        <v>0.2</v>
      </c>
      <c r="Y118">
        <v>0</v>
      </c>
      <c r="Z118">
        <v>132.66</v>
      </c>
      <c r="AA118">
        <v>14.54</v>
      </c>
      <c r="AB118">
        <v>0</v>
      </c>
      <c r="AC118">
        <v>0</v>
      </c>
      <c r="AD118">
        <v>1</v>
      </c>
      <c r="AE118">
        <v>0</v>
      </c>
      <c r="AF118" t="s">
        <v>25</v>
      </c>
      <c r="AG118">
        <v>7.1999999999999995E-2</v>
      </c>
      <c r="AH118">
        <v>2</v>
      </c>
      <c r="AI118">
        <v>55984322</v>
      </c>
      <c r="AJ118">
        <v>96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5">
      <c r="A119">
        <f>ROW(Source!A53)</f>
        <v>53</v>
      </c>
      <c r="B119">
        <v>55984326</v>
      </c>
      <c r="C119">
        <v>55984319</v>
      </c>
      <c r="D119">
        <v>55416982</v>
      </c>
      <c r="E119">
        <v>1081</v>
      </c>
      <c r="F119">
        <v>1</v>
      </c>
      <c r="G119">
        <v>1081</v>
      </c>
      <c r="H119">
        <v>3</v>
      </c>
      <c r="I119" t="s">
        <v>342</v>
      </c>
      <c r="J119" t="s">
        <v>3</v>
      </c>
      <c r="K119" t="s">
        <v>343</v>
      </c>
      <c r="L119">
        <v>1346</v>
      </c>
      <c r="N119">
        <v>1009</v>
      </c>
      <c r="O119" t="s">
        <v>238</v>
      </c>
      <c r="P119" t="s">
        <v>238</v>
      </c>
      <c r="Q119">
        <v>1</v>
      </c>
      <c r="X119">
        <v>3.2000000000000003E-4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 t="s">
        <v>24</v>
      </c>
      <c r="AG119">
        <v>0</v>
      </c>
      <c r="AH119">
        <v>3</v>
      </c>
      <c r="AI119">
        <v>-1</v>
      </c>
      <c r="AJ119" t="s">
        <v>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5">
      <c r="A120">
        <f>ROW(Source!A53)</f>
        <v>53</v>
      </c>
      <c r="B120">
        <v>55984327</v>
      </c>
      <c r="C120">
        <v>55984319</v>
      </c>
      <c r="D120">
        <v>55441022</v>
      </c>
      <c r="E120">
        <v>1081</v>
      </c>
      <c r="F120">
        <v>1</v>
      </c>
      <c r="G120">
        <v>1081</v>
      </c>
      <c r="H120">
        <v>3</v>
      </c>
      <c r="I120" t="s">
        <v>344</v>
      </c>
      <c r="J120" t="s">
        <v>3</v>
      </c>
      <c r="K120" t="s">
        <v>345</v>
      </c>
      <c r="L120">
        <v>1354</v>
      </c>
      <c r="N120">
        <v>1010</v>
      </c>
      <c r="O120" t="s">
        <v>159</v>
      </c>
      <c r="P120" t="s">
        <v>159</v>
      </c>
      <c r="Q120">
        <v>1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 t="s">
        <v>24</v>
      </c>
      <c r="AG120">
        <v>0</v>
      </c>
      <c r="AH120">
        <v>3</v>
      </c>
      <c r="AI120">
        <v>-1</v>
      </c>
      <c r="AJ120" t="s">
        <v>3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5">
      <c r="A121">
        <f>ROW(Source!A89)</f>
        <v>89</v>
      </c>
      <c r="B121">
        <v>55936229</v>
      </c>
      <c r="C121">
        <v>55936228</v>
      </c>
      <c r="D121">
        <v>55424304</v>
      </c>
      <c r="E121">
        <v>1081</v>
      </c>
      <c r="F121">
        <v>1</v>
      </c>
      <c r="G121">
        <v>1081</v>
      </c>
      <c r="H121">
        <v>1</v>
      </c>
      <c r="I121" t="s">
        <v>262</v>
      </c>
      <c r="J121" t="s">
        <v>3</v>
      </c>
      <c r="K121" t="s">
        <v>263</v>
      </c>
      <c r="L121">
        <v>1191</v>
      </c>
      <c r="N121">
        <v>1013</v>
      </c>
      <c r="O121" t="s">
        <v>264</v>
      </c>
      <c r="P121" t="s">
        <v>264</v>
      </c>
      <c r="Q121">
        <v>1</v>
      </c>
      <c r="X121">
        <v>29.96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1</v>
      </c>
      <c r="AF121" t="s">
        <v>63</v>
      </c>
      <c r="AG121">
        <v>35.951999999999998</v>
      </c>
      <c r="AH121">
        <v>2</v>
      </c>
      <c r="AI121">
        <v>55936229</v>
      </c>
      <c r="AJ121">
        <v>97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5">
      <c r="A122">
        <f>ROW(Source!A89)</f>
        <v>89</v>
      </c>
      <c r="B122">
        <v>55936230</v>
      </c>
      <c r="C122">
        <v>55936228</v>
      </c>
      <c r="D122">
        <v>55490209</v>
      </c>
      <c r="E122">
        <v>1</v>
      </c>
      <c r="F122">
        <v>1</v>
      </c>
      <c r="G122">
        <v>1081</v>
      </c>
      <c r="H122">
        <v>2</v>
      </c>
      <c r="I122" t="s">
        <v>265</v>
      </c>
      <c r="J122" t="s">
        <v>266</v>
      </c>
      <c r="K122" t="s">
        <v>267</v>
      </c>
      <c r="L122">
        <v>1368</v>
      </c>
      <c r="N122">
        <v>1011</v>
      </c>
      <c r="O122" t="s">
        <v>268</v>
      </c>
      <c r="P122" t="s">
        <v>268</v>
      </c>
      <c r="Q122">
        <v>1</v>
      </c>
      <c r="X122">
        <v>0.01</v>
      </c>
      <c r="Y122">
        <v>0</v>
      </c>
      <c r="Z122">
        <v>83.1</v>
      </c>
      <c r="AA122">
        <v>12.62</v>
      </c>
      <c r="AB122">
        <v>0</v>
      </c>
      <c r="AC122">
        <v>0</v>
      </c>
      <c r="AD122">
        <v>1</v>
      </c>
      <c r="AE122">
        <v>0</v>
      </c>
      <c r="AF122" t="s">
        <v>63</v>
      </c>
      <c r="AG122">
        <v>1.2E-2</v>
      </c>
      <c r="AH122">
        <v>2</v>
      </c>
      <c r="AI122">
        <v>55936230</v>
      </c>
      <c r="AJ122">
        <v>98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5">
      <c r="A123">
        <f>ROW(Source!A89)</f>
        <v>89</v>
      </c>
      <c r="B123">
        <v>55936231</v>
      </c>
      <c r="C123">
        <v>55936228</v>
      </c>
      <c r="D123">
        <v>55490296</v>
      </c>
      <c r="E123">
        <v>1</v>
      </c>
      <c r="F123">
        <v>1</v>
      </c>
      <c r="G123">
        <v>1081</v>
      </c>
      <c r="H123">
        <v>2</v>
      </c>
      <c r="I123" t="s">
        <v>270</v>
      </c>
      <c r="J123" t="s">
        <v>271</v>
      </c>
      <c r="K123" t="s">
        <v>272</v>
      </c>
      <c r="L123">
        <v>1368</v>
      </c>
      <c r="N123">
        <v>1011</v>
      </c>
      <c r="O123" t="s">
        <v>268</v>
      </c>
      <c r="P123" t="s">
        <v>268</v>
      </c>
      <c r="Q123">
        <v>1</v>
      </c>
      <c r="X123">
        <v>0.57999999999999996</v>
      </c>
      <c r="Y123">
        <v>0</v>
      </c>
      <c r="Z123">
        <v>0.47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63</v>
      </c>
      <c r="AG123">
        <v>0.69599999999999995</v>
      </c>
      <c r="AH123">
        <v>2</v>
      </c>
      <c r="AI123">
        <v>55936231</v>
      </c>
      <c r="AJ123">
        <v>99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5">
      <c r="A124">
        <f>ROW(Source!A89)</f>
        <v>89</v>
      </c>
      <c r="B124">
        <v>55936232</v>
      </c>
      <c r="C124">
        <v>55936228</v>
      </c>
      <c r="D124">
        <v>55460882</v>
      </c>
      <c r="E124">
        <v>1</v>
      </c>
      <c r="F124">
        <v>1</v>
      </c>
      <c r="G124">
        <v>1081</v>
      </c>
      <c r="H124">
        <v>3</v>
      </c>
      <c r="I124" t="s">
        <v>273</v>
      </c>
      <c r="J124" t="s">
        <v>274</v>
      </c>
      <c r="K124" t="s">
        <v>275</v>
      </c>
      <c r="L124">
        <v>1348</v>
      </c>
      <c r="N124">
        <v>1009</v>
      </c>
      <c r="O124" t="s">
        <v>223</v>
      </c>
      <c r="P124" t="s">
        <v>223</v>
      </c>
      <c r="Q124">
        <v>1000</v>
      </c>
      <c r="X124">
        <v>9.0000000000000006E-5</v>
      </c>
      <c r="Y124">
        <v>14327.51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 t="s">
        <v>62</v>
      </c>
      <c r="AG124">
        <v>9.0000000000000006E-5</v>
      </c>
      <c r="AH124">
        <v>2</v>
      </c>
      <c r="AI124">
        <v>55936232</v>
      </c>
      <c r="AJ124">
        <v>100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5">
      <c r="A125">
        <f>ROW(Source!A89)</f>
        <v>89</v>
      </c>
      <c r="B125">
        <v>55936233</v>
      </c>
      <c r="C125">
        <v>55936228</v>
      </c>
      <c r="D125">
        <v>55441136</v>
      </c>
      <c r="E125">
        <v>1081</v>
      </c>
      <c r="F125">
        <v>1</v>
      </c>
      <c r="G125">
        <v>1081</v>
      </c>
      <c r="H125">
        <v>3</v>
      </c>
      <c r="I125" t="s">
        <v>327</v>
      </c>
      <c r="J125" t="s">
        <v>3</v>
      </c>
      <c r="K125" t="s">
        <v>328</v>
      </c>
      <c r="L125">
        <v>1358</v>
      </c>
      <c r="N125">
        <v>1010</v>
      </c>
      <c r="O125" t="s">
        <v>22</v>
      </c>
      <c r="P125" t="s">
        <v>22</v>
      </c>
      <c r="Q125">
        <v>10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 t="s">
        <v>62</v>
      </c>
      <c r="AG125">
        <v>1</v>
      </c>
      <c r="AH125">
        <v>3</v>
      </c>
      <c r="AI125">
        <v>-1</v>
      </c>
      <c r="AJ125" t="s">
        <v>3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5">
      <c r="A126">
        <f>ROW(Source!A90)</f>
        <v>90</v>
      </c>
      <c r="B126">
        <v>55936229</v>
      </c>
      <c r="C126">
        <v>55936228</v>
      </c>
      <c r="D126">
        <v>55424304</v>
      </c>
      <c r="E126">
        <v>1081</v>
      </c>
      <c r="F126">
        <v>1</v>
      </c>
      <c r="G126">
        <v>1081</v>
      </c>
      <c r="H126">
        <v>1</v>
      </c>
      <c r="I126" t="s">
        <v>262</v>
      </c>
      <c r="J126" t="s">
        <v>3</v>
      </c>
      <c r="K126" t="s">
        <v>263</v>
      </c>
      <c r="L126">
        <v>1191</v>
      </c>
      <c r="N126">
        <v>1013</v>
      </c>
      <c r="O126" t="s">
        <v>264</v>
      </c>
      <c r="P126" t="s">
        <v>264</v>
      </c>
      <c r="Q126">
        <v>1</v>
      </c>
      <c r="X126">
        <v>29.96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1</v>
      </c>
      <c r="AF126" t="s">
        <v>63</v>
      </c>
      <c r="AG126">
        <v>35.951999999999998</v>
      </c>
      <c r="AH126">
        <v>2</v>
      </c>
      <c r="AI126">
        <v>55936229</v>
      </c>
      <c r="AJ126">
        <v>102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5">
      <c r="A127">
        <f>ROW(Source!A90)</f>
        <v>90</v>
      </c>
      <c r="B127">
        <v>55936230</v>
      </c>
      <c r="C127">
        <v>55936228</v>
      </c>
      <c r="D127">
        <v>55490209</v>
      </c>
      <c r="E127">
        <v>1</v>
      </c>
      <c r="F127">
        <v>1</v>
      </c>
      <c r="G127">
        <v>1081</v>
      </c>
      <c r="H127">
        <v>2</v>
      </c>
      <c r="I127" t="s">
        <v>265</v>
      </c>
      <c r="J127" t="s">
        <v>266</v>
      </c>
      <c r="K127" t="s">
        <v>267</v>
      </c>
      <c r="L127">
        <v>1368</v>
      </c>
      <c r="N127">
        <v>1011</v>
      </c>
      <c r="O127" t="s">
        <v>268</v>
      </c>
      <c r="P127" t="s">
        <v>268</v>
      </c>
      <c r="Q127">
        <v>1</v>
      </c>
      <c r="X127">
        <v>0.01</v>
      </c>
      <c r="Y127">
        <v>0</v>
      </c>
      <c r="Z127">
        <v>83.1</v>
      </c>
      <c r="AA127">
        <v>12.62</v>
      </c>
      <c r="AB127">
        <v>0</v>
      </c>
      <c r="AC127">
        <v>0</v>
      </c>
      <c r="AD127">
        <v>1</v>
      </c>
      <c r="AE127">
        <v>0</v>
      </c>
      <c r="AF127" t="s">
        <v>63</v>
      </c>
      <c r="AG127">
        <v>1.2E-2</v>
      </c>
      <c r="AH127">
        <v>2</v>
      </c>
      <c r="AI127">
        <v>55936230</v>
      </c>
      <c r="AJ127">
        <v>103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5">
      <c r="A128">
        <f>ROW(Source!A90)</f>
        <v>90</v>
      </c>
      <c r="B128">
        <v>55936231</v>
      </c>
      <c r="C128">
        <v>55936228</v>
      </c>
      <c r="D128">
        <v>55490296</v>
      </c>
      <c r="E128">
        <v>1</v>
      </c>
      <c r="F128">
        <v>1</v>
      </c>
      <c r="G128">
        <v>1081</v>
      </c>
      <c r="H128">
        <v>2</v>
      </c>
      <c r="I128" t="s">
        <v>270</v>
      </c>
      <c r="J128" t="s">
        <v>271</v>
      </c>
      <c r="K128" t="s">
        <v>272</v>
      </c>
      <c r="L128">
        <v>1368</v>
      </c>
      <c r="N128">
        <v>1011</v>
      </c>
      <c r="O128" t="s">
        <v>268</v>
      </c>
      <c r="P128" t="s">
        <v>268</v>
      </c>
      <c r="Q128">
        <v>1</v>
      </c>
      <c r="X128">
        <v>0.57999999999999996</v>
      </c>
      <c r="Y128">
        <v>0</v>
      </c>
      <c r="Z128">
        <v>0.47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63</v>
      </c>
      <c r="AG128">
        <v>0.69599999999999995</v>
      </c>
      <c r="AH128">
        <v>2</v>
      </c>
      <c r="AI128">
        <v>55936231</v>
      </c>
      <c r="AJ128">
        <v>104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5">
      <c r="A129">
        <f>ROW(Source!A90)</f>
        <v>90</v>
      </c>
      <c r="B129">
        <v>55936232</v>
      </c>
      <c r="C129">
        <v>55936228</v>
      </c>
      <c r="D129">
        <v>55460882</v>
      </c>
      <c r="E129">
        <v>1</v>
      </c>
      <c r="F129">
        <v>1</v>
      </c>
      <c r="G129">
        <v>1081</v>
      </c>
      <c r="H129">
        <v>3</v>
      </c>
      <c r="I129" t="s">
        <v>273</v>
      </c>
      <c r="J129" t="s">
        <v>274</v>
      </c>
      <c r="K129" t="s">
        <v>275</v>
      </c>
      <c r="L129">
        <v>1348</v>
      </c>
      <c r="N129">
        <v>1009</v>
      </c>
      <c r="O129" t="s">
        <v>223</v>
      </c>
      <c r="P129" t="s">
        <v>223</v>
      </c>
      <c r="Q129">
        <v>1000</v>
      </c>
      <c r="X129">
        <v>9.0000000000000006E-5</v>
      </c>
      <c r="Y129">
        <v>14327.51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 t="s">
        <v>62</v>
      </c>
      <c r="AG129">
        <v>9.0000000000000006E-5</v>
      </c>
      <c r="AH129">
        <v>2</v>
      </c>
      <c r="AI129">
        <v>55936232</v>
      </c>
      <c r="AJ129">
        <v>105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5">
      <c r="A130">
        <f>ROW(Source!A90)</f>
        <v>90</v>
      </c>
      <c r="B130">
        <v>55936233</v>
      </c>
      <c r="C130">
        <v>55936228</v>
      </c>
      <c r="D130">
        <v>55441136</v>
      </c>
      <c r="E130">
        <v>1081</v>
      </c>
      <c r="F130">
        <v>1</v>
      </c>
      <c r="G130">
        <v>1081</v>
      </c>
      <c r="H130">
        <v>3</v>
      </c>
      <c r="I130" t="s">
        <v>327</v>
      </c>
      <c r="J130" t="s">
        <v>3</v>
      </c>
      <c r="K130" t="s">
        <v>328</v>
      </c>
      <c r="L130">
        <v>1358</v>
      </c>
      <c r="N130">
        <v>1010</v>
      </c>
      <c r="O130" t="s">
        <v>22</v>
      </c>
      <c r="P130" t="s">
        <v>22</v>
      </c>
      <c r="Q130">
        <v>10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 t="s">
        <v>62</v>
      </c>
      <c r="AG130">
        <v>1</v>
      </c>
      <c r="AH130">
        <v>3</v>
      </c>
      <c r="AI130">
        <v>-1</v>
      </c>
      <c r="AJ130" t="s">
        <v>3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5">
      <c r="A131">
        <f>ROW(Source!A93)</f>
        <v>93</v>
      </c>
      <c r="B131">
        <v>57036856</v>
      </c>
      <c r="C131">
        <v>57036855</v>
      </c>
      <c r="D131">
        <v>55424304</v>
      </c>
      <c r="E131">
        <v>1081</v>
      </c>
      <c r="F131">
        <v>1</v>
      </c>
      <c r="G131">
        <v>1081</v>
      </c>
      <c r="H131">
        <v>1</v>
      </c>
      <c r="I131" t="s">
        <v>262</v>
      </c>
      <c r="J131" t="s">
        <v>3</v>
      </c>
      <c r="K131" t="s">
        <v>263</v>
      </c>
      <c r="L131">
        <v>1191</v>
      </c>
      <c r="N131">
        <v>1013</v>
      </c>
      <c r="O131" t="s">
        <v>264</v>
      </c>
      <c r="P131" t="s">
        <v>264</v>
      </c>
      <c r="Q131">
        <v>1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1</v>
      </c>
      <c r="AF131" t="s">
        <v>63</v>
      </c>
      <c r="AG131">
        <v>1.2</v>
      </c>
      <c r="AH131">
        <v>2</v>
      </c>
      <c r="AI131">
        <v>57036856</v>
      </c>
      <c r="AJ131">
        <v>107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5">
      <c r="A132">
        <f>ROW(Source!A93)</f>
        <v>93</v>
      </c>
      <c r="B132">
        <v>57036857</v>
      </c>
      <c r="C132">
        <v>57036855</v>
      </c>
      <c r="D132">
        <v>55459793</v>
      </c>
      <c r="E132">
        <v>1</v>
      </c>
      <c r="F132">
        <v>1</v>
      </c>
      <c r="G132">
        <v>1081</v>
      </c>
      <c r="H132">
        <v>3</v>
      </c>
      <c r="I132" t="s">
        <v>279</v>
      </c>
      <c r="J132" t="s">
        <v>280</v>
      </c>
      <c r="K132" t="s">
        <v>281</v>
      </c>
      <c r="L132">
        <v>1348</v>
      </c>
      <c r="N132">
        <v>1009</v>
      </c>
      <c r="O132" t="s">
        <v>223</v>
      </c>
      <c r="P132" t="s">
        <v>223</v>
      </c>
      <c r="Q132">
        <v>1000</v>
      </c>
      <c r="X132">
        <v>1.0000000000000001E-5</v>
      </c>
      <c r="Y132">
        <v>64123.05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 t="s">
        <v>62</v>
      </c>
      <c r="AG132">
        <v>1.0000000000000001E-5</v>
      </c>
      <c r="AH132">
        <v>2</v>
      </c>
      <c r="AI132">
        <v>57036857</v>
      </c>
      <c r="AJ132">
        <v>108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5">
      <c r="A133">
        <f>ROW(Source!A93)</f>
        <v>93</v>
      </c>
      <c r="B133">
        <v>57036858</v>
      </c>
      <c r="C133">
        <v>57036855</v>
      </c>
      <c r="D133">
        <v>55487942</v>
      </c>
      <c r="E133">
        <v>1</v>
      </c>
      <c r="F133">
        <v>1</v>
      </c>
      <c r="G133">
        <v>1081</v>
      </c>
      <c r="H133">
        <v>3</v>
      </c>
      <c r="I133" t="s">
        <v>288</v>
      </c>
      <c r="J133" t="s">
        <v>289</v>
      </c>
      <c r="K133" t="s">
        <v>290</v>
      </c>
      <c r="L133">
        <v>1303</v>
      </c>
      <c r="N133">
        <v>1003</v>
      </c>
      <c r="O133" t="s">
        <v>291</v>
      </c>
      <c r="P133" t="s">
        <v>291</v>
      </c>
      <c r="Q133">
        <v>1000</v>
      </c>
      <c r="X133">
        <v>2E-3</v>
      </c>
      <c r="Y133">
        <v>516.63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 t="s">
        <v>62</v>
      </c>
      <c r="AG133">
        <v>2E-3</v>
      </c>
      <c r="AH133">
        <v>2</v>
      </c>
      <c r="AI133">
        <v>57036858</v>
      </c>
      <c r="AJ133">
        <v>109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5">
      <c r="A134">
        <f>ROW(Source!A93)</f>
        <v>93</v>
      </c>
      <c r="B134">
        <v>57036859</v>
      </c>
      <c r="C134">
        <v>57036855</v>
      </c>
      <c r="D134">
        <v>55431425</v>
      </c>
      <c r="E134">
        <v>1081</v>
      </c>
      <c r="F134">
        <v>1</v>
      </c>
      <c r="G134">
        <v>1081</v>
      </c>
      <c r="H134">
        <v>3</v>
      </c>
      <c r="I134" t="s">
        <v>332</v>
      </c>
      <c r="J134" t="s">
        <v>3</v>
      </c>
      <c r="K134" t="s">
        <v>333</v>
      </c>
      <c r="L134">
        <v>1354</v>
      </c>
      <c r="N134">
        <v>1010</v>
      </c>
      <c r="O134" t="s">
        <v>159</v>
      </c>
      <c r="P134" t="s">
        <v>159</v>
      </c>
      <c r="Q134">
        <v>1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 t="s">
        <v>62</v>
      </c>
      <c r="AG134">
        <v>1</v>
      </c>
      <c r="AH134">
        <v>3</v>
      </c>
      <c r="AI134">
        <v>-1</v>
      </c>
      <c r="AJ134" t="s">
        <v>3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5">
      <c r="A135">
        <f>ROW(Source!A94)</f>
        <v>94</v>
      </c>
      <c r="B135">
        <v>57036856</v>
      </c>
      <c r="C135">
        <v>57036855</v>
      </c>
      <c r="D135">
        <v>55424304</v>
      </c>
      <c r="E135">
        <v>1081</v>
      </c>
      <c r="F135">
        <v>1</v>
      </c>
      <c r="G135">
        <v>1081</v>
      </c>
      <c r="H135">
        <v>1</v>
      </c>
      <c r="I135" t="s">
        <v>262</v>
      </c>
      <c r="J135" t="s">
        <v>3</v>
      </c>
      <c r="K135" t="s">
        <v>263</v>
      </c>
      <c r="L135">
        <v>1191</v>
      </c>
      <c r="N135">
        <v>1013</v>
      </c>
      <c r="O135" t="s">
        <v>264</v>
      </c>
      <c r="P135" t="s">
        <v>264</v>
      </c>
      <c r="Q135">
        <v>1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1</v>
      </c>
      <c r="AF135" t="s">
        <v>63</v>
      </c>
      <c r="AG135">
        <v>1.2</v>
      </c>
      <c r="AH135">
        <v>2</v>
      </c>
      <c r="AI135">
        <v>57036856</v>
      </c>
      <c r="AJ135">
        <v>110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5">
      <c r="A136">
        <f>ROW(Source!A94)</f>
        <v>94</v>
      </c>
      <c r="B136">
        <v>57036857</v>
      </c>
      <c r="C136">
        <v>57036855</v>
      </c>
      <c r="D136">
        <v>55459793</v>
      </c>
      <c r="E136">
        <v>1</v>
      </c>
      <c r="F136">
        <v>1</v>
      </c>
      <c r="G136">
        <v>1081</v>
      </c>
      <c r="H136">
        <v>3</v>
      </c>
      <c r="I136" t="s">
        <v>279</v>
      </c>
      <c r="J136" t="s">
        <v>280</v>
      </c>
      <c r="K136" t="s">
        <v>281</v>
      </c>
      <c r="L136">
        <v>1348</v>
      </c>
      <c r="N136">
        <v>1009</v>
      </c>
      <c r="O136" t="s">
        <v>223</v>
      </c>
      <c r="P136" t="s">
        <v>223</v>
      </c>
      <c r="Q136">
        <v>1000</v>
      </c>
      <c r="X136">
        <v>1.0000000000000001E-5</v>
      </c>
      <c r="Y136">
        <v>64123.05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 t="s">
        <v>62</v>
      </c>
      <c r="AG136">
        <v>1.0000000000000001E-5</v>
      </c>
      <c r="AH136">
        <v>2</v>
      </c>
      <c r="AI136">
        <v>57036857</v>
      </c>
      <c r="AJ136">
        <v>111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5">
      <c r="A137">
        <f>ROW(Source!A94)</f>
        <v>94</v>
      </c>
      <c r="B137">
        <v>57036858</v>
      </c>
      <c r="C137">
        <v>57036855</v>
      </c>
      <c r="D137">
        <v>55487942</v>
      </c>
      <c r="E137">
        <v>1</v>
      </c>
      <c r="F137">
        <v>1</v>
      </c>
      <c r="G137">
        <v>1081</v>
      </c>
      <c r="H137">
        <v>3</v>
      </c>
      <c r="I137" t="s">
        <v>288</v>
      </c>
      <c r="J137" t="s">
        <v>289</v>
      </c>
      <c r="K137" t="s">
        <v>290</v>
      </c>
      <c r="L137">
        <v>1303</v>
      </c>
      <c r="N137">
        <v>1003</v>
      </c>
      <c r="O137" t="s">
        <v>291</v>
      </c>
      <c r="P137" t="s">
        <v>291</v>
      </c>
      <c r="Q137">
        <v>1000</v>
      </c>
      <c r="X137">
        <v>2E-3</v>
      </c>
      <c r="Y137">
        <v>516.63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 t="s">
        <v>62</v>
      </c>
      <c r="AG137">
        <v>2E-3</v>
      </c>
      <c r="AH137">
        <v>2</v>
      </c>
      <c r="AI137">
        <v>57036858</v>
      </c>
      <c r="AJ137">
        <v>112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5">
      <c r="A138">
        <f>ROW(Source!A94)</f>
        <v>94</v>
      </c>
      <c r="B138">
        <v>57036859</v>
      </c>
      <c r="C138">
        <v>57036855</v>
      </c>
      <c r="D138">
        <v>55431425</v>
      </c>
      <c r="E138">
        <v>1081</v>
      </c>
      <c r="F138">
        <v>1</v>
      </c>
      <c r="G138">
        <v>1081</v>
      </c>
      <c r="H138">
        <v>3</v>
      </c>
      <c r="I138" t="s">
        <v>332</v>
      </c>
      <c r="J138" t="s">
        <v>3</v>
      </c>
      <c r="K138" t="s">
        <v>333</v>
      </c>
      <c r="L138">
        <v>1354</v>
      </c>
      <c r="N138">
        <v>1010</v>
      </c>
      <c r="O138" t="s">
        <v>159</v>
      </c>
      <c r="P138" t="s">
        <v>159</v>
      </c>
      <c r="Q138">
        <v>1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 t="s">
        <v>62</v>
      </c>
      <c r="AG138">
        <v>1</v>
      </c>
      <c r="AH138">
        <v>3</v>
      </c>
      <c r="AI138">
        <v>-1</v>
      </c>
      <c r="AJ138" t="s">
        <v>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5">
      <c r="A139">
        <f>ROW(Source!A95)</f>
        <v>95</v>
      </c>
      <c r="B139">
        <v>55936243</v>
      </c>
      <c r="C139">
        <v>55936242</v>
      </c>
      <c r="D139">
        <v>55424304</v>
      </c>
      <c r="E139">
        <v>1081</v>
      </c>
      <c r="F139">
        <v>1</v>
      </c>
      <c r="G139">
        <v>1081</v>
      </c>
      <c r="H139">
        <v>1</v>
      </c>
      <c r="I139" t="s">
        <v>262</v>
      </c>
      <c r="J139" t="s">
        <v>3</v>
      </c>
      <c r="K139" t="s">
        <v>263</v>
      </c>
      <c r="L139">
        <v>1191</v>
      </c>
      <c r="N139">
        <v>1013</v>
      </c>
      <c r="O139" t="s">
        <v>264</v>
      </c>
      <c r="P139" t="s">
        <v>264</v>
      </c>
      <c r="Q139">
        <v>1</v>
      </c>
      <c r="X139">
        <v>0.84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1</v>
      </c>
      <c r="AF139" t="s">
        <v>63</v>
      </c>
      <c r="AG139">
        <v>1.008</v>
      </c>
      <c r="AH139">
        <v>2</v>
      </c>
      <c r="AI139">
        <v>55936243</v>
      </c>
      <c r="AJ139">
        <v>113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5">
      <c r="A140">
        <f>ROW(Source!A96)</f>
        <v>96</v>
      </c>
      <c r="B140">
        <v>55936243</v>
      </c>
      <c r="C140">
        <v>55936242</v>
      </c>
      <c r="D140">
        <v>55424304</v>
      </c>
      <c r="E140">
        <v>1081</v>
      </c>
      <c r="F140">
        <v>1</v>
      </c>
      <c r="G140">
        <v>1081</v>
      </c>
      <c r="H140">
        <v>1</v>
      </c>
      <c r="I140" t="s">
        <v>262</v>
      </c>
      <c r="J140" t="s">
        <v>3</v>
      </c>
      <c r="K140" t="s">
        <v>263</v>
      </c>
      <c r="L140">
        <v>1191</v>
      </c>
      <c r="N140">
        <v>1013</v>
      </c>
      <c r="O140" t="s">
        <v>264</v>
      </c>
      <c r="P140" t="s">
        <v>264</v>
      </c>
      <c r="Q140">
        <v>1</v>
      </c>
      <c r="X140">
        <v>0.84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1</v>
      </c>
      <c r="AF140" t="s">
        <v>63</v>
      </c>
      <c r="AG140">
        <v>1.008</v>
      </c>
      <c r="AH140">
        <v>2</v>
      </c>
      <c r="AI140">
        <v>55936243</v>
      </c>
      <c r="AJ140">
        <v>114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5">
      <c r="A141">
        <f>ROW(Source!A99)</f>
        <v>99</v>
      </c>
      <c r="B141">
        <v>55936251</v>
      </c>
      <c r="C141">
        <v>55936250</v>
      </c>
      <c r="D141">
        <v>55424304</v>
      </c>
      <c r="E141">
        <v>1081</v>
      </c>
      <c r="F141">
        <v>1</v>
      </c>
      <c r="G141">
        <v>1081</v>
      </c>
      <c r="H141">
        <v>1</v>
      </c>
      <c r="I141" t="s">
        <v>262</v>
      </c>
      <c r="J141" t="s">
        <v>3</v>
      </c>
      <c r="K141" t="s">
        <v>263</v>
      </c>
      <c r="L141">
        <v>1191</v>
      </c>
      <c r="N141">
        <v>1013</v>
      </c>
      <c r="O141" t="s">
        <v>264</v>
      </c>
      <c r="P141" t="s">
        <v>264</v>
      </c>
      <c r="Q141">
        <v>1</v>
      </c>
      <c r="X141">
        <v>3.18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1</v>
      </c>
      <c r="AF141" t="s">
        <v>63</v>
      </c>
      <c r="AG141">
        <v>3.8159999999999998</v>
      </c>
      <c r="AH141">
        <v>2</v>
      </c>
      <c r="AI141">
        <v>55936251</v>
      </c>
      <c r="AJ141">
        <v>115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5">
      <c r="A142">
        <f>ROW(Source!A99)</f>
        <v>99</v>
      </c>
      <c r="B142">
        <v>55936252</v>
      </c>
      <c r="C142">
        <v>55936250</v>
      </c>
      <c r="D142">
        <v>55461074</v>
      </c>
      <c r="E142">
        <v>1</v>
      </c>
      <c r="F142">
        <v>1</v>
      </c>
      <c r="G142">
        <v>1081</v>
      </c>
      <c r="H142">
        <v>3</v>
      </c>
      <c r="I142" t="s">
        <v>276</v>
      </c>
      <c r="J142" t="s">
        <v>277</v>
      </c>
      <c r="K142" t="s">
        <v>278</v>
      </c>
      <c r="L142">
        <v>1346</v>
      </c>
      <c r="N142">
        <v>1009</v>
      </c>
      <c r="O142" t="s">
        <v>238</v>
      </c>
      <c r="P142" t="s">
        <v>238</v>
      </c>
      <c r="Q142">
        <v>1</v>
      </c>
      <c r="X142">
        <v>6.2700000000000004E-3</v>
      </c>
      <c r="Y142">
        <v>27.62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62</v>
      </c>
      <c r="AG142">
        <v>6.2700000000000004E-3</v>
      </c>
      <c r="AH142">
        <v>2</v>
      </c>
      <c r="AI142">
        <v>55936252</v>
      </c>
      <c r="AJ142">
        <v>116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5">
      <c r="A143">
        <f>ROW(Source!A99)</f>
        <v>99</v>
      </c>
      <c r="B143">
        <v>55936253</v>
      </c>
      <c r="C143">
        <v>55936250</v>
      </c>
      <c r="D143">
        <v>55459793</v>
      </c>
      <c r="E143">
        <v>1</v>
      </c>
      <c r="F143">
        <v>1</v>
      </c>
      <c r="G143">
        <v>1081</v>
      </c>
      <c r="H143">
        <v>3</v>
      </c>
      <c r="I143" t="s">
        <v>279</v>
      </c>
      <c r="J143" t="s">
        <v>280</v>
      </c>
      <c r="K143" t="s">
        <v>281</v>
      </c>
      <c r="L143">
        <v>1348</v>
      </c>
      <c r="N143">
        <v>1009</v>
      </c>
      <c r="O143" t="s">
        <v>223</v>
      </c>
      <c r="P143" t="s">
        <v>223</v>
      </c>
      <c r="Q143">
        <v>1000</v>
      </c>
      <c r="X143">
        <v>1.0000000000000001E-5</v>
      </c>
      <c r="Y143">
        <v>64123.05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62</v>
      </c>
      <c r="AG143">
        <v>1.0000000000000001E-5</v>
      </c>
      <c r="AH143">
        <v>2</v>
      </c>
      <c r="AI143">
        <v>55936253</v>
      </c>
      <c r="AJ143">
        <v>117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5">
      <c r="A144">
        <f>ROW(Source!A99)</f>
        <v>99</v>
      </c>
      <c r="B144">
        <v>55936254</v>
      </c>
      <c r="C144">
        <v>55936250</v>
      </c>
      <c r="D144">
        <v>55469253</v>
      </c>
      <c r="E144">
        <v>1</v>
      </c>
      <c r="F144">
        <v>1</v>
      </c>
      <c r="G144">
        <v>1081</v>
      </c>
      <c r="H144">
        <v>3</v>
      </c>
      <c r="I144" t="s">
        <v>282</v>
      </c>
      <c r="J144" t="s">
        <v>283</v>
      </c>
      <c r="K144" t="s">
        <v>284</v>
      </c>
      <c r="L144">
        <v>1354</v>
      </c>
      <c r="N144">
        <v>1010</v>
      </c>
      <c r="O144" t="s">
        <v>159</v>
      </c>
      <c r="P144" t="s">
        <v>159</v>
      </c>
      <c r="Q144">
        <v>1</v>
      </c>
      <c r="X144">
        <v>0.1</v>
      </c>
      <c r="Y144">
        <v>15.25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 t="s">
        <v>62</v>
      </c>
      <c r="AG144">
        <v>0.1</v>
      </c>
      <c r="AH144">
        <v>2</v>
      </c>
      <c r="AI144">
        <v>55936254</v>
      </c>
      <c r="AJ144">
        <v>118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5">
      <c r="A145">
        <f>ROW(Source!A99)</f>
        <v>99</v>
      </c>
      <c r="B145">
        <v>55936255</v>
      </c>
      <c r="C145">
        <v>55936250</v>
      </c>
      <c r="D145">
        <v>55441135</v>
      </c>
      <c r="E145">
        <v>1081</v>
      </c>
      <c r="F145">
        <v>1</v>
      </c>
      <c r="G145">
        <v>1081</v>
      </c>
      <c r="H145">
        <v>3</v>
      </c>
      <c r="I145" t="s">
        <v>327</v>
      </c>
      <c r="J145" t="s">
        <v>3</v>
      </c>
      <c r="K145" t="s">
        <v>329</v>
      </c>
      <c r="L145">
        <v>1354</v>
      </c>
      <c r="N145">
        <v>1010</v>
      </c>
      <c r="O145" t="s">
        <v>159</v>
      </c>
      <c r="P145" t="s">
        <v>159</v>
      </c>
      <c r="Q145">
        <v>1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 t="s">
        <v>62</v>
      </c>
      <c r="AG145">
        <v>1</v>
      </c>
      <c r="AH145">
        <v>3</v>
      </c>
      <c r="AI145">
        <v>-1</v>
      </c>
      <c r="AJ145" t="s">
        <v>3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5">
      <c r="A146">
        <f>ROW(Source!A100)</f>
        <v>100</v>
      </c>
      <c r="B146">
        <v>55936251</v>
      </c>
      <c r="C146">
        <v>55936250</v>
      </c>
      <c r="D146">
        <v>55424304</v>
      </c>
      <c r="E146">
        <v>1081</v>
      </c>
      <c r="F146">
        <v>1</v>
      </c>
      <c r="G146">
        <v>1081</v>
      </c>
      <c r="H146">
        <v>1</v>
      </c>
      <c r="I146" t="s">
        <v>262</v>
      </c>
      <c r="J146" t="s">
        <v>3</v>
      </c>
      <c r="K146" t="s">
        <v>263</v>
      </c>
      <c r="L146">
        <v>1191</v>
      </c>
      <c r="N146">
        <v>1013</v>
      </c>
      <c r="O146" t="s">
        <v>264</v>
      </c>
      <c r="P146" t="s">
        <v>264</v>
      </c>
      <c r="Q146">
        <v>1</v>
      </c>
      <c r="X146">
        <v>3.18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1</v>
      </c>
      <c r="AF146" t="s">
        <v>63</v>
      </c>
      <c r="AG146">
        <v>3.8159999999999998</v>
      </c>
      <c r="AH146">
        <v>2</v>
      </c>
      <c r="AI146">
        <v>55936251</v>
      </c>
      <c r="AJ146">
        <v>120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5">
      <c r="A147">
        <f>ROW(Source!A100)</f>
        <v>100</v>
      </c>
      <c r="B147">
        <v>55936252</v>
      </c>
      <c r="C147">
        <v>55936250</v>
      </c>
      <c r="D147">
        <v>55461074</v>
      </c>
      <c r="E147">
        <v>1</v>
      </c>
      <c r="F147">
        <v>1</v>
      </c>
      <c r="G147">
        <v>1081</v>
      </c>
      <c r="H147">
        <v>3</v>
      </c>
      <c r="I147" t="s">
        <v>276</v>
      </c>
      <c r="J147" t="s">
        <v>277</v>
      </c>
      <c r="K147" t="s">
        <v>278</v>
      </c>
      <c r="L147">
        <v>1346</v>
      </c>
      <c r="N147">
        <v>1009</v>
      </c>
      <c r="O147" t="s">
        <v>238</v>
      </c>
      <c r="P147" t="s">
        <v>238</v>
      </c>
      <c r="Q147">
        <v>1</v>
      </c>
      <c r="X147">
        <v>6.2700000000000004E-3</v>
      </c>
      <c r="Y147">
        <v>27.62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 t="s">
        <v>62</v>
      </c>
      <c r="AG147">
        <v>6.2700000000000004E-3</v>
      </c>
      <c r="AH147">
        <v>2</v>
      </c>
      <c r="AI147">
        <v>55936252</v>
      </c>
      <c r="AJ147">
        <v>121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5">
      <c r="A148">
        <f>ROW(Source!A100)</f>
        <v>100</v>
      </c>
      <c r="B148">
        <v>55936253</v>
      </c>
      <c r="C148">
        <v>55936250</v>
      </c>
      <c r="D148">
        <v>55459793</v>
      </c>
      <c r="E148">
        <v>1</v>
      </c>
      <c r="F148">
        <v>1</v>
      </c>
      <c r="G148">
        <v>1081</v>
      </c>
      <c r="H148">
        <v>3</v>
      </c>
      <c r="I148" t="s">
        <v>279</v>
      </c>
      <c r="J148" t="s">
        <v>280</v>
      </c>
      <c r="K148" t="s">
        <v>281</v>
      </c>
      <c r="L148">
        <v>1348</v>
      </c>
      <c r="N148">
        <v>1009</v>
      </c>
      <c r="O148" t="s">
        <v>223</v>
      </c>
      <c r="P148" t="s">
        <v>223</v>
      </c>
      <c r="Q148">
        <v>1000</v>
      </c>
      <c r="X148">
        <v>1.0000000000000001E-5</v>
      </c>
      <c r="Y148">
        <v>64123.05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62</v>
      </c>
      <c r="AG148">
        <v>1.0000000000000001E-5</v>
      </c>
      <c r="AH148">
        <v>2</v>
      </c>
      <c r="AI148">
        <v>55936253</v>
      </c>
      <c r="AJ148">
        <v>122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5">
      <c r="A149">
        <f>ROW(Source!A100)</f>
        <v>100</v>
      </c>
      <c r="B149">
        <v>55936254</v>
      </c>
      <c r="C149">
        <v>55936250</v>
      </c>
      <c r="D149">
        <v>55469253</v>
      </c>
      <c r="E149">
        <v>1</v>
      </c>
      <c r="F149">
        <v>1</v>
      </c>
      <c r="G149">
        <v>1081</v>
      </c>
      <c r="H149">
        <v>3</v>
      </c>
      <c r="I149" t="s">
        <v>282</v>
      </c>
      <c r="J149" t="s">
        <v>283</v>
      </c>
      <c r="K149" t="s">
        <v>284</v>
      </c>
      <c r="L149">
        <v>1354</v>
      </c>
      <c r="N149">
        <v>1010</v>
      </c>
      <c r="O149" t="s">
        <v>159</v>
      </c>
      <c r="P149" t="s">
        <v>159</v>
      </c>
      <c r="Q149">
        <v>1</v>
      </c>
      <c r="X149">
        <v>0.1</v>
      </c>
      <c r="Y149">
        <v>15.25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 t="s">
        <v>62</v>
      </c>
      <c r="AG149">
        <v>0.1</v>
      </c>
      <c r="AH149">
        <v>2</v>
      </c>
      <c r="AI149">
        <v>55936254</v>
      </c>
      <c r="AJ149">
        <v>123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5">
      <c r="A150">
        <f>ROW(Source!A100)</f>
        <v>100</v>
      </c>
      <c r="B150">
        <v>55936255</v>
      </c>
      <c r="C150">
        <v>55936250</v>
      </c>
      <c r="D150">
        <v>55441135</v>
      </c>
      <c r="E150">
        <v>1081</v>
      </c>
      <c r="F150">
        <v>1</v>
      </c>
      <c r="G150">
        <v>1081</v>
      </c>
      <c r="H150">
        <v>3</v>
      </c>
      <c r="I150" t="s">
        <v>327</v>
      </c>
      <c r="J150" t="s">
        <v>3</v>
      </c>
      <c r="K150" t="s">
        <v>329</v>
      </c>
      <c r="L150">
        <v>1354</v>
      </c>
      <c r="N150">
        <v>1010</v>
      </c>
      <c r="O150" t="s">
        <v>159</v>
      </c>
      <c r="P150" t="s">
        <v>159</v>
      </c>
      <c r="Q150">
        <v>1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 t="s">
        <v>62</v>
      </c>
      <c r="AG150">
        <v>1</v>
      </c>
      <c r="AH150">
        <v>3</v>
      </c>
      <c r="AI150">
        <v>-1</v>
      </c>
      <c r="AJ150" t="s">
        <v>3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5">
      <c r="A151">
        <f>ROW(Source!A105)</f>
        <v>105</v>
      </c>
      <c r="B151">
        <v>55936258</v>
      </c>
      <c r="C151">
        <v>55936257</v>
      </c>
      <c r="D151">
        <v>55424304</v>
      </c>
      <c r="E151">
        <v>1081</v>
      </c>
      <c r="F151">
        <v>1</v>
      </c>
      <c r="G151">
        <v>1081</v>
      </c>
      <c r="H151">
        <v>1</v>
      </c>
      <c r="I151" t="s">
        <v>262</v>
      </c>
      <c r="J151" t="s">
        <v>3</v>
      </c>
      <c r="K151" t="s">
        <v>263</v>
      </c>
      <c r="L151">
        <v>1191</v>
      </c>
      <c r="N151">
        <v>1013</v>
      </c>
      <c r="O151" t="s">
        <v>264</v>
      </c>
      <c r="P151" t="s">
        <v>264</v>
      </c>
      <c r="Q151">
        <v>1</v>
      </c>
      <c r="X151">
        <v>14.64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1</v>
      </c>
      <c r="AF151" t="s">
        <v>63</v>
      </c>
      <c r="AG151">
        <v>17.568000000000001</v>
      </c>
      <c r="AH151">
        <v>2</v>
      </c>
      <c r="AI151">
        <v>55936258</v>
      </c>
      <c r="AJ151">
        <v>125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5">
      <c r="A152">
        <f>ROW(Source!A105)</f>
        <v>105</v>
      </c>
      <c r="B152">
        <v>55936259</v>
      </c>
      <c r="C152">
        <v>55936257</v>
      </c>
      <c r="D152">
        <v>55490209</v>
      </c>
      <c r="E152">
        <v>1</v>
      </c>
      <c r="F152">
        <v>1</v>
      </c>
      <c r="G152">
        <v>1081</v>
      </c>
      <c r="H152">
        <v>2</v>
      </c>
      <c r="I152" t="s">
        <v>265</v>
      </c>
      <c r="J152" t="s">
        <v>266</v>
      </c>
      <c r="K152" t="s">
        <v>267</v>
      </c>
      <c r="L152">
        <v>1368</v>
      </c>
      <c r="N152">
        <v>1011</v>
      </c>
      <c r="O152" t="s">
        <v>268</v>
      </c>
      <c r="P152" t="s">
        <v>268</v>
      </c>
      <c r="Q152">
        <v>1</v>
      </c>
      <c r="X152">
        <v>0.06</v>
      </c>
      <c r="Y152">
        <v>0</v>
      </c>
      <c r="Z152">
        <v>83.1</v>
      </c>
      <c r="AA152">
        <v>12.62</v>
      </c>
      <c r="AB152">
        <v>0</v>
      </c>
      <c r="AC152">
        <v>0</v>
      </c>
      <c r="AD152">
        <v>1</v>
      </c>
      <c r="AE152">
        <v>0</v>
      </c>
      <c r="AF152" t="s">
        <v>63</v>
      </c>
      <c r="AG152">
        <v>7.1999999999999995E-2</v>
      </c>
      <c r="AH152">
        <v>2</v>
      </c>
      <c r="AI152">
        <v>55936259</v>
      </c>
      <c r="AJ152">
        <v>126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5">
      <c r="A153">
        <f>ROW(Source!A105)</f>
        <v>105</v>
      </c>
      <c r="B153">
        <v>55936260</v>
      </c>
      <c r="C153">
        <v>55936257</v>
      </c>
      <c r="D153">
        <v>55490330</v>
      </c>
      <c r="E153">
        <v>1</v>
      </c>
      <c r="F153">
        <v>1</v>
      </c>
      <c r="G153">
        <v>1081</v>
      </c>
      <c r="H153">
        <v>2</v>
      </c>
      <c r="I153" t="s">
        <v>285</v>
      </c>
      <c r="J153" t="s">
        <v>286</v>
      </c>
      <c r="K153" t="s">
        <v>287</v>
      </c>
      <c r="L153">
        <v>1368</v>
      </c>
      <c r="N153">
        <v>1011</v>
      </c>
      <c r="O153" t="s">
        <v>268</v>
      </c>
      <c r="P153" t="s">
        <v>268</v>
      </c>
      <c r="Q153">
        <v>1</v>
      </c>
      <c r="X153">
        <v>0.81</v>
      </c>
      <c r="Y153">
        <v>0</v>
      </c>
      <c r="Z153">
        <v>0.8</v>
      </c>
      <c r="AA153">
        <v>0</v>
      </c>
      <c r="AB153">
        <v>0</v>
      </c>
      <c r="AC153">
        <v>0</v>
      </c>
      <c r="AD153">
        <v>1</v>
      </c>
      <c r="AE153">
        <v>0</v>
      </c>
      <c r="AF153" t="s">
        <v>63</v>
      </c>
      <c r="AG153">
        <v>0.97199999999999998</v>
      </c>
      <c r="AH153">
        <v>2</v>
      </c>
      <c r="AI153">
        <v>55936260</v>
      </c>
      <c r="AJ153">
        <v>127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5">
      <c r="A154">
        <f>ROW(Source!A105)</f>
        <v>105</v>
      </c>
      <c r="B154">
        <v>55936261</v>
      </c>
      <c r="C154">
        <v>55936257</v>
      </c>
      <c r="D154">
        <v>55490296</v>
      </c>
      <c r="E154">
        <v>1</v>
      </c>
      <c r="F154">
        <v>1</v>
      </c>
      <c r="G154">
        <v>1081</v>
      </c>
      <c r="H154">
        <v>2</v>
      </c>
      <c r="I154" t="s">
        <v>270</v>
      </c>
      <c r="J154" t="s">
        <v>271</v>
      </c>
      <c r="K154" t="s">
        <v>272</v>
      </c>
      <c r="L154">
        <v>1368</v>
      </c>
      <c r="N154">
        <v>1011</v>
      </c>
      <c r="O154" t="s">
        <v>268</v>
      </c>
      <c r="P154" t="s">
        <v>268</v>
      </c>
      <c r="Q154">
        <v>1</v>
      </c>
      <c r="X154">
        <v>0.93</v>
      </c>
      <c r="Y154">
        <v>0</v>
      </c>
      <c r="Z154">
        <v>0.47</v>
      </c>
      <c r="AA154">
        <v>0</v>
      </c>
      <c r="AB154">
        <v>0</v>
      </c>
      <c r="AC154">
        <v>0</v>
      </c>
      <c r="AD154">
        <v>1</v>
      </c>
      <c r="AE154">
        <v>0</v>
      </c>
      <c r="AF154" t="s">
        <v>63</v>
      </c>
      <c r="AG154">
        <v>1.1160000000000001</v>
      </c>
      <c r="AH154">
        <v>2</v>
      </c>
      <c r="AI154">
        <v>55936261</v>
      </c>
      <c r="AJ154">
        <v>128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5">
      <c r="A155">
        <f>ROW(Source!A105)</f>
        <v>105</v>
      </c>
      <c r="B155">
        <v>55936262</v>
      </c>
      <c r="C155">
        <v>55936257</v>
      </c>
      <c r="D155">
        <v>55460882</v>
      </c>
      <c r="E155">
        <v>1</v>
      </c>
      <c r="F155">
        <v>1</v>
      </c>
      <c r="G155">
        <v>1081</v>
      </c>
      <c r="H155">
        <v>3</v>
      </c>
      <c r="I155" t="s">
        <v>273</v>
      </c>
      <c r="J155" t="s">
        <v>274</v>
      </c>
      <c r="K155" t="s">
        <v>275</v>
      </c>
      <c r="L155">
        <v>1348</v>
      </c>
      <c r="N155">
        <v>1009</v>
      </c>
      <c r="O155" t="s">
        <v>223</v>
      </c>
      <c r="P155" t="s">
        <v>223</v>
      </c>
      <c r="Q155">
        <v>1000</v>
      </c>
      <c r="X155">
        <v>1.7000000000000001E-4</v>
      </c>
      <c r="Y155">
        <v>14327.51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 t="s">
        <v>62</v>
      </c>
      <c r="AG155">
        <v>1.7000000000000001E-4</v>
      </c>
      <c r="AH155">
        <v>2</v>
      </c>
      <c r="AI155">
        <v>55936262</v>
      </c>
      <c r="AJ155">
        <v>129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5">
      <c r="A156">
        <f>ROW(Source!A105)</f>
        <v>105</v>
      </c>
      <c r="B156">
        <v>55936263</v>
      </c>
      <c r="C156">
        <v>55936257</v>
      </c>
      <c r="D156">
        <v>55441133</v>
      </c>
      <c r="E156">
        <v>1081</v>
      </c>
      <c r="F156">
        <v>1</v>
      </c>
      <c r="G156">
        <v>1081</v>
      </c>
      <c r="H156">
        <v>3</v>
      </c>
      <c r="I156" t="s">
        <v>330</v>
      </c>
      <c r="J156" t="s">
        <v>3</v>
      </c>
      <c r="K156" t="s">
        <v>331</v>
      </c>
      <c r="L156">
        <v>1358</v>
      </c>
      <c r="N156">
        <v>1010</v>
      </c>
      <c r="O156" t="s">
        <v>22</v>
      </c>
      <c r="P156" t="s">
        <v>22</v>
      </c>
      <c r="Q156">
        <v>10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 t="s">
        <v>62</v>
      </c>
      <c r="AG156">
        <v>1</v>
      </c>
      <c r="AH156">
        <v>3</v>
      </c>
      <c r="AI156">
        <v>-1</v>
      </c>
      <c r="AJ156" t="s">
        <v>3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5">
      <c r="A157">
        <f>ROW(Source!A106)</f>
        <v>106</v>
      </c>
      <c r="B157">
        <v>55936258</v>
      </c>
      <c r="C157">
        <v>55936257</v>
      </c>
      <c r="D157">
        <v>55424304</v>
      </c>
      <c r="E157">
        <v>1081</v>
      </c>
      <c r="F157">
        <v>1</v>
      </c>
      <c r="G157">
        <v>1081</v>
      </c>
      <c r="H157">
        <v>1</v>
      </c>
      <c r="I157" t="s">
        <v>262</v>
      </c>
      <c r="J157" t="s">
        <v>3</v>
      </c>
      <c r="K157" t="s">
        <v>263</v>
      </c>
      <c r="L157">
        <v>1191</v>
      </c>
      <c r="N157">
        <v>1013</v>
      </c>
      <c r="O157" t="s">
        <v>264</v>
      </c>
      <c r="P157" t="s">
        <v>264</v>
      </c>
      <c r="Q157">
        <v>1</v>
      </c>
      <c r="X157">
        <v>14.64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1</v>
      </c>
      <c r="AF157" t="s">
        <v>63</v>
      </c>
      <c r="AG157">
        <v>17.568000000000001</v>
      </c>
      <c r="AH157">
        <v>2</v>
      </c>
      <c r="AI157">
        <v>55936258</v>
      </c>
      <c r="AJ157">
        <v>131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5">
      <c r="A158">
        <f>ROW(Source!A106)</f>
        <v>106</v>
      </c>
      <c r="B158">
        <v>55936259</v>
      </c>
      <c r="C158">
        <v>55936257</v>
      </c>
      <c r="D158">
        <v>55490209</v>
      </c>
      <c r="E158">
        <v>1</v>
      </c>
      <c r="F158">
        <v>1</v>
      </c>
      <c r="G158">
        <v>1081</v>
      </c>
      <c r="H158">
        <v>2</v>
      </c>
      <c r="I158" t="s">
        <v>265</v>
      </c>
      <c r="J158" t="s">
        <v>266</v>
      </c>
      <c r="K158" t="s">
        <v>267</v>
      </c>
      <c r="L158">
        <v>1368</v>
      </c>
      <c r="N158">
        <v>1011</v>
      </c>
      <c r="O158" t="s">
        <v>268</v>
      </c>
      <c r="P158" t="s">
        <v>268</v>
      </c>
      <c r="Q158">
        <v>1</v>
      </c>
      <c r="X158">
        <v>0.06</v>
      </c>
      <c r="Y158">
        <v>0</v>
      </c>
      <c r="Z158">
        <v>83.1</v>
      </c>
      <c r="AA158">
        <v>12.62</v>
      </c>
      <c r="AB158">
        <v>0</v>
      </c>
      <c r="AC158">
        <v>0</v>
      </c>
      <c r="AD158">
        <v>1</v>
      </c>
      <c r="AE158">
        <v>0</v>
      </c>
      <c r="AF158" t="s">
        <v>63</v>
      </c>
      <c r="AG158">
        <v>7.1999999999999995E-2</v>
      </c>
      <c r="AH158">
        <v>2</v>
      </c>
      <c r="AI158">
        <v>55936259</v>
      </c>
      <c r="AJ158">
        <v>132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5">
      <c r="A159">
        <f>ROW(Source!A106)</f>
        <v>106</v>
      </c>
      <c r="B159">
        <v>55936260</v>
      </c>
      <c r="C159">
        <v>55936257</v>
      </c>
      <c r="D159">
        <v>55490330</v>
      </c>
      <c r="E159">
        <v>1</v>
      </c>
      <c r="F159">
        <v>1</v>
      </c>
      <c r="G159">
        <v>1081</v>
      </c>
      <c r="H159">
        <v>2</v>
      </c>
      <c r="I159" t="s">
        <v>285</v>
      </c>
      <c r="J159" t="s">
        <v>286</v>
      </c>
      <c r="K159" t="s">
        <v>287</v>
      </c>
      <c r="L159">
        <v>1368</v>
      </c>
      <c r="N159">
        <v>1011</v>
      </c>
      <c r="O159" t="s">
        <v>268</v>
      </c>
      <c r="P159" t="s">
        <v>268</v>
      </c>
      <c r="Q159">
        <v>1</v>
      </c>
      <c r="X159">
        <v>0.81</v>
      </c>
      <c r="Y159">
        <v>0</v>
      </c>
      <c r="Z159">
        <v>0.8</v>
      </c>
      <c r="AA159">
        <v>0</v>
      </c>
      <c r="AB159">
        <v>0</v>
      </c>
      <c r="AC159">
        <v>0</v>
      </c>
      <c r="AD159">
        <v>1</v>
      </c>
      <c r="AE159">
        <v>0</v>
      </c>
      <c r="AF159" t="s">
        <v>63</v>
      </c>
      <c r="AG159">
        <v>0.97199999999999998</v>
      </c>
      <c r="AH159">
        <v>2</v>
      </c>
      <c r="AI159">
        <v>55936260</v>
      </c>
      <c r="AJ159">
        <v>133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5">
      <c r="A160">
        <f>ROW(Source!A106)</f>
        <v>106</v>
      </c>
      <c r="B160">
        <v>55936261</v>
      </c>
      <c r="C160">
        <v>55936257</v>
      </c>
      <c r="D160">
        <v>55490296</v>
      </c>
      <c r="E160">
        <v>1</v>
      </c>
      <c r="F160">
        <v>1</v>
      </c>
      <c r="G160">
        <v>1081</v>
      </c>
      <c r="H160">
        <v>2</v>
      </c>
      <c r="I160" t="s">
        <v>270</v>
      </c>
      <c r="J160" t="s">
        <v>271</v>
      </c>
      <c r="K160" t="s">
        <v>272</v>
      </c>
      <c r="L160">
        <v>1368</v>
      </c>
      <c r="N160">
        <v>1011</v>
      </c>
      <c r="O160" t="s">
        <v>268</v>
      </c>
      <c r="P160" t="s">
        <v>268</v>
      </c>
      <c r="Q160">
        <v>1</v>
      </c>
      <c r="X160">
        <v>0.93</v>
      </c>
      <c r="Y160">
        <v>0</v>
      </c>
      <c r="Z160">
        <v>0.47</v>
      </c>
      <c r="AA160">
        <v>0</v>
      </c>
      <c r="AB160">
        <v>0</v>
      </c>
      <c r="AC160">
        <v>0</v>
      </c>
      <c r="AD160">
        <v>1</v>
      </c>
      <c r="AE160">
        <v>0</v>
      </c>
      <c r="AF160" t="s">
        <v>63</v>
      </c>
      <c r="AG160">
        <v>1.1160000000000001</v>
      </c>
      <c r="AH160">
        <v>2</v>
      </c>
      <c r="AI160">
        <v>55936261</v>
      </c>
      <c r="AJ160">
        <v>134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5">
      <c r="A161">
        <f>ROW(Source!A106)</f>
        <v>106</v>
      </c>
      <c r="B161">
        <v>55936262</v>
      </c>
      <c r="C161">
        <v>55936257</v>
      </c>
      <c r="D161">
        <v>55460882</v>
      </c>
      <c r="E161">
        <v>1</v>
      </c>
      <c r="F161">
        <v>1</v>
      </c>
      <c r="G161">
        <v>1081</v>
      </c>
      <c r="H161">
        <v>3</v>
      </c>
      <c r="I161" t="s">
        <v>273</v>
      </c>
      <c r="J161" t="s">
        <v>274</v>
      </c>
      <c r="K161" t="s">
        <v>275</v>
      </c>
      <c r="L161">
        <v>1348</v>
      </c>
      <c r="N161">
        <v>1009</v>
      </c>
      <c r="O161" t="s">
        <v>223</v>
      </c>
      <c r="P161" t="s">
        <v>223</v>
      </c>
      <c r="Q161">
        <v>1000</v>
      </c>
      <c r="X161">
        <v>1.7000000000000001E-4</v>
      </c>
      <c r="Y161">
        <v>14327.51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 t="s">
        <v>62</v>
      </c>
      <c r="AG161">
        <v>1.7000000000000001E-4</v>
      </c>
      <c r="AH161">
        <v>2</v>
      </c>
      <c r="AI161">
        <v>55936262</v>
      </c>
      <c r="AJ161">
        <v>135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5">
      <c r="A162">
        <f>ROW(Source!A106)</f>
        <v>106</v>
      </c>
      <c r="B162">
        <v>55936263</v>
      </c>
      <c r="C162">
        <v>55936257</v>
      </c>
      <c r="D162">
        <v>55441133</v>
      </c>
      <c r="E162">
        <v>1081</v>
      </c>
      <c r="F162">
        <v>1</v>
      </c>
      <c r="G162">
        <v>1081</v>
      </c>
      <c r="H162">
        <v>3</v>
      </c>
      <c r="I162" t="s">
        <v>330</v>
      </c>
      <c r="J162" t="s">
        <v>3</v>
      </c>
      <c r="K162" t="s">
        <v>331</v>
      </c>
      <c r="L162">
        <v>1358</v>
      </c>
      <c r="N162">
        <v>1010</v>
      </c>
      <c r="O162" t="s">
        <v>22</v>
      </c>
      <c r="P162" t="s">
        <v>22</v>
      </c>
      <c r="Q162">
        <v>10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 t="s">
        <v>62</v>
      </c>
      <c r="AG162">
        <v>1</v>
      </c>
      <c r="AH162">
        <v>3</v>
      </c>
      <c r="AI162">
        <v>-1</v>
      </c>
      <c r="AJ162" t="s">
        <v>3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5">
      <c r="A163">
        <f>ROW(Source!A109)</f>
        <v>109</v>
      </c>
      <c r="B163">
        <v>55936271</v>
      </c>
      <c r="C163">
        <v>55936270</v>
      </c>
      <c r="D163">
        <v>55424304</v>
      </c>
      <c r="E163">
        <v>1081</v>
      </c>
      <c r="F163">
        <v>1</v>
      </c>
      <c r="G163">
        <v>1081</v>
      </c>
      <c r="H163">
        <v>1</v>
      </c>
      <c r="I163" t="s">
        <v>262</v>
      </c>
      <c r="J163" t="s">
        <v>3</v>
      </c>
      <c r="K163" t="s">
        <v>263</v>
      </c>
      <c r="L163">
        <v>1191</v>
      </c>
      <c r="N163">
        <v>1013</v>
      </c>
      <c r="O163" t="s">
        <v>264</v>
      </c>
      <c r="P163" t="s">
        <v>264</v>
      </c>
      <c r="Q163">
        <v>1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1</v>
      </c>
      <c r="AF163" t="s">
        <v>63</v>
      </c>
      <c r="AG163">
        <v>1.2</v>
      </c>
      <c r="AH163">
        <v>2</v>
      </c>
      <c r="AI163">
        <v>55936271</v>
      </c>
      <c r="AJ163">
        <v>137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5">
      <c r="A164">
        <f>ROW(Source!A109)</f>
        <v>109</v>
      </c>
      <c r="B164">
        <v>55936272</v>
      </c>
      <c r="C164">
        <v>55936270</v>
      </c>
      <c r="D164">
        <v>55459793</v>
      </c>
      <c r="E164">
        <v>1</v>
      </c>
      <c r="F164">
        <v>1</v>
      </c>
      <c r="G164">
        <v>1081</v>
      </c>
      <c r="H164">
        <v>3</v>
      </c>
      <c r="I164" t="s">
        <v>279</v>
      </c>
      <c r="J164" t="s">
        <v>280</v>
      </c>
      <c r="K164" t="s">
        <v>281</v>
      </c>
      <c r="L164">
        <v>1348</v>
      </c>
      <c r="N164">
        <v>1009</v>
      </c>
      <c r="O164" t="s">
        <v>223</v>
      </c>
      <c r="P164" t="s">
        <v>223</v>
      </c>
      <c r="Q164">
        <v>1000</v>
      </c>
      <c r="X164">
        <v>1.0000000000000001E-5</v>
      </c>
      <c r="Y164">
        <v>64123.05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 t="s">
        <v>62</v>
      </c>
      <c r="AG164">
        <v>1.0000000000000001E-5</v>
      </c>
      <c r="AH164">
        <v>2</v>
      </c>
      <c r="AI164">
        <v>55936272</v>
      </c>
      <c r="AJ164">
        <v>138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5">
      <c r="A165">
        <f>ROW(Source!A109)</f>
        <v>109</v>
      </c>
      <c r="B165">
        <v>55936273</v>
      </c>
      <c r="C165">
        <v>55936270</v>
      </c>
      <c r="D165">
        <v>55487942</v>
      </c>
      <c r="E165">
        <v>1</v>
      </c>
      <c r="F165">
        <v>1</v>
      </c>
      <c r="G165">
        <v>1081</v>
      </c>
      <c r="H165">
        <v>3</v>
      </c>
      <c r="I165" t="s">
        <v>288</v>
      </c>
      <c r="J165" t="s">
        <v>289</v>
      </c>
      <c r="K165" t="s">
        <v>290</v>
      </c>
      <c r="L165">
        <v>1303</v>
      </c>
      <c r="N165">
        <v>1003</v>
      </c>
      <c r="O165" t="s">
        <v>291</v>
      </c>
      <c r="P165" t="s">
        <v>291</v>
      </c>
      <c r="Q165">
        <v>1000</v>
      </c>
      <c r="X165">
        <v>2E-3</v>
      </c>
      <c r="Y165">
        <v>516.63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 t="s">
        <v>62</v>
      </c>
      <c r="AG165">
        <v>2E-3</v>
      </c>
      <c r="AH165">
        <v>2</v>
      </c>
      <c r="AI165">
        <v>55936273</v>
      </c>
      <c r="AJ165">
        <v>139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5">
      <c r="A166">
        <f>ROW(Source!A109)</f>
        <v>109</v>
      </c>
      <c r="B166">
        <v>55936274</v>
      </c>
      <c r="C166">
        <v>55936270</v>
      </c>
      <c r="D166">
        <v>55431425</v>
      </c>
      <c r="E166">
        <v>1081</v>
      </c>
      <c r="F166">
        <v>1</v>
      </c>
      <c r="G166">
        <v>1081</v>
      </c>
      <c r="H166">
        <v>3</v>
      </c>
      <c r="I166" t="s">
        <v>332</v>
      </c>
      <c r="J166" t="s">
        <v>3</v>
      </c>
      <c r="K166" t="s">
        <v>333</v>
      </c>
      <c r="L166">
        <v>1354</v>
      </c>
      <c r="N166">
        <v>1010</v>
      </c>
      <c r="O166" t="s">
        <v>159</v>
      </c>
      <c r="P166" t="s">
        <v>159</v>
      </c>
      <c r="Q166">
        <v>1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 t="s">
        <v>62</v>
      </c>
      <c r="AG166">
        <v>1</v>
      </c>
      <c r="AH166">
        <v>3</v>
      </c>
      <c r="AI166">
        <v>-1</v>
      </c>
      <c r="AJ166" t="s">
        <v>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5">
      <c r="A167">
        <f>ROW(Source!A110)</f>
        <v>110</v>
      </c>
      <c r="B167">
        <v>55936271</v>
      </c>
      <c r="C167">
        <v>55936270</v>
      </c>
      <c r="D167">
        <v>55424304</v>
      </c>
      <c r="E167">
        <v>1081</v>
      </c>
      <c r="F167">
        <v>1</v>
      </c>
      <c r="G167">
        <v>1081</v>
      </c>
      <c r="H167">
        <v>1</v>
      </c>
      <c r="I167" t="s">
        <v>262</v>
      </c>
      <c r="J167" t="s">
        <v>3</v>
      </c>
      <c r="K167" t="s">
        <v>263</v>
      </c>
      <c r="L167">
        <v>1191</v>
      </c>
      <c r="N167">
        <v>1013</v>
      </c>
      <c r="O167" t="s">
        <v>264</v>
      </c>
      <c r="P167" t="s">
        <v>264</v>
      </c>
      <c r="Q167">
        <v>1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1</v>
      </c>
      <c r="AF167" t="s">
        <v>63</v>
      </c>
      <c r="AG167">
        <v>1.2</v>
      </c>
      <c r="AH167">
        <v>2</v>
      </c>
      <c r="AI167">
        <v>55936271</v>
      </c>
      <c r="AJ167">
        <v>141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5">
      <c r="A168">
        <f>ROW(Source!A110)</f>
        <v>110</v>
      </c>
      <c r="B168">
        <v>55936272</v>
      </c>
      <c r="C168">
        <v>55936270</v>
      </c>
      <c r="D168">
        <v>55459793</v>
      </c>
      <c r="E168">
        <v>1</v>
      </c>
      <c r="F168">
        <v>1</v>
      </c>
      <c r="G168">
        <v>1081</v>
      </c>
      <c r="H168">
        <v>3</v>
      </c>
      <c r="I168" t="s">
        <v>279</v>
      </c>
      <c r="J168" t="s">
        <v>280</v>
      </c>
      <c r="K168" t="s">
        <v>281</v>
      </c>
      <c r="L168">
        <v>1348</v>
      </c>
      <c r="N168">
        <v>1009</v>
      </c>
      <c r="O168" t="s">
        <v>223</v>
      </c>
      <c r="P168" t="s">
        <v>223</v>
      </c>
      <c r="Q168">
        <v>1000</v>
      </c>
      <c r="X168">
        <v>1.0000000000000001E-5</v>
      </c>
      <c r="Y168">
        <v>64123.05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 t="s">
        <v>62</v>
      </c>
      <c r="AG168">
        <v>1.0000000000000001E-5</v>
      </c>
      <c r="AH168">
        <v>2</v>
      </c>
      <c r="AI168">
        <v>55936272</v>
      </c>
      <c r="AJ168">
        <v>142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5">
      <c r="A169">
        <f>ROW(Source!A110)</f>
        <v>110</v>
      </c>
      <c r="B169">
        <v>55936273</v>
      </c>
      <c r="C169">
        <v>55936270</v>
      </c>
      <c r="D169">
        <v>55487942</v>
      </c>
      <c r="E169">
        <v>1</v>
      </c>
      <c r="F169">
        <v>1</v>
      </c>
      <c r="G169">
        <v>1081</v>
      </c>
      <c r="H169">
        <v>3</v>
      </c>
      <c r="I169" t="s">
        <v>288</v>
      </c>
      <c r="J169" t="s">
        <v>289</v>
      </c>
      <c r="K169" t="s">
        <v>290</v>
      </c>
      <c r="L169">
        <v>1303</v>
      </c>
      <c r="N169">
        <v>1003</v>
      </c>
      <c r="O169" t="s">
        <v>291</v>
      </c>
      <c r="P169" t="s">
        <v>291</v>
      </c>
      <c r="Q169">
        <v>1000</v>
      </c>
      <c r="X169">
        <v>2E-3</v>
      </c>
      <c r="Y169">
        <v>516.63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 t="s">
        <v>62</v>
      </c>
      <c r="AG169">
        <v>2E-3</v>
      </c>
      <c r="AH169">
        <v>2</v>
      </c>
      <c r="AI169">
        <v>55936273</v>
      </c>
      <c r="AJ169">
        <v>143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5">
      <c r="A170">
        <f>ROW(Source!A110)</f>
        <v>110</v>
      </c>
      <c r="B170">
        <v>55936274</v>
      </c>
      <c r="C170">
        <v>55936270</v>
      </c>
      <c r="D170">
        <v>55431425</v>
      </c>
      <c r="E170">
        <v>1081</v>
      </c>
      <c r="F170">
        <v>1</v>
      </c>
      <c r="G170">
        <v>1081</v>
      </c>
      <c r="H170">
        <v>3</v>
      </c>
      <c r="I170" t="s">
        <v>332</v>
      </c>
      <c r="J170" t="s">
        <v>3</v>
      </c>
      <c r="K170" t="s">
        <v>333</v>
      </c>
      <c r="L170">
        <v>1354</v>
      </c>
      <c r="N170">
        <v>1010</v>
      </c>
      <c r="O170" t="s">
        <v>159</v>
      </c>
      <c r="P170" t="s">
        <v>159</v>
      </c>
      <c r="Q170">
        <v>1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 t="s">
        <v>62</v>
      </c>
      <c r="AG170">
        <v>1</v>
      </c>
      <c r="AH170">
        <v>3</v>
      </c>
      <c r="AI170">
        <v>-1</v>
      </c>
      <c r="AJ170" t="s">
        <v>3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5">
      <c r="A171">
        <f>ROW(Source!A113)</f>
        <v>113</v>
      </c>
      <c r="B171">
        <v>55936282</v>
      </c>
      <c r="C171">
        <v>55936281</v>
      </c>
      <c r="D171">
        <v>55424304</v>
      </c>
      <c r="E171">
        <v>1081</v>
      </c>
      <c r="F171">
        <v>1</v>
      </c>
      <c r="G171">
        <v>1081</v>
      </c>
      <c r="H171">
        <v>1</v>
      </c>
      <c r="I171" t="s">
        <v>262</v>
      </c>
      <c r="J171" t="s">
        <v>3</v>
      </c>
      <c r="K171" t="s">
        <v>263</v>
      </c>
      <c r="L171">
        <v>1191</v>
      </c>
      <c r="N171">
        <v>1013</v>
      </c>
      <c r="O171" t="s">
        <v>264</v>
      </c>
      <c r="P171" t="s">
        <v>264</v>
      </c>
      <c r="Q171">
        <v>1</v>
      </c>
      <c r="X171">
        <v>14.64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1</v>
      </c>
      <c r="AF171" t="s">
        <v>63</v>
      </c>
      <c r="AG171">
        <v>17.568000000000001</v>
      </c>
      <c r="AH171">
        <v>2</v>
      </c>
      <c r="AI171">
        <v>55936282</v>
      </c>
      <c r="AJ171">
        <v>145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5">
      <c r="A172">
        <f>ROW(Source!A113)</f>
        <v>113</v>
      </c>
      <c r="B172">
        <v>55936283</v>
      </c>
      <c r="C172">
        <v>55936281</v>
      </c>
      <c r="D172">
        <v>55490209</v>
      </c>
      <c r="E172">
        <v>1</v>
      </c>
      <c r="F172">
        <v>1</v>
      </c>
      <c r="G172">
        <v>1081</v>
      </c>
      <c r="H172">
        <v>2</v>
      </c>
      <c r="I172" t="s">
        <v>265</v>
      </c>
      <c r="J172" t="s">
        <v>266</v>
      </c>
      <c r="K172" t="s">
        <v>267</v>
      </c>
      <c r="L172">
        <v>1368</v>
      </c>
      <c r="N172">
        <v>1011</v>
      </c>
      <c r="O172" t="s">
        <v>268</v>
      </c>
      <c r="P172" t="s">
        <v>268</v>
      </c>
      <c r="Q172">
        <v>1</v>
      </c>
      <c r="X172">
        <v>0.06</v>
      </c>
      <c r="Y172">
        <v>0</v>
      </c>
      <c r="Z172">
        <v>83.1</v>
      </c>
      <c r="AA172">
        <v>12.62</v>
      </c>
      <c r="AB172">
        <v>0</v>
      </c>
      <c r="AC172">
        <v>0</v>
      </c>
      <c r="AD172">
        <v>1</v>
      </c>
      <c r="AE172">
        <v>0</v>
      </c>
      <c r="AF172" t="s">
        <v>63</v>
      </c>
      <c r="AG172">
        <v>7.1999999999999995E-2</v>
      </c>
      <c r="AH172">
        <v>2</v>
      </c>
      <c r="AI172">
        <v>55936283</v>
      </c>
      <c r="AJ172">
        <v>146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5">
      <c r="A173">
        <f>ROW(Source!A113)</f>
        <v>113</v>
      </c>
      <c r="B173">
        <v>55936284</v>
      </c>
      <c r="C173">
        <v>55936281</v>
      </c>
      <c r="D173">
        <v>55490330</v>
      </c>
      <c r="E173">
        <v>1</v>
      </c>
      <c r="F173">
        <v>1</v>
      </c>
      <c r="G173">
        <v>1081</v>
      </c>
      <c r="H173">
        <v>2</v>
      </c>
      <c r="I173" t="s">
        <v>285</v>
      </c>
      <c r="J173" t="s">
        <v>286</v>
      </c>
      <c r="K173" t="s">
        <v>287</v>
      </c>
      <c r="L173">
        <v>1368</v>
      </c>
      <c r="N173">
        <v>1011</v>
      </c>
      <c r="O173" t="s">
        <v>268</v>
      </c>
      <c r="P173" t="s">
        <v>268</v>
      </c>
      <c r="Q173">
        <v>1</v>
      </c>
      <c r="X173">
        <v>0.81</v>
      </c>
      <c r="Y173">
        <v>0</v>
      </c>
      <c r="Z173">
        <v>0.8</v>
      </c>
      <c r="AA173">
        <v>0</v>
      </c>
      <c r="AB173">
        <v>0</v>
      </c>
      <c r="AC173">
        <v>0</v>
      </c>
      <c r="AD173">
        <v>1</v>
      </c>
      <c r="AE173">
        <v>0</v>
      </c>
      <c r="AF173" t="s">
        <v>63</v>
      </c>
      <c r="AG173">
        <v>0.97199999999999998</v>
      </c>
      <c r="AH173">
        <v>2</v>
      </c>
      <c r="AI173">
        <v>55936284</v>
      </c>
      <c r="AJ173">
        <v>147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5">
      <c r="A174">
        <f>ROW(Source!A113)</f>
        <v>113</v>
      </c>
      <c r="B174">
        <v>55936285</v>
      </c>
      <c r="C174">
        <v>55936281</v>
      </c>
      <c r="D174">
        <v>55490296</v>
      </c>
      <c r="E174">
        <v>1</v>
      </c>
      <c r="F174">
        <v>1</v>
      </c>
      <c r="G174">
        <v>1081</v>
      </c>
      <c r="H174">
        <v>2</v>
      </c>
      <c r="I174" t="s">
        <v>270</v>
      </c>
      <c r="J174" t="s">
        <v>271</v>
      </c>
      <c r="K174" t="s">
        <v>272</v>
      </c>
      <c r="L174">
        <v>1368</v>
      </c>
      <c r="N174">
        <v>1011</v>
      </c>
      <c r="O174" t="s">
        <v>268</v>
      </c>
      <c r="P174" t="s">
        <v>268</v>
      </c>
      <c r="Q174">
        <v>1</v>
      </c>
      <c r="X174">
        <v>0.93</v>
      </c>
      <c r="Y174">
        <v>0</v>
      </c>
      <c r="Z174">
        <v>0.47</v>
      </c>
      <c r="AA174">
        <v>0</v>
      </c>
      <c r="AB174">
        <v>0</v>
      </c>
      <c r="AC174">
        <v>0</v>
      </c>
      <c r="AD174">
        <v>1</v>
      </c>
      <c r="AE174">
        <v>0</v>
      </c>
      <c r="AF174" t="s">
        <v>63</v>
      </c>
      <c r="AG174">
        <v>1.1160000000000001</v>
      </c>
      <c r="AH174">
        <v>2</v>
      </c>
      <c r="AI174">
        <v>55936285</v>
      </c>
      <c r="AJ174">
        <v>148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5">
      <c r="A175">
        <f>ROW(Source!A113)</f>
        <v>113</v>
      </c>
      <c r="B175">
        <v>55936286</v>
      </c>
      <c r="C175">
        <v>55936281</v>
      </c>
      <c r="D175">
        <v>55460882</v>
      </c>
      <c r="E175">
        <v>1</v>
      </c>
      <c r="F175">
        <v>1</v>
      </c>
      <c r="G175">
        <v>1081</v>
      </c>
      <c r="H175">
        <v>3</v>
      </c>
      <c r="I175" t="s">
        <v>273</v>
      </c>
      <c r="J175" t="s">
        <v>274</v>
      </c>
      <c r="K175" t="s">
        <v>275</v>
      </c>
      <c r="L175">
        <v>1348</v>
      </c>
      <c r="N175">
        <v>1009</v>
      </c>
      <c r="O175" t="s">
        <v>223</v>
      </c>
      <c r="P175" t="s">
        <v>223</v>
      </c>
      <c r="Q175">
        <v>1000</v>
      </c>
      <c r="X175">
        <v>1.7000000000000001E-4</v>
      </c>
      <c r="Y175">
        <v>14327.51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 t="s">
        <v>62</v>
      </c>
      <c r="AG175">
        <v>1.7000000000000001E-4</v>
      </c>
      <c r="AH175">
        <v>2</v>
      </c>
      <c r="AI175">
        <v>55936286</v>
      </c>
      <c r="AJ175">
        <v>149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5">
      <c r="A176">
        <f>ROW(Source!A113)</f>
        <v>113</v>
      </c>
      <c r="B176">
        <v>55936287</v>
      </c>
      <c r="C176">
        <v>55936281</v>
      </c>
      <c r="D176">
        <v>55441133</v>
      </c>
      <c r="E176">
        <v>1081</v>
      </c>
      <c r="F176">
        <v>1</v>
      </c>
      <c r="G176">
        <v>1081</v>
      </c>
      <c r="H176">
        <v>3</v>
      </c>
      <c r="I176" t="s">
        <v>330</v>
      </c>
      <c r="J176" t="s">
        <v>3</v>
      </c>
      <c r="K176" t="s">
        <v>331</v>
      </c>
      <c r="L176">
        <v>1358</v>
      </c>
      <c r="N176">
        <v>1010</v>
      </c>
      <c r="O176" t="s">
        <v>22</v>
      </c>
      <c r="P176" t="s">
        <v>22</v>
      </c>
      <c r="Q176">
        <v>10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 t="s">
        <v>62</v>
      </c>
      <c r="AG176">
        <v>1</v>
      </c>
      <c r="AH176">
        <v>3</v>
      </c>
      <c r="AI176">
        <v>-1</v>
      </c>
      <c r="AJ176" t="s">
        <v>3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5">
      <c r="A177">
        <f>ROW(Source!A114)</f>
        <v>114</v>
      </c>
      <c r="B177">
        <v>55936282</v>
      </c>
      <c r="C177">
        <v>55936281</v>
      </c>
      <c r="D177">
        <v>55424304</v>
      </c>
      <c r="E177">
        <v>1081</v>
      </c>
      <c r="F177">
        <v>1</v>
      </c>
      <c r="G177">
        <v>1081</v>
      </c>
      <c r="H177">
        <v>1</v>
      </c>
      <c r="I177" t="s">
        <v>262</v>
      </c>
      <c r="J177" t="s">
        <v>3</v>
      </c>
      <c r="K177" t="s">
        <v>263</v>
      </c>
      <c r="L177">
        <v>1191</v>
      </c>
      <c r="N177">
        <v>1013</v>
      </c>
      <c r="O177" t="s">
        <v>264</v>
      </c>
      <c r="P177" t="s">
        <v>264</v>
      </c>
      <c r="Q177">
        <v>1</v>
      </c>
      <c r="X177">
        <v>14.64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1</v>
      </c>
      <c r="AF177" t="s">
        <v>63</v>
      </c>
      <c r="AG177">
        <v>17.568000000000001</v>
      </c>
      <c r="AH177">
        <v>2</v>
      </c>
      <c r="AI177">
        <v>55936282</v>
      </c>
      <c r="AJ177">
        <v>151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5">
      <c r="A178">
        <f>ROW(Source!A114)</f>
        <v>114</v>
      </c>
      <c r="B178">
        <v>55936283</v>
      </c>
      <c r="C178">
        <v>55936281</v>
      </c>
      <c r="D178">
        <v>55490209</v>
      </c>
      <c r="E178">
        <v>1</v>
      </c>
      <c r="F178">
        <v>1</v>
      </c>
      <c r="G178">
        <v>1081</v>
      </c>
      <c r="H178">
        <v>2</v>
      </c>
      <c r="I178" t="s">
        <v>265</v>
      </c>
      <c r="J178" t="s">
        <v>266</v>
      </c>
      <c r="K178" t="s">
        <v>267</v>
      </c>
      <c r="L178">
        <v>1368</v>
      </c>
      <c r="N178">
        <v>1011</v>
      </c>
      <c r="O178" t="s">
        <v>268</v>
      </c>
      <c r="P178" t="s">
        <v>268</v>
      </c>
      <c r="Q178">
        <v>1</v>
      </c>
      <c r="X178">
        <v>0.06</v>
      </c>
      <c r="Y178">
        <v>0</v>
      </c>
      <c r="Z178">
        <v>83.1</v>
      </c>
      <c r="AA178">
        <v>12.62</v>
      </c>
      <c r="AB178">
        <v>0</v>
      </c>
      <c r="AC178">
        <v>0</v>
      </c>
      <c r="AD178">
        <v>1</v>
      </c>
      <c r="AE178">
        <v>0</v>
      </c>
      <c r="AF178" t="s">
        <v>63</v>
      </c>
      <c r="AG178">
        <v>7.1999999999999995E-2</v>
      </c>
      <c r="AH178">
        <v>2</v>
      </c>
      <c r="AI178">
        <v>55936283</v>
      </c>
      <c r="AJ178">
        <v>152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5">
      <c r="A179">
        <f>ROW(Source!A114)</f>
        <v>114</v>
      </c>
      <c r="B179">
        <v>55936284</v>
      </c>
      <c r="C179">
        <v>55936281</v>
      </c>
      <c r="D179">
        <v>55490330</v>
      </c>
      <c r="E179">
        <v>1</v>
      </c>
      <c r="F179">
        <v>1</v>
      </c>
      <c r="G179">
        <v>1081</v>
      </c>
      <c r="H179">
        <v>2</v>
      </c>
      <c r="I179" t="s">
        <v>285</v>
      </c>
      <c r="J179" t="s">
        <v>286</v>
      </c>
      <c r="K179" t="s">
        <v>287</v>
      </c>
      <c r="L179">
        <v>1368</v>
      </c>
      <c r="N179">
        <v>1011</v>
      </c>
      <c r="O179" t="s">
        <v>268</v>
      </c>
      <c r="P179" t="s">
        <v>268</v>
      </c>
      <c r="Q179">
        <v>1</v>
      </c>
      <c r="X179">
        <v>0.81</v>
      </c>
      <c r="Y179">
        <v>0</v>
      </c>
      <c r="Z179">
        <v>0.8</v>
      </c>
      <c r="AA179">
        <v>0</v>
      </c>
      <c r="AB179">
        <v>0</v>
      </c>
      <c r="AC179">
        <v>0</v>
      </c>
      <c r="AD179">
        <v>1</v>
      </c>
      <c r="AE179">
        <v>0</v>
      </c>
      <c r="AF179" t="s">
        <v>63</v>
      </c>
      <c r="AG179">
        <v>0.97199999999999998</v>
      </c>
      <c r="AH179">
        <v>2</v>
      </c>
      <c r="AI179">
        <v>55936284</v>
      </c>
      <c r="AJ179">
        <v>153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5">
      <c r="A180">
        <f>ROW(Source!A114)</f>
        <v>114</v>
      </c>
      <c r="B180">
        <v>55936285</v>
      </c>
      <c r="C180">
        <v>55936281</v>
      </c>
      <c r="D180">
        <v>55490296</v>
      </c>
      <c r="E180">
        <v>1</v>
      </c>
      <c r="F180">
        <v>1</v>
      </c>
      <c r="G180">
        <v>1081</v>
      </c>
      <c r="H180">
        <v>2</v>
      </c>
      <c r="I180" t="s">
        <v>270</v>
      </c>
      <c r="J180" t="s">
        <v>271</v>
      </c>
      <c r="K180" t="s">
        <v>272</v>
      </c>
      <c r="L180">
        <v>1368</v>
      </c>
      <c r="N180">
        <v>1011</v>
      </c>
      <c r="O180" t="s">
        <v>268</v>
      </c>
      <c r="P180" t="s">
        <v>268</v>
      </c>
      <c r="Q180">
        <v>1</v>
      </c>
      <c r="X180">
        <v>0.93</v>
      </c>
      <c r="Y180">
        <v>0</v>
      </c>
      <c r="Z180">
        <v>0.47</v>
      </c>
      <c r="AA180">
        <v>0</v>
      </c>
      <c r="AB180">
        <v>0</v>
      </c>
      <c r="AC180">
        <v>0</v>
      </c>
      <c r="AD180">
        <v>1</v>
      </c>
      <c r="AE180">
        <v>0</v>
      </c>
      <c r="AF180" t="s">
        <v>63</v>
      </c>
      <c r="AG180">
        <v>1.1160000000000001</v>
      </c>
      <c r="AH180">
        <v>2</v>
      </c>
      <c r="AI180">
        <v>55936285</v>
      </c>
      <c r="AJ180">
        <v>154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5">
      <c r="A181">
        <f>ROW(Source!A114)</f>
        <v>114</v>
      </c>
      <c r="B181">
        <v>55936286</v>
      </c>
      <c r="C181">
        <v>55936281</v>
      </c>
      <c r="D181">
        <v>55460882</v>
      </c>
      <c r="E181">
        <v>1</v>
      </c>
      <c r="F181">
        <v>1</v>
      </c>
      <c r="G181">
        <v>1081</v>
      </c>
      <c r="H181">
        <v>3</v>
      </c>
      <c r="I181" t="s">
        <v>273</v>
      </c>
      <c r="J181" t="s">
        <v>274</v>
      </c>
      <c r="K181" t="s">
        <v>275</v>
      </c>
      <c r="L181">
        <v>1348</v>
      </c>
      <c r="N181">
        <v>1009</v>
      </c>
      <c r="O181" t="s">
        <v>223</v>
      </c>
      <c r="P181" t="s">
        <v>223</v>
      </c>
      <c r="Q181">
        <v>1000</v>
      </c>
      <c r="X181">
        <v>1.7000000000000001E-4</v>
      </c>
      <c r="Y181">
        <v>14327.51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 t="s">
        <v>62</v>
      </c>
      <c r="AG181">
        <v>1.7000000000000001E-4</v>
      </c>
      <c r="AH181">
        <v>2</v>
      </c>
      <c r="AI181">
        <v>55936286</v>
      </c>
      <c r="AJ181">
        <v>155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5">
      <c r="A182">
        <f>ROW(Source!A114)</f>
        <v>114</v>
      </c>
      <c r="B182">
        <v>55936287</v>
      </c>
      <c r="C182">
        <v>55936281</v>
      </c>
      <c r="D182">
        <v>55441133</v>
      </c>
      <c r="E182">
        <v>1081</v>
      </c>
      <c r="F182">
        <v>1</v>
      </c>
      <c r="G182">
        <v>1081</v>
      </c>
      <c r="H182">
        <v>3</v>
      </c>
      <c r="I182" t="s">
        <v>330</v>
      </c>
      <c r="J182" t="s">
        <v>3</v>
      </c>
      <c r="K182" t="s">
        <v>331</v>
      </c>
      <c r="L182">
        <v>1358</v>
      </c>
      <c r="N182">
        <v>1010</v>
      </c>
      <c r="O182" t="s">
        <v>22</v>
      </c>
      <c r="P182" t="s">
        <v>22</v>
      </c>
      <c r="Q182">
        <v>10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 t="s">
        <v>62</v>
      </c>
      <c r="AG182">
        <v>1</v>
      </c>
      <c r="AH182">
        <v>3</v>
      </c>
      <c r="AI182">
        <v>-1</v>
      </c>
      <c r="AJ182" t="s">
        <v>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5">
      <c r="A183">
        <f>ROW(Source!A117)</f>
        <v>117</v>
      </c>
      <c r="B183">
        <v>55936295</v>
      </c>
      <c r="C183">
        <v>55936294</v>
      </c>
      <c r="D183">
        <v>55424304</v>
      </c>
      <c r="E183">
        <v>1081</v>
      </c>
      <c r="F183">
        <v>1</v>
      </c>
      <c r="G183">
        <v>1081</v>
      </c>
      <c r="H183">
        <v>1</v>
      </c>
      <c r="I183" t="s">
        <v>262</v>
      </c>
      <c r="J183" t="s">
        <v>3</v>
      </c>
      <c r="K183" t="s">
        <v>263</v>
      </c>
      <c r="L183">
        <v>1191</v>
      </c>
      <c r="N183">
        <v>1013</v>
      </c>
      <c r="O183" t="s">
        <v>264</v>
      </c>
      <c r="P183" t="s">
        <v>264</v>
      </c>
      <c r="Q183">
        <v>1</v>
      </c>
      <c r="X183">
        <v>14.64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1</v>
      </c>
      <c r="AF183" t="s">
        <v>63</v>
      </c>
      <c r="AG183">
        <v>17.568000000000001</v>
      </c>
      <c r="AH183">
        <v>2</v>
      </c>
      <c r="AI183">
        <v>55936295</v>
      </c>
      <c r="AJ183">
        <v>157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5">
      <c r="A184">
        <f>ROW(Source!A117)</f>
        <v>117</v>
      </c>
      <c r="B184">
        <v>55936296</v>
      </c>
      <c r="C184">
        <v>55936294</v>
      </c>
      <c r="D184">
        <v>55490209</v>
      </c>
      <c r="E184">
        <v>1</v>
      </c>
      <c r="F184">
        <v>1</v>
      </c>
      <c r="G184">
        <v>1081</v>
      </c>
      <c r="H184">
        <v>2</v>
      </c>
      <c r="I184" t="s">
        <v>265</v>
      </c>
      <c r="J184" t="s">
        <v>266</v>
      </c>
      <c r="K184" t="s">
        <v>267</v>
      </c>
      <c r="L184">
        <v>1368</v>
      </c>
      <c r="N184">
        <v>1011</v>
      </c>
      <c r="O184" t="s">
        <v>268</v>
      </c>
      <c r="P184" t="s">
        <v>268</v>
      </c>
      <c r="Q184">
        <v>1</v>
      </c>
      <c r="X184">
        <v>0.06</v>
      </c>
      <c r="Y184">
        <v>0</v>
      </c>
      <c r="Z184">
        <v>83.1</v>
      </c>
      <c r="AA184">
        <v>12.62</v>
      </c>
      <c r="AB184">
        <v>0</v>
      </c>
      <c r="AC184">
        <v>0</v>
      </c>
      <c r="AD184">
        <v>1</v>
      </c>
      <c r="AE184">
        <v>0</v>
      </c>
      <c r="AF184" t="s">
        <v>63</v>
      </c>
      <c r="AG184">
        <v>7.1999999999999995E-2</v>
      </c>
      <c r="AH184">
        <v>2</v>
      </c>
      <c r="AI184">
        <v>55936296</v>
      </c>
      <c r="AJ184">
        <v>158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5">
      <c r="A185">
        <f>ROW(Source!A117)</f>
        <v>117</v>
      </c>
      <c r="B185">
        <v>55936297</v>
      </c>
      <c r="C185">
        <v>55936294</v>
      </c>
      <c r="D185">
        <v>55490330</v>
      </c>
      <c r="E185">
        <v>1</v>
      </c>
      <c r="F185">
        <v>1</v>
      </c>
      <c r="G185">
        <v>1081</v>
      </c>
      <c r="H185">
        <v>2</v>
      </c>
      <c r="I185" t="s">
        <v>285</v>
      </c>
      <c r="J185" t="s">
        <v>286</v>
      </c>
      <c r="K185" t="s">
        <v>287</v>
      </c>
      <c r="L185">
        <v>1368</v>
      </c>
      <c r="N185">
        <v>1011</v>
      </c>
      <c r="O185" t="s">
        <v>268</v>
      </c>
      <c r="P185" t="s">
        <v>268</v>
      </c>
      <c r="Q185">
        <v>1</v>
      </c>
      <c r="X185">
        <v>0.81</v>
      </c>
      <c r="Y185">
        <v>0</v>
      </c>
      <c r="Z185">
        <v>0.8</v>
      </c>
      <c r="AA185">
        <v>0</v>
      </c>
      <c r="AB185">
        <v>0</v>
      </c>
      <c r="AC185">
        <v>0</v>
      </c>
      <c r="AD185">
        <v>1</v>
      </c>
      <c r="AE185">
        <v>0</v>
      </c>
      <c r="AF185" t="s">
        <v>63</v>
      </c>
      <c r="AG185">
        <v>0.97199999999999998</v>
      </c>
      <c r="AH185">
        <v>2</v>
      </c>
      <c r="AI185">
        <v>55936297</v>
      </c>
      <c r="AJ185">
        <v>159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5">
      <c r="A186">
        <f>ROW(Source!A117)</f>
        <v>117</v>
      </c>
      <c r="B186">
        <v>55936298</v>
      </c>
      <c r="C186">
        <v>55936294</v>
      </c>
      <c r="D186">
        <v>55490296</v>
      </c>
      <c r="E186">
        <v>1</v>
      </c>
      <c r="F186">
        <v>1</v>
      </c>
      <c r="G186">
        <v>1081</v>
      </c>
      <c r="H186">
        <v>2</v>
      </c>
      <c r="I186" t="s">
        <v>270</v>
      </c>
      <c r="J186" t="s">
        <v>271</v>
      </c>
      <c r="K186" t="s">
        <v>272</v>
      </c>
      <c r="L186">
        <v>1368</v>
      </c>
      <c r="N186">
        <v>1011</v>
      </c>
      <c r="O186" t="s">
        <v>268</v>
      </c>
      <c r="P186" t="s">
        <v>268</v>
      </c>
      <c r="Q186">
        <v>1</v>
      </c>
      <c r="X186">
        <v>0.93</v>
      </c>
      <c r="Y186">
        <v>0</v>
      </c>
      <c r="Z186">
        <v>0.47</v>
      </c>
      <c r="AA186">
        <v>0</v>
      </c>
      <c r="AB186">
        <v>0</v>
      </c>
      <c r="AC186">
        <v>0</v>
      </c>
      <c r="AD186">
        <v>1</v>
      </c>
      <c r="AE186">
        <v>0</v>
      </c>
      <c r="AF186" t="s">
        <v>63</v>
      </c>
      <c r="AG186">
        <v>1.1160000000000001</v>
      </c>
      <c r="AH186">
        <v>2</v>
      </c>
      <c r="AI186">
        <v>55936298</v>
      </c>
      <c r="AJ186">
        <v>160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5">
      <c r="A187">
        <f>ROW(Source!A117)</f>
        <v>117</v>
      </c>
      <c r="B187">
        <v>55936299</v>
      </c>
      <c r="C187">
        <v>55936294</v>
      </c>
      <c r="D187">
        <v>55460882</v>
      </c>
      <c r="E187">
        <v>1</v>
      </c>
      <c r="F187">
        <v>1</v>
      </c>
      <c r="G187">
        <v>1081</v>
      </c>
      <c r="H187">
        <v>3</v>
      </c>
      <c r="I187" t="s">
        <v>273</v>
      </c>
      <c r="J187" t="s">
        <v>274</v>
      </c>
      <c r="K187" t="s">
        <v>275</v>
      </c>
      <c r="L187">
        <v>1348</v>
      </c>
      <c r="N187">
        <v>1009</v>
      </c>
      <c r="O187" t="s">
        <v>223</v>
      </c>
      <c r="P187" t="s">
        <v>223</v>
      </c>
      <c r="Q187">
        <v>1000</v>
      </c>
      <c r="X187">
        <v>1.7000000000000001E-4</v>
      </c>
      <c r="Y187">
        <v>14327.51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 t="s">
        <v>62</v>
      </c>
      <c r="AG187">
        <v>1.7000000000000001E-4</v>
      </c>
      <c r="AH187">
        <v>2</v>
      </c>
      <c r="AI187">
        <v>55936299</v>
      </c>
      <c r="AJ187">
        <v>161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5">
      <c r="A188">
        <f>ROW(Source!A117)</f>
        <v>117</v>
      </c>
      <c r="B188">
        <v>55936300</v>
      </c>
      <c r="C188">
        <v>55936294</v>
      </c>
      <c r="D188">
        <v>55441133</v>
      </c>
      <c r="E188">
        <v>1081</v>
      </c>
      <c r="F188">
        <v>1</v>
      </c>
      <c r="G188">
        <v>1081</v>
      </c>
      <c r="H188">
        <v>3</v>
      </c>
      <c r="I188" t="s">
        <v>330</v>
      </c>
      <c r="J188" t="s">
        <v>3</v>
      </c>
      <c r="K188" t="s">
        <v>331</v>
      </c>
      <c r="L188">
        <v>1358</v>
      </c>
      <c r="N188">
        <v>1010</v>
      </c>
      <c r="O188" t="s">
        <v>22</v>
      </c>
      <c r="P188" t="s">
        <v>22</v>
      </c>
      <c r="Q188">
        <v>10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 t="s">
        <v>62</v>
      </c>
      <c r="AG188">
        <v>1</v>
      </c>
      <c r="AH188">
        <v>3</v>
      </c>
      <c r="AI188">
        <v>-1</v>
      </c>
      <c r="AJ188" t="s">
        <v>3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5">
      <c r="A189">
        <f>ROW(Source!A118)</f>
        <v>118</v>
      </c>
      <c r="B189">
        <v>55936295</v>
      </c>
      <c r="C189">
        <v>55936294</v>
      </c>
      <c r="D189">
        <v>55424304</v>
      </c>
      <c r="E189">
        <v>1081</v>
      </c>
      <c r="F189">
        <v>1</v>
      </c>
      <c r="G189">
        <v>1081</v>
      </c>
      <c r="H189">
        <v>1</v>
      </c>
      <c r="I189" t="s">
        <v>262</v>
      </c>
      <c r="J189" t="s">
        <v>3</v>
      </c>
      <c r="K189" t="s">
        <v>263</v>
      </c>
      <c r="L189">
        <v>1191</v>
      </c>
      <c r="N189">
        <v>1013</v>
      </c>
      <c r="O189" t="s">
        <v>264</v>
      </c>
      <c r="P189" t="s">
        <v>264</v>
      </c>
      <c r="Q189">
        <v>1</v>
      </c>
      <c r="X189">
        <v>14.64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1</v>
      </c>
      <c r="AF189" t="s">
        <v>63</v>
      </c>
      <c r="AG189">
        <v>17.568000000000001</v>
      </c>
      <c r="AH189">
        <v>2</v>
      </c>
      <c r="AI189">
        <v>55936295</v>
      </c>
      <c r="AJ189">
        <v>163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5">
      <c r="A190">
        <f>ROW(Source!A118)</f>
        <v>118</v>
      </c>
      <c r="B190">
        <v>55936296</v>
      </c>
      <c r="C190">
        <v>55936294</v>
      </c>
      <c r="D190">
        <v>55490209</v>
      </c>
      <c r="E190">
        <v>1</v>
      </c>
      <c r="F190">
        <v>1</v>
      </c>
      <c r="G190">
        <v>1081</v>
      </c>
      <c r="H190">
        <v>2</v>
      </c>
      <c r="I190" t="s">
        <v>265</v>
      </c>
      <c r="J190" t="s">
        <v>266</v>
      </c>
      <c r="K190" t="s">
        <v>267</v>
      </c>
      <c r="L190">
        <v>1368</v>
      </c>
      <c r="N190">
        <v>1011</v>
      </c>
      <c r="O190" t="s">
        <v>268</v>
      </c>
      <c r="P190" t="s">
        <v>268</v>
      </c>
      <c r="Q190">
        <v>1</v>
      </c>
      <c r="X190">
        <v>0.06</v>
      </c>
      <c r="Y190">
        <v>0</v>
      </c>
      <c r="Z190">
        <v>83.1</v>
      </c>
      <c r="AA190">
        <v>12.62</v>
      </c>
      <c r="AB190">
        <v>0</v>
      </c>
      <c r="AC190">
        <v>0</v>
      </c>
      <c r="AD190">
        <v>1</v>
      </c>
      <c r="AE190">
        <v>0</v>
      </c>
      <c r="AF190" t="s">
        <v>63</v>
      </c>
      <c r="AG190">
        <v>7.1999999999999995E-2</v>
      </c>
      <c r="AH190">
        <v>2</v>
      </c>
      <c r="AI190">
        <v>55936296</v>
      </c>
      <c r="AJ190">
        <v>164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5">
      <c r="A191">
        <f>ROW(Source!A118)</f>
        <v>118</v>
      </c>
      <c r="B191">
        <v>55936297</v>
      </c>
      <c r="C191">
        <v>55936294</v>
      </c>
      <c r="D191">
        <v>55490330</v>
      </c>
      <c r="E191">
        <v>1</v>
      </c>
      <c r="F191">
        <v>1</v>
      </c>
      <c r="G191">
        <v>1081</v>
      </c>
      <c r="H191">
        <v>2</v>
      </c>
      <c r="I191" t="s">
        <v>285</v>
      </c>
      <c r="J191" t="s">
        <v>286</v>
      </c>
      <c r="K191" t="s">
        <v>287</v>
      </c>
      <c r="L191">
        <v>1368</v>
      </c>
      <c r="N191">
        <v>1011</v>
      </c>
      <c r="O191" t="s">
        <v>268</v>
      </c>
      <c r="P191" t="s">
        <v>268</v>
      </c>
      <c r="Q191">
        <v>1</v>
      </c>
      <c r="X191">
        <v>0.81</v>
      </c>
      <c r="Y191">
        <v>0</v>
      </c>
      <c r="Z191">
        <v>0.8</v>
      </c>
      <c r="AA191">
        <v>0</v>
      </c>
      <c r="AB191">
        <v>0</v>
      </c>
      <c r="AC191">
        <v>0</v>
      </c>
      <c r="AD191">
        <v>1</v>
      </c>
      <c r="AE191">
        <v>0</v>
      </c>
      <c r="AF191" t="s">
        <v>63</v>
      </c>
      <c r="AG191">
        <v>0.97199999999999998</v>
      </c>
      <c r="AH191">
        <v>2</v>
      </c>
      <c r="AI191">
        <v>55936297</v>
      </c>
      <c r="AJ191">
        <v>165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5">
      <c r="A192">
        <f>ROW(Source!A118)</f>
        <v>118</v>
      </c>
      <c r="B192">
        <v>55936298</v>
      </c>
      <c r="C192">
        <v>55936294</v>
      </c>
      <c r="D192">
        <v>55490296</v>
      </c>
      <c r="E192">
        <v>1</v>
      </c>
      <c r="F192">
        <v>1</v>
      </c>
      <c r="G192">
        <v>1081</v>
      </c>
      <c r="H192">
        <v>2</v>
      </c>
      <c r="I192" t="s">
        <v>270</v>
      </c>
      <c r="J192" t="s">
        <v>271</v>
      </c>
      <c r="K192" t="s">
        <v>272</v>
      </c>
      <c r="L192">
        <v>1368</v>
      </c>
      <c r="N192">
        <v>1011</v>
      </c>
      <c r="O192" t="s">
        <v>268</v>
      </c>
      <c r="P192" t="s">
        <v>268</v>
      </c>
      <c r="Q192">
        <v>1</v>
      </c>
      <c r="X192">
        <v>0.93</v>
      </c>
      <c r="Y192">
        <v>0</v>
      </c>
      <c r="Z192">
        <v>0.47</v>
      </c>
      <c r="AA192">
        <v>0</v>
      </c>
      <c r="AB192">
        <v>0</v>
      </c>
      <c r="AC192">
        <v>0</v>
      </c>
      <c r="AD192">
        <v>1</v>
      </c>
      <c r="AE192">
        <v>0</v>
      </c>
      <c r="AF192" t="s">
        <v>63</v>
      </c>
      <c r="AG192">
        <v>1.1160000000000001</v>
      </c>
      <c r="AH192">
        <v>2</v>
      </c>
      <c r="AI192">
        <v>55936298</v>
      </c>
      <c r="AJ192">
        <v>166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5">
      <c r="A193">
        <f>ROW(Source!A118)</f>
        <v>118</v>
      </c>
      <c r="B193">
        <v>55936299</v>
      </c>
      <c r="C193">
        <v>55936294</v>
      </c>
      <c r="D193">
        <v>55460882</v>
      </c>
      <c r="E193">
        <v>1</v>
      </c>
      <c r="F193">
        <v>1</v>
      </c>
      <c r="G193">
        <v>1081</v>
      </c>
      <c r="H193">
        <v>3</v>
      </c>
      <c r="I193" t="s">
        <v>273</v>
      </c>
      <c r="J193" t="s">
        <v>274</v>
      </c>
      <c r="K193" t="s">
        <v>275</v>
      </c>
      <c r="L193">
        <v>1348</v>
      </c>
      <c r="N193">
        <v>1009</v>
      </c>
      <c r="O193" t="s">
        <v>223</v>
      </c>
      <c r="P193" t="s">
        <v>223</v>
      </c>
      <c r="Q193">
        <v>1000</v>
      </c>
      <c r="X193">
        <v>1.7000000000000001E-4</v>
      </c>
      <c r="Y193">
        <v>14327.51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 t="s">
        <v>62</v>
      </c>
      <c r="AG193">
        <v>1.7000000000000001E-4</v>
      </c>
      <c r="AH193">
        <v>2</v>
      </c>
      <c r="AI193">
        <v>55936299</v>
      </c>
      <c r="AJ193">
        <v>167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5">
      <c r="A194">
        <f>ROW(Source!A118)</f>
        <v>118</v>
      </c>
      <c r="B194">
        <v>55936300</v>
      </c>
      <c r="C194">
        <v>55936294</v>
      </c>
      <c r="D194">
        <v>55441133</v>
      </c>
      <c r="E194">
        <v>1081</v>
      </c>
      <c r="F194">
        <v>1</v>
      </c>
      <c r="G194">
        <v>1081</v>
      </c>
      <c r="H194">
        <v>3</v>
      </c>
      <c r="I194" t="s">
        <v>330</v>
      </c>
      <c r="J194" t="s">
        <v>3</v>
      </c>
      <c r="K194" t="s">
        <v>331</v>
      </c>
      <c r="L194">
        <v>1358</v>
      </c>
      <c r="N194">
        <v>1010</v>
      </c>
      <c r="O194" t="s">
        <v>22</v>
      </c>
      <c r="P194" t="s">
        <v>22</v>
      </c>
      <c r="Q194">
        <v>10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 t="s">
        <v>62</v>
      </c>
      <c r="AG194">
        <v>1</v>
      </c>
      <c r="AH194">
        <v>3</v>
      </c>
      <c r="AI194">
        <v>-1</v>
      </c>
      <c r="AJ194" t="s">
        <v>3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5">
      <c r="A195">
        <f>ROW(Source!A121)</f>
        <v>121</v>
      </c>
      <c r="B195">
        <v>55936309</v>
      </c>
      <c r="C195">
        <v>55936308</v>
      </c>
      <c r="D195">
        <v>55424304</v>
      </c>
      <c r="E195">
        <v>1081</v>
      </c>
      <c r="F195">
        <v>1</v>
      </c>
      <c r="G195">
        <v>1081</v>
      </c>
      <c r="H195">
        <v>1</v>
      </c>
      <c r="I195" t="s">
        <v>262</v>
      </c>
      <c r="J195" t="s">
        <v>3</v>
      </c>
      <c r="K195" t="s">
        <v>263</v>
      </c>
      <c r="L195">
        <v>1191</v>
      </c>
      <c r="N195">
        <v>1013</v>
      </c>
      <c r="O195" t="s">
        <v>264</v>
      </c>
      <c r="P195" t="s">
        <v>264</v>
      </c>
      <c r="Q195">
        <v>1</v>
      </c>
      <c r="X195">
        <v>1.35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1</v>
      </c>
      <c r="AF195" t="s">
        <v>63</v>
      </c>
      <c r="AG195">
        <v>1.62</v>
      </c>
      <c r="AH195">
        <v>2</v>
      </c>
      <c r="AI195">
        <v>55936309</v>
      </c>
      <c r="AJ195">
        <v>169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5">
      <c r="A196">
        <f>ROW(Source!A121)</f>
        <v>121</v>
      </c>
      <c r="B196">
        <v>55936310</v>
      </c>
      <c r="C196">
        <v>55936308</v>
      </c>
      <c r="D196">
        <v>55490209</v>
      </c>
      <c r="E196">
        <v>1</v>
      </c>
      <c r="F196">
        <v>1</v>
      </c>
      <c r="G196">
        <v>1081</v>
      </c>
      <c r="H196">
        <v>2</v>
      </c>
      <c r="I196" t="s">
        <v>265</v>
      </c>
      <c r="J196" t="s">
        <v>266</v>
      </c>
      <c r="K196" t="s">
        <v>267</v>
      </c>
      <c r="L196">
        <v>1368</v>
      </c>
      <c r="N196">
        <v>1011</v>
      </c>
      <c r="O196" t="s">
        <v>268</v>
      </c>
      <c r="P196" t="s">
        <v>268</v>
      </c>
      <c r="Q196">
        <v>1</v>
      </c>
      <c r="X196">
        <v>0.01</v>
      </c>
      <c r="Y196">
        <v>0</v>
      </c>
      <c r="Z196">
        <v>83.1</v>
      </c>
      <c r="AA196">
        <v>12.62</v>
      </c>
      <c r="AB196">
        <v>0</v>
      </c>
      <c r="AC196">
        <v>0</v>
      </c>
      <c r="AD196">
        <v>1</v>
      </c>
      <c r="AE196">
        <v>0</v>
      </c>
      <c r="AF196" t="s">
        <v>63</v>
      </c>
      <c r="AG196">
        <v>1.2E-2</v>
      </c>
      <c r="AH196">
        <v>2</v>
      </c>
      <c r="AI196">
        <v>55936310</v>
      </c>
      <c r="AJ196">
        <v>170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5">
      <c r="A197">
        <f>ROW(Source!A121)</f>
        <v>121</v>
      </c>
      <c r="B197">
        <v>55936311</v>
      </c>
      <c r="C197">
        <v>55936308</v>
      </c>
      <c r="D197">
        <v>55490296</v>
      </c>
      <c r="E197">
        <v>1</v>
      </c>
      <c r="F197">
        <v>1</v>
      </c>
      <c r="G197">
        <v>1081</v>
      </c>
      <c r="H197">
        <v>2</v>
      </c>
      <c r="I197" t="s">
        <v>270</v>
      </c>
      <c r="J197" t="s">
        <v>271</v>
      </c>
      <c r="K197" t="s">
        <v>272</v>
      </c>
      <c r="L197">
        <v>1368</v>
      </c>
      <c r="N197">
        <v>1011</v>
      </c>
      <c r="O197" t="s">
        <v>268</v>
      </c>
      <c r="P197" t="s">
        <v>268</v>
      </c>
      <c r="Q197">
        <v>1</v>
      </c>
      <c r="X197">
        <v>0.17</v>
      </c>
      <c r="Y197">
        <v>0</v>
      </c>
      <c r="Z197">
        <v>0.47</v>
      </c>
      <c r="AA197">
        <v>0</v>
      </c>
      <c r="AB197">
        <v>0</v>
      </c>
      <c r="AC197">
        <v>0</v>
      </c>
      <c r="AD197">
        <v>1</v>
      </c>
      <c r="AE197">
        <v>0</v>
      </c>
      <c r="AF197" t="s">
        <v>63</v>
      </c>
      <c r="AG197">
        <v>0.20400000000000001</v>
      </c>
      <c r="AH197">
        <v>2</v>
      </c>
      <c r="AI197">
        <v>55936311</v>
      </c>
      <c r="AJ197">
        <v>171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5">
      <c r="A198">
        <f>ROW(Source!A121)</f>
        <v>121</v>
      </c>
      <c r="B198">
        <v>55936312</v>
      </c>
      <c r="C198">
        <v>55936308</v>
      </c>
      <c r="D198">
        <v>55460882</v>
      </c>
      <c r="E198">
        <v>1</v>
      </c>
      <c r="F198">
        <v>1</v>
      </c>
      <c r="G198">
        <v>1081</v>
      </c>
      <c r="H198">
        <v>3</v>
      </c>
      <c r="I198" t="s">
        <v>273</v>
      </c>
      <c r="J198" t="s">
        <v>274</v>
      </c>
      <c r="K198" t="s">
        <v>275</v>
      </c>
      <c r="L198">
        <v>1348</v>
      </c>
      <c r="N198">
        <v>1009</v>
      </c>
      <c r="O198" t="s">
        <v>223</v>
      </c>
      <c r="P198" t="s">
        <v>223</v>
      </c>
      <c r="Q198">
        <v>1000</v>
      </c>
      <c r="X198">
        <v>3.0000000000000001E-5</v>
      </c>
      <c r="Y198">
        <v>14327.51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 t="s">
        <v>62</v>
      </c>
      <c r="AG198">
        <v>3.0000000000000001E-5</v>
      </c>
      <c r="AH198">
        <v>2</v>
      </c>
      <c r="AI198">
        <v>55936312</v>
      </c>
      <c r="AJ198">
        <v>172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5">
      <c r="A199">
        <f>ROW(Source!A121)</f>
        <v>121</v>
      </c>
      <c r="B199">
        <v>55936313</v>
      </c>
      <c r="C199">
        <v>55936308</v>
      </c>
      <c r="D199">
        <v>55459794</v>
      </c>
      <c r="E199">
        <v>1</v>
      </c>
      <c r="F199">
        <v>1</v>
      </c>
      <c r="G199">
        <v>1081</v>
      </c>
      <c r="H199">
        <v>3</v>
      </c>
      <c r="I199" t="s">
        <v>292</v>
      </c>
      <c r="J199" t="s">
        <v>293</v>
      </c>
      <c r="K199" t="s">
        <v>294</v>
      </c>
      <c r="L199">
        <v>1348</v>
      </c>
      <c r="N199">
        <v>1009</v>
      </c>
      <c r="O199" t="s">
        <v>223</v>
      </c>
      <c r="P199" t="s">
        <v>223</v>
      </c>
      <c r="Q199">
        <v>1000</v>
      </c>
      <c r="X199">
        <v>1.0000000000000001E-5</v>
      </c>
      <c r="Y199">
        <v>78558.289999999994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 t="s">
        <v>62</v>
      </c>
      <c r="AG199">
        <v>1.0000000000000001E-5</v>
      </c>
      <c r="AH199">
        <v>2</v>
      </c>
      <c r="AI199">
        <v>55936313</v>
      </c>
      <c r="AJ199">
        <v>173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5">
      <c r="A200">
        <f>ROW(Source!A121)</f>
        <v>121</v>
      </c>
      <c r="B200">
        <v>55936314</v>
      </c>
      <c r="C200">
        <v>55936308</v>
      </c>
      <c r="D200">
        <v>55441140</v>
      </c>
      <c r="E200">
        <v>1081</v>
      </c>
      <c r="F200">
        <v>1</v>
      </c>
      <c r="G200">
        <v>1081</v>
      </c>
      <c r="H200">
        <v>3</v>
      </c>
      <c r="I200" t="s">
        <v>334</v>
      </c>
      <c r="J200" t="s">
        <v>3</v>
      </c>
      <c r="K200" t="s">
        <v>335</v>
      </c>
      <c r="L200">
        <v>1354</v>
      </c>
      <c r="N200">
        <v>1010</v>
      </c>
      <c r="O200" t="s">
        <v>159</v>
      </c>
      <c r="P200" t="s">
        <v>159</v>
      </c>
      <c r="Q200">
        <v>1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 t="s">
        <v>62</v>
      </c>
      <c r="AG200">
        <v>1</v>
      </c>
      <c r="AH200">
        <v>3</v>
      </c>
      <c r="AI200">
        <v>-1</v>
      </c>
      <c r="AJ200" t="s">
        <v>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5">
      <c r="A201">
        <f>ROW(Source!A122)</f>
        <v>122</v>
      </c>
      <c r="B201">
        <v>55936309</v>
      </c>
      <c r="C201">
        <v>55936308</v>
      </c>
      <c r="D201">
        <v>55424304</v>
      </c>
      <c r="E201">
        <v>1081</v>
      </c>
      <c r="F201">
        <v>1</v>
      </c>
      <c r="G201">
        <v>1081</v>
      </c>
      <c r="H201">
        <v>1</v>
      </c>
      <c r="I201" t="s">
        <v>262</v>
      </c>
      <c r="J201" t="s">
        <v>3</v>
      </c>
      <c r="K201" t="s">
        <v>263</v>
      </c>
      <c r="L201">
        <v>1191</v>
      </c>
      <c r="N201">
        <v>1013</v>
      </c>
      <c r="O201" t="s">
        <v>264</v>
      </c>
      <c r="P201" t="s">
        <v>264</v>
      </c>
      <c r="Q201">
        <v>1</v>
      </c>
      <c r="X201">
        <v>1.35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1</v>
      </c>
      <c r="AF201" t="s">
        <v>63</v>
      </c>
      <c r="AG201">
        <v>1.62</v>
      </c>
      <c r="AH201">
        <v>2</v>
      </c>
      <c r="AI201">
        <v>55936309</v>
      </c>
      <c r="AJ201">
        <v>175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5">
      <c r="A202">
        <f>ROW(Source!A122)</f>
        <v>122</v>
      </c>
      <c r="B202">
        <v>55936310</v>
      </c>
      <c r="C202">
        <v>55936308</v>
      </c>
      <c r="D202">
        <v>55490209</v>
      </c>
      <c r="E202">
        <v>1</v>
      </c>
      <c r="F202">
        <v>1</v>
      </c>
      <c r="G202">
        <v>1081</v>
      </c>
      <c r="H202">
        <v>2</v>
      </c>
      <c r="I202" t="s">
        <v>265</v>
      </c>
      <c r="J202" t="s">
        <v>266</v>
      </c>
      <c r="K202" t="s">
        <v>267</v>
      </c>
      <c r="L202">
        <v>1368</v>
      </c>
      <c r="N202">
        <v>1011</v>
      </c>
      <c r="O202" t="s">
        <v>268</v>
      </c>
      <c r="P202" t="s">
        <v>268</v>
      </c>
      <c r="Q202">
        <v>1</v>
      </c>
      <c r="X202">
        <v>0.01</v>
      </c>
      <c r="Y202">
        <v>0</v>
      </c>
      <c r="Z202">
        <v>83.1</v>
      </c>
      <c r="AA202">
        <v>12.62</v>
      </c>
      <c r="AB202">
        <v>0</v>
      </c>
      <c r="AC202">
        <v>0</v>
      </c>
      <c r="AD202">
        <v>1</v>
      </c>
      <c r="AE202">
        <v>0</v>
      </c>
      <c r="AF202" t="s">
        <v>63</v>
      </c>
      <c r="AG202">
        <v>1.2E-2</v>
      </c>
      <c r="AH202">
        <v>2</v>
      </c>
      <c r="AI202">
        <v>55936310</v>
      </c>
      <c r="AJ202">
        <v>176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5">
      <c r="A203">
        <f>ROW(Source!A122)</f>
        <v>122</v>
      </c>
      <c r="B203">
        <v>55936311</v>
      </c>
      <c r="C203">
        <v>55936308</v>
      </c>
      <c r="D203">
        <v>55490296</v>
      </c>
      <c r="E203">
        <v>1</v>
      </c>
      <c r="F203">
        <v>1</v>
      </c>
      <c r="G203">
        <v>1081</v>
      </c>
      <c r="H203">
        <v>2</v>
      </c>
      <c r="I203" t="s">
        <v>270</v>
      </c>
      <c r="J203" t="s">
        <v>271</v>
      </c>
      <c r="K203" t="s">
        <v>272</v>
      </c>
      <c r="L203">
        <v>1368</v>
      </c>
      <c r="N203">
        <v>1011</v>
      </c>
      <c r="O203" t="s">
        <v>268</v>
      </c>
      <c r="P203" t="s">
        <v>268</v>
      </c>
      <c r="Q203">
        <v>1</v>
      </c>
      <c r="X203">
        <v>0.17</v>
      </c>
      <c r="Y203">
        <v>0</v>
      </c>
      <c r="Z203">
        <v>0.47</v>
      </c>
      <c r="AA203">
        <v>0</v>
      </c>
      <c r="AB203">
        <v>0</v>
      </c>
      <c r="AC203">
        <v>0</v>
      </c>
      <c r="AD203">
        <v>1</v>
      </c>
      <c r="AE203">
        <v>0</v>
      </c>
      <c r="AF203" t="s">
        <v>63</v>
      </c>
      <c r="AG203">
        <v>0.20400000000000001</v>
      </c>
      <c r="AH203">
        <v>2</v>
      </c>
      <c r="AI203">
        <v>55936311</v>
      </c>
      <c r="AJ203">
        <v>177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5">
      <c r="A204">
        <f>ROW(Source!A122)</f>
        <v>122</v>
      </c>
      <c r="B204">
        <v>55936312</v>
      </c>
      <c r="C204">
        <v>55936308</v>
      </c>
      <c r="D204">
        <v>55460882</v>
      </c>
      <c r="E204">
        <v>1</v>
      </c>
      <c r="F204">
        <v>1</v>
      </c>
      <c r="G204">
        <v>1081</v>
      </c>
      <c r="H204">
        <v>3</v>
      </c>
      <c r="I204" t="s">
        <v>273</v>
      </c>
      <c r="J204" t="s">
        <v>274</v>
      </c>
      <c r="K204" t="s">
        <v>275</v>
      </c>
      <c r="L204">
        <v>1348</v>
      </c>
      <c r="N204">
        <v>1009</v>
      </c>
      <c r="O204" t="s">
        <v>223</v>
      </c>
      <c r="P204" t="s">
        <v>223</v>
      </c>
      <c r="Q204">
        <v>1000</v>
      </c>
      <c r="X204">
        <v>3.0000000000000001E-5</v>
      </c>
      <c r="Y204">
        <v>14327.51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 t="s">
        <v>62</v>
      </c>
      <c r="AG204">
        <v>3.0000000000000001E-5</v>
      </c>
      <c r="AH204">
        <v>2</v>
      </c>
      <c r="AI204">
        <v>55936312</v>
      </c>
      <c r="AJ204">
        <v>178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5">
      <c r="A205">
        <f>ROW(Source!A122)</f>
        <v>122</v>
      </c>
      <c r="B205">
        <v>55936313</v>
      </c>
      <c r="C205">
        <v>55936308</v>
      </c>
      <c r="D205">
        <v>55459794</v>
      </c>
      <c r="E205">
        <v>1</v>
      </c>
      <c r="F205">
        <v>1</v>
      </c>
      <c r="G205">
        <v>1081</v>
      </c>
      <c r="H205">
        <v>3</v>
      </c>
      <c r="I205" t="s">
        <v>292</v>
      </c>
      <c r="J205" t="s">
        <v>293</v>
      </c>
      <c r="K205" t="s">
        <v>294</v>
      </c>
      <c r="L205">
        <v>1348</v>
      </c>
      <c r="N205">
        <v>1009</v>
      </c>
      <c r="O205" t="s">
        <v>223</v>
      </c>
      <c r="P205" t="s">
        <v>223</v>
      </c>
      <c r="Q205">
        <v>1000</v>
      </c>
      <c r="X205">
        <v>1.0000000000000001E-5</v>
      </c>
      <c r="Y205">
        <v>78558.289999999994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 t="s">
        <v>62</v>
      </c>
      <c r="AG205">
        <v>1.0000000000000001E-5</v>
      </c>
      <c r="AH205">
        <v>2</v>
      </c>
      <c r="AI205">
        <v>55936313</v>
      </c>
      <c r="AJ205">
        <v>179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5">
      <c r="A206">
        <f>ROW(Source!A122)</f>
        <v>122</v>
      </c>
      <c r="B206">
        <v>55936314</v>
      </c>
      <c r="C206">
        <v>55936308</v>
      </c>
      <c r="D206">
        <v>55441140</v>
      </c>
      <c r="E206">
        <v>1081</v>
      </c>
      <c r="F206">
        <v>1</v>
      </c>
      <c r="G206">
        <v>1081</v>
      </c>
      <c r="H206">
        <v>3</v>
      </c>
      <c r="I206" t="s">
        <v>334</v>
      </c>
      <c r="J206" t="s">
        <v>3</v>
      </c>
      <c r="K206" t="s">
        <v>335</v>
      </c>
      <c r="L206">
        <v>1354</v>
      </c>
      <c r="N206">
        <v>1010</v>
      </c>
      <c r="O206" t="s">
        <v>159</v>
      </c>
      <c r="P206" t="s">
        <v>159</v>
      </c>
      <c r="Q206">
        <v>1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 t="s">
        <v>62</v>
      </c>
      <c r="AG206">
        <v>1</v>
      </c>
      <c r="AH206">
        <v>3</v>
      </c>
      <c r="AI206">
        <v>-1</v>
      </c>
      <c r="AJ206" t="s">
        <v>3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5">
      <c r="A207">
        <f>ROW(Source!A160)</f>
        <v>160</v>
      </c>
      <c r="B207">
        <v>55936384</v>
      </c>
      <c r="C207">
        <v>55936383</v>
      </c>
      <c r="D207">
        <v>55424304</v>
      </c>
      <c r="E207">
        <v>1081</v>
      </c>
      <c r="F207">
        <v>1</v>
      </c>
      <c r="G207">
        <v>1081</v>
      </c>
      <c r="H207">
        <v>1</v>
      </c>
      <c r="I207" t="s">
        <v>262</v>
      </c>
      <c r="J207" t="s">
        <v>3</v>
      </c>
      <c r="K207" t="s">
        <v>263</v>
      </c>
      <c r="L207">
        <v>1191</v>
      </c>
      <c r="N207">
        <v>1013</v>
      </c>
      <c r="O207" t="s">
        <v>264</v>
      </c>
      <c r="P207" t="s">
        <v>264</v>
      </c>
      <c r="Q207">
        <v>1</v>
      </c>
      <c r="X207">
        <v>16.600000000000001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1</v>
      </c>
      <c r="AF207" t="s">
        <v>63</v>
      </c>
      <c r="AG207">
        <v>19.920000000000002</v>
      </c>
      <c r="AH207">
        <v>2</v>
      </c>
      <c r="AI207">
        <v>55936384</v>
      </c>
      <c r="AJ207">
        <v>181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5">
      <c r="A208">
        <f>ROW(Source!A160)</f>
        <v>160</v>
      </c>
      <c r="B208">
        <v>55936385</v>
      </c>
      <c r="C208">
        <v>55936383</v>
      </c>
      <c r="D208">
        <v>55490263</v>
      </c>
      <c r="E208">
        <v>1</v>
      </c>
      <c r="F208">
        <v>1</v>
      </c>
      <c r="G208">
        <v>1081</v>
      </c>
      <c r="H208">
        <v>2</v>
      </c>
      <c r="I208" t="s">
        <v>297</v>
      </c>
      <c r="J208" t="s">
        <v>298</v>
      </c>
      <c r="K208" t="s">
        <v>299</v>
      </c>
      <c r="L208">
        <v>1368</v>
      </c>
      <c r="N208">
        <v>1011</v>
      </c>
      <c r="O208" t="s">
        <v>268</v>
      </c>
      <c r="P208" t="s">
        <v>268</v>
      </c>
      <c r="Q208">
        <v>1</v>
      </c>
      <c r="X208">
        <v>1.1499999999999999</v>
      </c>
      <c r="Y208">
        <v>0</v>
      </c>
      <c r="Z208">
        <v>0.77</v>
      </c>
      <c r="AA208">
        <v>0</v>
      </c>
      <c r="AB208">
        <v>0</v>
      </c>
      <c r="AC208">
        <v>0</v>
      </c>
      <c r="AD208">
        <v>1</v>
      </c>
      <c r="AE208">
        <v>0</v>
      </c>
      <c r="AF208" t="s">
        <v>63</v>
      </c>
      <c r="AG208">
        <v>1.38</v>
      </c>
      <c r="AH208">
        <v>2</v>
      </c>
      <c r="AI208">
        <v>55936385</v>
      </c>
      <c r="AJ208">
        <v>182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5">
      <c r="A209">
        <f>ROW(Source!A160)</f>
        <v>160</v>
      </c>
      <c r="B209">
        <v>55936386</v>
      </c>
      <c r="C209">
        <v>55936383</v>
      </c>
      <c r="D209">
        <v>55490296</v>
      </c>
      <c r="E209">
        <v>1</v>
      </c>
      <c r="F209">
        <v>1</v>
      </c>
      <c r="G209">
        <v>1081</v>
      </c>
      <c r="H209">
        <v>2</v>
      </c>
      <c r="I209" t="s">
        <v>270</v>
      </c>
      <c r="J209" t="s">
        <v>271</v>
      </c>
      <c r="K209" t="s">
        <v>272</v>
      </c>
      <c r="L209">
        <v>1368</v>
      </c>
      <c r="N209">
        <v>1011</v>
      </c>
      <c r="O209" t="s">
        <v>268</v>
      </c>
      <c r="P209" t="s">
        <v>268</v>
      </c>
      <c r="Q209">
        <v>1</v>
      </c>
      <c r="X209">
        <v>1.8</v>
      </c>
      <c r="Y209">
        <v>0</v>
      </c>
      <c r="Z209">
        <v>0.47</v>
      </c>
      <c r="AA209">
        <v>0</v>
      </c>
      <c r="AB209">
        <v>0</v>
      </c>
      <c r="AC209">
        <v>0</v>
      </c>
      <c r="AD209">
        <v>1</v>
      </c>
      <c r="AE209">
        <v>0</v>
      </c>
      <c r="AF209" t="s">
        <v>63</v>
      </c>
      <c r="AG209">
        <v>2.16</v>
      </c>
      <c r="AH209">
        <v>2</v>
      </c>
      <c r="AI209">
        <v>55936386</v>
      </c>
      <c r="AJ209">
        <v>183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5">
      <c r="A210">
        <f>ROW(Source!A160)</f>
        <v>160</v>
      </c>
      <c r="B210">
        <v>55936387</v>
      </c>
      <c r="C210">
        <v>55936383</v>
      </c>
      <c r="D210">
        <v>55460960</v>
      </c>
      <c r="E210">
        <v>1</v>
      </c>
      <c r="F210">
        <v>1</v>
      </c>
      <c r="G210">
        <v>1081</v>
      </c>
      <c r="H210">
        <v>3</v>
      </c>
      <c r="I210" t="s">
        <v>300</v>
      </c>
      <c r="J210" t="s">
        <v>301</v>
      </c>
      <c r="K210" t="s">
        <v>302</v>
      </c>
      <c r="L210">
        <v>1348</v>
      </c>
      <c r="N210">
        <v>1009</v>
      </c>
      <c r="O210" t="s">
        <v>223</v>
      </c>
      <c r="P210" t="s">
        <v>223</v>
      </c>
      <c r="Q210">
        <v>1000</v>
      </c>
      <c r="X210">
        <v>1E-3</v>
      </c>
      <c r="Y210">
        <v>58463.58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 t="s">
        <v>62</v>
      </c>
      <c r="AG210">
        <v>1E-3</v>
      </c>
      <c r="AH210">
        <v>2</v>
      </c>
      <c r="AI210">
        <v>55936387</v>
      </c>
      <c r="AJ210">
        <v>184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5">
      <c r="A211">
        <f>ROW(Source!A160)</f>
        <v>160</v>
      </c>
      <c r="B211">
        <v>55936388</v>
      </c>
      <c r="C211">
        <v>55936383</v>
      </c>
      <c r="D211">
        <v>55461791</v>
      </c>
      <c r="E211">
        <v>1</v>
      </c>
      <c r="F211">
        <v>1</v>
      </c>
      <c r="G211">
        <v>1081</v>
      </c>
      <c r="H211">
        <v>3</v>
      </c>
      <c r="I211" t="s">
        <v>303</v>
      </c>
      <c r="J211" t="s">
        <v>304</v>
      </c>
      <c r="K211" t="s">
        <v>305</v>
      </c>
      <c r="L211">
        <v>1355</v>
      </c>
      <c r="N211">
        <v>1010</v>
      </c>
      <c r="O211" t="s">
        <v>205</v>
      </c>
      <c r="P211" t="s">
        <v>205</v>
      </c>
      <c r="Q211">
        <v>100</v>
      </c>
      <c r="X211">
        <v>2.1419999999999999</v>
      </c>
      <c r="Y211">
        <v>10.6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 t="s">
        <v>62</v>
      </c>
      <c r="AG211">
        <v>2.1419999999999999</v>
      </c>
      <c r="AH211">
        <v>2</v>
      </c>
      <c r="AI211">
        <v>55936388</v>
      </c>
      <c r="AJ211">
        <v>185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5">
      <c r="A212">
        <f>ROW(Source!A160)</f>
        <v>160</v>
      </c>
      <c r="B212">
        <v>55936389</v>
      </c>
      <c r="C212">
        <v>55936383</v>
      </c>
      <c r="D212">
        <v>55482203</v>
      </c>
      <c r="E212">
        <v>1</v>
      </c>
      <c r="F212">
        <v>1</v>
      </c>
      <c r="G212">
        <v>1081</v>
      </c>
      <c r="H212">
        <v>3</v>
      </c>
      <c r="I212" t="s">
        <v>306</v>
      </c>
      <c r="J212" t="s">
        <v>307</v>
      </c>
      <c r="K212" t="s">
        <v>308</v>
      </c>
      <c r="L212">
        <v>1356</v>
      </c>
      <c r="N212">
        <v>1010</v>
      </c>
      <c r="O212" t="s">
        <v>309</v>
      </c>
      <c r="P212" t="s">
        <v>309</v>
      </c>
      <c r="Q212">
        <v>1000</v>
      </c>
      <c r="X212">
        <v>1.7000000000000001E-2</v>
      </c>
      <c r="Y212">
        <v>226.66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 t="s">
        <v>62</v>
      </c>
      <c r="AG212">
        <v>1.7000000000000001E-2</v>
      </c>
      <c r="AH212">
        <v>2</v>
      </c>
      <c r="AI212">
        <v>55936389</v>
      </c>
      <c r="AJ212">
        <v>187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5">
      <c r="A213">
        <f>ROW(Source!A160)</f>
        <v>160</v>
      </c>
      <c r="B213">
        <v>55936390</v>
      </c>
      <c r="C213">
        <v>55936383</v>
      </c>
      <c r="D213">
        <v>55481977</v>
      </c>
      <c r="E213">
        <v>1</v>
      </c>
      <c r="F213">
        <v>1</v>
      </c>
      <c r="G213">
        <v>1081</v>
      </c>
      <c r="H213">
        <v>3</v>
      </c>
      <c r="I213" t="s">
        <v>310</v>
      </c>
      <c r="J213" t="s">
        <v>311</v>
      </c>
      <c r="K213" t="s">
        <v>312</v>
      </c>
      <c r="L213">
        <v>1355</v>
      </c>
      <c r="N213">
        <v>1010</v>
      </c>
      <c r="O213" t="s">
        <v>205</v>
      </c>
      <c r="P213" t="s">
        <v>205</v>
      </c>
      <c r="Q213">
        <v>100</v>
      </c>
      <c r="X213">
        <v>0.17</v>
      </c>
      <c r="Y213">
        <v>26.71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 t="s">
        <v>62</v>
      </c>
      <c r="AG213">
        <v>0.17</v>
      </c>
      <c r="AH213">
        <v>2</v>
      </c>
      <c r="AI213">
        <v>55936390</v>
      </c>
      <c r="AJ213">
        <v>188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5">
      <c r="A214">
        <f>ROW(Source!A160)</f>
        <v>160</v>
      </c>
      <c r="B214">
        <v>55936391</v>
      </c>
      <c r="C214">
        <v>55936383</v>
      </c>
      <c r="D214">
        <v>55469271</v>
      </c>
      <c r="E214">
        <v>1</v>
      </c>
      <c r="F214">
        <v>1</v>
      </c>
      <c r="G214">
        <v>1081</v>
      </c>
      <c r="H214">
        <v>3</v>
      </c>
      <c r="I214" t="s">
        <v>313</v>
      </c>
      <c r="J214" t="s">
        <v>314</v>
      </c>
      <c r="K214" t="s">
        <v>315</v>
      </c>
      <c r="L214">
        <v>1354</v>
      </c>
      <c r="N214">
        <v>1010</v>
      </c>
      <c r="O214" t="s">
        <v>159</v>
      </c>
      <c r="P214" t="s">
        <v>159</v>
      </c>
      <c r="Q214">
        <v>1</v>
      </c>
      <c r="X214">
        <v>0.161</v>
      </c>
      <c r="Y214">
        <v>14.56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 t="s">
        <v>62</v>
      </c>
      <c r="AG214">
        <v>0.161</v>
      </c>
      <c r="AH214">
        <v>2</v>
      </c>
      <c r="AI214">
        <v>55936391</v>
      </c>
      <c r="AJ214">
        <v>189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5">
      <c r="A215">
        <f>ROW(Source!A160)</f>
        <v>160</v>
      </c>
      <c r="B215">
        <v>55936392</v>
      </c>
      <c r="C215">
        <v>55936383</v>
      </c>
      <c r="D215">
        <v>55428305</v>
      </c>
      <c r="E215">
        <v>1081</v>
      </c>
      <c r="F215">
        <v>1</v>
      </c>
      <c r="G215">
        <v>1081</v>
      </c>
      <c r="H215">
        <v>3</v>
      </c>
      <c r="I215" t="s">
        <v>336</v>
      </c>
      <c r="J215" t="s">
        <v>3</v>
      </c>
      <c r="K215" t="s">
        <v>337</v>
      </c>
      <c r="L215">
        <v>1301</v>
      </c>
      <c r="N215">
        <v>1003</v>
      </c>
      <c r="O215" t="s">
        <v>197</v>
      </c>
      <c r="P215" t="s">
        <v>197</v>
      </c>
      <c r="Q215">
        <v>1</v>
      </c>
      <c r="X215">
        <v>102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 t="s">
        <v>62</v>
      </c>
      <c r="AG215">
        <v>102</v>
      </c>
      <c r="AH215">
        <v>3</v>
      </c>
      <c r="AI215">
        <v>-1</v>
      </c>
      <c r="AJ215" t="s">
        <v>3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5">
      <c r="A216">
        <f>ROW(Source!A160)</f>
        <v>160</v>
      </c>
      <c r="B216">
        <v>55936393</v>
      </c>
      <c r="C216">
        <v>55936383</v>
      </c>
      <c r="D216">
        <v>55432095</v>
      </c>
      <c r="E216">
        <v>1081</v>
      </c>
      <c r="F216">
        <v>1</v>
      </c>
      <c r="G216">
        <v>1081</v>
      </c>
      <c r="H216">
        <v>3</v>
      </c>
      <c r="I216" t="s">
        <v>338</v>
      </c>
      <c r="J216" t="s">
        <v>3</v>
      </c>
      <c r="K216" t="s">
        <v>339</v>
      </c>
      <c r="L216">
        <v>1355</v>
      </c>
      <c r="N216">
        <v>1010</v>
      </c>
      <c r="O216" t="s">
        <v>205</v>
      </c>
      <c r="P216" t="s">
        <v>205</v>
      </c>
      <c r="Q216">
        <v>100</v>
      </c>
      <c r="X216">
        <v>2.1640000000000001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 t="s">
        <v>62</v>
      </c>
      <c r="AG216">
        <v>2.1640000000000001</v>
      </c>
      <c r="AH216">
        <v>3</v>
      </c>
      <c r="AI216">
        <v>-1</v>
      </c>
      <c r="AJ216" t="s">
        <v>3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5">
      <c r="A217">
        <f>ROW(Source!A160)</f>
        <v>160</v>
      </c>
      <c r="B217">
        <v>55936394</v>
      </c>
      <c r="C217">
        <v>55936383</v>
      </c>
      <c r="D217">
        <v>55438984</v>
      </c>
      <c r="E217">
        <v>1081</v>
      </c>
      <c r="F217">
        <v>1</v>
      </c>
      <c r="G217">
        <v>1081</v>
      </c>
      <c r="H217">
        <v>3</v>
      </c>
      <c r="I217" t="s">
        <v>340</v>
      </c>
      <c r="J217" t="s">
        <v>3</v>
      </c>
      <c r="K217" t="s">
        <v>341</v>
      </c>
      <c r="L217">
        <v>1303</v>
      </c>
      <c r="N217">
        <v>1003</v>
      </c>
      <c r="O217" t="s">
        <v>291</v>
      </c>
      <c r="P217" t="s">
        <v>291</v>
      </c>
      <c r="Q217">
        <v>1000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 t="s">
        <v>62</v>
      </c>
      <c r="AG217">
        <v>0</v>
      </c>
      <c r="AH217">
        <v>3</v>
      </c>
      <c r="AI217">
        <v>-1</v>
      </c>
      <c r="AJ217" t="s">
        <v>3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5">
      <c r="A218">
        <f>ROW(Source!A161)</f>
        <v>161</v>
      </c>
      <c r="B218">
        <v>55936384</v>
      </c>
      <c r="C218">
        <v>55936383</v>
      </c>
      <c r="D218">
        <v>55424304</v>
      </c>
      <c r="E218">
        <v>1081</v>
      </c>
      <c r="F218">
        <v>1</v>
      </c>
      <c r="G218">
        <v>1081</v>
      </c>
      <c r="H218">
        <v>1</v>
      </c>
      <c r="I218" t="s">
        <v>262</v>
      </c>
      <c r="J218" t="s">
        <v>3</v>
      </c>
      <c r="K218" t="s">
        <v>263</v>
      </c>
      <c r="L218">
        <v>1191</v>
      </c>
      <c r="N218">
        <v>1013</v>
      </c>
      <c r="O218" t="s">
        <v>264</v>
      </c>
      <c r="P218" t="s">
        <v>264</v>
      </c>
      <c r="Q218">
        <v>1</v>
      </c>
      <c r="X218">
        <v>16.600000000000001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1</v>
      </c>
      <c r="AF218" t="s">
        <v>63</v>
      </c>
      <c r="AG218">
        <v>19.920000000000002</v>
      </c>
      <c r="AH218">
        <v>2</v>
      </c>
      <c r="AI218">
        <v>55936384</v>
      </c>
      <c r="AJ218">
        <v>191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5">
      <c r="A219">
        <f>ROW(Source!A161)</f>
        <v>161</v>
      </c>
      <c r="B219">
        <v>55936385</v>
      </c>
      <c r="C219">
        <v>55936383</v>
      </c>
      <c r="D219">
        <v>55490263</v>
      </c>
      <c r="E219">
        <v>1</v>
      </c>
      <c r="F219">
        <v>1</v>
      </c>
      <c r="G219">
        <v>1081</v>
      </c>
      <c r="H219">
        <v>2</v>
      </c>
      <c r="I219" t="s">
        <v>297</v>
      </c>
      <c r="J219" t="s">
        <v>298</v>
      </c>
      <c r="K219" t="s">
        <v>299</v>
      </c>
      <c r="L219">
        <v>1368</v>
      </c>
      <c r="N219">
        <v>1011</v>
      </c>
      <c r="O219" t="s">
        <v>268</v>
      </c>
      <c r="P219" t="s">
        <v>268</v>
      </c>
      <c r="Q219">
        <v>1</v>
      </c>
      <c r="X219">
        <v>1.1499999999999999</v>
      </c>
      <c r="Y219">
        <v>0</v>
      </c>
      <c r="Z219">
        <v>0.77</v>
      </c>
      <c r="AA219">
        <v>0</v>
      </c>
      <c r="AB219">
        <v>0</v>
      </c>
      <c r="AC219">
        <v>0</v>
      </c>
      <c r="AD219">
        <v>1</v>
      </c>
      <c r="AE219">
        <v>0</v>
      </c>
      <c r="AF219" t="s">
        <v>63</v>
      </c>
      <c r="AG219">
        <v>1.38</v>
      </c>
      <c r="AH219">
        <v>2</v>
      </c>
      <c r="AI219">
        <v>55936385</v>
      </c>
      <c r="AJ219">
        <v>192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5">
      <c r="A220">
        <f>ROW(Source!A161)</f>
        <v>161</v>
      </c>
      <c r="B220">
        <v>55936386</v>
      </c>
      <c r="C220">
        <v>55936383</v>
      </c>
      <c r="D220">
        <v>55490296</v>
      </c>
      <c r="E220">
        <v>1</v>
      </c>
      <c r="F220">
        <v>1</v>
      </c>
      <c r="G220">
        <v>1081</v>
      </c>
      <c r="H220">
        <v>2</v>
      </c>
      <c r="I220" t="s">
        <v>270</v>
      </c>
      <c r="J220" t="s">
        <v>271</v>
      </c>
      <c r="K220" t="s">
        <v>272</v>
      </c>
      <c r="L220">
        <v>1368</v>
      </c>
      <c r="N220">
        <v>1011</v>
      </c>
      <c r="O220" t="s">
        <v>268</v>
      </c>
      <c r="P220" t="s">
        <v>268</v>
      </c>
      <c r="Q220">
        <v>1</v>
      </c>
      <c r="X220">
        <v>1.8</v>
      </c>
      <c r="Y220">
        <v>0</v>
      </c>
      <c r="Z220">
        <v>0.47</v>
      </c>
      <c r="AA220">
        <v>0</v>
      </c>
      <c r="AB220">
        <v>0</v>
      </c>
      <c r="AC220">
        <v>0</v>
      </c>
      <c r="AD220">
        <v>1</v>
      </c>
      <c r="AE220">
        <v>0</v>
      </c>
      <c r="AF220" t="s">
        <v>63</v>
      </c>
      <c r="AG220">
        <v>2.16</v>
      </c>
      <c r="AH220">
        <v>2</v>
      </c>
      <c r="AI220">
        <v>55936386</v>
      </c>
      <c r="AJ220">
        <v>193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5">
      <c r="A221">
        <f>ROW(Source!A161)</f>
        <v>161</v>
      </c>
      <c r="B221">
        <v>55936387</v>
      </c>
      <c r="C221">
        <v>55936383</v>
      </c>
      <c r="D221">
        <v>55460960</v>
      </c>
      <c r="E221">
        <v>1</v>
      </c>
      <c r="F221">
        <v>1</v>
      </c>
      <c r="G221">
        <v>1081</v>
      </c>
      <c r="H221">
        <v>3</v>
      </c>
      <c r="I221" t="s">
        <v>300</v>
      </c>
      <c r="J221" t="s">
        <v>301</v>
      </c>
      <c r="K221" t="s">
        <v>302</v>
      </c>
      <c r="L221">
        <v>1348</v>
      </c>
      <c r="N221">
        <v>1009</v>
      </c>
      <c r="O221" t="s">
        <v>223</v>
      </c>
      <c r="P221" t="s">
        <v>223</v>
      </c>
      <c r="Q221">
        <v>1000</v>
      </c>
      <c r="X221">
        <v>1E-3</v>
      </c>
      <c r="Y221">
        <v>58463.58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 t="s">
        <v>62</v>
      </c>
      <c r="AG221">
        <v>1E-3</v>
      </c>
      <c r="AH221">
        <v>2</v>
      </c>
      <c r="AI221">
        <v>55936387</v>
      </c>
      <c r="AJ221">
        <v>194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5">
      <c r="A222">
        <f>ROW(Source!A161)</f>
        <v>161</v>
      </c>
      <c r="B222">
        <v>55936388</v>
      </c>
      <c r="C222">
        <v>55936383</v>
      </c>
      <c r="D222">
        <v>55461791</v>
      </c>
      <c r="E222">
        <v>1</v>
      </c>
      <c r="F222">
        <v>1</v>
      </c>
      <c r="G222">
        <v>1081</v>
      </c>
      <c r="H222">
        <v>3</v>
      </c>
      <c r="I222" t="s">
        <v>303</v>
      </c>
      <c r="J222" t="s">
        <v>304</v>
      </c>
      <c r="K222" t="s">
        <v>305</v>
      </c>
      <c r="L222">
        <v>1355</v>
      </c>
      <c r="N222">
        <v>1010</v>
      </c>
      <c r="O222" t="s">
        <v>205</v>
      </c>
      <c r="P222" t="s">
        <v>205</v>
      </c>
      <c r="Q222">
        <v>100</v>
      </c>
      <c r="X222">
        <v>2.1419999999999999</v>
      </c>
      <c r="Y222">
        <v>10.6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 t="s">
        <v>62</v>
      </c>
      <c r="AG222">
        <v>2.1419999999999999</v>
      </c>
      <c r="AH222">
        <v>2</v>
      </c>
      <c r="AI222">
        <v>55936388</v>
      </c>
      <c r="AJ222">
        <v>195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5">
      <c r="A223">
        <f>ROW(Source!A161)</f>
        <v>161</v>
      </c>
      <c r="B223">
        <v>55936389</v>
      </c>
      <c r="C223">
        <v>55936383</v>
      </c>
      <c r="D223">
        <v>55482203</v>
      </c>
      <c r="E223">
        <v>1</v>
      </c>
      <c r="F223">
        <v>1</v>
      </c>
      <c r="G223">
        <v>1081</v>
      </c>
      <c r="H223">
        <v>3</v>
      </c>
      <c r="I223" t="s">
        <v>306</v>
      </c>
      <c r="J223" t="s">
        <v>307</v>
      </c>
      <c r="K223" t="s">
        <v>308</v>
      </c>
      <c r="L223">
        <v>1356</v>
      </c>
      <c r="N223">
        <v>1010</v>
      </c>
      <c r="O223" t="s">
        <v>309</v>
      </c>
      <c r="P223" t="s">
        <v>309</v>
      </c>
      <c r="Q223">
        <v>1000</v>
      </c>
      <c r="X223">
        <v>1.7000000000000001E-2</v>
      </c>
      <c r="Y223">
        <v>226.66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 t="s">
        <v>62</v>
      </c>
      <c r="AG223">
        <v>1.7000000000000001E-2</v>
      </c>
      <c r="AH223">
        <v>2</v>
      </c>
      <c r="AI223">
        <v>55936389</v>
      </c>
      <c r="AJ223">
        <v>197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5">
      <c r="A224">
        <f>ROW(Source!A161)</f>
        <v>161</v>
      </c>
      <c r="B224">
        <v>55936390</v>
      </c>
      <c r="C224">
        <v>55936383</v>
      </c>
      <c r="D224">
        <v>55481977</v>
      </c>
      <c r="E224">
        <v>1</v>
      </c>
      <c r="F224">
        <v>1</v>
      </c>
      <c r="G224">
        <v>1081</v>
      </c>
      <c r="H224">
        <v>3</v>
      </c>
      <c r="I224" t="s">
        <v>310</v>
      </c>
      <c r="J224" t="s">
        <v>311</v>
      </c>
      <c r="K224" t="s">
        <v>312</v>
      </c>
      <c r="L224">
        <v>1355</v>
      </c>
      <c r="N224">
        <v>1010</v>
      </c>
      <c r="O224" t="s">
        <v>205</v>
      </c>
      <c r="P224" t="s">
        <v>205</v>
      </c>
      <c r="Q224">
        <v>100</v>
      </c>
      <c r="X224">
        <v>0.17</v>
      </c>
      <c r="Y224">
        <v>26.71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 t="s">
        <v>62</v>
      </c>
      <c r="AG224">
        <v>0.17</v>
      </c>
      <c r="AH224">
        <v>2</v>
      </c>
      <c r="AI224">
        <v>55936390</v>
      </c>
      <c r="AJ224">
        <v>198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5">
      <c r="A225">
        <f>ROW(Source!A161)</f>
        <v>161</v>
      </c>
      <c r="B225">
        <v>55936391</v>
      </c>
      <c r="C225">
        <v>55936383</v>
      </c>
      <c r="D225">
        <v>55469271</v>
      </c>
      <c r="E225">
        <v>1</v>
      </c>
      <c r="F225">
        <v>1</v>
      </c>
      <c r="G225">
        <v>1081</v>
      </c>
      <c r="H225">
        <v>3</v>
      </c>
      <c r="I225" t="s">
        <v>313</v>
      </c>
      <c r="J225" t="s">
        <v>314</v>
      </c>
      <c r="K225" t="s">
        <v>315</v>
      </c>
      <c r="L225">
        <v>1354</v>
      </c>
      <c r="N225">
        <v>1010</v>
      </c>
      <c r="O225" t="s">
        <v>159</v>
      </c>
      <c r="P225" t="s">
        <v>159</v>
      </c>
      <c r="Q225">
        <v>1</v>
      </c>
      <c r="X225">
        <v>0.161</v>
      </c>
      <c r="Y225">
        <v>14.56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 t="s">
        <v>62</v>
      </c>
      <c r="AG225">
        <v>0.161</v>
      </c>
      <c r="AH225">
        <v>2</v>
      </c>
      <c r="AI225">
        <v>55936391</v>
      </c>
      <c r="AJ225">
        <v>199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5">
      <c r="A226">
        <f>ROW(Source!A161)</f>
        <v>161</v>
      </c>
      <c r="B226">
        <v>55936392</v>
      </c>
      <c r="C226">
        <v>55936383</v>
      </c>
      <c r="D226">
        <v>55428305</v>
      </c>
      <c r="E226">
        <v>1081</v>
      </c>
      <c r="F226">
        <v>1</v>
      </c>
      <c r="G226">
        <v>1081</v>
      </c>
      <c r="H226">
        <v>3</v>
      </c>
      <c r="I226" t="s">
        <v>336</v>
      </c>
      <c r="J226" t="s">
        <v>3</v>
      </c>
      <c r="K226" t="s">
        <v>337</v>
      </c>
      <c r="L226">
        <v>1301</v>
      </c>
      <c r="N226">
        <v>1003</v>
      </c>
      <c r="O226" t="s">
        <v>197</v>
      </c>
      <c r="P226" t="s">
        <v>197</v>
      </c>
      <c r="Q226">
        <v>1</v>
      </c>
      <c r="X226">
        <v>102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 t="s">
        <v>62</v>
      </c>
      <c r="AG226">
        <v>102</v>
      </c>
      <c r="AH226">
        <v>3</v>
      </c>
      <c r="AI226">
        <v>-1</v>
      </c>
      <c r="AJ226" t="s">
        <v>3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5">
      <c r="A227">
        <f>ROW(Source!A161)</f>
        <v>161</v>
      </c>
      <c r="B227">
        <v>55936393</v>
      </c>
      <c r="C227">
        <v>55936383</v>
      </c>
      <c r="D227">
        <v>55432095</v>
      </c>
      <c r="E227">
        <v>1081</v>
      </c>
      <c r="F227">
        <v>1</v>
      </c>
      <c r="G227">
        <v>1081</v>
      </c>
      <c r="H227">
        <v>3</v>
      </c>
      <c r="I227" t="s">
        <v>338</v>
      </c>
      <c r="J227" t="s">
        <v>3</v>
      </c>
      <c r="K227" t="s">
        <v>339</v>
      </c>
      <c r="L227">
        <v>1355</v>
      </c>
      <c r="N227">
        <v>1010</v>
      </c>
      <c r="O227" t="s">
        <v>205</v>
      </c>
      <c r="P227" t="s">
        <v>205</v>
      </c>
      <c r="Q227">
        <v>100</v>
      </c>
      <c r="X227">
        <v>2.1640000000000001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 t="s">
        <v>62</v>
      </c>
      <c r="AG227">
        <v>2.1640000000000001</v>
      </c>
      <c r="AH227">
        <v>3</v>
      </c>
      <c r="AI227">
        <v>-1</v>
      </c>
      <c r="AJ227" t="s">
        <v>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5">
      <c r="A228">
        <f>ROW(Source!A161)</f>
        <v>161</v>
      </c>
      <c r="B228">
        <v>55936394</v>
      </c>
      <c r="C228">
        <v>55936383</v>
      </c>
      <c r="D228">
        <v>55438984</v>
      </c>
      <c r="E228">
        <v>1081</v>
      </c>
      <c r="F228">
        <v>1</v>
      </c>
      <c r="G228">
        <v>1081</v>
      </c>
      <c r="H228">
        <v>3</v>
      </c>
      <c r="I228" t="s">
        <v>340</v>
      </c>
      <c r="J228" t="s">
        <v>3</v>
      </c>
      <c r="K228" t="s">
        <v>341</v>
      </c>
      <c r="L228">
        <v>1303</v>
      </c>
      <c r="N228">
        <v>1003</v>
      </c>
      <c r="O228" t="s">
        <v>291</v>
      </c>
      <c r="P228" t="s">
        <v>291</v>
      </c>
      <c r="Q228">
        <v>1000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 t="s">
        <v>62</v>
      </c>
      <c r="AG228">
        <v>0</v>
      </c>
      <c r="AH228">
        <v>3</v>
      </c>
      <c r="AI228">
        <v>-1</v>
      </c>
      <c r="AJ228" t="s">
        <v>3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5">
      <c r="A229">
        <f>ROW(Source!A170)</f>
        <v>170</v>
      </c>
      <c r="B229">
        <v>55936438</v>
      </c>
      <c r="C229">
        <v>55936434</v>
      </c>
      <c r="D229">
        <v>55424304</v>
      </c>
      <c r="E229">
        <v>1081</v>
      </c>
      <c r="F229">
        <v>1</v>
      </c>
      <c r="G229">
        <v>1081</v>
      </c>
      <c r="H229">
        <v>1</v>
      </c>
      <c r="I229" t="s">
        <v>262</v>
      </c>
      <c r="J229" t="s">
        <v>3</v>
      </c>
      <c r="K229" t="s">
        <v>263</v>
      </c>
      <c r="L229">
        <v>1191</v>
      </c>
      <c r="N229">
        <v>1013</v>
      </c>
      <c r="O229" t="s">
        <v>264</v>
      </c>
      <c r="P229" t="s">
        <v>264</v>
      </c>
      <c r="Q229">
        <v>1</v>
      </c>
      <c r="X229">
        <v>1.26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1</v>
      </c>
      <c r="AF229" t="s">
        <v>63</v>
      </c>
      <c r="AG229">
        <v>1.512</v>
      </c>
      <c r="AH229">
        <v>2</v>
      </c>
      <c r="AI229">
        <v>55936438</v>
      </c>
      <c r="AJ229">
        <v>201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5">
      <c r="A230">
        <f>ROW(Source!A170)</f>
        <v>170</v>
      </c>
      <c r="B230">
        <v>55936439</v>
      </c>
      <c r="C230">
        <v>55936434</v>
      </c>
      <c r="D230">
        <v>55465987</v>
      </c>
      <c r="E230">
        <v>1</v>
      </c>
      <c r="F230">
        <v>1</v>
      </c>
      <c r="G230">
        <v>1081</v>
      </c>
      <c r="H230">
        <v>3</v>
      </c>
      <c r="I230" t="s">
        <v>221</v>
      </c>
      <c r="J230" t="s">
        <v>224</v>
      </c>
      <c r="K230" t="s">
        <v>222</v>
      </c>
      <c r="L230">
        <v>1348</v>
      </c>
      <c r="N230">
        <v>1009</v>
      </c>
      <c r="O230" t="s">
        <v>223</v>
      </c>
      <c r="P230" t="s">
        <v>223</v>
      </c>
      <c r="Q230">
        <v>1000</v>
      </c>
      <c r="X230">
        <v>3.0000000000000001E-5</v>
      </c>
      <c r="Y230">
        <v>18995.22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 t="s">
        <v>62</v>
      </c>
      <c r="AG230">
        <v>3.0000000000000001E-5</v>
      </c>
      <c r="AH230">
        <v>3</v>
      </c>
      <c r="AI230">
        <v>-1</v>
      </c>
      <c r="AJ230" t="s">
        <v>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5">
      <c r="A231">
        <f>ROW(Source!A171)</f>
        <v>171</v>
      </c>
      <c r="B231">
        <v>55936438</v>
      </c>
      <c r="C231">
        <v>55936434</v>
      </c>
      <c r="D231">
        <v>55424304</v>
      </c>
      <c r="E231">
        <v>1081</v>
      </c>
      <c r="F231">
        <v>1</v>
      </c>
      <c r="G231">
        <v>1081</v>
      </c>
      <c r="H231">
        <v>1</v>
      </c>
      <c r="I231" t="s">
        <v>262</v>
      </c>
      <c r="J231" t="s">
        <v>3</v>
      </c>
      <c r="K231" t="s">
        <v>263</v>
      </c>
      <c r="L231">
        <v>1191</v>
      </c>
      <c r="N231">
        <v>1013</v>
      </c>
      <c r="O231" t="s">
        <v>264</v>
      </c>
      <c r="P231" t="s">
        <v>264</v>
      </c>
      <c r="Q231">
        <v>1</v>
      </c>
      <c r="X231">
        <v>1.26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1</v>
      </c>
      <c r="AF231" t="s">
        <v>63</v>
      </c>
      <c r="AG231">
        <v>1.512</v>
      </c>
      <c r="AH231">
        <v>2</v>
      </c>
      <c r="AI231">
        <v>55936438</v>
      </c>
      <c r="AJ231">
        <v>202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5">
      <c r="A232">
        <f>ROW(Source!A171)</f>
        <v>171</v>
      </c>
      <c r="B232">
        <v>55936439</v>
      </c>
      <c r="C232">
        <v>55936434</v>
      </c>
      <c r="D232">
        <v>55465987</v>
      </c>
      <c r="E232">
        <v>1</v>
      </c>
      <c r="F232">
        <v>1</v>
      </c>
      <c r="G232">
        <v>1081</v>
      </c>
      <c r="H232">
        <v>3</v>
      </c>
      <c r="I232" t="s">
        <v>221</v>
      </c>
      <c r="J232" t="s">
        <v>224</v>
      </c>
      <c r="K232" t="s">
        <v>222</v>
      </c>
      <c r="L232">
        <v>1348</v>
      </c>
      <c r="N232">
        <v>1009</v>
      </c>
      <c r="O232" t="s">
        <v>223</v>
      </c>
      <c r="P232" t="s">
        <v>223</v>
      </c>
      <c r="Q232">
        <v>1000</v>
      </c>
      <c r="X232">
        <v>3.0000000000000001E-5</v>
      </c>
      <c r="Y232">
        <v>18995.22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 t="s">
        <v>62</v>
      </c>
      <c r="AG232">
        <v>3.0000000000000001E-5</v>
      </c>
      <c r="AH232">
        <v>3</v>
      </c>
      <c r="AI232">
        <v>-1</v>
      </c>
      <c r="AJ232" t="s">
        <v>3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5">
      <c r="A233">
        <f>ROW(Source!A211)</f>
        <v>211</v>
      </c>
      <c r="B233">
        <v>55936519</v>
      </c>
      <c r="C233">
        <v>55936504</v>
      </c>
      <c r="D233">
        <v>55424304</v>
      </c>
      <c r="E233">
        <v>1081</v>
      </c>
      <c r="F233">
        <v>1</v>
      </c>
      <c r="G233">
        <v>1081</v>
      </c>
      <c r="H233">
        <v>1</v>
      </c>
      <c r="I233" t="s">
        <v>262</v>
      </c>
      <c r="J233" t="s">
        <v>3</v>
      </c>
      <c r="K233" t="s">
        <v>263</v>
      </c>
      <c r="L233">
        <v>1191</v>
      </c>
      <c r="N233">
        <v>1013</v>
      </c>
      <c r="O233" t="s">
        <v>264</v>
      </c>
      <c r="P233" t="s">
        <v>264</v>
      </c>
      <c r="Q233">
        <v>1</v>
      </c>
      <c r="X233">
        <v>0.52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1</v>
      </c>
      <c r="AF233" t="s">
        <v>63</v>
      </c>
      <c r="AG233">
        <v>0.624</v>
      </c>
      <c r="AH233">
        <v>2</v>
      </c>
      <c r="AI233">
        <v>55936519</v>
      </c>
      <c r="AJ233">
        <v>203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5">
      <c r="A234">
        <f>ROW(Source!A211)</f>
        <v>211</v>
      </c>
      <c r="B234">
        <v>55936520</v>
      </c>
      <c r="C234">
        <v>55936504</v>
      </c>
      <c r="D234">
        <v>55490209</v>
      </c>
      <c r="E234">
        <v>1</v>
      </c>
      <c r="F234">
        <v>1</v>
      </c>
      <c r="G234">
        <v>1081</v>
      </c>
      <c r="H234">
        <v>2</v>
      </c>
      <c r="I234" t="s">
        <v>265</v>
      </c>
      <c r="J234" t="s">
        <v>266</v>
      </c>
      <c r="K234" t="s">
        <v>267</v>
      </c>
      <c r="L234">
        <v>1368</v>
      </c>
      <c r="N234">
        <v>1011</v>
      </c>
      <c r="O234" t="s">
        <v>268</v>
      </c>
      <c r="P234" t="s">
        <v>268</v>
      </c>
      <c r="Q234">
        <v>1</v>
      </c>
      <c r="X234">
        <v>0.02</v>
      </c>
      <c r="Y234">
        <v>0</v>
      </c>
      <c r="Z234">
        <v>83.1</v>
      </c>
      <c r="AA234">
        <v>12.62</v>
      </c>
      <c r="AB234">
        <v>0</v>
      </c>
      <c r="AC234">
        <v>0</v>
      </c>
      <c r="AD234">
        <v>1</v>
      </c>
      <c r="AE234">
        <v>0</v>
      </c>
      <c r="AF234" t="s">
        <v>63</v>
      </c>
      <c r="AG234">
        <v>2.4E-2</v>
      </c>
      <c r="AH234">
        <v>2</v>
      </c>
      <c r="AI234">
        <v>55936520</v>
      </c>
      <c r="AJ234">
        <v>204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5">
      <c r="A235">
        <f>ROW(Source!A211)</f>
        <v>211</v>
      </c>
      <c r="B235">
        <v>55936521</v>
      </c>
      <c r="C235">
        <v>55936504</v>
      </c>
      <c r="D235">
        <v>55489519</v>
      </c>
      <c r="E235">
        <v>1</v>
      </c>
      <c r="F235">
        <v>1</v>
      </c>
      <c r="G235">
        <v>1081</v>
      </c>
      <c r="H235">
        <v>2</v>
      </c>
      <c r="I235" t="s">
        <v>316</v>
      </c>
      <c r="J235" t="s">
        <v>317</v>
      </c>
      <c r="K235" t="s">
        <v>318</v>
      </c>
      <c r="L235">
        <v>1368</v>
      </c>
      <c r="N235">
        <v>1011</v>
      </c>
      <c r="O235" t="s">
        <v>268</v>
      </c>
      <c r="P235" t="s">
        <v>268</v>
      </c>
      <c r="Q235">
        <v>1</v>
      </c>
      <c r="X235">
        <v>0.2</v>
      </c>
      <c r="Y235">
        <v>0</v>
      </c>
      <c r="Z235">
        <v>132.66</v>
      </c>
      <c r="AA235">
        <v>14.54</v>
      </c>
      <c r="AB235">
        <v>0</v>
      </c>
      <c r="AC235">
        <v>0</v>
      </c>
      <c r="AD235">
        <v>1</v>
      </c>
      <c r="AE235">
        <v>0</v>
      </c>
      <c r="AF235" t="s">
        <v>63</v>
      </c>
      <c r="AG235">
        <v>0.24</v>
      </c>
      <c r="AH235">
        <v>2</v>
      </c>
      <c r="AI235">
        <v>55936521</v>
      </c>
      <c r="AJ235">
        <v>205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5">
      <c r="A236">
        <f>ROW(Source!A211)</f>
        <v>211</v>
      </c>
      <c r="B236">
        <v>55936522</v>
      </c>
      <c r="C236">
        <v>55936504</v>
      </c>
      <c r="D236">
        <v>55417010</v>
      </c>
      <c r="E236">
        <v>1081</v>
      </c>
      <c r="F236">
        <v>1</v>
      </c>
      <c r="G236">
        <v>1081</v>
      </c>
      <c r="H236">
        <v>3</v>
      </c>
      <c r="I236" t="s">
        <v>342</v>
      </c>
      <c r="J236" t="s">
        <v>3</v>
      </c>
      <c r="K236" t="s">
        <v>343</v>
      </c>
      <c r="L236">
        <v>1346</v>
      </c>
      <c r="N236">
        <v>1009</v>
      </c>
      <c r="O236" t="s">
        <v>238</v>
      </c>
      <c r="P236" t="s">
        <v>238</v>
      </c>
      <c r="Q236">
        <v>1</v>
      </c>
      <c r="X236">
        <v>3.2000000000000003E-4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 t="s">
        <v>62</v>
      </c>
      <c r="AG236">
        <v>3.2000000000000003E-4</v>
      </c>
      <c r="AH236">
        <v>3</v>
      </c>
      <c r="AI236">
        <v>-1</v>
      </c>
      <c r="AJ236" t="s">
        <v>3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5">
      <c r="A237">
        <f>ROW(Source!A211)</f>
        <v>211</v>
      </c>
      <c r="B237">
        <v>55936523</v>
      </c>
      <c r="C237">
        <v>55936504</v>
      </c>
      <c r="D237">
        <v>55441022</v>
      </c>
      <c r="E237">
        <v>1081</v>
      </c>
      <c r="F237">
        <v>1</v>
      </c>
      <c r="G237">
        <v>1081</v>
      </c>
      <c r="H237">
        <v>3</v>
      </c>
      <c r="I237" t="s">
        <v>344</v>
      </c>
      <c r="J237" t="s">
        <v>3</v>
      </c>
      <c r="K237" t="s">
        <v>345</v>
      </c>
      <c r="L237">
        <v>1354</v>
      </c>
      <c r="N237">
        <v>1010</v>
      </c>
      <c r="O237" t="s">
        <v>159</v>
      </c>
      <c r="P237" t="s">
        <v>159</v>
      </c>
      <c r="Q237">
        <v>1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 t="s">
        <v>62</v>
      </c>
      <c r="AG237">
        <v>1</v>
      </c>
      <c r="AH237">
        <v>3</v>
      </c>
      <c r="AI237">
        <v>-1</v>
      </c>
      <c r="AJ237" t="s">
        <v>3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5">
      <c r="A238">
        <f>ROW(Source!A212)</f>
        <v>212</v>
      </c>
      <c r="B238">
        <v>55936519</v>
      </c>
      <c r="C238">
        <v>55936504</v>
      </c>
      <c r="D238">
        <v>55424304</v>
      </c>
      <c r="E238">
        <v>1081</v>
      </c>
      <c r="F238">
        <v>1</v>
      </c>
      <c r="G238">
        <v>1081</v>
      </c>
      <c r="H238">
        <v>1</v>
      </c>
      <c r="I238" t="s">
        <v>262</v>
      </c>
      <c r="J238" t="s">
        <v>3</v>
      </c>
      <c r="K238" t="s">
        <v>263</v>
      </c>
      <c r="L238">
        <v>1191</v>
      </c>
      <c r="N238">
        <v>1013</v>
      </c>
      <c r="O238" t="s">
        <v>264</v>
      </c>
      <c r="P238" t="s">
        <v>264</v>
      </c>
      <c r="Q238">
        <v>1</v>
      </c>
      <c r="X238">
        <v>0.52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1</v>
      </c>
      <c r="AF238" t="s">
        <v>63</v>
      </c>
      <c r="AG238">
        <v>0.624</v>
      </c>
      <c r="AH238">
        <v>2</v>
      </c>
      <c r="AI238">
        <v>55936519</v>
      </c>
      <c r="AJ238">
        <v>208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5">
      <c r="A239">
        <f>ROW(Source!A212)</f>
        <v>212</v>
      </c>
      <c r="B239">
        <v>55936520</v>
      </c>
      <c r="C239">
        <v>55936504</v>
      </c>
      <c r="D239">
        <v>55490209</v>
      </c>
      <c r="E239">
        <v>1</v>
      </c>
      <c r="F239">
        <v>1</v>
      </c>
      <c r="G239">
        <v>1081</v>
      </c>
      <c r="H239">
        <v>2</v>
      </c>
      <c r="I239" t="s">
        <v>265</v>
      </c>
      <c r="J239" t="s">
        <v>266</v>
      </c>
      <c r="K239" t="s">
        <v>267</v>
      </c>
      <c r="L239">
        <v>1368</v>
      </c>
      <c r="N239">
        <v>1011</v>
      </c>
      <c r="O239" t="s">
        <v>268</v>
      </c>
      <c r="P239" t="s">
        <v>268</v>
      </c>
      <c r="Q239">
        <v>1</v>
      </c>
      <c r="X239">
        <v>0.02</v>
      </c>
      <c r="Y239">
        <v>0</v>
      </c>
      <c r="Z239">
        <v>83.1</v>
      </c>
      <c r="AA239">
        <v>12.62</v>
      </c>
      <c r="AB239">
        <v>0</v>
      </c>
      <c r="AC239">
        <v>0</v>
      </c>
      <c r="AD239">
        <v>1</v>
      </c>
      <c r="AE239">
        <v>0</v>
      </c>
      <c r="AF239" t="s">
        <v>63</v>
      </c>
      <c r="AG239">
        <v>2.4E-2</v>
      </c>
      <c r="AH239">
        <v>2</v>
      </c>
      <c r="AI239">
        <v>55936520</v>
      </c>
      <c r="AJ239">
        <v>209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5">
      <c r="A240">
        <f>ROW(Source!A212)</f>
        <v>212</v>
      </c>
      <c r="B240">
        <v>55936521</v>
      </c>
      <c r="C240">
        <v>55936504</v>
      </c>
      <c r="D240">
        <v>55489519</v>
      </c>
      <c r="E240">
        <v>1</v>
      </c>
      <c r="F240">
        <v>1</v>
      </c>
      <c r="G240">
        <v>1081</v>
      </c>
      <c r="H240">
        <v>2</v>
      </c>
      <c r="I240" t="s">
        <v>316</v>
      </c>
      <c r="J240" t="s">
        <v>317</v>
      </c>
      <c r="K240" t="s">
        <v>318</v>
      </c>
      <c r="L240">
        <v>1368</v>
      </c>
      <c r="N240">
        <v>1011</v>
      </c>
      <c r="O240" t="s">
        <v>268</v>
      </c>
      <c r="P240" t="s">
        <v>268</v>
      </c>
      <c r="Q240">
        <v>1</v>
      </c>
      <c r="X240">
        <v>0.2</v>
      </c>
      <c r="Y240">
        <v>0</v>
      </c>
      <c r="Z240">
        <v>132.66</v>
      </c>
      <c r="AA240">
        <v>14.54</v>
      </c>
      <c r="AB240">
        <v>0</v>
      </c>
      <c r="AC240">
        <v>0</v>
      </c>
      <c r="AD240">
        <v>1</v>
      </c>
      <c r="AE240">
        <v>0</v>
      </c>
      <c r="AF240" t="s">
        <v>63</v>
      </c>
      <c r="AG240">
        <v>0.24</v>
      </c>
      <c r="AH240">
        <v>2</v>
      </c>
      <c r="AI240">
        <v>55936521</v>
      </c>
      <c r="AJ240">
        <v>210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5">
      <c r="A241">
        <f>ROW(Source!A212)</f>
        <v>212</v>
      </c>
      <c r="B241">
        <v>55936522</v>
      </c>
      <c r="C241">
        <v>55936504</v>
      </c>
      <c r="D241">
        <v>55417010</v>
      </c>
      <c r="E241">
        <v>1081</v>
      </c>
      <c r="F241">
        <v>1</v>
      </c>
      <c r="G241">
        <v>1081</v>
      </c>
      <c r="H241">
        <v>3</v>
      </c>
      <c r="I241" t="s">
        <v>342</v>
      </c>
      <c r="J241" t="s">
        <v>3</v>
      </c>
      <c r="K241" t="s">
        <v>343</v>
      </c>
      <c r="L241">
        <v>1346</v>
      </c>
      <c r="N241">
        <v>1009</v>
      </c>
      <c r="O241" t="s">
        <v>238</v>
      </c>
      <c r="P241" t="s">
        <v>238</v>
      </c>
      <c r="Q241">
        <v>1</v>
      </c>
      <c r="X241">
        <v>3.2000000000000003E-4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 t="s">
        <v>62</v>
      </c>
      <c r="AG241">
        <v>3.2000000000000003E-4</v>
      </c>
      <c r="AH241">
        <v>3</v>
      </c>
      <c r="AI241">
        <v>-1</v>
      </c>
      <c r="AJ241" t="s">
        <v>3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5">
      <c r="A242">
        <f>ROW(Source!A212)</f>
        <v>212</v>
      </c>
      <c r="B242">
        <v>55936523</v>
      </c>
      <c r="C242">
        <v>55936504</v>
      </c>
      <c r="D242">
        <v>55441022</v>
      </c>
      <c r="E242">
        <v>1081</v>
      </c>
      <c r="F242">
        <v>1</v>
      </c>
      <c r="G242">
        <v>1081</v>
      </c>
      <c r="H242">
        <v>3</v>
      </c>
      <c r="I242" t="s">
        <v>344</v>
      </c>
      <c r="J242" t="s">
        <v>3</v>
      </c>
      <c r="K242" t="s">
        <v>345</v>
      </c>
      <c r="L242">
        <v>1354</v>
      </c>
      <c r="N242">
        <v>1010</v>
      </c>
      <c r="O242" t="s">
        <v>159</v>
      </c>
      <c r="P242" t="s">
        <v>159</v>
      </c>
      <c r="Q242">
        <v>1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 t="s">
        <v>62</v>
      </c>
      <c r="AG242">
        <v>1</v>
      </c>
      <c r="AH242">
        <v>3</v>
      </c>
      <c r="AI242">
        <v>-1</v>
      </c>
      <c r="AJ242" t="s">
        <v>3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70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21" x14ac:dyDescent="0.25">
      <c r="A1">
        <v>28</v>
      </c>
      <c r="B1">
        <v>1</v>
      </c>
      <c r="C1" t="s">
        <v>3</v>
      </c>
      <c r="D1" t="s">
        <v>62</v>
      </c>
      <c r="E1" t="s">
        <v>63</v>
      </c>
      <c r="F1" t="s">
        <v>63</v>
      </c>
      <c r="G1" t="s">
        <v>63</v>
      </c>
      <c r="H1" t="s">
        <v>3</v>
      </c>
      <c r="I1" t="s">
        <v>63</v>
      </c>
      <c r="J1" t="s">
        <v>63</v>
      </c>
      <c r="K1" t="s">
        <v>3</v>
      </c>
      <c r="L1" t="s">
        <v>3</v>
      </c>
      <c r="M1" t="s">
        <v>3</v>
      </c>
      <c r="N1" t="s">
        <v>62</v>
      </c>
      <c r="O1" t="s">
        <v>63</v>
      </c>
      <c r="P1" t="s">
        <v>3</v>
      </c>
      <c r="Q1" t="s">
        <v>3</v>
      </c>
      <c r="R1" t="s">
        <v>3</v>
      </c>
      <c r="S1" t="s">
        <v>346</v>
      </c>
      <c r="T1" t="s">
        <v>347</v>
      </c>
      <c r="U1" t="s">
        <v>348</v>
      </c>
    </row>
    <row r="2" spans="1:21" x14ac:dyDescent="0.25">
      <c r="A2">
        <v>28</v>
      </c>
      <c r="B2">
        <v>1</v>
      </c>
      <c r="C2" t="s">
        <v>3</v>
      </c>
      <c r="D2" t="s">
        <v>349</v>
      </c>
      <c r="E2" t="s">
        <v>350</v>
      </c>
      <c r="F2" t="s">
        <v>350</v>
      </c>
      <c r="G2" t="s">
        <v>350</v>
      </c>
      <c r="H2" t="s">
        <v>3</v>
      </c>
      <c r="I2" t="s">
        <v>350</v>
      </c>
      <c r="J2" t="s">
        <v>350</v>
      </c>
      <c r="K2" t="s">
        <v>3</v>
      </c>
      <c r="L2" t="s">
        <v>3</v>
      </c>
      <c r="M2" t="s">
        <v>3</v>
      </c>
      <c r="N2" t="s">
        <v>349</v>
      </c>
      <c r="O2" t="s">
        <v>350</v>
      </c>
      <c r="P2" t="s">
        <v>3</v>
      </c>
      <c r="Q2" t="s">
        <v>3</v>
      </c>
      <c r="R2" t="s">
        <v>3</v>
      </c>
      <c r="S2" t="s">
        <v>351</v>
      </c>
      <c r="T2" t="s">
        <v>352</v>
      </c>
      <c r="U2" t="s">
        <v>353</v>
      </c>
    </row>
    <row r="3" spans="1:21" x14ac:dyDescent="0.25">
      <c r="A3">
        <v>29</v>
      </c>
      <c r="B3">
        <v>1</v>
      </c>
      <c r="C3" t="s">
        <v>3</v>
      </c>
      <c r="D3" t="s">
        <v>62</v>
      </c>
      <c r="E3" t="s">
        <v>63</v>
      </c>
      <c r="F3" t="s">
        <v>63</v>
      </c>
      <c r="G3" t="s">
        <v>63</v>
      </c>
      <c r="H3" t="s">
        <v>3</v>
      </c>
      <c r="I3" t="s">
        <v>63</v>
      </c>
      <c r="J3" t="s">
        <v>63</v>
      </c>
      <c r="K3" t="s">
        <v>3</v>
      </c>
      <c r="L3" t="s">
        <v>3</v>
      </c>
      <c r="M3" t="s">
        <v>3</v>
      </c>
      <c r="N3" t="s">
        <v>62</v>
      </c>
      <c r="O3" t="s">
        <v>63</v>
      </c>
      <c r="P3" t="s">
        <v>3</v>
      </c>
      <c r="Q3" t="s">
        <v>3</v>
      </c>
      <c r="R3" t="s">
        <v>3</v>
      </c>
      <c r="S3" t="s">
        <v>346</v>
      </c>
      <c r="T3" t="s">
        <v>347</v>
      </c>
      <c r="U3" t="s">
        <v>348</v>
      </c>
    </row>
    <row r="4" spans="1:21" x14ac:dyDescent="0.25">
      <c r="A4">
        <v>29</v>
      </c>
      <c r="B4">
        <v>1</v>
      </c>
      <c r="C4" t="s">
        <v>3</v>
      </c>
      <c r="D4" t="s">
        <v>349</v>
      </c>
      <c r="E4" t="s">
        <v>350</v>
      </c>
      <c r="F4" t="s">
        <v>350</v>
      </c>
      <c r="G4" t="s">
        <v>350</v>
      </c>
      <c r="H4" t="s">
        <v>3</v>
      </c>
      <c r="I4" t="s">
        <v>350</v>
      </c>
      <c r="J4" t="s">
        <v>350</v>
      </c>
      <c r="K4" t="s">
        <v>3</v>
      </c>
      <c r="L4" t="s">
        <v>3</v>
      </c>
      <c r="M4" t="s">
        <v>3</v>
      </c>
      <c r="N4" t="s">
        <v>349</v>
      </c>
      <c r="O4" t="s">
        <v>350</v>
      </c>
      <c r="P4" t="s">
        <v>3</v>
      </c>
      <c r="Q4" t="s">
        <v>3</v>
      </c>
      <c r="R4" t="s">
        <v>3</v>
      </c>
      <c r="S4" t="s">
        <v>351</v>
      </c>
      <c r="T4" t="s">
        <v>352</v>
      </c>
      <c r="U4" t="s">
        <v>353</v>
      </c>
    </row>
    <row r="5" spans="1:21" x14ac:dyDescent="0.25">
      <c r="A5">
        <v>30</v>
      </c>
      <c r="B5">
        <v>1</v>
      </c>
      <c r="C5" t="s">
        <v>3</v>
      </c>
      <c r="D5" t="s">
        <v>62</v>
      </c>
      <c r="E5" t="s">
        <v>63</v>
      </c>
      <c r="F5" t="s">
        <v>63</v>
      </c>
      <c r="G5" t="s">
        <v>63</v>
      </c>
      <c r="H5" t="s">
        <v>3</v>
      </c>
      <c r="I5" t="s">
        <v>63</v>
      </c>
      <c r="J5" t="s">
        <v>63</v>
      </c>
      <c r="K5" t="s">
        <v>3</v>
      </c>
      <c r="L5" t="s">
        <v>3</v>
      </c>
      <c r="M5" t="s">
        <v>3</v>
      </c>
      <c r="N5" t="s">
        <v>62</v>
      </c>
      <c r="O5" t="s">
        <v>63</v>
      </c>
      <c r="P5" t="s">
        <v>3</v>
      </c>
      <c r="Q5" t="s">
        <v>3</v>
      </c>
      <c r="R5" t="s">
        <v>3</v>
      </c>
      <c r="S5" t="s">
        <v>346</v>
      </c>
      <c r="T5" t="s">
        <v>347</v>
      </c>
      <c r="U5" t="s">
        <v>348</v>
      </c>
    </row>
    <row r="6" spans="1:21" x14ac:dyDescent="0.25">
      <c r="A6">
        <v>30</v>
      </c>
      <c r="B6">
        <v>1</v>
      </c>
      <c r="C6" t="s">
        <v>3</v>
      </c>
      <c r="D6" t="s">
        <v>349</v>
      </c>
      <c r="E6" t="s">
        <v>350</v>
      </c>
      <c r="F6" t="s">
        <v>350</v>
      </c>
      <c r="G6" t="s">
        <v>350</v>
      </c>
      <c r="H6" t="s">
        <v>3</v>
      </c>
      <c r="I6" t="s">
        <v>350</v>
      </c>
      <c r="J6" t="s">
        <v>350</v>
      </c>
      <c r="K6" t="s">
        <v>3</v>
      </c>
      <c r="L6" t="s">
        <v>3</v>
      </c>
      <c r="M6" t="s">
        <v>3</v>
      </c>
      <c r="N6" t="s">
        <v>349</v>
      </c>
      <c r="O6" t="s">
        <v>350</v>
      </c>
      <c r="P6" t="s">
        <v>3</v>
      </c>
      <c r="Q6" t="s">
        <v>3</v>
      </c>
      <c r="R6" t="s">
        <v>3</v>
      </c>
      <c r="S6" t="s">
        <v>351</v>
      </c>
      <c r="T6" t="s">
        <v>352</v>
      </c>
      <c r="U6" t="s">
        <v>353</v>
      </c>
    </row>
    <row r="7" spans="1:21" x14ac:dyDescent="0.25">
      <c r="A7">
        <v>31</v>
      </c>
      <c r="B7">
        <v>1</v>
      </c>
      <c r="C7" t="s">
        <v>3</v>
      </c>
      <c r="D7" t="s">
        <v>62</v>
      </c>
      <c r="E7" t="s">
        <v>63</v>
      </c>
      <c r="F7" t="s">
        <v>63</v>
      </c>
      <c r="G7" t="s">
        <v>63</v>
      </c>
      <c r="H7" t="s">
        <v>3</v>
      </c>
      <c r="I7" t="s">
        <v>63</v>
      </c>
      <c r="J7" t="s">
        <v>63</v>
      </c>
      <c r="K7" t="s">
        <v>3</v>
      </c>
      <c r="L7" t="s">
        <v>3</v>
      </c>
      <c r="M7" t="s">
        <v>3</v>
      </c>
      <c r="N7" t="s">
        <v>62</v>
      </c>
      <c r="O7" t="s">
        <v>63</v>
      </c>
      <c r="P7" t="s">
        <v>3</v>
      </c>
      <c r="Q7" t="s">
        <v>3</v>
      </c>
      <c r="R7" t="s">
        <v>3</v>
      </c>
      <c r="S7" t="s">
        <v>346</v>
      </c>
      <c r="T7" t="s">
        <v>347</v>
      </c>
      <c r="U7" t="s">
        <v>348</v>
      </c>
    </row>
    <row r="8" spans="1:21" x14ac:dyDescent="0.25">
      <c r="A8">
        <v>31</v>
      </c>
      <c r="B8">
        <v>1</v>
      </c>
      <c r="C8" t="s">
        <v>3</v>
      </c>
      <c r="D8" t="s">
        <v>349</v>
      </c>
      <c r="E8" t="s">
        <v>350</v>
      </c>
      <c r="F8" t="s">
        <v>350</v>
      </c>
      <c r="G8" t="s">
        <v>350</v>
      </c>
      <c r="H8" t="s">
        <v>3</v>
      </c>
      <c r="I8" t="s">
        <v>350</v>
      </c>
      <c r="J8" t="s">
        <v>350</v>
      </c>
      <c r="K8" t="s">
        <v>3</v>
      </c>
      <c r="L8" t="s">
        <v>3</v>
      </c>
      <c r="M8" t="s">
        <v>3</v>
      </c>
      <c r="N8" t="s">
        <v>349</v>
      </c>
      <c r="O8" t="s">
        <v>350</v>
      </c>
      <c r="P8" t="s">
        <v>3</v>
      </c>
      <c r="Q8" t="s">
        <v>3</v>
      </c>
      <c r="R8" t="s">
        <v>3</v>
      </c>
      <c r="S8" t="s">
        <v>351</v>
      </c>
      <c r="T8" t="s">
        <v>352</v>
      </c>
      <c r="U8" t="s">
        <v>353</v>
      </c>
    </row>
    <row r="9" spans="1:21" x14ac:dyDescent="0.25">
      <c r="A9">
        <v>32</v>
      </c>
      <c r="B9">
        <v>1</v>
      </c>
      <c r="C9" t="s">
        <v>3</v>
      </c>
      <c r="D9" t="s">
        <v>62</v>
      </c>
      <c r="E9" t="s">
        <v>63</v>
      </c>
      <c r="F9" t="s">
        <v>63</v>
      </c>
      <c r="G9" t="s">
        <v>63</v>
      </c>
      <c r="H9" t="s">
        <v>3</v>
      </c>
      <c r="I9" t="s">
        <v>63</v>
      </c>
      <c r="J9" t="s">
        <v>63</v>
      </c>
      <c r="K9" t="s">
        <v>3</v>
      </c>
      <c r="L9" t="s">
        <v>3</v>
      </c>
      <c r="M9" t="s">
        <v>3</v>
      </c>
      <c r="N9" t="s">
        <v>62</v>
      </c>
      <c r="O9" t="s">
        <v>63</v>
      </c>
      <c r="P9" t="s">
        <v>3</v>
      </c>
      <c r="Q9" t="s">
        <v>3</v>
      </c>
      <c r="R9" t="s">
        <v>3</v>
      </c>
      <c r="S9" t="s">
        <v>346</v>
      </c>
      <c r="T9" t="s">
        <v>347</v>
      </c>
      <c r="U9" t="s">
        <v>348</v>
      </c>
    </row>
    <row r="10" spans="1:21" x14ac:dyDescent="0.25">
      <c r="A10">
        <v>32</v>
      </c>
      <c r="B10">
        <v>1</v>
      </c>
      <c r="C10" t="s">
        <v>3</v>
      </c>
      <c r="D10" t="s">
        <v>349</v>
      </c>
      <c r="E10" t="s">
        <v>350</v>
      </c>
      <c r="F10" t="s">
        <v>350</v>
      </c>
      <c r="G10" t="s">
        <v>350</v>
      </c>
      <c r="H10" t="s">
        <v>3</v>
      </c>
      <c r="I10" t="s">
        <v>350</v>
      </c>
      <c r="J10" t="s">
        <v>350</v>
      </c>
      <c r="K10" t="s">
        <v>3</v>
      </c>
      <c r="L10" t="s">
        <v>3</v>
      </c>
      <c r="M10" t="s">
        <v>3</v>
      </c>
      <c r="N10" t="s">
        <v>349</v>
      </c>
      <c r="O10" t="s">
        <v>350</v>
      </c>
      <c r="P10" t="s">
        <v>3</v>
      </c>
      <c r="Q10" t="s">
        <v>3</v>
      </c>
      <c r="R10" t="s">
        <v>3</v>
      </c>
      <c r="S10" t="s">
        <v>351</v>
      </c>
      <c r="T10" t="s">
        <v>352</v>
      </c>
      <c r="U10" t="s">
        <v>353</v>
      </c>
    </row>
    <row r="11" spans="1:21" x14ac:dyDescent="0.25">
      <c r="A11">
        <v>33</v>
      </c>
      <c r="B11">
        <v>1</v>
      </c>
      <c r="C11" t="s">
        <v>3</v>
      </c>
      <c r="D11" t="s">
        <v>62</v>
      </c>
      <c r="E11" t="s">
        <v>63</v>
      </c>
      <c r="F11" t="s">
        <v>63</v>
      </c>
      <c r="G11" t="s">
        <v>63</v>
      </c>
      <c r="H11" t="s">
        <v>3</v>
      </c>
      <c r="I11" t="s">
        <v>63</v>
      </c>
      <c r="J11" t="s">
        <v>63</v>
      </c>
      <c r="K11" t="s">
        <v>3</v>
      </c>
      <c r="L11" t="s">
        <v>3</v>
      </c>
      <c r="M11" t="s">
        <v>3</v>
      </c>
      <c r="N11" t="s">
        <v>62</v>
      </c>
      <c r="O11" t="s">
        <v>63</v>
      </c>
      <c r="P11" t="s">
        <v>3</v>
      </c>
      <c r="Q11" t="s">
        <v>3</v>
      </c>
      <c r="R11" t="s">
        <v>3</v>
      </c>
      <c r="S11" t="s">
        <v>346</v>
      </c>
      <c r="T11" t="s">
        <v>347</v>
      </c>
      <c r="U11" t="s">
        <v>348</v>
      </c>
    </row>
    <row r="12" spans="1:21" x14ac:dyDescent="0.25">
      <c r="A12">
        <v>33</v>
      </c>
      <c r="B12">
        <v>1</v>
      </c>
      <c r="C12" t="s">
        <v>3</v>
      </c>
      <c r="D12" t="s">
        <v>349</v>
      </c>
      <c r="E12" t="s">
        <v>350</v>
      </c>
      <c r="F12" t="s">
        <v>350</v>
      </c>
      <c r="G12" t="s">
        <v>350</v>
      </c>
      <c r="H12" t="s">
        <v>3</v>
      </c>
      <c r="I12" t="s">
        <v>350</v>
      </c>
      <c r="J12" t="s">
        <v>350</v>
      </c>
      <c r="K12" t="s">
        <v>3</v>
      </c>
      <c r="L12" t="s">
        <v>3</v>
      </c>
      <c r="M12" t="s">
        <v>3</v>
      </c>
      <c r="N12" t="s">
        <v>349</v>
      </c>
      <c r="O12" t="s">
        <v>350</v>
      </c>
      <c r="P12" t="s">
        <v>3</v>
      </c>
      <c r="Q12" t="s">
        <v>3</v>
      </c>
      <c r="R12" t="s">
        <v>3</v>
      </c>
      <c r="S12" t="s">
        <v>351</v>
      </c>
      <c r="T12" t="s">
        <v>352</v>
      </c>
      <c r="U12" t="s">
        <v>353</v>
      </c>
    </row>
    <row r="13" spans="1:21" x14ac:dyDescent="0.25">
      <c r="A13">
        <v>34</v>
      </c>
      <c r="B13">
        <v>1</v>
      </c>
      <c r="C13" t="s">
        <v>3</v>
      </c>
      <c r="D13" t="s">
        <v>62</v>
      </c>
      <c r="E13" t="s">
        <v>63</v>
      </c>
      <c r="F13" t="s">
        <v>63</v>
      </c>
      <c r="G13" t="s">
        <v>63</v>
      </c>
      <c r="H13" t="s">
        <v>3</v>
      </c>
      <c r="I13" t="s">
        <v>63</v>
      </c>
      <c r="J13" t="s">
        <v>63</v>
      </c>
      <c r="K13" t="s">
        <v>3</v>
      </c>
      <c r="L13" t="s">
        <v>3</v>
      </c>
      <c r="M13" t="s">
        <v>3</v>
      </c>
      <c r="N13" t="s">
        <v>62</v>
      </c>
      <c r="O13" t="s">
        <v>63</v>
      </c>
      <c r="P13" t="s">
        <v>3</v>
      </c>
      <c r="Q13" t="s">
        <v>3</v>
      </c>
      <c r="R13" t="s">
        <v>3</v>
      </c>
      <c r="S13" t="s">
        <v>346</v>
      </c>
      <c r="T13" t="s">
        <v>347</v>
      </c>
      <c r="U13" t="s">
        <v>348</v>
      </c>
    </row>
    <row r="14" spans="1:21" x14ac:dyDescent="0.25">
      <c r="A14">
        <v>34</v>
      </c>
      <c r="B14">
        <v>1</v>
      </c>
      <c r="C14" t="s">
        <v>3</v>
      </c>
      <c r="D14" t="s">
        <v>349</v>
      </c>
      <c r="E14" t="s">
        <v>350</v>
      </c>
      <c r="F14" t="s">
        <v>350</v>
      </c>
      <c r="G14" t="s">
        <v>350</v>
      </c>
      <c r="H14" t="s">
        <v>3</v>
      </c>
      <c r="I14" t="s">
        <v>350</v>
      </c>
      <c r="J14" t="s">
        <v>350</v>
      </c>
      <c r="K14" t="s">
        <v>3</v>
      </c>
      <c r="L14" t="s">
        <v>3</v>
      </c>
      <c r="M14" t="s">
        <v>3</v>
      </c>
      <c r="N14" t="s">
        <v>349</v>
      </c>
      <c r="O14" t="s">
        <v>350</v>
      </c>
      <c r="P14" t="s">
        <v>3</v>
      </c>
      <c r="Q14" t="s">
        <v>3</v>
      </c>
      <c r="R14" t="s">
        <v>3</v>
      </c>
      <c r="S14" t="s">
        <v>351</v>
      </c>
      <c r="T14" t="s">
        <v>352</v>
      </c>
      <c r="U14" t="s">
        <v>353</v>
      </c>
    </row>
    <row r="15" spans="1:21" x14ac:dyDescent="0.25">
      <c r="A15">
        <v>35</v>
      </c>
      <c r="B15">
        <v>1</v>
      </c>
      <c r="C15" t="s">
        <v>3</v>
      </c>
      <c r="D15" t="s">
        <v>62</v>
      </c>
      <c r="E15" t="s">
        <v>63</v>
      </c>
      <c r="F15" t="s">
        <v>63</v>
      </c>
      <c r="G15" t="s">
        <v>63</v>
      </c>
      <c r="H15" t="s">
        <v>3</v>
      </c>
      <c r="I15" t="s">
        <v>63</v>
      </c>
      <c r="J15" t="s">
        <v>63</v>
      </c>
      <c r="K15" t="s">
        <v>3</v>
      </c>
      <c r="L15" t="s">
        <v>3</v>
      </c>
      <c r="M15" t="s">
        <v>3</v>
      </c>
      <c r="N15" t="s">
        <v>62</v>
      </c>
      <c r="O15" t="s">
        <v>63</v>
      </c>
      <c r="P15" t="s">
        <v>3</v>
      </c>
      <c r="Q15" t="s">
        <v>3</v>
      </c>
      <c r="R15" t="s">
        <v>3</v>
      </c>
      <c r="S15" t="s">
        <v>346</v>
      </c>
      <c r="T15" t="s">
        <v>347</v>
      </c>
      <c r="U15" t="s">
        <v>348</v>
      </c>
    </row>
    <row r="16" spans="1:21" x14ac:dyDescent="0.25">
      <c r="A16">
        <v>35</v>
      </c>
      <c r="B16">
        <v>1</v>
      </c>
      <c r="C16" t="s">
        <v>3</v>
      </c>
      <c r="D16" t="s">
        <v>349</v>
      </c>
      <c r="E16" t="s">
        <v>350</v>
      </c>
      <c r="F16" t="s">
        <v>350</v>
      </c>
      <c r="G16" t="s">
        <v>350</v>
      </c>
      <c r="H16" t="s">
        <v>3</v>
      </c>
      <c r="I16" t="s">
        <v>350</v>
      </c>
      <c r="J16" t="s">
        <v>350</v>
      </c>
      <c r="K16" t="s">
        <v>3</v>
      </c>
      <c r="L16" t="s">
        <v>3</v>
      </c>
      <c r="M16" t="s">
        <v>3</v>
      </c>
      <c r="N16" t="s">
        <v>349</v>
      </c>
      <c r="O16" t="s">
        <v>350</v>
      </c>
      <c r="P16" t="s">
        <v>3</v>
      </c>
      <c r="Q16" t="s">
        <v>3</v>
      </c>
      <c r="R16" t="s">
        <v>3</v>
      </c>
      <c r="S16" t="s">
        <v>351</v>
      </c>
      <c r="T16" t="s">
        <v>352</v>
      </c>
      <c r="U16" t="s">
        <v>353</v>
      </c>
    </row>
    <row r="17" spans="1:21" x14ac:dyDescent="0.25">
      <c r="A17">
        <v>36</v>
      </c>
      <c r="B17">
        <v>1</v>
      </c>
      <c r="C17" t="s">
        <v>3</v>
      </c>
      <c r="D17" t="s">
        <v>62</v>
      </c>
      <c r="E17" t="s">
        <v>63</v>
      </c>
      <c r="F17" t="s">
        <v>63</v>
      </c>
      <c r="G17" t="s">
        <v>63</v>
      </c>
      <c r="H17" t="s">
        <v>3</v>
      </c>
      <c r="I17" t="s">
        <v>63</v>
      </c>
      <c r="J17" t="s">
        <v>63</v>
      </c>
      <c r="K17" t="s">
        <v>3</v>
      </c>
      <c r="L17" t="s">
        <v>3</v>
      </c>
      <c r="M17" t="s">
        <v>3</v>
      </c>
      <c r="N17" t="s">
        <v>62</v>
      </c>
      <c r="O17" t="s">
        <v>63</v>
      </c>
      <c r="P17" t="s">
        <v>3</v>
      </c>
      <c r="Q17" t="s">
        <v>3</v>
      </c>
      <c r="R17" t="s">
        <v>3</v>
      </c>
      <c r="S17" t="s">
        <v>346</v>
      </c>
      <c r="T17" t="s">
        <v>347</v>
      </c>
      <c r="U17" t="s">
        <v>348</v>
      </c>
    </row>
    <row r="18" spans="1:21" x14ac:dyDescent="0.25">
      <c r="A18">
        <v>36</v>
      </c>
      <c r="B18">
        <v>1</v>
      </c>
      <c r="C18" t="s">
        <v>3</v>
      </c>
      <c r="D18" t="s">
        <v>349</v>
      </c>
      <c r="E18" t="s">
        <v>350</v>
      </c>
      <c r="F18" t="s">
        <v>350</v>
      </c>
      <c r="G18" t="s">
        <v>350</v>
      </c>
      <c r="H18" t="s">
        <v>3</v>
      </c>
      <c r="I18" t="s">
        <v>350</v>
      </c>
      <c r="J18" t="s">
        <v>350</v>
      </c>
      <c r="K18" t="s">
        <v>3</v>
      </c>
      <c r="L18" t="s">
        <v>3</v>
      </c>
      <c r="M18" t="s">
        <v>3</v>
      </c>
      <c r="N18" t="s">
        <v>349</v>
      </c>
      <c r="O18" t="s">
        <v>350</v>
      </c>
      <c r="P18" t="s">
        <v>3</v>
      </c>
      <c r="Q18" t="s">
        <v>3</v>
      </c>
      <c r="R18" t="s">
        <v>3</v>
      </c>
      <c r="S18" t="s">
        <v>351</v>
      </c>
      <c r="T18" t="s">
        <v>352</v>
      </c>
      <c r="U18" t="s">
        <v>353</v>
      </c>
    </row>
    <row r="19" spans="1:21" x14ac:dyDescent="0.25">
      <c r="A19">
        <v>37</v>
      </c>
      <c r="B19">
        <v>1</v>
      </c>
      <c r="C19" t="s">
        <v>3</v>
      </c>
      <c r="D19" t="s">
        <v>62</v>
      </c>
      <c r="E19" t="s">
        <v>63</v>
      </c>
      <c r="F19" t="s">
        <v>63</v>
      </c>
      <c r="G19" t="s">
        <v>63</v>
      </c>
      <c r="H19" t="s">
        <v>3</v>
      </c>
      <c r="I19" t="s">
        <v>63</v>
      </c>
      <c r="J19" t="s">
        <v>63</v>
      </c>
      <c r="K19" t="s">
        <v>3</v>
      </c>
      <c r="L19" t="s">
        <v>3</v>
      </c>
      <c r="M19" t="s">
        <v>3</v>
      </c>
      <c r="N19" t="s">
        <v>62</v>
      </c>
      <c r="O19" t="s">
        <v>63</v>
      </c>
      <c r="P19" t="s">
        <v>3</v>
      </c>
      <c r="Q19" t="s">
        <v>3</v>
      </c>
      <c r="R19" t="s">
        <v>3</v>
      </c>
      <c r="S19" t="s">
        <v>346</v>
      </c>
      <c r="T19" t="s">
        <v>347</v>
      </c>
      <c r="U19" t="s">
        <v>348</v>
      </c>
    </row>
    <row r="20" spans="1:21" x14ac:dyDescent="0.25">
      <c r="A20">
        <v>37</v>
      </c>
      <c r="B20">
        <v>1</v>
      </c>
      <c r="C20" t="s">
        <v>3</v>
      </c>
      <c r="D20" t="s">
        <v>349</v>
      </c>
      <c r="E20" t="s">
        <v>350</v>
      </c>
      <c r="F20" t="s">
        <v>350</v>
      </c>
      <c r="G20" t="s">
        <v>350</v>
      </c>
      <c r="H20" t="s">
        <v>3</v>
      </c>
      <c r="I20" t="s">
        <v>350</v>
      </c>
      <c r="J20" t="s">
        <v>350</v>
      </c>
      <c r="K20" t="s">
        <v>3</v>
      </c>
      <c r="L20" t="s">
        <v>3</v>
      </c>
      <c r="M20" t="s">
        <v>3</v>
      </c>
      <c r="N20" t="s">
        <v>349</v>
      </c>
      <c r="O20" t="s">
        <v>350</v>
      </c>
      <c r="P20" t="s">
        <v>3</v>
      </c>
      <c r="Q20" t="s">
        <v>3</v>
      </c>
      <c r="R20" t="s">
        <v>3</v>
      </c>
      <c r="S20" t="s">
        <v>351</v>
      </c>
      <c r="T20" t="s">
        <v>352</v>
      </c>
      <c r="U20" t="s">
        <v>353</v>
      </c>
    </row>
    <row r="21" spans="1:21" x14ac:dyDescent="0.25">
      <c r="A21">
        <v>38</v>
      </c>
      <c r="B21">
        <v>1</v>
      </c>
      <c r="C21" t="s">
        <v>3</v>
      </c>
      <c r="D21" t="s">
        <v>62</v>
      </c>
      <c r="E21" t="s">
        <v>63</v>
      </c>
      <c r="F21" t="s">
        <v>63</v>
      </c>
      <c r="G21" t="s">
        <v>63</v>
      </c>
      <c r="H21" t="s">
        <v>3</v>
      </c>
      <c r="I21" t="s">
        <v>63</v>
      </c>
      <c r="J21" t="s">
        <v>63</v>
      </c>
      <c r="K21" t="s">
        <v>3</v>
      </c>
      <c r="L21" t="s">
        <v>3</v>
      </c>
      <c r="M21" t="s">
        <v>3</v>
      </c>
      <c r="N21" t="s">
        <v>62</v>
      </c>
      <c r="O21" t="s">
        <v>63</v>
      </c>
      <c r="P21" t="s">
        <v>3</v>
      </c>
      <c r="Q21" t="s">
        <v>3</v>
      </c>
      <c r="R21" t="s">
        <v>3</v>
      </c>
      <c r="S21" t="s">
        <v>346</v>
      </c>
      <c r="T21" t="s">
        <v>347</v>
      </c>
      <c r="U21" t="s">
        <v>348</v>
      </c>
    </row>
    <row r="22" spans="1:21" x14ac:dyDescent="0.25">
      <c r="A22">
        <v>38</v>
      </c>
      <c r="B22">
        <v>1</v>
      </c>
      <c r="C22" t="s">
        <v>3</v>
      </c>
      <c r="D22" t="s">
        <v>349</v>
      </c>
      <c r="E22" t="s">
        <v>350</v>
      </c>
      <c r="F22" t="s">
        <v>350</v>
      </c>
      <c r="G22" t="s">
        <v>350</v>
      </c>
      <c r="H22" t="s">
        <v>3</v>
      </c>
      <c r="I22" t="s">
        <v>350</v>
      </c>
      <c r="J22" t="s">
        <v>350</v>
      </c>
      <c r="K22" t="s">
        <v>3</v>
      </c>
      <c r="L22" t="s">
        <v>3</v>
      </c>
      <c r="M22" t="s">
        <v>3</v>
      </c>
      <c r="N22" t="s">
        <v>349</v>
      </c>
      <c r="O22" t="s">
        <v>350</v>
      </c>
      <c r="P22" t="s">
        <v>3</v>
      </c>
      <c r="Q22" t="s">
        <v>3</v>
      </c>
      <c r="R22" t="s">
        <v>3</v>
      </c>
      <c r="S22" t="s">
        <v>351</v>
      </c>
      <c r="T22" t="s">
        <v>352</v>
      </c>
      <c r="U22" t="s">
        <v>353</v>
      </c>
    </row>
    <row r="23" spans="1:21" x14ac:dyDescent="0.25">
      <c r="A23">
        <v>39</v>
      </c>
      <c r="B23">
        <v>1</v>
      </c>
      <c r="C23" t="s">
        <v>3</v>
      </c>
      <c r="D23" t="s">
        <v>62</v>
      </c>
      <c r="E23" t="s">
        <v>63</v>
      </c>
      <c r="F23" t="s">
        <v>63</v>
      </c>
      <c r="G23" t="s">
        <v>63</v>
      </c>
      <c r="H23" t="s">
        <v>3</v>
      </c>
      <c r="I23" t="s">
        <v>63</v>
      </c>
      <c r="J23" t="s">
        <v>63</v>
      </c>
      <c r="K23" t="s">
        <v>3</v>
      </c>
      <c r="L23" t="s">
        <v>3</v>
      </c>
      <c r="M23" t="s">
        <v>3</v>
      </c>
      <c r="N23" t="s">
        <v>62</v>
      </c>
      <c r="O23" t="s">
        <v>63</v>
      </c>
      <c r="P23" t="s">
        <v>3</v>
      </c>
      <c r="Q23" t="s">
        <v>3</v>
      </c>
      <c r="R23" t="s">
        <v>3</v>
      </c>
      <c r="S23" t="s">
        <v>346</v>
      </c>
      <c r="T23" t="s">
        <v>347</v>
      </c>
      <c r="U23" t="s">
        <v>348</v>
      </c>
    </row>
    <row r="24" spans="1:21" x14ac:dyDescent="0.25">
      <c r="A24">
        <v>39</v>
      </c>
      <c r="B24">
        <v>1</v>
      </c>
      <c r="C24" t="s">
        <v>3</v>
      </c>
      <c r="D24" t="s">
        <v>349</v>
      </c>
      <c r="E24" t="s">
        <v>350</v>
      </c>
      <c r="F24" t="s">
        <v>350</v>
      </c>
      <c r="G24" t="s">
        <v>350</v>
      </c>
      <c r="H24" t="s">
        <v>3</v>
      </c>
      <c r="I24" t="s">
        <v>350</v>
      </c>
      <c r="J24" t="s">
        <v>350</v>
      </c>
      <c r="K24" t="s">
        <v>3</v>
      </c>
      <c r="L24" t="s">
        <v>3</v>
      </c>
      <c r="M24" t="s">
        <v>3</v>
      </c>
      <c r="N24" t="s">
        <v>349</v>
      </c>
      <c r="O24" t="s">
        <v>350</v>
      </c>
      <c r="P24" t="s">
        <v>3</v>
      </c>
      <c r="Q24" t="s">
        <v>3</v>
      </c>
      <c r="R24" t="s">
        <v>3</v>
      </c>
      <c r="S24" t="s">
        <v>351</v>
      </c>
      <c r="T24" t="s">
        <v>352</v>
      </c>
      <c r="U24" t="s">
        <v>353</v>
      </c>
    </row>
    <row r="25" spans="1:21" x14ac:dyDescent="0.25">
      <c r="A25">
        <v>40</v>
      </c>
      <c r="B25">
        <v>1</v>
      </c>
      <c r="C25" t="s">
        <v>3</v>
      </c>
      <c r="D25" t="s">
        <v>62</v>
      </c>
      <c r="E25" t="s">
        <v>63</v>
      </c>
      <c r="F25" t="s">
        <v>63</v>
      </c>
      <c r="G25" t="s">
        <v>63</v>
      </c>
      <c r="H25" t="s">
        <v>3</v>
      </c>
      <c r="I25" t="s">
        <v>63</v>
      </c>
      <c r="J25" t="s">
        <v>63</v>
      </c>
      <c r="K25" t="s">
        <v>3</v>
      </c>
      <c r="L25" t="s">
        <v>3</v>
      </c>
      <c r="M25" t="s">
        <v>3</v>
      </c>
      <c r="N25" t="s">
        <v>62</v>
      </c>
      <c r="O25" t="s">
        <v>63</v>
      </c>
      <c r="P25" t="s">
        <v>3</v>
      </c>
      <c r="Q25" t="s">
        <v>3</v>
      </c>
      <c r="R25" t="s">
        <v>3</v>
      </c>
      <c r="S25" t="s">
        <v>346</v>
      </c>
      <c r="T25" t="s">
        <v>347</v>
      </c>
      <c r="U25" t="s">
        <v>348</v>
      </c>
    </row>
    <row r="26" spans="1:21" x14ac:dyDescent="0.25">
      <c r="A26">
        <v>40</v>
      </c>
      <c r="B26">
        <v>1</v>
      </c>
      <c r="C26" t="s">
        <v>3</v>
      </c>
      <c r="D26" t="s">
        <v>349</v>
      </c>
      <c r="E26" t="s">
        <v>350</v>
      </c>
      <c r="F26" t="s">
        <v>350</v>
      </c>
      <c r="G26" t="s">
        <v>350</v>
      </c>
      <c r="H26" t="s">
        <v>3</v>
      </c>
      <c r="I26" t="s">
        <v>350</v>
      </c>
      <c r="J26" t="s">
        <v>350</v>
      </c>
      <c r="K26" t="s">
        <v>3</v>
      </c>
      <c r="L26" t="s">
        <v>3</v>
      </c>
      <c r="M26" t="s">
        <v>3</v>
      </c>
      <c r="N26" t="s">
        <v>349</v>
      </c>
      <c r="O26" t="s">
        <v>350</v>
      </c>
      <c r="P26" t="s">
        <v>3</v>
      </c>
      <c r="Q26" t="s">
        <v>3</v>
      </c>
      <c r="R26" t="s">
        <v>3</v>
      </c>
      <c r="S26" t="s">
        <v>351</v>
      </c>
      <c r="T26" t="s">
        <v>352</v>
      </c>
      <c r="U26" t="s">
        <v>353</v>
      </c>
    </row>
    <row r="27" spans="1:21" x14ac:dyDescent="0.25">
      <c r="A27">
        <v>41</v>
      </c>
      <c r="B27">
        <v>1</v>
      </c>
      <c r="C27" t="s">
        <v>3</v>
      </c>
      <c r="D27" t="s">
        <v>62</v>
      </c>
      <c r="E27" t="s">
        <v>63</v>
      </c>
      <c r="F27" t="s">
        <v>63</v>
      </c>
      <c r="G27" t="s">
        <v>63</v>
      </c>
      <c r="H27" t="s">
        <v>3</v>
      </c>
      <c r="I27" t="s">
        <v>63</v>
      </c>
      <c r="J27" t="s">
        <v>63</v>
      </c>
      <c r="K27" t="s">
        <v>3</v>
      </c>
      <c r="L27" t="s">
        <v>3</v>
      </c>
      <c r="M27" t="s">
        <v>3</v>
      </c>
      <c r="N27" t="s">
        <v>62</v>
      </c>
      <c r="O27" t="s">
        <v>63</v>
      </c>
      <c r="P27" t="s">
        <v>3</v>
      </c>
      <c r="Q27" t="s">
        <v>3</v>
      </c>
      <c r="R27" t="s">
        <v>3</v>
      </c>
      <c r="S27" t="s">
        <v>346</v>
      </c>
      <c r="T27" t="s">
        <v>347</v>
      </c>
      <c r="U27" t="s">
        <v>348</v>
      </c>
    </row>
    <row r="28" spans="1:21" x14ac:dyDescent="0.25">
      <c r="A28">
        <v>41</v>
      </c>
      <c r="B28">
        <v>1</v>
      </c>
      <c r="C28" t="s">
        <v>3</v>
      </c>
      <c r="D28" t="s">
        <v>349</v>
      </c>
      <c r="E28" t="s">
        <v>350</v>
      </c>
      <c r="F28" t="s">
        <v>350</v>
      </c>
      <c r="G28" t="s">
        <v>350</v>
      </c>
      <c r="H28" t="s">
        <v>3</v>
      </c>
      <c r="I28" t="s">
        <v>350</v>
      </c>
      <c r="J28" t="s">
        <v>350</v>
      </c>
      <c r="K28" t="s">
        <v>3</v>
      </c>
      <c r="L28" t="s">
        <v>3</v>
      </c>
      <c r="M28" t="s">
        <v>3</v>
      </c>
      <c r="N28" t="s">
        <v>349</v>
      </c>
      <c r="O28" t="s">
        <v>350</v>
      </c>
      <c r="P28" t="s">
        <v>3</v>
      </c>
      <c r="Q28" t="s">
        <v>3</v>
      </c>
      <c r="R28" t="s">
        <v>3</v>
      </c>
      <c r="S28" t="s">
        <v>351</v>
      </c>
      <c r="T28" t="s">
        <v>352</v>
      </c>
      <c r="U28" t="s">
        <v>353</v>
      </c>
    </row>
    <row r="29" spans="1:21" x14ac:dyDescent="0.25">
      <c r="A29">
        <v>42</v>
      </c>
      <c r="B29">
        <v>1</v>
      </c>
      <c r="C29" t="s">
        <v>3</v>
      </c>
      <c r="D29" t="s">
        <v>62</v>
      </c>
      <c r="E29" t="s">
        <v>63</v>
      </c>
      <c r="F29" t="s">
        <v>63</v>
      </c>
      <c r="G29" t="s">
        <v>63</v>
      </c>
      <c r="H29" t="s">
        <v>3</v>
      </c>
      <c r="I29" t="s">
        <v>63</v>
      </c>
      <c r="J29" t="s">
        <v>63</v>
      </c>
      <c r="K29" t="s">
        <v>3</v>
      </c>
      <c r="L29" t="s">
        <v>3</v>
      </c>
      <c r="M29" t="s">
        <v>3</v>
      </c>
      <c r="N29" t="s">
        <v>62</v>
      </c>
      <c r="O29" t="s">
        <v>63</v>
      </c>
      <c r="P29" t="s">
        <v>3</v>
      </c>
      <c r="Q29" t="s">
        <v>3</v>
      </c>
      <c r="R29" t="s">
        <v>3</v>
      </c>
      <c r="S29" t="s">
        <v>346</v>
      </c>
      <c r="T29" t="s">
        <v>347</v>
      </c>
      <c r="U29" t="s">
        <v>348</v>
      </c>
    </row>
    <row r="30" spans="1:21" x14ac:dyDescent="0.25">
      <c r="A30">
        <v>42</v>
      </c>
      <c r="B30">
        <v>1</v>
      </c>
      <c r="C30" t="s">
        <v>3</v>
      </c>
      <c r="D30" t="s">
        <v>349</v>
      </c>
      <c r="E30" t="s">
        <v>350</v>
      </c>
      <c r="F30" t="s">
        <v>350</v>
      </c>
      <c r="G30" t="s">
        <v>350</v>
      </c>
      <c r="H30" t="s">
        <v>3</v>
      </c>
      <c r="I30" t="s">
        <v>350</v>
      </c>
      <c r="J30" t="s">
        <v>350</v>
      </c>
      <c r="K30" t="s">
        <v>3</v>
      </c>
      <c r="L30" t="s">
        <v>3</v>
      </c>
      <c r="M30" t="s">
        <v>3</v>
      </c>
      <c r="N30" t="s">
        <v>349</v>
      </c>
      <c r="O30" t="s">
        <v>350</v>
      </c>
      <c r="P30" t="s">
        <v>3</v>
      </c>
      <c r="Q30" t="s">
        <v>3</v>
      </c>
      <c r="R30" t="s">
        <v>3</v>
      </c>
      <c r="S30" t="s">
        <v>351</v>
      </c>
      <c r="T30" t="s">
        <v>352</v>
      </c>
      <c r="U30" t="s">
        <v>353</v>
      </c>
    </row>
    <row r="31" spans="1:21" x14ac:dyDescent="0.25">
      <c r="A31">
        <v>43</v>
      </c>
      <c r="B31">
        <v>1</v>
      </c>
      <c r="C31" t="s">
        <v>3</v>
      </c>
      <c r="D31" t="s">
        <v>62</v>
      </c>
      <c r="E31" t="s">
        <v>63</v>
      </c>
      <c r="F31" t="s">
        <v>63</v>
      </c>
      <c r="G31" t="s">
        <v>63</v>
      </c>
      <c r="H31" t="s">
        <v>3</v>
      </c>
      <c r="I31" t="s">
        <v>63</v>
      </c>
      <c r="J31" t="s">
        <v>63</v>
      </c>
      <c r="K31" t="s">
        <v>3</v>
      </c>
      <c r="L31" t="s">
        <v>3</v>
      </c>
      <c r="M31" t="s">
        <v>3</v>
      </c>
      <c r="N31" t="s">
        <v>62</v>
      </c>
      <c r="O31" t="s">
        <v>63</v>
      </c>
      <c r="P31" t="s">
        <v>3</v>
      </c>
      <c r="Q31" t="s">
        <v>3</v>
      </c>
      <c r="R31" t="s">
        <v>3</v>
      </c>
      <c r="S31" t="s">
        <v>346</v>
      </c>
      <c r="T31" t="s">
        <v>347</v>
      </c>
      <c r="U31" t="s">
        <v>348</v>
      </c>
    </row>
    <row r="32" spans="1:21" x14ac:dyDescent="0.25">
      <c r="A32">
        <v>43</v>
      </c>
      <c r="B32">
        <v>1</v>
      </c>
      <c r="C32" t="s">
        <v>3</v>
      </c>
      <c r="D32" t="s">
        <v>349</v>
      </c>
      <c r="E32" t="s">
        <v>350</v>
      </c>
      <c r="F32" t="s">
        <v>350</v>
      </c>
      <c r="G32" t="s">
        <v>350</v>
      </c>
      <c r="H32" t="s">
        <v>3</v>
      </c>
      <c r="I32" t="s">
        <v>350</v>
      </c>
      <c r="J32" t="s">
        <v>350</v>
      </c>
      <c r="K32" t="s">
        <v>3</v>
      </c>
      <c r="L32" t="s">
        <v>3</v>
      </c>
      <c r="M32" t="s">
        <v>3</v>
      </c>
      <c r="N32" t="s">
        <v>349</v>
      </c>
      <c r="O32" t="s">
        <v>350</v>
      </c>
      <c r="P32" t="s">
        <v>3</v>
      </c>
      <c r="Q32" t="s">
        <v>3</v>
      </c>
      <c r="R32" t="s">
        <v>3</v>
      </c>
      <c r="S32" t="s">
        <v>351</v>
      </c>
      <c r="T32" t="s">
        <v>352</v>
      </c>
      <c r="U32" t="s">
        <v>353</v>
      </c>
    </row>
    <row r="33" spans="1:21" x14ac:dyDescent="0.25">
      <c r="A33">
        <v>44</v>
      </c>
      <c r="B33">
        <v>1</v>
      </c>
      <c r="C33" t="s">
        <v>3</v>
      </c>
      <c r="D33" t="s">
        <v>62</v>
      </c>
      <c r="E33" t="s">
        <v>63</v>
      </c>
      <c r="F33" t="s">
        <v>63</v>
      </c>
      <c r="G33" t="s">
        <v>63</v>
      </c>
      <c r="H33" t="s">
        <v>3</v>
      </c>
      <c r="I33" t="s">
        <v>63</v>
      </c>
      <c r="J33" t="s">
        <v>63</v>
      </c>
      <c r="K33" t="s">
        <v>3</v>
      </c>
      <c r="L33" t="s">
        <v>3</v>
      </c>
      <c r="M33" t="s">
        <v>3</v>
      </c>
      <c r="N33" t="s">
        <v>62</v>
      </c>
      <c r="O33" t="s">
        <v>63</v>
      </c>
      <c r="P33" t="s">
        <v>3</v>
      </c>
      <c r="Q33" t="s">
        <v>3</v>
      </c>
      <c r="R33" t="s">
        <v>3</v>
      </c>
      <c r="S33" t="s">
        <v>346</v>
      </c>
      <c r="T33" t="s">
        <v>347</v>
      </c>
      <c r="U33" t="s">
        <v>348</v>
      </c>
    </row>
    <row r="34" spans="1:21" x14ac:dyDescent="0.25">
      <c r="A34">
        <v>45</v>
      </c>
      <c r="B34">
        <v>1</v>
      </c>
      <c r="C34" t="s">
        <v>3</v>
      </c>
      <c r="D34" t="s">
        <v>62</v>
      </c>
      <c r="E34" t="s">
        <v>63</v>
      </c>
      <c r="F34" t="s">
        <v>63</v>
      </c>
      <c r="G34" t="s">
        <v>63</v>
      </c>
      <c r="H34" t="s">
        <v>3</v>
      </c>
      <c r="I34" t="s">
        <v>63</v>
      </c>
      <c r="J34" t="s">
        <v>63</v>
      </c>
      <c r="K34" t="s">
        <v>3</v>
      </c>
      <c r="L34" t="s">
        <v>3</v>
      </c>
      <c r="M34" t="s">
        <v>3</v>
      </c>
      <c r="N34" t="s">
        <v>62</v>
      </c>
      <c r="O34" t="s">
        <v>63</v>
      </c>
      <c r="P34" t="s">
        <v>3</v>
      </c>
      <c r="Q34" t="s">
        <v>3</v>
      </c>
      <c r="R34" t="s">
        <v>3</v>
      </c>
      <c r="S34" t="s">
        <v>346</v>
      </c>
      <c r="T34" t="s">
        <v>347</v>
      </c>
      <c r="U34" t="s">
        <v>348</v>
      </c>
    </row>
    <row r="35" spans="1:21" x14ac:dyDescent="0.25">
      <c r="A35">
        <v>46</v>
      </c>
      <c r="B35">
        <v>1</v>
      </c>
      <c r="C35" t="s">
        <v>3</v>
      </c>
      <c r="D35" t="s">
        <v>62</v>
      </c>
      <c r="E35" t="s">
        <v>63</v>
      </c>
      <c r="F35" t="s">
        <v>63</v>
      </c>
      <c r="G35" t="s">
        <v>63</v>
      </c>
      <c r="H35" t="s">
        <v>3</v>
      </c>
      <c r="I35" t="s">
        <v>63</v>
      </c>
      <c r="J35" t="s">
        <v>63</v>
      </c>
      <c r="K35" t="s">
        <v>3</v>
      </c>
      <c r="L35" t="s">
        <v>3</v>
      </c>
      <c r="M35" t="s">
        <v>3</v>
      </c>
      <c r="N35" t="s">
        <v>62</v>
      </c>
      <c r="O35" t="s">
        <v>63</v>
      </c>
      <c r="P35" t="s">
        <v>3</v>
      </c>
      <c r="Q35" t="s">
        <v>3</v>
      </c>
      <c r="R35" t="s">
        <v>3</v>
      </c>
      <c r="S35" t="s">
        <v>346</v>
      </c>
      <c r="T35" t="s">
        <v>347</v>
      </c>
      <c r="U35" t="s">
        <v>348</v>
      </c>
    </row>
    <row r="36" spans="1:21" x14ac:dyDescent="0.25">
      <c r="A36">
        <v>47</v>
      </c>
      <c r="B36">
        <v>1</v>
      </c>
      <c r="C36" t="s">
        <v>3</v>
      </c>
      <c r="D36" t="s">
        <v>62</v>
      </c>
      <c r="E36" t="s">
        <v>63</v>
      </c>
      <c r="F36" t="s">
        <v>63</v>
      </c>
      <c r="G36" t="s">
        <v>63</v>
      </c>
      <c r="H36" t="s">
        <v>3</v>
      </c>
      <c r="I36" t="s">
        <v>63</v>
      </c>
      <c r="J36" t="s">
        <v>63</v>
      </c>
      <c r="K36" t="s">
        <v>3</v>
      </c>
      <c r="L36" t="s">
        <v>3</v>
      </c>
      <c r="M36" t="s">
        <v>3</v>
      </c>
      <c r="N36" t="s">
        <v>62</v>
      </c>
      <c r="O36" t="s">
        <v>63</v>
      </c>
      <c r="P36" t="s">
        <v>3</v>
      </c>
      <c r="Q36" t="s">
        <v>3</v>
      </c>
      <c r="R36" t="s">
        <v>3</v>
      </c>
      <c r="S36" t="s">
        <v>346</v>
      </c>
      <c r="T36" t="s">
        <v>347</v>
      </c>
      <c r="U36" t="s">
        <v>348</v>
      </c>
    </row>
    <row r="37" spans="1:21" x14ac:dyDescent="0.25">
      <c r="A37">
        <v>48</v>
      </c>
      <c r="B37">
        <v>1</v>
      </c>
      <c r="C37" t="s">
        <v>3</v>
      </c>
      <c r="D37" t="s">
        <v>62</v>
      </c>
      <c r="E37" t="s">
        <v>63</v>
      </c>
      <c r="F37" t="s">
        <v>63</v>
      </c>
      <c r="G37" t="s">
        <v>63</v>
      </c>
      <c r="H37" t="s">
        <v>3</v>
      </c>
      <c r="I37" t="s">
        <v>63</v>
      </c>
      <c r="J37" t="s">
        <v>63</v>
      </c>
      <c r="K37" t="s">
        <v>3</v>
      </c>
      <c r="L37" t="s">
        <v>3</v>
      </c>
      <c r="M37" t="s">
        <v>3</v>
      </c>
      <c r="N37" t="s">
        <v>62</v>
      </c>
      <c r="O37" t="s">
        <v>63</v>
      </c>
      <c r="P37" t="s">
        <v>3</v>
      </c>
      <c r="Q37" t="s">
        <v>3</v>
      </c>
      <c r="R37" t="s">
        <v>3</v>
      </c>
      <c r="S37" t="s">
        <v>346</v>
      </c>
      <c r="T37" t="s">
        <v>347</v>
      </c>
      <c r="U37" t="s">
        <v>348</v>
      </c>
    </row>
    <row r="38" spans="1:21" x14ac:dyDescent="0.25">
      <c r="A38">
        <v>48</v>
      </c>
      <c r="B38">
        <v>1</v>
      </c>
      <c r="C38" t="s">
        <v>3</v>
      </c>
      <c r="D38" t="s">
        <v>349</v>
      </c>
      <c r="E38" t="s">
        <v>350</v>
      </c>
      <c r="F38" t="s">
        <v>350</v>
      </c>
      <c r="G38" t="s">
        <v>350</v>
      </c>
      <c r="H38" t="s">
        <v>3</v>
      </c>
      <c r="I38" t="s">
        <v>350</v>
      </c>
      <c r="J38" t="s">
        <v>350</v>
      </c>
      <c r="K38" t="s">
        <v>3</v>
      </c>
      <c r="L38" t="s">
        <v>3</v>
      </c>
      <c r="M38" t="s">
        <v>3</v>
      </c>
      <c r="N38" t="s">
        <v>349</v>
      </c>
      <c r="O38" t="s">
        <v>350</v>
      </c>
      <c r="P38" t="s">
        <v>3</v>
      </c>
      <c r="Q38" t="s">
        <v>3</v>
      </c>
      <c r="R38" t="s">
        <v>3</v>
      </c>
      <c r="S38" t="s">
        <v>351</v>
      </c>
      <c r="T38" t="s">
        <v>352</v>
      </c>
      <c r="U38" t="s">
        <v>353</v>
      </c>
    </row>
    <row r="39" spans="1:21" x14ac:dyDescent="0.25">
      <c r="A39">
        <v>49</v>
      </c>
      <c r="B39">
        <v>1</v>
      </c>
      <c r="C39" t="s">
        <v>3</v>
      </c>
      <c r="D39" t="s">
        <v>62</v>
      </c>
      <c r="E39" t="s">
        <v>63</v>
      </c>
      <c r="F39" t="s">
        <v>63</v>
      </c>
      <c r="G39" t="s">
        <v>63</v>
      </c>
      <c r="H39" t="s">
        <v>3</v>
      </c>
      <c r="I39" t="s">
        <v>63</v>
      </c>
      <c r="J39" t="s">
        <v>63</v>
      </c>
      <c r="K39" t="s">
        <v>3</v>
      </c>
      <c r="L39" t="s">
        <v>3</v>
      </c>
      <c r="M39" t="s">
        <v>3</v>
      </c>
      <c r="N39" t="s">
        <v>62</v>
      </c>
      <c r="O39" t="s">
        <v>63</v>
      </c>
      <c r="P39" t="s">
        <v>3</v>
      </c>
      <c r="Q39" t="s">
        <v>3</v>
      </c>
      <c r="R39" t="s">
        <v>3</v>
      </c>
      <c r="S39" t="s">
        <v>346</v>
      </c>
      <c r="T39" t="s">
        <v>347</v>
      </c>
      <c r="U39" t="s">
        <v>348</v>
      </c>
    </row>
    <row r="40" spans="1:21" x14ac:dyDescent="0.25">
      <c r="A40">
        <v>49</v>
      </c>
      <c r="B40">
        <v>1</v>
      </c>
      <c r="C40" t="s">
        <v>3</v>
      </c>
      <c r="D40" t="s">
        <v>349</v>
      </c>
      <c r="E40" t="s">
        <v>350</v>
      </c>
      <c r="F40" t="s">
        <v>350</v>
      </c>
      <c r="G40" t="s">
        <v>350</v>
      </c>
      <c r="H40" t="s">
        <v>3</v>
      </c>
      <c r="I40" t="s">
        <v>350</v>
      </c>
      <c r="J40" t="s">
        <v>350</v>
      </c>
      <c r="K40" t="s">
        <v>3</v>
      </c>
      <c r="L40" t="s">
        <v>3</v>
      </c>
      <c r="M40" t="s">
        <v>3</v>
      </c>
      <c r="N40" t="s">
        <v>349</v>
      </c>
      <c r="O40" t="s">
        <v>350</v>
      </c>
      <c r="P40" t="s">
        <v>3</v>
      </c>
      <c r="Q40" t="s">
        <v>3</v>
      </c>
      <c r="R40" t="s">
        <v>3</v>
      </c>
      <c r="S40" t="s">
        <v>351</v>
      </c>
      <c r="T40" t="s">
        <v>352</v>
      </c>
      <c r="U40" t="s">
        <v>353</v>
      </c>
    </row>
    <row r="41" spans="1:21" x14ac:dyDescent="0.25">
      <c r="A41">
        <v>50</v>
      </c>
      <c r="B41">
        <v>1</v>
      </c>
      <c r="C41" t="s">
        <v>3</v>
      </c>
      <c r="D41" t="s">
        <v>62</v>
      </c>
      <c r="E41" t="s">
        <v>63</v>
      </c>
      <c r="F41" t="s">
        <v>63</v>
      </c>
      <c r="G41" t="s">
        <v>63</v>
      </c>
      <c r="H41" t="s">
        <v>3</v>
      </c>
      <c r="I41" t="s">
        <v>63</v>
      </c>
      <c r="J41" t="s">
        <v>63</v>
      </c>
      <c r="K41" t="s">
        <v>3</v>
      </c>
      <c r="L41" t="s">
        <v>3</v>
      </c>
      <c r="M41" t="s">
        <v>3</v>
      </c>
      <c r="N41" t="s">
        <v>62</v>
      </c>
      <c r="O41" t="s">
        <v>63</v>
      </c>
      <c r="P41" t="s">
        <v>3</v>
      </c>
      <c r="Q41" t="s">
        <v>3</v>
      </c>
      <c r="R41" t="s">
        <v>3</v>
      </c>
      <c r="S41" t="s">
        <v>346</v>
      </c>
      <c r="T41" t="s">
        <v>347</v>
      </c>
      <c r="U41" t="s">
        <v>348</v>
      </c>
    </row>
    <row r="42" spans="1:21" x14ac:dyDescent="0.25">
      <c r="A42">
        <v>51</v>
      </c>
      <c r="B42">
        <v>1</v>
      </c>
      <c r="C42" t="s">
        <v>3</v>
      </c>
      <c r="D42" t="s">
        <v>62</v>
      </c>
      <c r="E42" t="s">
        <v>63</v>
      </c>
      <c r="F42" t="s">
        <v>63</v>
      </c>
      <c r="G42" t="s">
        <v>63</v>
      </c>
      <c r="H42" t="s">
        <v>3</v>
      </c>
      <c r="I42" t="s">
        <v>63</v>
      </c>
      <c r="J42" t="s">
        <v>63</v>
      </c>
      <c r="K42" t="s">
        <v>3</v>
      </c>
      <c r="L42" t="s">
        <v>3</v>
      </c>
      <c r="M42" t="s">
        <v>3</v>
      </c>
      <c r="N42" t="s">
        <v>62</v>
      </c>
      <c r="O42" t="s">
        <v>63</v>
      </c>
      <c r="P42" t="s">
        <v>3</v>
      </c>
      <c r="Q42" t="s">
        <v>3</v>
      </c>
      <c r="R42" t="s">
        <v>3</v>
      </c>
      <c r="S42" t="s">
        <v>346</v>
      </c>
      <c r="T42" t="s">
        <v>347</v>
      </c>
      <c r="U42" t="s">
        <v>348</v>
      </c>
    </row>
    <row r="43" spans="1:21" x14ac:dyDescent="0.25">
      <c r="A43">
        <v>52</v>
      </c>
      <c r="B43">
        <v>1</v>
      </c>
      <c r="C43" t="s">
        <v>3</v>
      </c>
      <c r="D43" t="s">
        <v>62</v>
      </c>
      <c r="E43" t="s">
        <v>63</v>
      </c>
      <c r="F43" t="s">
        <v>63</v>
      </c>
      <c r="G43" t="s">
        <v>63</v>
      </c>
      <c r="H43" t="s">
        <v>3</v>
      </c>
      <c r="I43" t="s">
        <v>63</v>
      </c>
      <c r="J43" t="s">
        <v>63</v>
      </c>
      <c r="K43" t="s">
        <v>3</v>
      </c>
      <c r="L43" t="s">
        <v>3</v>
      </c>
      <c r="M43" t="s">
        <v>3</v>
      </c>
      <c r="N43" t="s">
        <v>62</v>
      </c>
      <c r="O43" t="s">
        <v>63</v>
      </c>
      <c r="P43" t="s">
        <v>3</v>
      </c>
      <c r="Q43" t="s">
        <v>3</v>
      </c>
      <c r="R43" t="s">
        <v>3</v>
      </c>
      <c r="S43" t="s">
        <v>346</v>
      </c>
      <c r="T43" t="s">
        <v>347</v>
      </c>
      <c r="U43" t="s">
        <v>348</v>
      </c>
    </row>
    <row r="44" spans="1:21" x14ac:dyDescent="0.25">
      <c r="A44">
        <v>52</v>
      </c>
      <c r="B44">
        <v>1</v>
      </c>
      <c r="C44" t="s">
        <v>3</v>
      </c>
      <c r="D44" t="s">
        <v>349</v>
      </c>
      <c r="E44" t="s">
        <v>350</v>
      </c>
      <c r="F44" t="s">
        <v>350</v>
      </c>
      <c r="G44" t="s">
        <v>350</v>
      </c>
      <c r="H44" t="s">
        <v>3</v>
      </c>
      <c r="I44" t="s">
        <v>350</v>
      </c>
      <c r="J44" t="s">
        <v>350</v>
      </c>
      <c r="K44" t="s">
        <v>3</v>
      </c>
      <c r="L44" t="s">
        <v>3</v>
      </c>
      <c r="M44" t="s">
        <v>3</v>
      </c>
      <c r="N44" t="s">
        <v>349</v>
      </c>
      <c r="O44" t="s">
        <v>350</v>
      </c>
      <c r="P44" t="s">
        <v>3</v>
      </c>
      <c r="Q44" t="s">
        <v>3</v>
      </c>
      <c r="R44" t="s">
        <v>3</v>
      </c>
      <c r="S44" t="s">
        <v>351</v>
      </c>
      <c r="T44" t="s">
        <v>352</v>
      </c>
      <c r="U44" t="s">
        <v>353</v>
      </c>
    </row>
    <row r="45" spans="1:21" x14ac:dyDescent="0.25">
      <c r="A45">
        <v>53</v>
      </c>
      <c r="B45">
        <v>1</v>
      </c>
      <c r="C45" t="s">
        <v>3</v>
      </c>
      <c r="D45" t="s">
        <v>62</v>
      </c>
      <c r="E45" t="s">
        <v>63</v>
      </c>
      <c r="F45" t="s">
        <v>63</v>
      </c>
      <c r="G45" t="s">
        <v>63</v>
      </c>
      <c r="H45" t="s">
        <v>3</v>
      </c>
      <c r="I45" t="s">
        <v>63</v>
      </c>
      <c r="J45" t="s">
        <v>63</v>
      </c>
      <c r="K45" t="s">
        <v>3</v>
      </c>
      <c r="L45" t="s">
        <v>3</v>
      </c>
      <c r="M45" t="s">
        <v>3</v>
      </c>
      <c r="N45" t="s">
        <v>62</v>
      </c>
      <c r="O45" t="s">
        <v>63</v>
      </c>
      <c r="P45" t="s">
        <v>3</v>
      </c>
      <c r="Q45" t="s">
        <v>3</v>
      </c>
      <c r="R45" t="s">
        <v>3</v>
      </c>
      <c r="S45" t="s">
        <v>346</v>
      </c>
      <c r="T45" t="s">
        <v>347</v>
      </c>
      <c r="U45" t="s">
        <v>348</v>
      </c>
    </row>
    <row r="46" spans="1:21" x14ac:dyDescent="0.25">
      <c r="A46">
        <v>53</v>
      </c>
      <c r="B46">
        <v>1</v>
      </c>
      <c r="C46" t="s">
        <v>3</v>
      </c>
      <c r="D46" t="s">
        <v>349</v>
      </c>
      <c r="E46" t="s">
        <v>350</v>
      </c>
      <c r="F46" t="s">
        <v>350</v>
      </c>
      <c r="G46" t="s">
        <v>350</v>
      </c>
      <c r="H46" t="s">
        <v>3</v>
      </c>
      <c r="I46" t="s">
        <v>350</v>
      </c>
      <c r="J46" t="s">
        <v>350</v>
      </c>
      <c r="K46" t="s">
        <v>3</v>
      </c>
      <c r="L46" t="s">
        <v>3</v>
      </c>
      <c r="M46" t="s">
        <v>3</v>
      </c>
      <c r="N46" t="s">
        <v>349</v>
      </c>
      <c r="O46" t="s">
        <v>350</v>
      </c>
      <c r="P46" t="s">
        <v>3</v>
      </c>
      <c r="Q46" t="s">
        <v>3</v>
      </c>
      <c r="R46" t="s">
        <v>3</v>
      </c>
      <c r="S46" t="s">
        <v>351</v>
      </c>
      <c r="T46" t="s">
        <v>352</v>
      </c>
      <c r="U46" t="s">
        <v>353</v>
      </c>
    </row>
    <row r="47" spans="1:21" x14ac:dyDescent="0.25">
      <c r="A47">
        <v>89</v>
      </c>
      <c r="B47">
        <v>1</v>
      </c>
      <c r="C47" t="s">
        <v>3</v>
      </c>
      <c r="D47" t="s">
        <v>62</v>
      </c>
      <c r="E47" t="s">
        <v>63</v>
      </c>
      <c r="F47" t="s">
        <v>63</v>
      </c>
      <c r="G47" t="s">
        <v>63</v>
      </c>
      <c r="H47" t="s">
        <v>3</v>
      </c>
      <c r="I47" t="s">
        <v>63</v>
      </c>
      <c r="J47" t="s">
        <v>63</v>
      </c>
      <c r="K47" t="s">
        <v>3</v>
      </c>
      <c r="L47" t="s">
        <v>3</v>
      </c>
      <c r="M47" t="s">
        <v>3</v>
      </c>
      <c r="N47" t="s">
        <v>62</v>
      </c>
      <c r="O47" t="s">
        <v>63</v>
      </c>
      <c r="P47" t="s">
        <v>3</v>
      </c>
      <c r="Q47" t="s">
        <v>3</v>
      </c>
      <c r="R47" t="s">
        <v>3</v>
      </c>
      <c r="S47" t="s">
        <v>346</v>
      </c>
      <c r="T47" t="s">
        <v>347</v>
      </c>
      <c r="U47" t="s">
        <v>348</v>
      </c>
    </row>
    <row r="48" spans="1:21" x14ac:dyDescent="0.25">
      <c r="A48">
        <v>90</v>
      </c>
      <c r="B48">
        <v>1</v>
      </c>
      <c r="C48" t="s">
        <v>3</v>
      </c>
      <c r="D48" t="s">
        <v>62</v>
      </c>
      <c r="E48" t="s">
        <v>63</v>
      </c>
      <c r="F48" t="s">
        <v>63</v>
      </c>
      <c r="G48" t="s">
        <v>63</v>
      </c>
      <c r="H48" t="s">
        <v>3</v>
      </c>
      <c r="I48" t="s">
        <v>63</v>
      </c>
      <c r="J48" t="s">
        <v>63</v>
      </c>
      <c r="K48" t="s">
        <v>3</v>
      </c>
      <c r="L48" t="s">
        <v>3</v>
      </c>
      <c r="M48" t="s">
        <v>3</v>
      </c>
      <c r="N48" t="s">
        <v>62</v>
      </c>
      <c r="O48" t="s">
        <v>63</v>
      </c>
      <c r="P48" t="s">
        <v>3</v>
      </c>
      <c r="Q48" t="s">
        <v>3</v>
      </c>
      <c r="R48" t="s">
        <v>3</v>
      </c>
      <c r="S48" t="s">
        <v>346</v>
      </c>
      <c r="T48" t="s">
        <v>347</v>
      </c>
      <c r="U48" t="s">
        <v>348</v>
      </c>
    </row>
    <row r="49" spans="1:21" x14ac:dyDescent="0.25">
      <c r="A49">
        <v>93</v>
      </c>
      <c r="B49">
        <v>1</v>
      </c>
      <c r="C49" t="s">
        <v>3</v>
      </c>
      <c r="D49" t="s">
        <v>62</v>
      </c>
      <c r="E49" t="s">
        <v>63</v>
      </c>
      <c r="F49" t="s">
        <v>63</v>
      </c>
      <c r="G49" t="s">
        <v>63</v>
      </c>
      <c r="H49" t="s">
        <v>3</v>
      </c>
      <c r="I49" t="s">
        <v>63</v>
      </c>
      <c r="J49" t="s">
        <v>63</v>
      </c>
      <c r="K49" t="s">
        <v>3</v>
      </c>
      <c r="L49" t="s">
        <v>3</v>
      </c>
      <c r="M49" t="s">
        <v>3</v>
      </c>
      <c r="N49" t="s">
        <v>62</v>
      </c>
      <c r="O49" t="s">
        <v>63</v>
      </c>
      <c r="P49" t="s">
        <v>3</v>
      </c>
      <c r="Q49" t="s">
        <v>3</v>
      </c>
      <c r="R49" t="s">
        <v>3</v>
      </c>
      <c r="S49" t="s">
        <v>346</v>
      </c>
      <c r="T49" t="s">
        <v>347</v>
      </c>
      <c r="U49" t="s">
        <v>348</v>
      </c>
    </row>
    <row r="50" spans="1:21" x14ac:dyDescent="0.25">
      <c r="A50">
        <v>94</v>
      </c>
      <c r="B50">
        <v>1</v>
      </c>
      <c r="C50" t="s">
        <v>3</v>
      </c>
      <c r="D50" t="s">
        <v>62</v>
      </c>
      <c r="E50" t="s">
        <v>63</v>
      </c>
      <c r="F50" t="s">
        <v>63</v>
      </c>
      <c r="G50" t="s">
        <v>63</v>
      </c>
      <c r="H50" t="s">
        <v>3</v>
      </c>
      <c r="I50" t="s">
        <v>63</v>
      </c>
      <c r="J50" t="s">
        <v>63</v>
      </c>
      <c r="K50" t="s">
        <v>3</v>
      </c>
      <c r="L50" t="s">
        <v>3</v>
      </c>
      <c r="M50" t="s">
        <v>3</v>
      </c>
      <c r="N50" t="s">
        <v>62</v>
      </c>
      <c r="O50" t="s">
        <v>63</v>
      </c>
      <c r="P50" t="s">
        <v>3</v>
      </c>
      <c r="Q50" t="s">
        <v>3</v>
      </c>
      <c r="R50" t="s">
        <v>3</v>
      </c>
      <c r="S50" t="s">
        <v>346</v>
      </c>
      <c r="T50" t="s">
        <v>347</v>
      </c>
      <c r="U50" t="s">
        <v>348</v>
      </c>
    </row>
    <row r="51" spans="1:21" x14ac:dyDescent="0.25">
      <c r="A51">
        <v>95</v>
      </c>
      <c r="B51">
        <v>1</v>
      </c>
      <c r="C51" t="s">
        <v>3</v>
      </c>
      <c r="D51" t="s">
        <v>62</v>
      </c>
      <c r="E51" t="s">
        <v>63</v>
      </c>
      <c r="F51" t="s">
        <v>63</v>
      </c>
      <c r="G51" t="s">
        <v>63</v>
      </c>
      <c r="H51" t="s">
        <v>3</v>
      </c>
      <c r="I51" t="s">
        <v>63</v>
      </c>
      <c r="J51" t="s">
        <v>63</v>
      </c>
      <c r="K51" t="s">
        <v>3</v>
      </c>
      <c r="L51" t="s">
        <v>3</v>
      </c>
      <c r="M51" t="s">
        <v>3</v>
      </c>
      <c r="N51" t="s">
        <v>62</v>
      </c>
      <c r="O51" t="s">
        <v>63</v>
      </c>
      <c r="P51" t="s">
        <v>3</v>
      </c>
      <c r="Q51" t="s">
        <v>3</v>
      </c>
      <c r="R51" t="s">
        <v>3</v>
      </c>
      <c r="S51" t="s">
        <v>346</v>
      </c>
      <c r="T51" t="s">
        <v>347</v>
      </c>
      <c r="U51" t="s">
        <v>348</v>
      </c>
    </row>
    <row r="52" spans="1:21" x14ac:dyDescent="0.25">
      <c r="A52">
        <v>96</v>
      </c>
      <c r="B52">
        <v>1</v>
      </c>
      <c r="C52" t="s">
        <v>3</v>
      </c>
      <c r="D52" t="s">
        <v>62</v>
      </c>
      <c r="E52" t="s">
        <v>63</v>
      </c>
      <c r="F52" t="s">
        <v>63</v>
      </c>
      <c r="G52" t="s">
        <v>63</v>
      </c>
      <c r="H52" t="s">
        <v>3</v>
      </c>
      <c r="I52" t="s">
        <v>63</v>
      </c>
      <c r="J52" t="s">
        <v>63</v>
      </c>
      <c r="K52" t="s">
        <v>3</v>
      </c>
      <c r="L52" t="s">
        <v>3</v>
      </c>
      <c r="M52" t="s">
        <v>3</v>
      </c>
      <c r="N52" t="s">
        <v>62</v>
      </c>
      <c r="O52" t="s">
        <v>63</v>
      </c>
      <c r="P52" t="s">
        <v>3</v>
      </c>
      <c r="Q52" t="s">
        <v>3</v>
      </c>
      <c r="R52" t="s">
        <v>3</v>
      </c>
      <c r="S52" t="s">
        <v>346</v>
      </c>
      <c r="T52" t="s">
        <v>347</v>
      </c>
      <c r="U52" t="s">
        <v>348</v>
      </c>
    </row>
    <row r="53" spans="1:21" x14ac:dyDescent="0.25">
      <c r="A53">
        <v>99</v>
      </c>
      <c r="B53">
        <v>1</v>
      </c>
      <c r="C53" t="s">
        <v>3</v>
      </c>
      <c r="D53" t="s">
        <v>62</v>
      </c>
      <c r="E53" t="s">
        <v>63</v>
      </c>
      <c r="F53" t="s">
        <v>63</v>
      </c>
      <c r="G53" t="s">
        <v>63</v>
      </c>
      <c r="H53" t="s">
        <v>3</v>
      </c>
      <c r="I53" t="s">
        <v>63</v>
      </c>
      <c r="J53" t="s">
        <v>63</v>
      </c>
      <c r="K53" t="s">
        <v>3</v>
      </c>
      <c r="L53" t="s">
        <v>3</v>
      </c>
      <c r="M53" t="s">
        <v>3</v>
      </c>
      <c r="N53" t="s">
        <v>62</v>
      </c>
      <c r="O53" t="s">
        <v>63</v>
      </c>
      <c r="P53" t="s">
        <v>3</v>
      </c>
      <c r="Q53" t="s">
        <v>3</v>
      </c>
      <c r="R53" t="s">
        <v>3</v>
      </c>
      <c r="S53" t="s">
        <v>346</v>
      </c>
      <c r="T53" t="s">
        <v>347</v>
      </c>
      <c r="U53" t="s">
        <v>348</v>
      </c>
    </row>
    <row r="54" spans="1:21" x14ac:dyDescent="0.25">
      <c r="A54">
        <v>100</v>
      </c>
      <c r="B54">
        <v>1</v>
      </c>
      <c r="C54" t="s">
        <v>3</v>
      </c>
      <c r="D54" t="s">
        <v>62</v>
      </c>
      <c r="E54" t="s">
        <v>63</v>
      </c>
      <c r="F54" t="s">
        <v>63</v>
      </c>
      <c r="G54" t="s">
        <v>63</v>
      </c>
      <c r="H54" t="s">
        <v>3</v>
      </c>
      <c r="I54" t="s">
        <v>63</v>
      </c>
      <c r="J54" t="s">
        <v>63</v>
      </c>
      <c r="K54" t="s">
        <v>3</v>
      </c>
      <c r="L54" t="s">
        <v>3</v>
      </c>
      <c r="M54" t="s">
        <v>3</v>
      </c>
      <c r="N54" t="s">
        <v>62</v>
      </c>
      <c r="O54" t="s">
        <v>63</v>
      </c>
      <c r="P54" t="s">
        <v>3</v>
      </c>
      <c r="Q54" t="s">
        <v>3</v>
      </c>
      <c r="R54" t="s">
        <v>3</v>
      </c>
      <c r="S54" t="s">
        <v>346</v>
      </c>
      <c r="T54" t="s">
        <v>347</v>
      </c>
      <c r="U54" t="s">
        <v>348</v>
      </c>
    </row>
    <row r="55" spans="1:21" x14ac:dyDescent="0.25">
      <c r="A55">
        <v>105</v>
      </c>
      <c r="B55">
        <v>1</v>
      </c>
      <c r="C55" t="s">
        <v>3</v>
      </c>
      <c r="D55" t="s">
        <v>62</v>
      </c>
      <c r="E55" t="s">
        <v>63</v>
      </c>
      <c r="F55" t="s">
        <v>63</v>
      </c>
      <c r="G55" t="s">
        <v>63</v>
      </c>
      <c r="H55" t="s">
        <v>3</v>
      </c>
      <c r="I55" t="s">
        <v>63</v>
      </c>
      <c r="J55" t="s">
        <v>63</v>
      </c>
      <c r="K55" t="s">
        <v>3</v>
      </c>
      <c r="L55" t="s">
        <v>3</v>
      </c>
      <c r="M55" t="s">
        <v>3</v>
      </c>
      <c r="N55" t="s">
        <v>62</v>
      </c>
      <c r="O55" t="s">
        <v>63</v>
      </c>
      <c r="P55" t="s">
        <v>3</v>
      </c>
      <c r="Q55" t="s">
        <v>3</v>
      </c>
      <c r="R55" t="s">
        <v>3</v>
      </c>
      <c r="S55" t="s">
        <v>346</v>
      </c>
      <c r="T55" t="s">
        <v>347</v>
      </c>
      <c r="U55" t="s">
        <v>348</v>
      </c>
    </row>
    <row r="56" spans="1:21" x14ac:dyDescent="0.25">
      <c r="A56">
        <v>106</v>
      </c>
      <c r="B56">
        <v>1</v>
      </c>
      <c r="C56" t="s">
        <v>3</v>
      </c>
      <c r="D56" t="s">
        <v>62</v>
      </c>
      <c r="E56" t="s">
        <v>63</v>
      </c>
      <c r="F56" t="s">
        <v>63</v>
      </c>
      <c r="G56" t="s">
        <v>63</v>
      </c>
      <c r="H56" t="s">
        <v>3</v>
      </c>
      <c r="I56" t="s">
        <v>63</v>
      </c>
      <c r="J56" t="s">
        <v>63</v>
      </c>
      <c r="K56" t="s">
        <v>3</v>
      </c>
      <c r="L56" t="s">
        <v>3</v>
      </c>
      <c r="M56" t="s">
        <v>3</v>
      </c>
      <c r="N56" t="s">
        <v>62</v>
      </c>
      <c r="O56" t="s">
        <v>63</v>
      </c>
      <c r="P56" t="s">
        <v>3</v>
      </c>
      <c r="Q56" t="s">
        <v>3</v>
      </c>
      <c r="R56" t="s">
        <v>3</v>
      </c>
      <c r="S56" t="s">
        <v>346</v>
      </c>
      <c r="T56" t="s">
        <v>347</v>
      </c>
      <c r="U56" t="s">
        <v>348</v>
      </c>
    </row>
    <row r="57" spans="1:21" x14ac:dyDescent="0.25">
      <c r="A57">
        <v>109</v>
      </c>
      <c r="B57">
        <v>1</v>
      </c>
      <c r="C57" t="s">
        <v>3</v>
      </c>
      <c r="D57" t="s">
        <v>62</v>
      </c>
      <c r="E57" t="s">
        <v>63</v>
      </c>
      <c r="F57" t="s">
        <v>63</v>
      </c>
      <c r="G57" t="s">
        <v>63</v>
      </c>
      <c r="H57" t="s">
        <v>3</v>
      </c>
      <c r="I57" t="s">
        <v>63</v>
      </c>
      <c r="J57" t="s">
        <v>63</v>
      </c>
      <c r="K57" t="s">
        <v>3</v>
      </c>
      <c r="L57" t="s">
        <v>3</v>
      </c>
      <c r="M57" t="s">
        <v>3</v>
      </c>
      <c r="N57" t="s">
        <v>62</v>
      </c>
      <c r="O57" t="s">
        <v>63</v>
      </c>
      <c r="P57" t="s">
        <v>3</v>
      </c>
      <c r="Q57" t="s">
        <v>3</v>
      </c>
      <c r="R57" t="s">
        <v>3</v>
      </c>
      <c r="S57" t="s">
        <v>346</v>
      </c>
      <c r="T57" t="s">
        <v>347</v>
      </c>
      <c r="U57" t="s">
        <v>348</v>
      </c>
    </row>
    <row r="58" spans="1:21" x14ac:dyDescent="0.25">
      <c r="A58">
        <v>110</v>
      </c>
      <c r="B58">
        <v>1</v>
      </c>
      <c r="C58" t="s">
        <v>3</v>
      </c>
      <c r="D58" t="s">
        <v>62</v>
      </c>
      <c r="E58" t="s">
        <v>63</v>
      </c>
      <c r="F58" t="s">
        <v>63</v>
      </c>
      <c r="G58" t="s">
        <v>63</v>
      </c>
      <c r="H58" t="s">
        <v>3</v>
      </c>
      <c r="I58" t="s">
        <v>63</v>
      </c>
      <c r="J58" t="s">
        <v>63</v>
      </c>
      <c r="K58" t="s">
        <v>3</v>
      </c>
      <c r="L58" t="s">
        <v>3</v>
      </c>
      <c r="M58" t="s">
        <v>3</v>
      </c>
      <c r="N58" t="s">
        <v>62</v>
      </c>
      <c r="O58" t="s">
        <v>63</v>
      </c>
      <c r="P58" t="s">
        <v>3</v>
      </c>
      <c r="Q58" t="s">
        <v>3</v>
      </c>
      <c r="R58" t="s">
        <v>3</v>
      </c>
      <c r="S58" t="s">
        <v>346</v>
      </c>
      <c r="T58" t="s">
        <v>347</v>
      </c>
      <c r="U58" t="s">
        <v>348</v>
      </c>
    </row>
    <row r="59" spans="1:21" x14ac:dyDescent="0.25">
      <c r="A59">
        <v>113</v>
      </c>
      <c r="B59">
        <v>1</v>
      </c>
      <c r="C59" t="s">
        <v>3</v>
      </c>
      <c r="D59" t="s">
        <v>62</v>
      </c>
      <c r="E59" t="s">
        <v>63</v>
      </c>
      <c r="F59" t="s">
        <v>63</v>
      </c>
      <c r="G59" t="s">
        <v>63</v>
      </c>
      <c r="H59" t="s">
        <v>3</v>
      </c>
      <c r="I59" t="s">
        <v>63</v>
      </c>
      <c r="J59" t="s">
        <v>63</v>
      </c>
      <c r="K59" t="s">
        <v>3</v>
      </c>
      <c r="L59" t="s">
        <v>3</v>
      </c>
      <c r="M59" t="s">
        <v>3</v>
      </c>
      <c r="N59" t="s">
        <v>62</v>
      </c>
      <c r="O59" t="s">
        <v>63</v>
      </c>
      <c r="P59" t="s">
        <v>3</v>
      </c>
      <c r="Q59" t="s">
        <v>3</v>
      </c>
      <c r="R59" t="s">
        <v>3</v>
      </c>
      <c r="S59" t="s">
        <v>346</v>
      </c>
      <c r="T59" t="s">
        <v>347</v>
      </c>
      <c r="U59" t="s">
        <v>348</v>
      </c>
    </row>
    <row r="60" spans="1:21" x14ac:dyDescent="0.25">
      <c r="A60">
        <v>114</v>
      </c>
      <c r="B60">
        <v>1</v>
      </c>
      <c r="C60" t="s">
        <v>3</v>
      </c>
      <c r="D60" t="s">
        <v>62</v>
      </c>
      <c r="E60" t="s">
        <v>63</v>
      </c>
      <c r="F60" t="s">
        <v>63</v>
      </c>
      <c r="G60" t="s">
        <v>63</v>
      </c>
      <c r="H60" t="s">
        <v>3</v>
      </c>
      <c r="I60" t="s">
        <v>63</v>
      </c>
      <c r="J60" t="s">
        <v>63</v>
      </c>
      <c r="K60" t="s">
        <v>3</v>
      </c>
      <c r="L60" t="s">
        <v>3</v>
      </c>
      <c r="M60" t="s">
        <v>3</v>
      </c>
      <c r="N60" t="s">
        <v>62</v>
      </c>
      <c r="O60" t="s">
        <v>63</v>
      </c>
      <c r="P60" t="s">
        <v>3</v>
      </c>
      <c r="Q60" t="s">
        <v>3</v>
      </c>
      <c r="R60" t="s">
        <v>3</v>
      </c>
      <c r="S60" t="s">
        <v>346</v>
      </c>
      <c r="T60" t="s">
        <v>347</v>
      </c>
      <c r="U60" t="s">
        <v>348</v>
      </c>
    </row>
    <row r="61" spans="1:21" x14ac:dyDescent="0.25">
      <c r="A61">
        <v>117</v>
      </c>
      <c r="B61">
        <v>1</v>
      </c>
      <c r="C61" t="s">
        <v>3</v>
      </c>
      <c r="D61" t="s">
        <v>62</v>
      </c>
      <c r="E61" t="s">
        <v>63</v>
      </c>
      <c r="F61" t="s">
        <v>63</v>
      </c>
      <c r="G61" t="s">
        <v>63</v>
      </c>
      <c r="H61" t="s">
        <v>3</v>
      </c>
      <c r="I61" t="s">
        <v>63</v>
      </c>
      <c r="J61" t="s">
        <v>63</v>
      </c>
      <c r="K61" t="s">
        <v>3</v>
      </c>
      <c r="L61" t="s">
        <v>3</v>
      </c>
      <c r="M61" t="s">
        <v>3</v>
      </c>
      <c r="N61" t="s">
        <v>62</v>
      </c>
      <c r="O61" t="s">
        <v>63</v>
      </c>
      <c r="P61" t="s">
        <v>3</v>
      </c>
      <c r="Q61" t="s">
        <v>3</v>
      </c>
      <c r="R61" t="s">
        <v>3</v>
      </c>
      <c r="S61" t="s">
        <v>346</v>
      </c>
      <c r="T61" t="s">
        <v>347</v>
      </c>
      <c r="U61" t="s">
        <v>348</v>
      </c>
    </row>
    <row r="62" spans="1:21" x14ac:dyDescent="0.25">
      <c r="A62">
        <v>118</v>
      </c>
      <c r="B62">
        <v>1</v>
      </c>
      <c r="C62" t="s">
        <v>3</v>
      </c>
      <c r="D62" t="s">
        <v>62</v>
      </c>
      <c r="E62" t="s">
        <v>63</v>
      </c>
      <c r="F62" t="s">
        <v>63</v>
      </c>
      <c r="G62" t="s">
        <v>63</v>
      </c>
      <c r="H62" t="s">
        <v>3</v>
      </c>
      <c r="I62" t="s">
        <v>63</v>
      </c>
      <c r="J62" t="s">
        <v>63</v>
      </c>
      <c r="K62" t="s">
        <v>3</v>
      </c>
      <c r="L62" t="s">
        <v>3</v>
      </c>
      <c r="M62" t="s">
        <v>3</v>
      </c>
      <c r="N62" t="s">
        <v>62</v>
      </c>
      <c r="O62" t="s">
        <v>63</v>
      </c>
      <c r="P62" t="s">
        <v>3</v>
      </c>
      <c r="Q62" t="s">
        <v>3</v>
      </c>
      <c r="R62" t="s">
        <v>3</v>
      </c>
      <c r="S62" t="s">
        <v>346</v>
      </c>
      <c r="T62" t="s">
        <v>347</v>
      </c>
      <c r="U62" t="s">
        <v>348</v>
      </c>
    </row>
    <row r="63" spans="1:21" x14ac:dyDescent="0.25">
      <c r="A63">
        <v>121</v>
      </c>
      <c r="B63">
        <v>1</v>
      </c>
      <c r="C63" t="s">
        <v>3</v>
      </c>
      <c r="D63" t="s">
        <v>62</v>
      </c>
      <c r="E63" t="s">
        <v>63</v>
      </c>
      <c r="F63" t="s">
        <v>63</v>
      </c>
      <c r="G63" t="s">
        <v>63</v>
      </c>
      <c r="H63" t="s">
        <v>3</v>
      </c>
      <c r="I63" t="s">
        <v>63</v>
      </c>
      <c r="J63" t="s">
        <v>63</v>
      </c>
      <c r="K63" t="s">
        <v>3</v>
      </c>
      <c r="L63" t="s">
        <v>3</v>
      </c>
      <c r="M63" t="s">
        <v>3</v>
      </c>
      <c r="N63" t="s">
        <v>62</v>
      </c>
      <c r="O63" t="s">
        <v>63</v>
      </c>
      <c r="P63" t="s">
        <v>3</v>
      </c>
      <c r="Q63" t="s">
        <v>3</v>
      </c>
      <c r="R63" t="s">
        <v>3</v>
      </c>
      <c r="S63" t="s">
        <v>346</v>
      </c>
      <c r="T63" t="s">
        <v>347</v>
      </c>
      <c r="U63" t="s">
        <v>348</v>
      </c>
    </row>
    <row r="64" spans="1:21" x14ac:dyDescent="0.25">
      <c r="A64">
        <v>122</v>
      </c>
      <c r="B64">
        <v>1</v>
      </c>
      <c r="C64" t="s">
        <v>3</v>
      </c>
      <c r="D64" t="s">
        <v>62</v>
      </c>
      <c r="E64" t="s">
        <v>63</v>
      </c>
      <c r="F64" t="s">
        <v>63</v>
      </c>
      <c r="G64" t="s">
        <v>63</v>
      </c>
      <c r="H64" t="s">
        <v>3</v>
      </c>
      <c r="I64" t="s">
        <v>63</v>
      </c>
      <c r="J64" t="s">
        <v>63</v>
      </c>
      <c r="K64" t="s">
        <v>3</v>
      </c>
      <c r="L64" t="s">
        <v>3</v>
      </c>
      <c r="M64" t="s">
        <v>3</v>
      </c>
      <c r="N64" t="s">
        <v>62</v>
      </c>
      <c r="O64" t="s">
        <v>63</v>
      </c>
      <c r="P64" t="s">
        <v>3</v>
      </c>
      <c r="Q64" t="s">
        <v>3</v>
      </c>
      <c r="R64" t="s">
        <v>3</v>
      </c>
      <c r="S64" t="s">
        <v>346</v>
      </c>
      <c r="T64" t="s">
        <v>347</v>
      </c>
      <c r="U64" t="s">
        <v>348</v>
      </c>
    </row>
    <row r="65" spans="1:21" x14ac:dyDescent="0.25">
      <c r="A65">
        <v>160</v>
      </c>
      <c r="B65">
        <v>1</v>
      </c>
      <c r="C65" t="s">
        <v>3</v>
      </c>
      <c r="D65" t="s">
        <v>62</v>
      </c>
      <c r="E65" t="s">
        <v>63</v>
      </c>
      <c r="F65" t="s">
        <v>63</v>
      </c>
      <c r="G65" t="s">
        <v>63</v>
      </c>
      <c r="H65" t="s">
        <v>3</v>
      </c>
      <c r="I65" t="s">
        <v>63</v>
      </c>
      <c r="J65" t="s">
        <v>63</v>
      </c>
      <c r="K65" t="s">
        <v>3</v>
      </c>
      <c r="L65" t="s">
        <v>3</v>
      </c>
      <c r="M65" t="s">
        <v>3</v>
      </c>
      <c r="N65" t="s">
        <v>62</v>
      </c>
      <c r="O65" t="s">
        <v>63</v>
      </c>
      <c r="P65" t="s">
        <v>3</v>
      </c>
      <c r="Q65" t="s">
        <v>3</v>
      </c>
      <c r="R65" t="s">
        <v>3</v>
      </c>
      <c r="S65" t="s">
        <v>346</v>
      </c>
      <c r="T65" t="s">
        <v>347</v>
      </c>
      <c r="U65" t="s">
        <v>348</v>
      </c>
    </row>
    <row r="66" spans="1:21" x14ac:dyDescent="0.25">
      <c r="A66">
        <v>161</v>
      </c>
      <c r="B66">
        <v>1</v>
      </c>
      <c r="C66" t="s">
        <v>3</v>
      </c>
      <c r="D66" t="s">
        <v>62</v>
      </c>
      <c r="E66" t="s">
        <v>63</v>
      </c>
      <c r="F66" t="s">
        <v>63</v>
      </c>
      <c r="G66" t="s">
        <v>63</v>
      </c>
      <c r="H66" t="s">
        <v>3</v>
      </c>
      <c r="I66" t="s">
        <v>63</v>
      </c>
      <c r="J66" t="s">
        <v>63</v>
      </c>
      <c r="K66" t="s">
        <v>3</v>
      </c>
      <c r="L66" t="s">
        <v>3</v>
      </c>
      <c r="M66" t="s">
        <v>3</v>
      </c>
      <c r="N66" t="s">
        <v>62</v>
      </c>
      <c r="O66" t="s">
        <v>63</v>
      </c>
      <c r="P66" t="s">
        <v>3</v>
      </c>
      <c r="Q66" t="s">
        <v>3</v>
      </c>
      <c r="R66" t="s">
        <v>3</v>
      </c>
      <c r="S66" t="s">
        <v>346</v>
      </c>
      <c r="T66" t="s">
        <v>347</v>
      </c>
      <c r="U66" t="s">
        <v>348</v>
      </c>
    </row>
    <row r="67" spans="1:21" x14ac:dyDescent="0.25">
      <c r="A67">
        <v>170</v>
      </c>
      <c r="B67">
        <v>1</v>
      </c>
      <c r="C67" t="s">
        <v>3</v>
      </c>
      <c r="D67" t="s">
        <v>62</v>
      </c>
      <c r="E67" t="s">
        <v>63</v>
      </c>
      <c r="F67" t="s">
        <v>63</v>
      </c>
      <c r="G67" t="s">
        <v>63</v>
      </c>
      <c r="H67" t="s">
        <v>3</v>
      </c>
      <c r="I67" t="s">
        <v>63</v>
      </c>
      <c r="J67" t="s">
        <v>63</v>
      </c>
      <c r="K67" t="s">
        <v>3</v>
      </c>
      <c r="L67" t="s">
        <v>3</v>
      </c>
      <c r="M67" t="s">
        <v>3</v>
      </c>
      <c r="N67" t="s">
        <v>62</v>
      </c>
      <c r="O67" t="s">
        <v>63</v>
      </c>
      <c r="P67" t="s">
        <v>3</v>
      </c>
      <c r="Q67" t="s">
        <v>3</v>
      </c>
      <c r="R67" t="s">
        <v>3</v>
      </c>
      <c r="S67" t="s">
        <v>346</v>
      </c>
      <c r="T67" t="s">
        <v>347</v>
      </c>
      <c r="U67" t="s">
        <v>348</v>
      </c>
    </row>
    <row r="68" spans="1:21" x14ac:dyDescent="0.25">
      <c r="A68">
        <v>171</v>
      </c>
      <c r="B68">
        <v>1</v>
      </c>
      <c r="C68" t="s">
        <v>3</v>
      </c>
      <c r="D68" t="s">
        <v>62</v>
      </c>
      <c r="E68" t="s">
        <v>63</v>
      </c>
      <c r="F68" t="s">
        <v>63</v>
      </c>
      <c r="G68" t="s">
        <v>63</v>
      </c>
      <c r="H68" t="s">
        <v>3</v>
      </c>
      <c r="I68" t="s">
        <v>63</v>
      </c>
      <c r="J68" t="s">
        <v>63</v>
      </c>
      <c r="K68" t="s">
        <v>3</v>
      </c>
      <c r="L68" t="s">
        <v>3</v>
      </c>
      <c r="M68" t="s">
        <v>3</v>
      </c>
      <c r="N68" t="s">
        <v>62</v>
      </c>
      <c r="O68" t="s">
        <v>63</v>
      </c>
      <c r="P68" t="s">
        <v>3</v>
      </c>
      <c r="Q68" t="s">
        <v>3</v>
      </c>
      <c r="R68" t="s">
        <v>3</v>
      </c>
      <c r="S68" t="s">
        <v>346</v>
      </c>
      <c r="T68" t="s">
        <v>347</v>
      </c>
      <c r="U68" t="s">
        <v>348</v>
      </c>
    </row>
    <row r="69" spans="1:21" x14ac:dyDescent="0.25">
      <c r="A69">
        <v>211</v>
      </c>
      <c r="B69">
        <v>1</v>
      </c>
      <c r="C69" t="s">
        <v>3</v>
      </c>
      <c r="D69" t="s">
        <v>62</v>
      </c>
      <c r="E69" t="s">
        <v>63</v>
      </c>
      <c r="F69" t="s">
        <v>63</v>
      </c>
      <c r="G69" t="s">
        <v>63</v>
      </c>
      <c r="H69" t="s">
        <v>3</v>
      </c>
      <c r="I69" t="s">
        <v>63</v>
      </c>
      <c r="J69" t="s">
        <v>63</v>
      </c>
      <c r="K69" t="s">
        <v>3</v>
      </c>
      <c r="L69" t="s">
        <v>3</v>
      </c>
      <c r="M69" t="s">
        <v>3</v>
      </c>
      <c r="N69" t="s">
        <v>62</v>
      </c>
      <c r="O69" t="s">
        <v>63</v>
      </c>
      <c r="P69" t="s">
        <v>3</v>
      </c>
      <c r="Q69" t="s">
        <v>3</v>
      </c>
      <c r="R69" t="s">
        <v>3</v>
      </c>
      <c r="S69" t="s">
        <v>346</v>
      </c>
      <c r="T69" t="s">
        <v>347</v>
      </c>
      <c r="U69" t="s">
        <v>348</v>
      </c>
    </row>
    <row r="70" spans="1:21" x14ac:dyDescent="0.25">
      <c r="A70">
        <v>212</v>
      </c>
      <c r="B70">
        <v>1</v>
      </c>
      <c r="C70" t="s">
        <v>3</v>
      </c>
      <c r="D70" t="s">
        <v>62</v>
      </c>
      <c r="E70" t="s">
        <v>63</v>
      </c>
      <c r="F70" t="s">
        <v>63</v>
      </c>
      <c r="G70" t="s">
        <v>63</v>
      </c>
      <c r="H70" t="s">
        <v>3</v>
      </c>
      <c r="I70" t="s">
        <v>63</v>
      </c>
      <c r="J70" t="s">
        <v>63</v>
      </c>
      <c r="K70" t="s">
        <v>3</v>
      </c>
      <c r="L70" t="s">
        <v>3</v>
      </c>
      <c r="M70" t="s">
        <v>3</v>
      </c>
      <c r="N70" t="s">
        <v>62</v>
      </c>
      <c r="O70" t="s">
        <v>63</v>
      </c>
      <c r="P70" t="s">
        <v>3</v>
      </c>
      <c r="Q70" t="s">
        <v>3</v>
      </c>
      <c r="R70" t="s">
        <v>3</v>
      </c>
      <c r="S70" t="s">
        <v>346</v>
      </c>
      <c r="T70" t="s">
        <v>347</v>
      </c>
      <c r="U70" t="s">
        <v>348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50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03" x14ac:dyDescent="0.25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5</v>
      </c>
    </row>
    <row r="12" spans="1:103" x14ac:dyDescent="0.25">
      <c r="F12" t="str">
        <f>Source!F12</f>
        <v>02-01-15</v>
      </c>
      <c r="G12" t="str">
        <f>Source!G12</f>
        <v>02-01-15 СКУД 16.07.26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  <row r="14" spans="1:103" x14ac:dyDescent="0.25">
      <c r="D14" t="s">
        <v>5</v>
      </c>
      <c r="E14" t="s">
        <v>16</v>
      </c>
      <c r="AD14">
        <v>3</v>
      </c>
    </row>
    <row r="15" spans="1:103" x14ac:dyDescent="0.25">
      <c r="B15" t="s">
        <v>354</v>
      </c>
      <c r="C15">
        <v>1</v>
      </c>
      <c r="D15" t="s">
        <v>142</v>
      </c>
      <c r="E15" t="s">
        <v>3</v>
      </c>
      <c r="F15" t="s">
        <v>355</v>
      </c>
      <c r="G15" t="s">
        <v>3</v>
      </c>
      <c r="H15">
        <v>173880</v>
      </c>
      <c r="I15">
        <v>173880</v>
      </c>
      <c r="J15">
        <v>0</v>
      </c>
      <c r="K15">
        <v>173880</v>
      </c>
      <c r="L15">
        <v>0</v>
      </c>
      <c r="M15">
        <v>0</v>
      </c>
      <c r="N15">
        <v>0</v>
      </c>
      <c r="O15" t="s">
        <v>356</v>
      </c>
      <c r="P15" t="s">
        <v>3</v>
      </c>
      <c r="Q15" t="s">
        <v>357</v>
      </c>
      <c r="R15" t="s">
        <v>3</v>
      </c>
      <c r="S15" t="s">
        <v>3</v>
      </c>
      <c r="T15" t="s">
        <v>3</v>
      </c>
      <c r="U15">
        <v>0</v>
      </c>
      <c r="V15">
        <v>0</v>
      </c>
      <c r="W15">
        <v>0</v>
      </c>
      <c r="X15">
        <v>0</v>
      </c>
      <c r="Y15" t="s">
        <v>3</v>
      </c>
      <c r="Z15" t="s">
        <v>3</v>
      </c>
      <c r="AA15">
        <v>0</v>
      </c>
      <c r="AB15" t="s">
        <v>3</v>
      </c>
      <c r="AC15">
        <v>173880</v>
      </c>
      <c r="AD15">
        <v>1</v>
      </c>
      <c r="AE15">
        <v>0</v>
      </c>
      <c r="AF15">
        <v>3</v>
      </c>
      <c r="AG15">
        <v>3</v>
      </c>
      <c r="AH15" t="s">
        <v>144</v>
      </c>
      <c r="AI15" t="s">
        <v>143</v>
      </c>
      <c r="AJ15">
        <v>46134.417222222219</v>
      </c>
      <c r="AK15">
        <v>55936235</v>
      </c>
      <c r="AL15">
        <v>0</v>
      </c>
      <c r="AM15">
        <v>0</v>
      </c>
      <c r="AN15">
        <v>0</v>
      </c>
      <c r="AO15">
        <v>46073</v>
      </c>
      <c r="AP15">
        <v>0</v>
      </c>
      <c r="AQ15">
        <v>1</v>
      </c>
      <c r="AR15">
        <v>0</v>
      </c>
      <c r="AS15" t="s">
        <v>358</v>
      </c>
      <c r="AT15">
        <v>1</v>
      </c>
      <c r="AU15">
        <v>20</v>
      </c>
    </row>
    <row r="16" spans="1:103" x14ac:dyDescent="0.25">
      <c r="B16" t="s">
        <v>359</v>
      </c>
      <c r="C16">
        <v>0</v>
      </c>
      <c r="D16" t="s">
        <v>142</v>
      </c>
      <c r="E16" t="s">
        <v>3</v>
      </c>
      <c r="F16" t="s">
        <v>355</v>
      </c>
      <c r="G16" t="s">
        <v>3</v>
      </c>
      <c r="H16">
        <v>305000</v>
      </c>
      <c r="I16">
        <v>305000</v>
      </c>
      <c r="J16">
        <v>0</v>
      </c>
      <c r="K16">
        <v>305000</v>
      </c>
      <c r="L16">
        <v>0</v>
      </c>
      <c r="M16">
        <v>0</v>
      </c>
      <c r="N16">
        <v>0</v>
      </c>
      <c r="O16" t="s">
        <v>360</v>
      </c>
      <c r="P16" t="s">
        <v>3</v>
      </c>
      <c r="Q16" t="s">
        <v>361</v>
      </c>
      <c r="R16" t="s">
        <v>3</v>
      </c>
      <c r="S16" t="s">
        <v>3</v>
      </c>
      <c r="T16" t="s">
        <v>3</v>
      </c>
      <c r="U16">
        <v>0</v>
      </c>
      <c r="V16">
        <v>0</v>
      </c>
      <c r="W16">
        <v>0</v>
      </c>
      <c r="X16">
        <v>0</v>
      </c>
      <c r="Y16" t="s">
        <v>3</v>
      </c>
      <c r="Z16" t="s">
        <v>3</v>
      </c>
      <c r="AA16">
        <v>0</v>
      </c>
      <c r="AB16" t="s">
        <v>3</v>
      </c>
      <c r="AC16">
        <v>305000</v>
      </c>
      <c r="AD16">
        <v>1</v>
      </c>
      <c r="AE16">
        <v>0</v>
      </c>
      <c r="AF16">
        <v>3</v>
      </c>
      <c r="AG16">
        <v>3</v>
      </c>
      <c r="AH16" t="s">
        <v>144</v>
      </c>
      <c r="AI16" t="s">
        <v>143</v>
      </c>
      <c r="AJ16">
        <v>46134.417222222219</v>
      </c>
      <c r="AK16">
        <v>55936235</v>
      </c>
      <c r="AL16">
        <v>0</v>
      </c>
      <c r="AM16">
        <v>0</v>
      </c>
      <c r="AN16">
        <v>0</v>
      </c>
      <c r="AO16">
        <v>46073</v>
      </c>
      <c r="AP16">
        <v>0</v>
      </c>
      <c r="AQ16">
        <v>1</v>
      </c>
      <c r="AR16">
        <v>0</v>
      </c>
      <c r="AS16" t="s">
        <v>3</v>
      </c>
      <c r="AT16">
        <v>1</v>
      </c>
      <c r="AU16">
        <v>20</v>
      </c>
    </row>
    <row r="17" spans="2:47" x14ac:dyDescent="0.25">
      <c r="B17" t="s">
        <v>362</v>
      </c>
      <c r="C17">
        <v>0</v>
      </c>
      <c r="D17" t="s">
        <v>142</v>
      </c>
      <c r="E17" t="s">
        <v>3</v>
      </c>
      <c r="F17" t="s">
        <v>355</v>
      </c>
      <c r="G17" t="s">
        <v>3</v>
      </c>
      <c r="H17">
        <v>183257</v>
      </c>
      <c r="I17">
        <v>183257</v>
      </c>
      <c r="J17">
        <v>0</v>
      </c>
      <c r="K17">
        <v>183257</v>
      </c>
      <c r="L17">
        <v>0</v>
      </c>
      <c r="M17">
        <v>0</v>
      </c>
      <c r="N17">
        <v>0</v>
      </c>
      <c r="O17" t="s">
        <v>363</v>
      </c>
      <c r="P17" t="s">
        <v>3</v>
      </c>
      <c r="Q17" t="s">
        <v>364</v>
      </c>
      <c r="R17" t="s">
        <v>3</v>
      </c>
      <c r="S17" t="s">
        <v>3</v>
      </c>
      <c r="T17" t="s">
        <v>3</v>
      </c>
      <c r="U17">
        <v>0</v>
      </c>
      <c r="V17">
        <v>0</v>
      </c>
      <c r="W17">
        <v>0</v>
      </c>
      <c r="X17">
        <v>0</v>
      </c>
      <c r="Y17" t="s">
        <v>3</v>
      </c>
      <c r="Z17" t="s">
        <v>3</v>
      </c>
      <c r="AA17">
        <v>0</v>
      </c>
      <c r="AB17" t="s">
        <v>3</v>
      </c>
      <c r="AC17">
        <v>183257</v>
      </c>
      <c r="AD17">
        <v>1</v>
      </c>
      <c r="AE17">
        <v>0</v>
      </c>
      <c r="AF17">
        <v>3</v>
      </c>
      <c r="AG17">
        <v>3</v>
      </c>
      <c r="AH17" t="s">
        <v>144</v>
      </c>
      <c r="AI17" t="s">
        <v>143</v>
      </c>
      <c r="AJ17">
        <v>46134.417222222219</v>
      </c>
      <c r="AK17">
        <v>55936235</v>
      </c>
      <c r="AL17">
        <v>0</v>
      </c>
      <c r="AM17">
        <v>0</v>
      </c>
      <c r="AN17">
        <v>0</v>
      </c>
      <c r="AO17">
        <v>46073</v>
      </c>
      <c r="AP17">
        <v>0</v>
      </c>
      <c r="AQ17">
        <v>1</v>
      </c>
      <c r="AR17">
        <v>0</v>
      </c>
      <c r="AS17" t="s">
        <v>3</v>
      </c>
      <c r="AT17">
        <v>1</v>
      </c>
      <c r="AU17">
        <v>20</v>
      </c>
    </row>
    <row r="18" spans="2:47" x14ac:dyDescent="0.25">
      <c r="B18" t="s">
        <v>365</v>
      </c>
      <c r="C18">
        <v>0</v>
      </c>
      <c r="D18" t="s">
        <v>153</v>
      </c>
      <c r="E18" t="s">
        <v>3</v>
      </c>
      <c r="F18" t="s">
        <v>355</v>
      </c>
      <c r="G18" t="s">
        <v>3</v>
      </c>
      <c r="H18">
        <v>1299</v>
      </c>
      <c r="I18">
        <v>1299</v>
      </c>
      <c r="J18">
        <v>0</v>
      </c>
      <c r="K18">
        <v>1299</v>
      </c>
      <c r="L18">
        <v>0</v>
      </c>
      <c r="M18">
        <v>0</v>
      </c>
      <c r="N18">
        <v>0</v>
      </c>
      <c r="O18" t="s">
        <v>366</v>
      </c>
      <c r="P18" t="s">
        <v>3</v>
      </c>
      <c r="Q18" t="s">
        <v>367</v>
      </c>
      <c r="R18" t="s">
        <v>3</v>
      </c>
      <c r="S18" t="s">
        <v>3</v>
      </c>
      <c r="T18" t="s">
        <v>3</v>
      </c>
      <c r="U18">
        <v>0</v>
      </c>
      <c r="V18">
        <v>0</v>
      </c>
      <c r="W18">
        <v>0</v>
      </c>
      <c r="X18">
        <v>0</v>
      </c>
      <c r="Y18" t="s">
        <v>3</v>
      </c>
      <c r="Z18" t="s">
        <v>3</v>
      </c>
      <c r="AA18">
        <v>0</v>
      </c>
      <c r="AB18" t="s">
        <v>3</v>
      </c>
      <c r="AC18">
        <v>1299</v>
      </c>
      <c r="AD18">
        <v>1</v>
      </c>
      <c r="AE18">
        <v>0</v>
      </c>
      <c r="AF18">
        <v>3</v>
      </c>
      <c r="AG18">
        <v>3</v>
      </c>
      <c r="AH18" t="s">
        <v>144</v>
      </c>
      <c r="AI18" t="s">
        <v>154</v>
      </c>
      <c r="AJ18">
        <v>46134.417337962965</v>
      </c>
      <c r="AK18">
        <v>55936244</v>
      </c>
      <c r="AL18">
        <v>0</v>
      </c>
      <c r="AM18">
        <v>0</v>
      </c>
      <c r="AN18">
        <v>0</v>
      </c>
      <c r="AO18">
        <v>46073</v>
      </c>
      <c r="AP18">
        <v>0</v>
      </c>
      <c r="AQ18">
        <v>1</v>
      </c>
      <c r="AR18">
        <v>0</v>
      </c>
      <c r="AS18" t="s">
        <v>358</v>
      </c>
      <c r="AT18">
        <v>1</v>
      </c>
      <c r="AU18">
        <v>21</v>
      </c>
    </row>
    <row r="19" spans="2:47" x14ac:dyDescent="0.25">
      <c r="B19" t="s">
        <v>368</v>
      </c>
      <c r="C19">
        <v>1</v>
      </c>
      <c r="D19" t="s">
        <v>153</v>
      </c>
      <c r="E19" t="s">
        <v>3</v>
      </c>
      <c r="F19" t="s">
        <v>355</v>
      </c>
      <c r="G19" t="s">
        <v>3</v>
      </c>
      <c r="H19">
        <v>1234</v>
      </c>
      <c r="I19">
        <v>1234</v>
      </c>
      <c r="J19">
        <v>0</v>
      </c>
      <c r="K19">
        <v>1234</v>
      </c>
      <c r="L19">
        <v>0</v>
      </c>
      <c r="M19">
        <v>0</v>
      </c>
      <c r="N19">
        <v>0</v>
      </c>
      <c r="O19" t="s">
        <v>369</v>
      </c>
      <c r="P19" t="s">
        <v>3</v>
      </c>
      <c r="Q19" t="s">
        <v>370</v>
      </c>
      <c r="R19" t="s">
        <v>3</v>
      </c>
      <c r="S19" t="s">
        <v>3</v>
      </c>
      <c r="T19" t="s">
        <v>3</v>
      </c>
      <c r="U19">
        <v>0</v>
      </c>
      <c r="V19">
        <v>0</v>
      </c>
      <c r="W19">
        <v>0</v>
      </c>
      <c r="X19">
        <v>0</v>
      </c>
      <c r="Y19" t="s">
        <v>3</v>
      </c>
      <c r="Z19" t="s">
        <v>3</v>
      </c>
      <c r="AA19">
        <v>0</v>
      </c>
      <c r="AB19" t="s">
        <v>3</v>
      </c>
      <c r="AC19">
        <v>1234</v>
      </c>
      <c r="AD19">
        <v>1</v>
      </c>
      <c r="AE19">
        <v>0</v>
      </c>
      <c r="AF19">
        <v>3</v>
      </c>
      <c r="AG19">
        <v>3</v>
      </c>
      <c r="AH19" t="s">
        <v>144</v>
      </c>
      <c r="AI19" t="s">
        <v>154</v>
      </c>
      <c r="AJ19">
        <v>46134.417280092595</v>
      </c>
      <c r="AK19">
        <v>55936244</v>
      </c>
      <c r="AL19">
        <v>0</v>
      </c>
      <c r="AM19">
        <v>0</v>
      </c>
      <c r="AN19">
        <v>0</v>
      </c>
      <c r="AO19">
        <v>46073</v>
      </c>
      <c r="AP19">
        <v>0</v>
      </c>
      <c r="AQ19">
        <v>1</v>
      </c>
      <c r="AR19">
        <v>0</v>
      </c>
      <c r="AS19" t="s">
        <v>3</v>
      </c>
      <c r="AT19">
        <v>1</v>
      </c>
      <c r="AU19">
        <v>21</v>
      </c>
    </row>
    <row r="20" spans="2:47" x14ac:dyDescent="0.25">
      <c r="B20" t="s">
        <v>371</v>
      </c>
      <c r="C20">
        <v>0</v>
      </c>
      <c r="D20" t="s">
        <v>153</v>
      </c>
      <c r="E20" t="s">
        <v>3</v>
      </c>
      <c r="F20" t="s">
        <v>355</v>
      </c>
      <c r="G20" t="s">
        <v>3</v>
      </c>
      <c r="H20">
        <v>1430</v>
      </c>
      <c r="I20">
        <v>1430</v>
      </c>
      <c r="J20">
        <v>0</v>
      </c>
      <c r="K20">
        <v>1430</v>
      </c>
      <c r="L20">
        <v>0</v>
      </c>
      <c r="M20">
        <v>0</v>
      </c>
      <c r="N20">
        <v>0</v>
      </c>
      <c r="O20" t="s">
        <v>372</v>
      </c>
      <c r="P20" t="s">
        <v>3</v>
      </c>
      <c r="Q20" t="s">
        <v>373</v>
      </c>
      <c r="R20" t="s">
        <v>3</v>
      </c>
      <c r="S20" t="s">
        <v>3</v>
      </c>
      <c r="T20" t="s">
        <v>3</v>
      </c>
      <c r="U20">
        <v>0</v>
      </c>
      <c r="V20">
        <v>0</v>
      </c>
      <c r="W20">
        <v>0</v>
      </c>
      <c r="X20">
        <v>0</v>
      </c>
      <c r="Y20" t="s">
        <v>3</v>
      </c>
      <c r="Z20" t="s">
        <v>3</v>
      </c>
      <c r="AA20">
        <v>0</v>
      </c>
      <c r="AB20" t="s">
        <v>3</v>
      </c>
      <c r="AC20">
        <v>1430</v>
      </c>
      <c r="AD20">
        <v>1</v>
      </c>
      <c r="AE20">
        <v>0</v>
      </c>
      <c r="AF20">
        <v>3</v>
      </c>
      <c r="AG20">
        <v>3</v>
      </c>
      <c r="AH20" t="s">
        <v>144</v>
      </c>
      <c r="AI20" t="s">
        <v>154</v>
      </c>
      <c r="AJ20">
        <v>46134.417280092595</v>
      </c>
      <c r="AK20">
        <v>55936244</v>
      </c>
      <c r="AL20">
        <v>0</v>
      </c>
      <c r="AM20">
        <v>0</v>
      </c>
      <c r="AN20">
        <v>0</v>
      </c>
      <c r="AO20">
        <v>46073</v>
      </c>
      <c r="AP20">
        <v>0</v>
      </c>
      <c r="AQ20">
        <v>1</v>
      </c>
      <c r="AR20">
        <v>0</v>
      </c>
      <c r="AS20" t="s">
        <v>3</v>
      </c>
      <c r="AT20">
        <v>1</v>
      </c>
      <c r="AU20">
        <v>21</v>
      </c>
    </row>
    <row r="21" spans="2:47" x14ac:dyDescent="0.25">
      <c r="B21" t="s">
        <v>374</v>
      </c>
      <c r="C21">
        <v>0</v>
      </c>
      <c r="D21" t="s">
        <v>168</v>
      </c>
      <c r="E21" t="s">
        <v>3</v>
      </c>
      <c r="F21" t="s">
        <v>355</v>
      </c>
      <c r="G21" t="s">
        <v>3</v>
      </c>
      <c r="H21">
        <v>5980</v>
      </c>
      <c r="I21">
        <v>5980</v>
      </c>
      <c r="J21">
        <v>0</v>
      </c>
      <c r="K21">
        <v>5980</v>
      </c>
      <c r="L21">
        <v>0</v>
      </c>
      <c r="M21">
        <v>0</v>
      </c>
      <c r="N21">
        <v>0</v>
      </c>
      <c r="O21" t="s">
        <v>366</v>
      </c>
      <c r="P21" t="s">
        <v>3</v>
      </c>
      <c r="Q21" t="s">
        <v>367</v>
      </c>
      <c r="R21" t="s">
        <v>3</v>
      </c>
      <c r="S21" t="s">
        <v>3</v>
      </c>
      <c r="T21" t="s">
        <v>3</v>
      </c>
      <c r="U21">
        <v>0</v>
      </c>
      <c r="V21">
        <v>0</v>
      </c>
      <c r="W21">
        <v>0</v>
      </c>
      <c r="X21">
        <v>0</v>
      </c>
      <c r="Y21" t="s">
        <v>3</v>
      </c>
      <c r="Z21" t="s">
        <v>3</v>
      </c>
      <c r="AA21">
        <v>0</v>
      </c>
      <c r="AB21" t="s">
        <v>3</v>
      </c>
      <c r="AC21">
        <v>5980</v>
      </c>
      <c r="AD21">
        <v>1</v>
      </c>
      <c r="AE21">
        <v>0</v>
      </c>
      <c r="AF21">
        <v>3</v>
      </c>
      <c r="AG21">
        <v>3</v>
      </c>
      <c r="AH21" t="s">
        <v>144</v>
      </c>
      <c r="AI21" t="s">
        <v>169</v>
      </c>
      <c r="AJ21">
        <v>46134.417372685188</v>
      </c>
      <c r="AK21">
        <v>55936265</v>
      </c>
      <c r="AL21">
        <v>0</v>
      </c>
      <c r="AM21">
        <v>0</v>
      </c>
      <c r="AN21">
        <v>0</v>
      </c>
      <c r="AO21">
        <v>46073</v>
      </c>
      <c r="AP21">
        <v>0</v>
      </c>
      <c r="AQ21">
        <v>1</v>
      </c>
      <c r="AR21">
        <v>0</v>
      </c>
      <c r="AS21" t="s">
        <v>358</v>
      </c>
      <c r="AT21">
        <v>1</v>
      </c>
      <c r="AU21">
        <v>35</v>
      </c>
    </row>
    <row r="22" spans="2:47" x14ac:dyDescent="0.25">
      <c r="B22" t="s">
        <v>375</v>
      </c>
      <c r="C22">
        <v>1</v>
      </c>
      <c r="D22" t="s">
        <v>168</v>
      </c>
      <c r="E22" t="s">
        <v>3</v>
      </c>
      <c r="F22" t="s">
        <v>355</v>
      </c>
      <c r="G22" t="s">
        <v>3</v>
      </c>
      <c r="H22">
        <v>5900</v>
      </c>
      <c r="I22">
        <v>5900</v>
      </c>
      <c r="J22">
        <v>0</v>
      </c>
      <c r="K22">
        <v>5900</v>
      </c>
      <c r="L22">
        <v>0</v>
      </c>
      <c r="M22">
        <v>0</v>
      </c>
      <c r="N22">
        <v>0</v>
      </c>
      <c r="O22" t="s">
        <v>376</v>
      </c>
      <c r="P22" t="s">
        <v>3</v>
      </c>
      <c r="Q22" t="s">
        <v>377</v>
      </c>
      <c r="R22" t="s">
        <v>3</v>
      </c>
      <c r="S22" t="s">
        <v>3</v>
      </c>
      <c r="T22" t="s">
        <v>3</v>
      </c>
      <c r="U22">
        <v>0</v>
      </c>
      <c r="V22">
        <v>0</v>
      </c>
      <c r="W22">
        <v>0</v>
      </c>
      <c r="X22">
        <v>0</v>
      </c>
      <c r="Y22" t="s">
        <v>3</v>
      </c>
      <c r="Z22" t="s">
        <v>3</v>
      </c>
      <c r="AA22">
        <v>0</v>
      </c>
      <c r="AB22" t="s">
        <v>3</v>
      </c>
      <c r="AC22">
        <v>5900</v>
      </c>
      <c r="AD22">
        <v>1</v>
      </c>
      <c r="AE22">
        <v>0</v>
      </c>
      <c r="AF22">
        <v>3</v>
      </c>
      <c r="AG22">
        <v>3</v>
      </c>
      <c r="AH22" t="s">
        <v>144</v>
      </c>
      <c r="AI22" t="s">
        <v>169</v>
      </c>
      <c r="AJ22">
        <v>46134.417372685188</v>
      </c>
      <c r="AK22">
        <v>55936265</v>
      </c>
      <c r="AL22">
        <v>0</v>
      </c>
      <c r="AM22">
        <v>0</v>
      </c>
      <c r="AN22">
        <v>0</v>
      </c>
      <c r="AO22">
        <v>46073</v>
      </c>
      <c r="AP22">
        <v>0</v>
      </c>
      <c r="AQ22">
        <v>1</v>
      </c>
      <c r="AR22">
        <v>0</v>
      </c>
      <c r="AS22" t="s">
        <v>3</v>
      </c>
      <c r="AT22">
        <v>1</v>
      </c>
      <c r="AU22">
        <v>35</v>
      </c>
    </row>
    <row r="23" spans="2:47" x14ac:dyDescent="0.25">
      <c r="B23" t="s">
        <v>378</v>
      </c>
      <c r="C23">
        <v>0</v>
      </c>
      <c r="D23" t="s">
        <v>168</v>
      </c>
      <c r="E23" t="s">
        <v>3</v>
      </c>
      <c r="F23" t="s">
        <v>355</v>
      </c>
      <c r="G23" t="s">
        <v>3</v>
      </c>
      <c r="H23">
        <v>5900</v>
      </c>
      <c r="I23">
        <v>5900</v>
      </c>
      <c r="J23">
        <v>0</v>
      </c>
      <c r="K23">
        <v>5900</v>
      </c>
      <c r="L23">
        <v>0</v>
      </c>
      <c r="M23">
        <v>0</v>
      </c>
      <c r="N23">
        <v>0</v>
      </c>
      <c r="O23" t="s">
        <v>372</v>
      </c>
      <c r="P23" t="s">
        <v>3</v>
      </c>
      <c r="Q23" t="s">
        <v>373</v>
      </c>
      <c r="R23" t="s">
        <v>3</v>
      </c>
      <c r="S23" t="s">
        <v>3</v>
      </c>
      <c r="T23" t="s">
        <v>3</v>
      </c>
      <c r="U23">
        <v>0</v>
      </c>
      <c r="V23">
        <v>0</v>
      </c>
      <c r="W23">
        <v>0</v>
      </c>
      <c r="X23">
        <v>0</v>
      </c>
      <c r="Y23" t="s">
        <v>3</v>
      </c>
      <c r="Z23" t="s">
        <v>3</v>
      </c>
      <c r="AA23">
        <v>0</v>
      </c>
      <c r="AB23" t="s">
        <v>3</v>
      </c>
      <c r="AC23">
        <v>5900</v>
      </c>
      <c r="AD23">
        <v>1</v>
      </c>
      <c r="AE23">
        <v>0</v>
      </c>
      <c r="AF23">
        <v>3</v>
      </c>
      <c r="AG23">
        <v>3</v>
      </c>
      <c r="AH23" t="s">
        <v>144</v>
      </c>
      <c r="AI23" t="s">
        <v>169</v>
      </c>
      <c r="AJ23">
        <v>46134.417372685188</v>
      </c>
      <c r="AK23">
        <v>55936265</v>
      </c>
      <c r="AL23">
        <v>0</v>
      </c>
      <c r="AM23">
        <v>0</v>
      </c>
      <c r="AN23">
        <v>0</v>
      </c>
      <c r="AO23">
        <v>46073</v>
      </c>
      <c r="AP23">
        <v>0</v>
      </c>
      <c r="AQ23">
        <v>1</v>
      </c>
      <c r="AR23">
        <v>0</v>
      </c>
      <c r="AS23" t="s">
        <v>3</v>
      </c>
      <c r="AT23">
        <v>1</v>
      </c>
      <c r="AU23">
        <v>35</v>
      </c>
    </row>
    <row r="24" spans="2:47" x14ac:dyDescent="0.25">
      <c r="B24" t="s">
        <v>379</v>
      </c>
      <c r="C24">
        <v>1</v>
      </c>
      <c r="D24" t="s">
        <v>173</v>
      </c>
      <c r="E24" t="s">
        <v>3</v>
      </c>
      <c r="F24" t="s">
        <v>355</v>
      </c>
      <c r="G24" t="s">
        <v>3</v>
      </c>
      <c r="H24">
        <v>490</v>
      </c>
      <c r="I24">
        <v>490</v>
      </c>
      <c r="J24">
        <v>0</v>
      </c>
      <c r="K24">
        <v>490</v>
      </c>
      <c r="L24">
        <v>0</v>
      </c>
      <c r="M24">
        <v>0</v>
      </c>
      <c r="N24">
        <v>0</v>
      </c>
      <c r="O24" t="s">
        <v>380</v>
      </c>
      <c r="P24" t="s">
        <v>3</v>
      </c>
      <c r="Q24" t="s">
        <v>381</v>
      </c>
      <c r="R24" t="s">
        <v>3</v>
      </c>
      <c r="S24" t="s">
        <v>3</v>
      </c>
      <c r="T24" t="s">
        <v>3</v>
      </c>
      <c r="U24">
        <v>0</v>
      </c>
      <c r="V24">
        <v>0</v>
      </c>
      <c r="W24">
        <v>0</v>
      </c>
      <c r="X24">
        <v>0</v>
      </c>
      <c r="Y24" t="s">
        <v>3</v>
      </c>
      <c r="Z24" t="s">
        <v>3</v>
      </c>
      <c r="AA24">
        <v>0</v>
      </c>
      <c r="AB24" t="s">
        <v>3</v>
      </c>
      <c r="AC24">
        <v>490</v>
      </c>
      <c r="AD24">
        <v>1</v>
      </c>
      <c r="AE24">
        <v>0</v>
      </c>
      <c r="AF24">
        <v>3</v>
      </c>
      <c r="AG24">
        <v>3</v>
      </c>
      <c r="AH24" t="s">
        <v>144</v>
      </c>
      <c r="AI24" t="s">
        <v>174</v>
      </c>
      <c r="AJ24">
        <v>46134.41741898148</v>
      </c>
      <c r="AK24">
        <v>55936276</v>
      </c>
      <c r="AL24">
        <v>0</v>
      </c>
      <c r="AM24">
        <v>0</v>
      </c>
      <c r="AN24">
        <v>0</v>
      </c>
      <c r="AO24">
        <v>46073</v>
      </c>
      <c r="AP24">
        <v>0</v>
      </c>
      <c r="AQ24">
        <v>1</v>
      </c>
      <c r="AR24">
        <v>0</v>
      </c>
      <c r="AS24" t="s">
        <v>358</v>
      </c>
      <c r="AT24">
        <v>1</v>
      </c>
      <c r="AU24">
        <v>7</v>
      </c>
    </row>
    <row r="25" spans="2:47" x14ac:dyDescent="0.25">
      <c r="B25" t="s">
        <v>382</v>
      </c>
      <c r="C25">
        <v>0</v>
      </c>
      <c r="D25" t="s">
        <v>173</v>
      </c>
      <c r="E25" t="s">
        <v>3</v>
      </c>
      <c r="F25" t="s">
        <v>355</v>
      </c>
      <c r="G25" t="s">
        <v>3</v>
      </c>
      <c r="H25">
        <v>490</v>
      </c>
      <c r="I25">
        <v>490</v>
      </c>
      <c r="J25">
        <v>0</v>
      </c>
      <c r="K25">
        <v>490</v>
      </c>
      <c r="L25">
        <v>0</v>
      </c>
      <c r="M25">
        <v>0</v>
      </c>
      <c r="N25">
        <v>0</v>
      </c>
      <c r="O25" t="s">
        <v>369</v>
      </c>
      <c r="P25" t="s">
        <v>3</v>
      </c>
      <c r="Q25" t="s">
        <v>370</v>
      </c>
      <c r="R25" t="s">
        <v>3</v>
      </c>
      <c r="S25" t="s">
        <v>3</v>
      </c>
      <c r="T25" t="s">
        <v>3</v>
      </c>
      <c r="U25">
        <v>0</v>
      </c>
      <c r="V25">
        <v>0</v>
      </c>
      <c r="W25">
        <v>0</v>
      </c>
      <c r="X25">
        <v>0</v>
      </c>
      <c r="Y25" t="s">
        <v>3</v>
      </c>
      <c r="Z25" t="s">
        <v>3</v>
      </c>
      <c r="AA25">
        <v>0</v>
      </c>
      <c r="AB25" t="s">
        <v>3</v>
      </c>
      <c r="AC25">
        <v>490</v>
      </c>
      <c r="AD25">
        <v>1</v>
      </c>
      <c r="AE25">
        <v>0</v>
      </c>
      <c r="AF25">
        <v>3</v>
      </c>
      <c r="AG25">
        <v>3</v>
      </c>
      <c r="AH25" t="s">
        <v>144</v>
      </c>
      <c r="AI25" t="s">
        <v>174</v>
      </c>
      <c r="AJ25">
        <v>46134.41741898148</v>
      </c>
      <c r="AK25">
        <v>55936276</v>
      </c>
      <c r="AL25">
        <v>0</v>
      </c>
      <c r="AM25">
        <v>0</v>
      </c>
      <c r="AN25">
        <v>0</v>
      </c>
      <c r="AO25">
        <v>46073</v>
      </c>
      <c r="AP25">
        <v>0</v>
      </c>
      <c r="AQ25">
        <v>1</v>
      </c>
      <c r="AR25">
        <v>0</v>
      </c>
      <c r="AS25" t="s">
        <v>3</v>
      </c>
      <c r="AT25">
        <v>1</v>
      </c>
      <c r="AU25">
        <v>7</v>
      </c>
    </row>
    <row r="26" spans="2:47" x14ac:dyDescent="0.25">
      <c r="B26" t="s">
        <v>383</v>
      </c>
      <c r="C26">
        <v>0</v>
      </c>
      <c r="D26" t="s">
        <v>173</v>
      </c>
      <c r="E26" t="s">
        <v>3</v>
      </c>
      <c r="F26" t="s">
        <v>355</v>
      </c>
      <c r="G26" t="s">
        <v>3</v>
      </c>
      <c r="H26">
        <v>490</v>
      </c>
      <c r="I26">
        <v>490</v>
      </c>
      <c r="J26">
        <v>0</v>
      </c>
      <c r="K26">
        <v>490</v>
      </c>
      <c r="L26">
        <v>0</v>
      </c>
      <c r="M26">
        <v>0</v>
      </c>
      <c r="N26">
        <v>0</v>
      </c>
      <c r="O26" t="s">
        <v>384</v>
      </c>
      <c r="P26" t="s">
        <v>3</v>
      </c>
      <c r="Q26" t="s">
        <v>370</v>
      </c>
      <c r="R26" t="s">
        <v>3</v>
      </c>
      <c r="S26" t="s">
        <v>3</v>
      </c>
      <c r="T26" t="s">
        <v>3</v>
      </c>
      <c r="U26">
        <v>0</v>
      </c>
      <c r="V26">
        <v>0</v>
      </c>
      <c r="W26">
        <v>0</v>
      </c>
      <c r="X26">
        <v>0</v>
      </c>
      <c r="Y26" t="s">
        <v>3</v>
      </c>
      <c r="Z26" t="s">
        <v>3</v>
      </c>
      <c r="AA26">
        <v>0</v>
      </c>
      <c r="AB26" t="s">
        <v>3</v>
      </c>
      <c r="AC26">
        <v>490</v>
      </c>
      <c r="AD26">
        <v>1</v>
      </c>
      <c r="AE26">
        <v>0</v>
      </c>
      <c r="AF26">
        <v>3</v>
      </c>
      <c r="AG26">
        <v>3</v>
      </c>
      <c r="AH26" t="s">
        <v>144</v>
      </c>
      <c r="AI26" t="s">
        <v>174</v>
      </c>
      <c r="AJ26">
        <v>46134.41741898148</v>
      </c>
      <c r="AK26">
        <v>55936276</v>
      </c>
      <c r="AL26">
        <v>0</v>
      </c>
      <c r="AM26">
        <v>0</v>
      </c>
      <c r="AN26">
        <v>0</v>
      </c>
      <c r="AO26">
        <v>46073</v>
      </c>
      <c r="AP26">
        <v>0</v>
      </c>
      <c r="AQ26">
        <v>1</v>
      </c>
      <c r="AR26">
        <v>0</v>
      </c>
      <c r="AS26" t="s">
        <v>3</v>
      </c>
      <c r="AT26">
        <v>1</v>
      </c>
      <c r="AU26">
        <v>7</v>
      </c>
    </row>
    <row r="27" spans="2:47" x14ac:dyDescent="0.25">
      <c r="B27" t="s">
        <v>385</v>
      </c>
      <c r="C27">
        <v>1</v>
      </c>
      <c r="D27" t="s">
        <v>178</v>
      </c>
      <c r="E27" t="s">
        <v>3</v>
      </c>
      <c r="F27" t="s">
        <v>355</v>
      </c>
      <c r="G27" t="s">
        <v>3</v>
      </c>
      <c r="H27">
        <v>22800</v>
      </c>
      <c r="I27">
        <v>22800</v>
      </c>
      <c r="J27">
        <v>0</v>
      </c>
      <c r="K27">
        <v>22800</v>
      </c>
      <c r="L27">
        <v>0</v>
      </c>
      <c r="M27">
        <v>0</v>
      </c>
      <c r="N27">
        <v>0</v>
      </c>
      <c r="O27" t="s">
        <v>376</v>
      </c>
      <c r="P27" t="s">
        <v>3</v>
      </c>
      <c r="Q27" t="s">
        <v>377</v>
      </c>
      <c r="R27" t="s">
        <v>3</v>
      </c>
      <c r="S27" t="s">
        <v>3</v>
      </c>
      <c r="T27" t="s">
        <v>3</v>
      </c>
      <c r="U27">
        <v>0</v>
      </c>
      <c r="V27">
        <v>0</v>
      </c>
      <c r="W27">
        <v>0</v>
      </c>
      <c r="X27">
        <v>0</v>
      </c>
      <c r="Y27" t="s">
        <v>3</v>
      </c>
      <c r="Z27" t="s">
        <v>3</v>
      </c>
      <c r="AA27">
        <v>0</v>
      </c>
      <c r="AB27" t="s">
        <v>3</v>
      </c>
      <c r="AC27">
        <v>22800</v>
      </c>
      <c r="AD27">
        <v>1</v>
      </c>
      <c r="AE27">
        <v>0</v>
      </c>
      <c r="AF27">
        <v>3</v>
      </c>
      <c r="AG27">
        <v>3</v>
      </c>
      <c r="AH27" t="s">
        <v>144</v>
      </c>
      <c r="AI27" t="s">
        <v>179</v>
      </c>
      <c r="AJ27">
        <v>46134.41746527778</v>
      </c>
      <c r="AK27">
        <v>55936289</v>
      </c>
      <c r="AL27">
        <v>0</v>
      </c>
      <c r="AM27">
        <v>0</v>
      </c>
      <c r="AN27">
        <v>0</v>
      </c>
      <c r="AO27">
        <v>46073</v>
      </c>
      <c r="AP27">
        <v>0</v>
      </c>
      <c r="AQ27">
        <v>1</v>
      </c>
      <c r="AR27">
        <v>0</v>
      </c>
      <c r="AS27" t="s">
        <v>358</v>
      </c>
      <c r="AT27">
        <v>1</v>
      </c>
      <c r="AU27">
        <v>3</v>
      </c>
    </row>
    <row r="28" spans="2:47" x14ac:dyDescent="0.25">
      <c r="B28" t="s">
        <v>386</v>
      </c>
      <c r="C28">
        <v>0</v>
      </c>
      <c r="D28" t="s">
        <v>178</v>
      </c>
      <c r="E28" t="s">
        <v>3</v>
      </c>
      <c r="F28" t="s">
        <v>355</v>
      </c>
      <c r="G28" t="s">
        <v>3</v>
      </c>
      <c r="H28">
        <v>22800</v>
      </c>
      <c r="I28">
        <v>22800</v>
      </c>
      <c r="J28">
        <v>0</v>
      </c>
      <c r="K28">
        <v>22800</v>
      </c>
      <c r="L28">
        <v>0</v>
      </c>
      <c r="M28">
        <v>0</v>
      </c>
      <c r="N28">
        <v>0</v>
      </c>
      <c r="O28" t="s">
        <v>387</v>
      </c>
      <c r="P28" t="s">
        <v>3</v>
      </c>
      <c r="Q28" t="s">
        <v>388</v>
      </c>
      <c r="R28" t="s">
        <v>3</v>
      </c>
      <c r="S28" t="s">
        <v>3</v>
      </c>
      <c r="T28" t="s">
        <v>3</v>
      </c>
      <c r="U28">
        <v>0</v>
      </c>
      <c r="V28">
        <v>0</v>
      </c>
      <c r="W28">
        <v>0</v>
      </c>
      <c r="X28">
        <v>0</v>
      </c>
      <c r="Y28" t="s">
        <v>3</v>
      </c>
      <c r="Z28" t="s">
        <v>3</v>
      </c>
      <c r="AA28">
        <v>0</v>
      </c>
      <c r="AB28" t="s">
        <v>3</v>
      </c>
      <c r="AC28">
        <v>22800</v>
      </c>
      <c r="AD28">
        <v>1</v>
      </c>
      <c r="AE28">
        <v>0</v>
      </c>
      <c r="AF28">
        <v>3</v>
      </c>
      <c r="AG28">
        <v>3</v>
      </c>
      <c r="AH28" t="s">
        <v>144</v>
      </c>
      <c r="AI28" t="s">
        <v>179</v>
      </c>
      <c r="AJ28">
        <v>46134.41746527778</v>
      </c>
      <c r="AK28">
        <v>55936289</v>
      </c>
      <c r="AL28">
        <v>0</v>
      </c>
      <c r="AM28">
        <v>0</v>
      </c>
      <c r="AN28">
        <v>0</v>
      </c>
      <c r="AO28">
        <v>46073</v>
      </c>
      <c r="AP28">
        <v>0</v>
      </c>
      <c r="AQ28">
        <v>1</v>
      </c>
      <c r="AR28">
        <v>0</v>
      </c>
      <c r="AS28" t="s">
        <v>3</v>
      </c>
      <c r="AT28">
        <v>1</v>
      </c>
      <c r="AU28">
        <v>3</v>
      </c>
    </row>
    <row r="29" spans="2:47" x14ac:dyDescent="0.25">
      <c r="B29" t="s">
        <v>389</v>
      </c>
      <c r="C29">
        <v>0</v>
      </c>
      <c r="D29" t="s">
        <v>178</v>
      </c>
      <c r="E29" t="s">
        <v>3</v>
      </c>
      <c r="F29" t="s">
        <v>355</v>
      </c>
      <c r="G29" t="s">
        <v>3</v>
      </c>
      <c r="H29">
        <v>22800</v>
      </c>
      <c r="I29">
        <v>22800</v>
      </c>
      <c r="J29">
        <v>0</v>
      </c>
      <c r="K29">
        <v>22800</v>
      </c>
      <c r="L29">
        <v>0</v>
      </c>
      <c r="M29">
        <v>0</v>
      </c>
      <c r="N29">
        <v>0</v>
      </c>
      <c r="O29" t="s">
        <v>366</v>
      </c>
      <c r="P29" t="s">
        <v>3</v>
      </c>
      <c r="Q29" t="s">
        <v>367</v>
      </c>
      <c r="R29" t="s">
        <v>3</v>
      </c>
      <c r="S29" t="s">
        <v>3</v>
      </c>
      <c r="T29" t="s">
        <v>3</v>
      </c>
      <c r="U29">
        <v>0</v>
      </c>
      <c r="V29">
        <v>0</v>
      </c>
      <c r="W29">
        <v>0</v>
      </c>
      <c r="X29">
        <v>0</v>
      </c>
      <c r="Y29" t="s">
        <v>3</v>
      </c>
      <c r="Z29" t="s">
        <v>3</v>
      </c>
      <c r="AA29">
        <v>0</v>
      </c>
      <c r="AB29" t="s">
        <v>3</v>
      </c>
      <c r="AC29">
        <v>22800</v>
      </c>
      <c r="AD29">
        <v>1</v>
      </c>
      <c r="AE29">
        <v>0</v>
      </c>
      <c r="AF29">
        <v>3</v>
      </c>
      <c r="AG29">
        <v>3</v>
      </c>
      <c r="AH29" t="s">
        <v>144</v>
      </c>
      <c r="AI29" t="s">
        <v>179</v>
      </c>
      <c r="AJ29">
        <v>46134.41746527778</v>
      </c>
      <c r="AK29">
        <v>55936289</v>
      </c>
      <c r="AL29">
        <v>0</v>
      </c>
      <c r="AM29">
        <v>0</v>
      </c>
      <c r="AN29">
        <v>0</v>
      </c>
      <c r="AO29">
        <v>46073</v>
      </c>
      <c r="AP29">
        <v>0</v>
      </c>
      <c r="AQ29">
        <v>1</v>
      </c>
      <c r="AR29">
        <v>0</v>
      </c>
      <c r="AS29" t="s">
        <v>3</v>
      </c>
      <c r="AT29">
        <v>1</v>
      </c>
      <c r="AU29">
        <v>3</v>
      </c>
    </row>
    <row r="30" spans="2:47" x14ac:dyDescent="0.25">
      <c r="B30" t="s">
        <v>390</v>
      </c>
      <c r="C30">
        <v>0</v>
      </c>
      <c r="D30" t="s">
        <v>183</v>
      </c>
      <c r="E30" t="s">
        <v>3</v>
      </c>
      <c r="F30" t="s">
        <v>355</v>
      </c>
      <c r="G30" t="s">
        <v>3</v>
      </c>
      <c r="H30">
        <v>8570</v>
      </c>
      <c r="I30">
        <v>8570</v>
      </c>
      <c r="J30">
        <v>0</v>
      </c>
      <c r="K30">
        <v>8570</v>
      </c>
      <c r="L30">
        <v>0</v>
      </c>
      <c r="M30">
        <v>0</v>
      </c>
      <c r="N30">
        <v>0</v>
      </c>
      <c r="O30" t="s">
        <v>391</v>
      </c>
      <c r="P30" t="s">
        <v>3</v>
      </c>
      <c r="Q30" t="s">
        <v>392</v>
      </c>
      <c r="R30" t="s">
        <v>3</v>
      </c>
      <c r="S30" t="s">
        <v>3</v>
      </c>
      <c r="T30" t="s">
        <v>3</v>
      </c>
      <c r="U30">
        <v>0</v>
      </c>
      <c r="V30">
        <v>0</v>
      </c>
      <c r="W30">
        <v>0</v>
      </c>
      <c r="X30">
        <v>0</v>
      </c>
      <c r="Y30" t="s">
        <v>3</v>
      </c>
      <c r="Z30" t="s">
        <v>3</v>
      </c>
      <c r="AA30">
        <v>0</v>
      </c>
      <c r="AB30" t="s">
        <v>3</v>
      </c>
      <c r="AC30">
        <v>8570</v>
      </c>
      <c r="AD30">
        <v>1</v>
      </c>
      <c r="AE30">
        <v>0</v>
      </c>
      <c r="AF30">
        <v>3</v>
      </c>
      <c r="AG30">
        <v>3</v>
      </c>
      <c r="AH30" t="s">
        <v>144</v>
      </c>
      <c r="AI30" t="s">
        <v>184</v>
      </c>
      <c r="AJ30">
        <v>46134.417511574073</v>
      </c>
      <c r="AK30">
        <v>55936302</v>
      </c>
      <c r="AL30">
        <v>0</v>
      </c>
      <c r="AM30">
        <v>0</v>
      </c>
      <c r="AN30">
        <v>0</v>
      </c>
      <c r="AO30">
        <v>46073</v>
      </c>
      <c r="AP30">
        <v>0</v>
      </c>
      <c r="AQ30">
        <v>1</v>
      </c>
      <c r="AR30">
        <v>0</v>
      </c>
      <c r="AS30" t="s">
        <v>358</v>
      </c>
      <c r="AT30">
        <v>1</v>
      </c>
      <c r="AU30">
        <v>1</v>
      </c>
    </row>
    <row r="31" spans="2:47" x14ac:dyDescent="0.25">
      <c r="B31" t="s">
        <v>393</v>
      </c>
      <c r="C31">
        <v>1</v>
      </c>
      <c r="D31" t="s">
        <v>183</v>
      </c>
      <c r="E31" t="s">
        <v>3</v>
      </c>
      <c r="F31" t="s">
        <v>355</v>
      </c>
      <c r="G31" t="s">
        <v>3</v>
      </c>
      <c r="H31">
        <v>8100</v>
      </c>
      <c r="I31">
        <v>8100</v>
      </c>
      <c r="J31">
        <v>0</v>
      </c>
      <c r="K31">
        <v>8100</v>
      </c>
      <c r="L31">
        <v>0</v>
      </c>
      <c r="M31">
        <v>0</v>
      </c>
      <c r="N31">
        <v>0</v>
      </c>
      <c r="O31" t="s">
        <v>376</v>
      </c>
      <c r="P31" t="s">
        <v>3</v>
      </c>
      <c r="Q31" t="s">
        <v>377</v>
      </c>
      <c r="R31" t="s">
        <v>3</v>
      </c>
      <c r="S31" t="s">
        <v>3</v>
      </c>
      <c r="T31" t="s">
        <v>3</v>
      </c>
      <c r="U31">
        <v>0</v>
      </c>
      <c r="V31">
        <v>0</v>
      </c>
      <c r="W31">
        <v>0</v>
      </c>
      <c r="X31">
        <v>0</v>
      </c>
      <c r="Y31" t="s">
        <v>3</v>
      </c>
      <c r="Z31" t="s">
        <v>3</v>
      </c>
      <c r="AA31">
        <v>0</v>
      </c>
      <c r="AB31" t="s">
        <v>3</v>
      </c>
      <c r="AC31">
        <v>8100</v>
      </c>
      <c r="AD31">
        <v>1</v>
      </c>
      <c r="AE31">
        <v>0</v>
      </c>
      <c r="AF31">
        <v>3</v>
      </c>
      <c r="AG31">
        <v>3</v>
      </c>
      <c r="AH31" t="s">
        <v>144</v>
      </c>
      <c r="AI31" t="s">
        <v>184</v>
      </c>
      <c r="AJ31">
        <v>46134.417511574073</v>
      </c>
      <c r="AK31">
        <v>55936302</v>
      </c>
      <c r="AL31">
        <v>0</v>
      </c>
      <c r="AM31">
        <v>0</v>
      </c>
      <c r="AN31">
        <v>0</v>
      </c>
      <c r="AO31">
        <v>46073</v>
      </c>
      <c r="AP31">
        <v>0</v>
      </c>
      <c r="AQ31">
        <v>1</v>
      </c>
      <c r="AR31">
        <v>0</v>
      </c>
      <c r="AS31" t="s">
        <v>3</v>
      </c>
      <c r="AT31">
        <v>1</v>
      </c>
      <c r="AU31">
        <v>1</v>
      </c>
    </row>
    <row r="32" spans="2:47" x14ac:dyDescent="0.25">
      <c r="B32" t="s">
        <v>394</v>
      </c>
      <c r="C32">
        <v>0</v>
      </c>
      <c r="D32" t="s">
        <v>183</v>
      </c>
      <c r="E32" t="s">
        <v>3</v>
      </c>
      <c r="F32" t="s">
        <v>355</v>
      </c>
      <c r="G32" t="s">
        <v>3</v>
      </c>
      <c r="H32">
        <v>8100</v>
      </c>
      <c r="I32">
        <v>8100</v>
      </c>
      <c r="J32">
        <v>0</v>
      </c>
      <c r="K32">
        <v>8100</v>
      </c>
      <c r="L32">
        <v>0</v>
      </c>
      <c r="M32">
        <v>0</v>
      </c>
      <c r="N32">
        <v>0</v>
      </c>
      <c r="O32" t="s">
        <v>366</v>
      </c>
      <c r="P32" t="s">
        <v>3</v>
      </c>
      <c r="Q32" t="s">
        <v>367</v>
      </c>
      <c r="R32" t="s">
        <v>3</v>
      </c>
      <c r="S32" t="s">
        <v>3</v>
      </c>
      <c r="T32" t="s">
        <v>3</v>
      </c>
      <c r="U32">
        <v>0</v>
      </c>
      <c r="V32">
        <v>0</v>
      </c>
      <c r="W32">
        <v>0</v>
      </c>
      <c r="X32">
        <v>0</v>
      </c>
      <c r="Y32" t="s">
        <v>3</v>
      </c>
      <c r="Z32" t="s">
        <v>3</v>
      </c>
      <c r="AA32">
        <v>0</v>
      </c>
      <c r="AB32" t="s">
        <v>3</v>
      </c>
      <c r="AC32">
        <v>8100</v>
      </c>
      <c r="AD32">
        <v>1</v>
      </c>
      <c r="AE32">
        <v>0</v>
      </c>
      <c r="AF32">
        <v>3</v>
      </c>
      <c r="AG32">
        <v>3</v>
      </c>
      <c r="AH32" t="s">
        <v>144</v>
      </c>
      <c r="AI32" t="s">
        <v>184</v>
      </c>
      <c r="AJ32">
        <v>46134.417511574073</v>
      </c>
      <c r="AK32">
        <v>55936302</v>
      </c>
      <c r="AL32">
        <v>0</v>
      </c>
      <c r="AM32">
        <v>0</v>
      </c>
      <c r="AN32">
        <v>0</v>
      </c>
      <c r="AO32">
        <v>46073</v>
      </c>
      <c r="AP32">
        <v>0</v>
      </c>
      <c r="AQ32">
        <v>1</v>
      </c>
      <c r="AR32">
        <v>0</v>
      </c>
      <c r="AS32" t="s">
        <v>3</v>
      </c>
      <c r="AT32">
        <v>1</v>
      </c>
      <c r="AU32">
        <v>1</v>
      </c>
    </row>
    <row r="33" spans="2:47" x14ac:dyDescent="0.25">
      <c r="B33" t="s">
        <v>395</v>
      </c>
      <c r="C33">
        <v>1</v>
      </c>
      <c r="D33" t="s">
        <v>189</v>
      </c>
      <c r="E33" t="s">
        <v>3</v>
      </c>
      <c r="F33" t="s">
        <v>355</v>
      </c>
      <c r="G33" t="s">
        <v>3</v>
      </c>
      <c r="H33">
        <v>15300</v>
      </c>
      <c r="I33">
        <v>15300</v>
      </c>
      <c r="J33">
        <v>0</v>
      </c>
      <c r="K33">
        <v>15300</v>
      </c>
      <c r="L33">
        <v>0</v>
      </c>
      <c r="M33">
        <v>0</v>
      </c>
      <c r="N33">
        <v>0</v>
      </c>
      <c r="O33" t="s">
        <v>396</v>
      </c>
      <c r="P33" t="s">
        <v>3</v>
      </c>
      <c r="Q33" t="s">
        <v>397</v>
      </c>
      <c r="R33" t="s">
        <v>3</v>
      </c>
      <c r="S33" t="s">
        <v>3</v>
      </c>
      <c r="T33" t="s">
        <v>3</v>
      </c>
      <c r="U33">
        <v>0</v>
      </c>
      <c r="V33">
        <v>0</v>
      </c>
      <c r="W33">
        <v>0</v>
      </c>
      <c r="X33">
        <v>0</v>
      </c>
      <c r="Y33" t="s">
        <v>3</v>
      </c>
      <c r="Z33" t="s">
        <v>3</v>
      </c>
      <c r="AA33">
        <v>0</v>
      </c>
      <c r="AB33" t="s">
        <v>3</v>
      </c>
      <c r="AC33">
        <v>15300</v>
      </c>
      <c r="AD33">
        <v>1</v>
      </c>
      <c r="AE33">
        <v>0</v>
      </c>
      <c r="AF33">
        <v>3</v>
      </c>
      <c r="AG33">
        <v>3</v>
      </c>
      <c r="AH33" t="s">
        <v>144</v>
      </c>
      <c r="AI33" t="s">
        <v>190</v>
      </c>
      <c r="AJ33">
        <v>46134.417557870373</v>
      </c>
      <c r="AK33">
        <v>55936320</v>
      </c>
      <c r="AL33">
        <v>0</v>
      </c>
      <c r="AM33">
        <v>0</v>
      </c>
      <c r="AN33">
        <v>0</v>
      </c>
      <c r="AO33">
        <v>46073</v>
      </c>
      <c r="AP33">
        <v>0</v>
      </c>
      <c r="AQ33">
        <v>1</v>
      </c>
      <c r="AR33">
        <v>0</v>
      </c>
      <c r="AS33" t="s">
        <v>358</v>
      </c>
      <c r="AT33">
        <v>1</v>
      </c>
      <c r="AU33">
        <v>1</v>
      </c>
    </row>
    <row r="34" spans="2:47" x14ac:dyDescent="0.25">
      <c r="B34" t="s">
        <v>398</v>
      </c>
      <c r="C34">
        <v>0</v>
      </c>
      <c r="D34" t="s">
        <v>189</v>
      </c>
      <c r="E34" t="s">
        <v>3</v>
      </c>
      <c r="F34" t="s">
        <v>355</v>
      </c>
      <c r="G34" t="s">
        <v>3</v>
      </c>
      <c r="H34">
        <v>15300</v>
      </c>
      <c r="I34">
        <v>15300</v>
      </c>
      <c r="J34">
        <v>0</v>
      </c>
      <c r="K34">
        <v>15300</v>
      </c>
      <c r="L34">
        <v>0</v>
      </c>
      <c r="M34">
        <v>0</v>
      </c>
      <c r="N34">
        <v>0</v>
      </c>
      <c r="O34" t="s">
        <v>376</v>
      </c>
      <c r="P34" t="s">
        <v>3</v>
      </c>
      <c r="Q34" t="s">
        <v>377</v>
      </c>
      <c r="R34" t="s">
        <v>3</v>
      </c>
      <c r="S34" t="s">
        <v>3</v>
      </c>
      <c r="T34" t="s">
        <v>3</v>
      </c>
      <c r="U34">
        <v>0</v>
      </c>
      <c r="V34">
        <v>0</v>
      </c>
      <c r="W34">
        <v>0</v>
      </c>
      <c r="X34">
        <v>0</v>
      </c>
      <c r="Y34" t="s">
        <v>3</v>
      </c>
      <c r="Z34" t="s">
        <v>3</v>
      </c>
      <c r="AA34">
        <v>0</v>
      </c>
      <c r="AB34" t="s">
        <v>3</v>
      </c>
      <c r="AC34">
        <v>15300</v>
      </c>
      <c r="AD34">
        <v>1</v>
      </c>
      <c r="AE34">
        <v>0</v>
      </c>
      <c r="AF34">
        <v>3</v>
      </c>
      <c r="AG34">
        <v>3</v>
      </c>
      <c r="AH34" t="s">
        <v>144</v>
      </c>
      <c r="AI34" t="s">
        <v>190</v>
      </c>
      <c r="AJ34">
        <v>46134.417557870373</v>
      </c>
      <c r="AK34">
        <v>55936320</v>
      </c>
      <c r="AL34">
        <v>0</v>
      </c>
      <c r="AM34">
        <v>0</v>
      </c>
      <c r="AN34">
        <v>0</v>
      </c>
      <c r="AO34">
        <v>46073</v>
      </c>
      <c r="AP34">
        <v>0</v>
      </c>
      <c r="AQ34">
        <v>1</v>
      </c>
      <c r="AR34">
        <v>0</v>
      </c>
      <c r="AS34" t="s">
        <v>3</v>
      </c>
      <c r="AT34">
        <v>1</v>
      </c>
      <c r="AU34">
        <v>1</v>
      </c>
    </row>
    <row r="35" spans="2:47" x14ac:dyDescent="0.25">
      <c r="B35" t="s">
        <v>399</v>
      </c>
      <c r="C35">
        <v>0</v>
      </c>
      <c r="D35" t="s">
        <v>189</v>
      </c>
      <c r="E35" t="s">
        <v>3</v>
      </c>
      <c r="F35" t="s">
        <v>355</v>
      </c>
      <c r="G35" t="s">
        <v>3</v>
      </c>
      <c r="H35">
        <v>15600</v>
      </c>
      <c r="I35">
        <v>15600</v>
      </c>
      <c r="J35">
        <v>0</v>
      </c>
      <c r="K35">
        <v>15600</v>
      </c>
      <c r="L35">
        <v>0</v>
      </c>
      <c r="M35">
        <v>0</v>
      </c>
      <c r="N35">
        <v>0</v>
      </c>
      <c r="O35" t="s">
        <v>384</v>
      </c>
      <c r="P35" t="s">
        <v>3</v>
      </c>
      <c r="Q35" t="s">
        <v>370</v>
      </c>
      <c r="R35" t="s">
        <v>3</v>
      </c>
      <c r="S35" t="s">
        <v>3</v>
      </c>
      <c r="T35" t="s">
        <v>3</v>
      </c>
      <c r="U35">
        <v>0</v>
      </c>
      <c r="V35">
        <v>0</v>
      </c>
      <c r="W35">
        <v>0</v>
      </c>
      <c r="X35">
        <v>0</v>
      </c>
      <c r="Y35" t="s">
        <v>3</v>
      </c>
      <c r="Z35" t="s">
        <v>3</v>
      </c>
      <c r="AA35">
        <v>0</v>
      </c>
      <c r="AB35" t="s">
        <v>3</v>
      </c>
      <c r="AC35">
        <v>15600</v>
      </c>
      <c r="AD35">
        <v>1</v>
      </c>
      <c r="AE35">
        <v>0</v>
      </c>
      <c r="AF35">
        <v>3</v>
      </c>
      <c r="AG35">
        <v>3</v>
      </c>
      <c r="AH35" t="s">
        <v>144</v>
      </c>
      <c r="AI35" t="s">
        <v>190</v>
      </c>
      <c r="AJ35">
        <v>46134.417557870373</v>
      </c>
      <c r="AK35">
        <v>55936320</v>
      </c>
      <c r="AL35">
        <v>0</v>
      </c>
      <c r="AM35">
        <v>0</v>
      </c>
      <c r="AN35">
        <v>0</v>
      </c>
      <c r="AO35">
        <v>46073</v>
      </c>
      <c r="AP35">
        <v>0</v>
      </c>
      <c r="AQ35">
        <v>1</v>
      </c>
      <c r="AR35">
        <v>0</v>
      </c>
      <c r="AS35" t="s">
        <v>3</v>
      </c>
      <c r="AT35">
        <v>1</v>
      </c>
      <c r="AU35">
        <v>1</v>
      </c>
    </row>
    <row r="36" spans="2:47" x14ac:dyDescent="0.25">
      <c r="B36" t="s">
        <v>400</v>
      </c>
      <c r="C36">
        <v>0</v>
      </c>
      <c r="D36" t="s">
        <v>195</v>
      </c>
      <c r="E36" t="s">
        <v>3</v>
      </c>
      <c r="F36" t="s">
        <v>355</v>
      </c>
      <c r="G36" t="s">
        <v>3</v>
      </c>
      <c r="H36">
        <v>133.35</v>
      </c>
      <c r="I36">
        <v>133.35</v>
      </c>
      <c r="J36">
        <v>0</v>
      </c>
      <c r="K36">
        <v>133.35</v>
      </c>
      <c r="L36">
        <v>0</v>
      </c>
      <c r="M36">
        <v>0</v>
      </c>
      <c r="N36">
        <v>0</v>
      </c>
      <c r="O36" t="s">
        <v>401</v>
      </c>
      <c r="P36" t="s">
        <v>3</v>
      </c>
      <c r="Q36" t="s">
        <v>402</v>
      </c>
      <c r="R36" t="s">
        <v>3</v>
      </c>
      <c r="S36" t="s">
        <v>3</v>
      </c>
      <c r="T36" t="s">
        <v>3</v>
      </c>
      <c r="U36">
        <v>0</v>
      </c>
      <c r="V36">
        <v>0</v>
      </c>
      <c r="W36">
        <v>0</v>
      </c>
      <c r="X36">
        <v>0</v>
      </c>
      <c r="Y36" t="s">
        <v>3</v>
      </c>
      <c r="Z36" t="s">
        <v>3</v>
      </c>
      <c r="AA36">
        <v>0</v>
      </c>
      <c r="AB36" t="s">
        <v>3</v>
      </c>
      <c r="AC36">
        <v>133.35</v>
      </c>
      <c r="AD36">
        <v>1</v>
      </c>
      <c r="AE36">
        <v>0</v>
      </c>
      <c r="AF36">
        <v>1</v>
      </c>
      <c r="AG36">
        <v>3</v>
      </c>
      <c r="AH36" t="s">
        <v>197</v>
      </c>
      <c r="AI36" t="s">
        <v>196</v>
      </c>
      <c r="AJ36">
        <v>46134.417592592596</v>
      </c>
      <c r="AK36">
        <v>55936398</v>
      </c>
      <c r="AL36">
        <v>0</v>
      </c>
      <c r="AM36">
        <v>0</v>
      </c>
      <c r="AN36">
        <v>0</v>
      </c>
      <c r="AO36">
        <v>46073</v>
      </c>
      <c r="AP36">
        <v>0</v>
      </c>
      <c r="AQ36">
        <v>1</v>
      </c>
      <c r="AR36">
        <v>0</v>
      </c>
      <c r="AS36" t="s">
        <v>358</v>
      </c>
      <c r="AT36">
        <v>1</v>
      </c>
      <c r="AU36">
        <v>370.26</v>
      </c>
    </row>
    <row r="37" spans="2:47" x14ac:dyDescent="0.25">
      <c r="B37" t="s">
        <v>403</v>
      </c>
      <c r="C37">
        <v>1</v>
      </c>
      <c r="D37" t="s">
        <v>195</v>
      </c>
      <c r="E37" t="s">
        <v>3</v>
      </c>
      <c r="F37" t="s">
        <v>355</v>
      </c>
      <c r="G37" t="s">
        <v>3</v>
      </c>
      <c r="H37">
        <v>133</v>
      </c>
      <c r="I37">
        <v>133</v>
      </c>
      <c r="J37">
        <v>0</v>
      </c>
      <c r="K37">
        <v>133</v>
      </c>
      <c r="L37">
        <v>0</v>
      </c>
      <c r="M37">
        <v>0</v>
      </c>
      <c r="N37">
        <v>0</v>
      </c>
      <c r="O37" t="s">
        <v>372</v>
      </c>
      <c r="P37" t="s">
        <v>3</v>
      </c>
      <c r="Q37" t="s">
        <v>373</v>
      </c>
      <c r="R37" t="s">
        <v>3</v>
      </c>
      <c r="S37" t="s">
        <v>3</v>
      </c>
      <c r="T37" t="s">
        <v>3</v>
      </c>
      <c r="U37">
        <v>0</v>
      </c>
      <c r="V37">
        <v>0</v>
      </c>
      <c r="W37">
        <v>0</v>
      </c>
      <c r="X37">
        <v>0</v>
      </c>
      <c r="Y37" t="s">
        <v>3</v>
      </c>
      <c r="Z37" t="s">
        <v>3</v>
      </c>
      <c r="AA37">
        <v>0</v>
      </c>
      <c r="AB37" t="s">
        <v>3</v>
      </c>
      <c r="AC37">
        <v>133</v>
      </c>
      <c r="AD37">
        <v>1</v>
      </c>
      <c r="AE37">
        <v>0</v>
      </c>
      <c r="AF37">
        <v>1</v>
      </c>
      <c r="AG37">
        <v>3</v>
      </c>
      <c r="AH37" t="s">
        <v>197</v>
      </c>
      <c r="AI37" t="s">
        <v>196</v>
      </c>
      <c r="AJ37">
        <v>46134.417592592596</v>
      </c>
      <c r="AK37">
        <v>55936398</v>
      </c>
      <c r="AL37">
        <v>0</v>
      </c>
      <c r="AM37">
        <v>0</v>
      </c>
      <c r="AN37">
        <v>0</v>
      </c>
      <c r="AO37">
        <v>46073</v>
      </c>
      <c r="AP37">
        <v>0</v>
      </c>
      <c r="AQ37">
        <v>1</v>
      </c>
      <c r="AR37">
        <v>0</v>
      </c>
      <c r="AS37" t="s">
        <v>3</v>
      </c>
      <c r="AT37">
        <v>1</v>
      </c>
      <c r="AU37">
        <v>370.26</v>
      </c>
    </row>
    <row r="38" spans="2:47" x14ac:dyDescent="0.25">
      <c r="B38" t="s">
        <v>404</v>
      </c>
      <c r="C38">
        <v>0</v>
      </c>
      <c r="D38" t="s">
        <v>195</v>
      </c>
      <c r="E38" t="s">
        <v>3</v>
      </c>
      <c r="F38" t="s">
        <v>355</v>
      </c>
      <c r="G38" t="s">
        <v>3</v>
      </c>
      <c r="H38">
        <v>133.33000000000001</v>
      </c>
      <c r="I38">
        <v>133.33000000000001</v>
      </c>
      <c r="J38">
        <v>0</v>
      </c>
      <c r="K38">
        <v>133.33000000000001</v>
      </c>
      <c r="L38">
        <v>0</v>
      </c>
      <c r="M38">
        <v>0</v>
      </c>
      <c r="N38">
        <v>0</v>
      </c>
      <c r="O38" t="s">
        <v>366</v>
      </c>
      <c r="P38" t="s">
        <v>3</v>
      </c>
      <c r="Q38" t="s">
        <v>367</v>
      </c>
      <c r="R38" t="s">
        <v>3</v>
      </c>
      <c r="S38" t="s">
        <v>3</v>
      </c>
      <c r="T38" t="s">
        <v>3</v>
      </c>
      <c r="U38">
        <v>0</v>
      </c>
      <c r="V38">
        <v>0</v>
      </c>
      <c r="W38">
        <v>0</v>
      </c>
      <c r="X38">
        <v>0</v>
      </c>
      <c r="Y38" t="s">
        <v>3</v>
      </c>
      <c r="Z38" t="s">
        <v>3</v>
      </c>
      <c r="AA38">
        <v>0</v>
      </c>
      <c r="AB38" t="s">
        <v>3</v>
      </c>
      <c r="AC38">
        <v>133.33000000000001</v>
      </c>
      <c r="AD38">
        <v>1</v>
      </c>
      <c r="AE38">
        <v>0</v>
      </c>
      <c r="AF38">
        <v>1</v>
      </c>
      <c r="AG38">
        <v>3</v>
      </c>
      <c r="AH38" t="s">
        <v>197</v>
      </c>
      <c r="AI38" t="s">
        <v>196</v>
      </c>
      <c r="AJ38">
        <v>46134.417592592596</v>
      </c>
      <c r="AK38">
        <v>55936398</v>
      </c>
      <c r="AL38">
        <v>0</v>
      </c>
      <c r="AM38">
        <v>0</v>
      </c>
      <c r="AN38">
        <v>0</v>
      </c>
      <c r="AO38">
        <v>46073</v>
      </c>
      <c r="AP38">
        <v>0</v>
      </c>
      <c r="AQ38">
        <v>1</v>
      </c>
      <c r="AR38">
        <v>0</v>
      </c>
      <c r="AS38" t="s">
        <v>3</v>
      </c>
      <c r="AT38">
        <v>1</v>
      </c>
      <c r="AU38">
        <v>370.26</v>
      </c>
    </row>
    <row r="39" spans="2:47" x14ac:dyDescent="0.25">
      <c r="B39" t="s">
        <v>405</v>
      </c>
      <c r="C39">
        <v>0</v>
      </c>
      <c r="D39" t="s">
        <v>208</v>
      </c>
      <c r="E39" t="s">
        <v>3</v>
      </c>
      <c r="F39" t="s">
        <v>355</v>
      </c>
      <c r="G39" t="s">
        <v>3</v>
      </c>
      <c r="H39">
        <v>58</v>
      </c>
      <c r="I39">
        <v>58</v>
      </c>
      <c r="J39">
        <v>0</v>
      </c>
      <c r="K39">
        <v>58</v>
      </c>
      <c r="L39">
        <v>0</v>
      </c>
      <c r="M39">
        <v>0</v>
      </c>
      <c r="N39">
        <v>0</v>
      </c>
      <c r="O39" t="s">
        <v>380</v>
      </c>
      <c r="P39" t="s">
        <v>3</v>
      </c>
      <c r="Q39" t="s">
        <v>381</v>
      </c>
      <c r="R39" t="s">
        <v>3</v>
      </c>
      <c r="S39" t="s">
        <v>3</v>
      </c>
      <c r="T39" t="s">
        <v>3</v>
      </c>
      <c r="U39">
        <v>0</v>
      </c>
      <c r="V39">
        <v>0</v>
      </c>
      <c r="W39">
        <v>0</v>
      </c>
      <c r="X39">
        <v>0</v>
      </c>
      <c r="Y39" t="s">
        <v>3</v>
      </c>
      <c r="Z39" t="s">
        <v>3</v>
      </c>
      <c r="AA39">
        <v>0</v>
      </c>
      <c r="AB39" t="s">
        <v>3</v>
      </c>
      <c r="AC39">
        <v>58</v>
      </c>
      <c r="AD39">
        <v>1</v>
      </c>
      <c r="AE39">
        <v>0</v>
      </c>
      <c r="AF39">
        <v>1</v>
      </c>
      <c r="AG39">
        <v>3</v>
      </c>
      <c r="AH39" t="s">
        <v>197</v>
      </c>
      <c r="AI39" t="s">
        <v>209</v>
      </c>
      <c r="AJ39">
        <v>46134.417627314811</v>
      </c>
      <c r="AK39">
        <v>55936403</v>
      </c>
      <c r="AL39">
        <v>0</v>
      </c>
      <c r="AM39">
        <v>0</v>
      </c>
      <c r="AN39">
        <v>0</v>
      </c>
      <c r="AO39">
        <v>46073</v>
      </c>
      <c r="AP39">
        <v>0</v>
      </c>
      <c r="AQ39">
        <v>1</v>
      </c>
      <c r="AR39">
        <v>0</v>
      </c>
      <c r="AS39" t="s">
        <v>358</v>
      </c>
      <c r="AT39">
        <v>1</v>
      </c>
      <c r="AU39">
        <v>636.48</v>
      </c>
    </row>
    <row r="40" spans="2:47" x14ac:dyDescent="0.25">
      <c r="B40" t="s">
        <v>406</v>
      </c>
      <c r="C40">
        <v>1</v>
      </c>
      <c r="D40" t="s">
        <v>208</v>
      </c>
      <c r="E40" t="s">
        <v>3</v>
      </c>
      <c r="F40" t="s">
        <v>355</v>
      </c>
      <c r="G40" t="s">
        <v>3</v>
      </c>
      <c r="H40">
        <v>57.49</v>
      </c>
      <c r="I40">
        <v>57.49</v>
      </c>
      <c r="J40">
        <v>0</v>
      </c>
      <c r="K40">
        <v>57.49</v>
      </c>
      <c r="L40">
        <v>0</v>
      </c>
      <c r="M40">
        <v>0</v>
      </c>
      <c r="N40">
        <v>0</v>
      </c>
      <c r="O40" t="s">
        <v>372</v>
      </c>
      <c r="P40" t="s">
        <v>3</v>
      </c>
      <c r="Q40" t="s">
        <v>373</v>
      </c>
      <c r="R40" t="s">
        <v>3</v>
      </c>
      <c r="S40" t="s">
        <v>3</v>
      </c>
      <c r="T40" t="s">
        <v>3</v>
      </c>
      <c r="U40">
        <v>0</v>
      </c>
      <c r="V40">
        <v>0</v>
      </c>
      <c r="W40">
        <v>0</v>
      </c>
      <c r="X40">
        <v>0</v>
      </c>
      <c r="Y40" t="s">
        <v>3</v>
      </c>
      <c r="Z40" t="s">
        <v>3</v>
      </c>
      <c r="AA40">
        <v>0</v>
      </c>
      <c r="AB40" t="s">
        <v>3</v>
      </c>
      <c r="AC40">
        <v>57.49</v>
      </c>
      <c r="AD40">
        <v>1</v>
      </c>
      <c r="AE40">
        <v>0</v>
      </c>
      <c r="AF40">
        <v>1</v>
      </c>
      <c r="AG40">
        <v>3</v>
      </c>
      <c r="AH40" t="s">
        <v>197</v>
      </c>
      <c r="AI40" t="s">
        <v>209</v>
      </c>
      <c r="AJ40">
        <v>46134.417627314811</v>
      </c>
      <c r="AK40">
        <v>55936403</v>
      </c>
      <c r="AL40">
        <v>0</v>
      </c>
      <c r="AM40">
        <v>0</v>
      </c>
      <c r="AN40">
        <v>0</v>
      </c>
      <c r="AO40">
        <v>46073</v>
      </c>
      <c r="AP40">
        <v>0</v>
      </c>
      <c r="AQ40">
        <v>1</v>
      </c>
      <c r="AR40">
        <v>0</v>
      </c>
      <c r="AS40" t="s">
        <v>3</v>
      </c>
      <c r="AT40">
        <v>1</v>
      </c>
      <c r="AU40">
        <v>636.48</v>
      </c>
    </row>
    <row r="41" spans="2:47" x14ac:dyDescent="0.25">
      <c r="B41" t="s">
        <v>407</v>
      </c>
      <c r="C41">
        <v>0</v>
      </c>
      <c r="D41" t="s">
        <v>208</v>
      </c>
      <c r="E41" t="s">
        <v>3</v>
      </c>
      <c r="F41" t="s">
        <v>355</v>
      </c>
      <c r="G41" t="s">
        <v>3</v>
      </c>
      <c r="H41">
        <v>78.430000000000007</v>
      </c>
      <c r="I41">
        <v>78.430000000000007</v>
      </c>
      <c r="J41">
        <v>0</v>
      </c>
      <c r="K41">
        <v>78.430000000000007</v>
      </c>
      <c r="L41">
        <v>0</v>
      </c>
      <c r="M41">
        <v>0</v>
      </c>
      <c r="N41">
        <v>0</v>
      </c>
      <c r="O41" t="s">
        <v>366</v>
      </c>
      <c r="P41" t="s">
        <v>3</v>
      </c>
      <c r="Q41" t="s">
        <v>367</v>
      </c>
      <c r="R41" t="s">
        <v>3</v>
      </c>
      <c r="S41" t="s">
        <v>3</v>
      </c>
      <c r="T41" t="s">
        <v>3</v>
      </c>
      <c r="U41">
        <v>0</v>
      </c>
      <c r="V41">
        <v>0</v>
      </c>
      <c r="W41">
        <v>0</v>
      </c>
      <c r="X41">
        <v>0</v>
      </c>
      <c r="Y41" t="s">
        <v>3</v>
      </c>
      <c r="Z41" t="s">
        <v>3</v>
      </c>
      <c r="AA41">
        <v>0</v>
      </c>
      <c r="AB41" t="s">
        <v>3</v>
      </c>
      <c r="AC41">
        <v>78.430000000000007</v>
      </c>
      <c r="AD41">
        <v>1</v>
      </c>
      <c r="AE41">
        <v>0</v>
      </c>
      <c r="AF41">
        <v>1</v>
      </c>
      <c r="AG41">
        <v>3</v>
      </c>
      <c r="AH41" t="s">
        <v>197</v>
      </c>
      <c r="AI41" t="s">
        <v>209</v>
      </c>
      <c r="AJ41">
        <v>46134.417627314811</v>
      </c>
      <c r="AK41">
        <v>55936403</v>
      </c>
      <c r="AL41">
        <v>0</v>
      </c>
      <c r="AM41">
        <v>0</v>
      </c>
      <c r="AN41">
        <v>0</v>
      </c>
      <c r="AO41">
        <v>46073</v>
      </c>
      <c r="AP41">
        <v>0</v>
      </c>
      <c r="AQ41">
        <v>1</v>
      </c>
      <c r="AR41">
        <v>0</v>
      </c>
      <c r="AS41" t="s">
        <v>3</v>
      </c>
      <c r="AT41">
        <v>1</v>
      </c>
      <c r="AU41">
        <v>636.48</v>
      </c>
    </row>
    <row r="42" spans="2:47" x14ac:dyDescent="0.25">
      <c r="B42" t="s">
        <v>408</v>
      </c>
      <c r="C42">
        <v>1</v>
      </c>
      <c r="D42" t="s">
        <v>212</v>
      </c>
      <c r="E42" t="s">
        <v>3</v>
      </c>
      <c r="F42" t="s">
        <v>355</v>
      </c>
      <c r="G42" t="s">
        <v>3</v>
      </c>
      <c r="H42">
        <v>98</v>
      </c>
      <c r="I42">
        <v>98</v>
      </c>
      <c r="J42">
        <v>0</v>
      </c>
      <c r="K42">
        <v>98</v>
      </c>
      <c r="L42">
        <v>0</v>
      </c>
      <c r="M42">
        <v>0</v>
      </c>
      <c r="N42">
        <v>0</v>
      </c>
      <c r="O42" t="s">
        <v>409</v>
      </c>
      <c r="P42" t="s">
        <v>3</v>
      </c>
      <c r="Q42" t="s">
        <v>410</v>
      </c>
      <c r="R42" t="s">
        <v>3</v>
      </c>
      <c r="S42" t="s">
        <v>3</v>
      </c>
      <c r="T42" t="s">
        <v>3</v>
      </c>
      <c r="U42">
        <v>0</v>
      </c>
      <c r="V42">
        <v>0</v>
      </c>
      <c r="W42">
        <v>0</v>
      </c>
      <c r="X42">
        <v>0</v>
      </c>
      <c r="Y42" t="s">
        <v>3</v>
      </c>
      <c r="Z42" t="s">
        <v>3</v>
      </c>
      <c r="AA42">
        <v>0</v>
      </c>
      <c r="AB42" t="s">
        <v>3</v>
      </c>
      <c r="AC42">
        <v>98</v>
      </c>
      <c r="AD42">
        <v>1</v>
      </c>
      <c r="AE42">
        <v>0</v>
      </c>
      <c r="AF42">
        <v>1</v>
      </c>
      <c r="AG42">
        <v>3</v>
      </c>
      <c r="AH42" t="s">
        <v>197</v>
      </c>
      <c r="AI42" t="s">
        <v>213</v>
      </c>
      <c r="AJ42">
        <v>46134.417708333334</v>
      </c>
      <c r="AK42">
        <v>55936409</v>
      </c>
      <c r="AL42">
        <v>0</v>
      </c>
      <c r="AM42">
        <v>0</v>
      </c>
      <c r="AN42">
        <v>0</v>
      </c>
      <c r="AO42">
        <v>46073</v>
      </c>
      <c r="AP42">
        <v>0</v>
      </c>
      <c r="AQ42">
        <v>1</v>
      </c>
      <c r="AR42">
        <v>0</v>
      </c>
      <c r="AS42" t="s">
        <v>358</v>
      </c>
      <c r="AT42">
        <v>1</v>
      </c>
      <c r="AU42">
        <v>316.2</v>
      </c>
    </row>
    <row r="43" spans="2:47" x14ac:dyDescent="0.25">
      <c r="B43" t="s">
        <v>411</v>
      </c>
      <c r="C43">
        <v>0</v>
      </c>
      <c r="D43" t="s">
        <v>212</v>
      </c>
      <c r="E43" t="s">
        <v>3</v>
      </c>
      <c r="F43" t="s">
        <v>355</v>
      </c>
      <c r="G43" t="s">
        <v>3</v>
      </c>
      <c r="H43">
        <v>98</v>
      </c>
      <c r="I43">
        <v>98</v>
      </c>
      <c r="J43">
        <v>0</v>
      </c>
      <c r="K43">
        <v>98</v>
      </c>
      <c r="L43">
        <v>0</v>
      </c>
      <c r="M43">
        <v>0</v>
      </c>
      <c r="N43">
        <v>0</v>
      </c>
      <c r="O43" t="s">
        <v>412</v>
      </c>
      <c r="P43" t="s">
        <v>3</v>
      </c>
      <c r="Q43" t="s">
        <v>413</v>
      </c>
      <c r="R43" t="s">
        <v>3</v>
      </c>
      <c r="S43" t="s">
        <v>3</v>
      </c>
      <c r="T43" t="s">
        <v>3</v>
      </c>
      <c r="U43">
        <v>0</v>
      </c>
      <c r="V43">
        <v>0</v>
      </c>
      <c r="W43">
        <v>0</v>
      </c>
      <c r="X43">
        <v>0</v>
      </c>
      <c r="Y43" t="s">
        <v>3</v>
      </c>
      <c r="Z43" t="s">
        <v>3</v>
      </c>
      <c r="AA43">
        <v>0</v>
      </c>
      <c r="AB43" t="s">
        <v>3</v>
      </c>
      <c r="AC43">
        <v>98</v>
      </c>
      <c r="AD43">
        <v>1</v>
      </c>
      <c r="AE43">
        <v>0</v>
      </c>
      <c r="AF43">
        <v>1</v>
      </c>
      <c r="AG43">
        <v>3</v>
      </c>
      <c r="AH43" t="s">
        <v>197</v>
      </c>
      <c r="AI43" t="s">
        <v>213</v>
      </c>
      <c r="AJ43">
        <v>46134.417708333334</v>
      </c>
      <c r="AK43">
        <v>55936409</v>
      </c>
      <c r="AL43">
        <v>0</v>
      </c>
      <c r="AM43">
        <v>0</v>
      </c>
      <c r="AN43">
        <v>0</v>
      </c>
      <c r="AO43">
        <v>46073</v>
      </c>
      <c r="AP43">
        <v>0</v>
      </c>
      <c r="AQ43">
        <v>1</v>
      </c>
      <c r="AR43">
        <v>0</v>
      </c>
      <c r="AS43" t="s">
        <v>3</v>
      </c>
      <c r="AT43">
        <v>1</v>
      </c>
      <c r="AU43">
        <v>316.2</v>
      </c>
    </row>
    <row r="44" spans="2:47" x14ac:dyDescent="0.25">
      <c r="B44" t="s">
        <v>414</v>
      </c>
      <c r="C44">
        <v>0</v>
      </c>
      <c r="D44" t="s">
        <v>212</v>
      </c>
      <c r="E44" t="s">
        <v>3</v>
      </c>
      <c r="F44" t="s">
        <v>355</v>
      </c>
      <c r="G44" t="s">
        <v>3</v>
      </c>
      <c r="H44">
        <v>98</v>
      </c>
      <c r="I44">
        <v>98</v>
      </c>
      <c r="J44">
        <v>0</v>
      </c>
      <c r="K44">
        <v>98</v>
      </c>
      <c r="L44">
        <v>0</v>
      </c>
      <c r="M44">
        <v>0</v>
      </c>
      <c r="N44">
        <v>0</v>
      </c>
      <c r="O44" t="s">
        <v>366</v>
      </c>
      <c r="P44" t="s">
        <v>3</v>
      </c>
      <c r="Q44" t="s">
        <v>367</v>
      </c>
      <c r="R44" t="s">
        <v>3</v>
      </c>
      <c r="S44" t="s">
        <v>3</v>
      </c>
      <c r="T44" t="s">
        <v>3</v>
      </c>
      <c r="U44">
        <v>0</v>
      </c>
      <c r="V44">
        <v>0</v>
      </c>
      <c r="W44">
        <v>0</v>
      </c>
      <c r="X44">
        <v>0</v>
      </c>
      <c r="Y44" t="s">
        <v>3</v>
      </c>
      <c r="Z44" t="s">
        <v>3</v>
      </c>
      <c r="AA44">
        <v>0</v>
      </c>
      <c r="AB44" t="s">
        <v>3</v>
      </c>
      <c r="AC44">
        <v>98</v>
      </c>
      <c r="AD44">
        <v>1</v>
      </c>
      <c r="AE44">
        <v>0</v>
      </c>
      <c r="AF44">
        <v>1</v>
      </c>
      <c r="AG44">
        <v>3</v>
      </c>
      <c r="AH44" t="s">
        <v>197</v>
      </c>
      <c r="AI44" t="s">
        <v>213</v>
      </c>
      <c r="AJ44">
        <v>46134.417708333334</v>
      </c>
      <c r="AK44">
        <v>55936409</v>
      </c>
      <c r="AL44">
        <v>0</v>
      </c>
      <c r="AM44">
        <v>0</v>
      </c>
      <c r="AN44">
        <v>0</v>
      </c>
      <c r="AO44">
        <v>46073</v>
      </c>
      <c r="AP44">
        <v>0</v>
      </c>
      <c r="AQ44">
        <v>1</v>
      </c>
      <c r="AR44">
        <v>0</v>
      </c>
      <c r="AS44" t="s">
        <v>3</v>
      </c>
      <c r="AT44">
        <v>1</v>
      </c>
      <c r="AU44">
        <v>316.2</v>
      </c>
    </row>
    <row r="45" spans="2:47" x14ac:dyDescent="0.25">
      <c r="B45" t="s">
        <v>415</v>
      </c>
      <c r="C45">
        <v>0</v>
      </c>
      <c r="D45" t="s">
        <v>229</v>
      </c>
      <c r="E45" t="s">
        <v>3</v>
      </c>
      <c r="F45" t="s">
        <v>355</v>
      </c>
      <c r="G45" t="s">
        <v>3</v>
      </c>
      <c r="H45">
        <v>3668.54</v>
      </c>
      <c r="I45">
        <v>3668.54</v>
      </c>
      <c r="J45">
        <v>0</v>
      </c>
      <c r="K45">
        <v>3668.54</v>
      </c>
      <c r="L45">
        <v>0</v>
      </c>
      <c r="M45">
        <v>0</v>
      </c>
      <c r="N45">
        <v>0</v>
      </c>
      <c r="O45" t="s">
        <v>376</v>
      </c>
      <c r="P45" t="s">
        <v>3</v>
      </c>
      <c r="Q45" t="s">
        <v>377</v>
      </c>
      <c r="R45" t="s">
        <v>3</v>
      </c>
      <c r="S45" t="s">
        <v>3</v>
      </c>
      <c r="T45" t="s">
        <v>3</v>
      </c>
      <c r="U45">
        <v>0</v>
      </c>
      <c r="V45">
        <v>0</v>
      </c>
      <c r="W45">
        <v>0</v>
      </c>
      <c r="X45">
        <v>0</v>
      </c>
      <c r="Y45" t="s">
        <v>3</v>
      </c>
      <c r="Z45" t="s">
        <v>3</v>
      </c>
      <c r="AA45">
        <v>0</v>
      </c>
      <c r="AB45" t="s">
        <v>3</v>
      </c>
      <c r="AC45">
        <v>3668.54</v>
      </c>
      <c r="AD45">
        <v>1</v>
      </c>
      <c r="AE45">
        <v>0</v>
      </c>
      <c r="AF45">
        <v>1</v>
      </c>
      <c r="AG45">
        <v>3</v>
      </c>
      <c r="AH45" t="s">
        <v>144</v>
      </c>
      <c r="AI45" t="s">
        <v>230</v>
      </c>
      <c r="AJ45">
        <v>46134.417743055557</v>
      </c>
      <c r="AK45">
        <v>55936441</v>
      </c>
      <c r="AL45">
        <v>0</v>
      </c>
      <c r="AM45">
        <v>0</v>
      </c>
      <c r="AN45">
        <v>0</v>
      </c>
      <c r="AO45">
        <v>46073</v>
      </c>
      <c r="AP45">
        <v>0</v>
      </c>
      <c r="AQ45">
        <v>1</v>
      </c>
      <c r="AR45">
        <v>0</v>
      </c>
      <c r="AS45" t="s">
        <v>358</v>
      </c>
      <c r="AT45">
        <v>1</v>
      </c>
      <c r="AU45">
        <v>2</v>
      </c>
    </row>
    <row r="46" spans="2:47" x14ac:dyDescent="0.25">
      <c r="B46" t="s">
        <v>416</v>
      </c>
      <c r="C46">
        <v>0</v>
      </c>
      <c r="D46" t="s">
        <v>229</v>
      </c>
      <c r="E46" t="s">
        <v>3</v>
      </c>
      <c r="F46" t="s">
        <v>355</v>
      </c>
      <c r="G46" t="s">
        <v>3</v>
      </c>
      <c r="H46">
        <v>2940</v>
      </c>
      <c r="I46">
        <v>2940</v>
      </c>
      <c r="J46">
        <v>0</v>
      </c>
      <c r="K46">
        <v>2940</v>
      </c>
      <c r="L46">
        <v>0</v>
      </c>
      <c r="M46">
        <v>0</v>
      </c>
      <c r="N46">
        <v>0</v>
      </c>
      <c r="O46" t="s">
        <v>380</v>
      </c>
      <c r="P46" t="s">
        <v>3</v>
      </c>
      <c r="Q46" t="s">
        <v>381</v>
      </c>
      <c r="R46" t="s">
        <v>3</v>
      </c>
      <c r="S46" t="s">
        <v>3</v>
      </c>
      <c r="T46" t="s">
        <v>3</v>
      </c>
      <c r="U46">
        <v>0</v>
      </c>
      <c r="V46">
        <v>0</v>
      </c>
      <c r="W46">
        <v>0</v>
      </c>
      <c r="X46">
        <v>0</v>
      </c>
      <c r="Y46" t="s">
        <v>3</v>
      </c>
      <c r="Z46" t="s">
        <v>3</v>
      </c>
      <c r="AA46">
        <v>0</v>
      </c>
      <c r="AB46" t="s">
        <v>3</v>
      </c>
      <c r="AC46">
        <v>2940</v>
      </c>
      <c r="AD46">
        <v>1</v>
      </c>
      <c r="AE46">
        <v>0</v>
      </c>
      <c r="AF46">
        <v>1</v>
      </c>
      <c r="AG46">
        <v>3</v>
      </c>
      <c r="AH46" t="s">
        <v>144</v>
      </c>
      <c r="AI46" t="s">
        <v>230</v>
      </c>
      <c r="AJ46">
        <v>46134.417743055557</v>
      </c>
      <c r="AK46">
        <v>55936441</v>
      </c>
      <c r="AL46">
        <v>0</v>
      </c>
      <c r="AM46">
        <v>0</v>
      </c>
      <c r="AN46">
        <v>0</v>
      </c>
      <c r="AO46">
        <v>46073</v>
      </c>
      <c r="AP46">
        <v>0</v>
      </c>
      <c r="AQ46">
        <v>1</v>
      </c>
      <c r="AR46">
        <v>0</v>
      </c>
      <c r="AS46" t="s">
        <v>3</v>
      </c>
      <c r="AT46">
        <v>1</v>
      </c>
      <c r="AU46">
        <v>2</v>
      </c>
    </row>
    <row r="47" spans="2:47" x14ac:dyDescent="0.25">
      <c r="B47" t="s">
        <v>417</v>
      </c>
      <c r="C47">
        <v>1</v>
      </c>
      <c r="D47" t="s">
        <v>229</v>
      </c>
      <c r="E47" t="s">
        <v>3</v>
      </c>
      <c r="F47" t="s">
        <v>355</v>
      </c>
      <c r="G47" t="s">
        <v>3</v>
      </c>
      <c r="H47">
        <v>2934.83</v>
      </c>
      <c r="I47">
        <v>2934.83</v>
      </c>
      <c r="J47">
        <v>0</v>
      </c>
      <c r="K47">
        <v>2934.83</v>
      </c>
      <c r="L47">
        <v>0</v>
      </c>
      <c r="M47">
        <v>0</v>
      </c>
      <c r="N47">
        <v>0</v>
      </c>
      <c r="O47" t="s">
        <v>366</v>
      </c>
      <c r="P47" t="s">
        <v>3</v>
      </c>
      <c r="Q47" t="s">
        <v>367</v>
      </c>
      <c r="R47" t="s">
        <v>3</v>
      </c>
      <c r="S47" t="s">
        <v>3</v>
      </c>
      <c r="T47" t="s">
        <v>3</v>
      </c>
      <c r="U47">
        <v>0</v>
      </c>
      <c r="V47">
        <v>0</v>
      </c>
      <c r="W47">
        <v>0</v>
      </c>
      <c r="X47">
        <v>0</v>
      </c>
      <c r="Y47" t="s">
        <v>3</v>
      </c>
      <c r="Z47" t="s">
        <v>3</v>
      </c>
      <c r="AA47">
        <v>0</v>
      </c>
      <c r="AB47" t="s">
        <v>3</v>
      </c>
      <c r="AC47">
        <v>2934.83</v>
      </c>
      <c r="AD47">
        <v>1</v>
      </c>
      <c r="AE47">
        <v>0</v>
      </c>
      <c r="AF47">
        <v>1</v>
      </c>
      <c r="AG47">
        <v>3</v>
      </c>
      <c r="AH47" t="s">
        <v>144</v>
      </c>
      <c r="AI47" t="s">
        <v>230</v>
      </c>
      <c r="AJ47">
        <v>46134.417743055557</v>
      </c>
      <c r="AK47">
        <v>55936441</v>
      </c>
      <c r="AL47">
        <v>0</v>
      </c>
      <c r="AM47">
        <v>0</v>
      </c>
      <c r="AN47">
        <v>0</v>
      </c>
      <c r="AO47">
        <v>46073</v>
      </c>
      <c r="AP47">
        <v>0</v>
      </c>
      <c r="AQ47">
        <v>1</v>
      </c>
      <c r="AR47">
        <v>0</v>
      </c>
      <c r="AS47" t="s">
        <v>3</v>
      </c>
      <c r="AT47">
        <v>1</v>
      </c>
      <c r="AU47">
        <v>2</v>
      </c>
    </row>
    <row r="48" spans="2:47" x14ac:dyDescent="0.25">
      <c r="B48" t="s">
        <v>418</v>
      </c>
      <c r="C48">
        <v>1</v>
      </c>
      <c r="D48" t="s">
        <v>241</v>
      </c>
      <c r="E48" t="s">
        <v>3</v>
      </c>
      <c r="F48" t="s">
        <v>355</v>
      </c>
      <c r="G48" t="s">
        <v>3</v>
      </c>
      <c r="H48">
        <v>8415</v>
      </c>
      <c r="I48">
        <v>8415</v>
      </c>
      <c r="J48">
        <v>0</v>
      </c>
      <c r="K48">
        <v>8415</v>
      </c>
      <c r="L48">
        <v>0</v>
      </c>
      <c r="M48">
        <v>0</v>
      </c>
      <c r="N48">
        <v>0</v>
      </c>
      <c r="O48" t="s">
        <v>396</v>
      </c>
      <c r="P48" t="s">
        <v>3</v>
      </c>
      <c r="Q48" t="s">
        <v>397</v>
      </c>
      <c r="R48" t="s">
        <v>3</v>
      </c>
      <c r="S48" t="s">
        <v>3</v>
      </c>
      <c r="T48" t="s">
        <v>3</v>
      </c>
      <c r="U48">
        <v>0</v>
      </c>
      <c r="V48">
        <v>0</v>
      </c>
      <c r="W48">
        <v>0</v>
      </c>
      <c r="X48">
        <v>0</v>
      </c>
      <c r="Y48" t="s">
        <v>3</v>
      </c>
      <c r="Z48" t="s">
        <v>3</v>
      </c>
      <c r="AA48">
        <v>0</v>
      </c>
      <c r="AB48" t="s">
        <v>3</v>
      </c>
      <c r="AC48">
        <v>8415</v>
      </c>
      <c r="AD48">
        <v>1</v>
      </c>
      <c r="AE48">
        <v>0</v>
      </c>
      <c r="AF48">
        <v>3</v>
      </c>
      <c r="AG48">
        <v>3</v>
      </c>
      <c r="AH48" t="s">
        <v>144</v>
      </c>
      <c r="AI48" t="s">
        <v>242</v>
      </c>
      <c r="AJ48">
        <v>46134.41777777778</v>
      </c>
      <c r="AK48">
        <v>55936512</v>
      </c>
      <c r="AL48">
        <v>0</v>
      </c>
      <c r="AM48">
        <v>0</v>
      </c>
      <c r="AN48">
        <v>0</v>
      </c>
      <c r="AO48">
        <v>46073</v>
      </c>
      <c r="AP48">
        <v>0</v>
      </c>
      <c r="AQ48">
        <v>1</v>
      </c>
      <c r="AR48">
        <v>0</v>
      </c>
      <c r="AS48" t="s">
        <v>358</v>
      </c>
      <c r="AT48">
        <v>1</v>
      </c>
      <c r="AU48">
        <v>27</v>
      </c>
    </row>
    <row r="49" spans="2:47" x14ac:dyDescent="0.25">
      <c r="B49" t="s">
        <v>419</v>
      </c>
      <c r="C49">
        <v>0</v>
      </c>
      <c r="D49" t="s">
        <v>241</v>
      </c>
      <c r="E49" t="s">
        <v>3</v>
      </c>
      <c r="F49" t="s">
        <v>355</v>
      </c>
      <c r="G49" t="s">
        <v>3</v>
      </c>
      <c r="H49">
        <v>8415</v>
      </c>
      <c r="I49">
        <v>8415</v>
      </c>
      <c r="J49">
        <v>0</v>
      </c>
      <c r="K49">
        <v>8415</v>
      </c>
      <c r="L49">
        <v>0</v>
      </c>
      <c r="M49">
        <v>0</v>
      </c>
      <c r="N49">
        <v>0</v>
      </c>
      <c r="O49" t="s">
        <v>372</v>
      </c>
      <c r="P49" t="s">
        <v>3</v>
      </c>
      <c r="Q49" t="s">
        <v>373</v>
      </c>
      <c r="R49" t="s">
        <v>3</v>
      </c>
      <c r="S49" t="s">
        <v>3</v>
      </c>
      <c r="T49" t="s">
        <v>3</v>
      </c>
      <c r="U49">
        <v>0</v>
      </c>
      <c r="V49">
        <v>0</v>
      </c>
      <c r="W49">
        <v>0</v>
      </c>
      <c r="X49">
        <v>0</v>
      </c>
      <c r="Y49" t="s">
        <v>3</v>
      </c>
      <c r="Z49" t="s">
        <v>3</v>
      </c>
      <c r="AA49">
        <v>0</v>
      </c>
      <c r="AB49" t="s">
        <v>3</v>
      </c>
      <c r="AC49">
        <v>8415</v>
      </c>
      <c r="AD49">
        <v>1</v>
      </c>
      <c r="AE49">
        <v>0</v>
      </c>
      <c r="AF49">
        <v>3</v>
      </c>
      <c r="AG49">
        <v>3</v>
      </c>
      <c r="AH49" t="s">
        <v>144</v>
      </c>
      <c r="AI49" t="s">
        <v>242</v>
      </c>
      <c r="AJ49">
        <v>46134.41777777778</v>
      </c>
      <c r="AK49">
        <v>55936512</v>
      </c>
      <c r="AL49">
        <v>0</v>
      </c>
      <c r="AM49">
        <v>0</v>
      </c>
      <c r="AN49">
        <v>0</v>
      </c>
      <c r="AO49">
        <v>46073</v>
      </c>
      <c r="AP49">
        <v>0</v>
      </c>
      <c r="AQ49">
        <v>1</v>
      </c>
      <c r="AR49">
        <v>0</v>
      </c>
      <c r="AS49" t="s">
        <v>3</v>
      </c>
      <c r="AT49">
        <v>1</v>
      </c>
      <c r="AU49">
        <v>27</v>
      </c>
    </row>
    <row r="50" spans="2:47" x14ac:dyDescent="0.25">
      <c r="B50" t="s">
        <v>420</v>
      </c>
      <c r="C50">
        <v>0</v>
      </c>
      <c r="D50" t="s">
        <v>241</v>
      </c>
      <c r="E50" t="s">
        <v>3</v>
      </c>
      <c r="F50" t="s">
        <v>355</v>
      </c>
      <c r="G50" t="s">
        <v>3</v>
      </c>
      <c r="H50">
        <v>8415</v>
      </c>
      <c r="I50">
        <v>8415</v>
      </c>
      <c r="J50">
        <v>0</v>
      </c>
      <c r="K50">
        <v>8415</v>
      </c>
      <c r="L50">
        <v>0</v>
      </c>
      <c r="M50">
        <v>0</v>
      </c>
      <c r="N50">
        <v>0</v>
      </c>
      <c r="O50" t="s">
        <v>384</v>
      </c>
      <c r="P50" t="s">
        <v>3</v>
      </c>
      <c r="Q50" t="s">
        <v>370</v>
      </c>
      <c r="R50" t="s">
        <v>3</v>
      </c>
      <c r="S50" t="s">
        <v>3</v>
      </c>
      <c r="T50" t="s">
        <v>3</v>
      </c>
      <c r="U50">
        <v>0</v>
      </c>
      <c r="V50">
        <v>0</v>
      </c>
      <c r="W50">
        <v>0</v>
      </c>
      <c r="X50">
        <v>0</v>
      </c>
      <c r="Y50" t="s">
        <v>3</v>
      </c>
      <c r="Z50" t="s">
        <v>3</v>
      </c>
      <c r="AA50">
        <v>0</v>
      </c>
      <c r="AB50" t="s">
        <v>3</v>
      </c>
      <c r="AC50">
        <v>8415</v>
      </c>
      <c r="AD50">
        <v>1</v>
      </c>
      <c r="AE50">
        <v>0</v>
      </c>
      <c r="AF50">
        <v>3</v>
      </c>
      <c r="AG50">
        <v>3</v>
      </c>
      <c r="AH50" t="s">
        <v>144</v>
      </c>
      <c r="AI50" t="s">
        <v>242</v>
      </c>
      <c r="AJ50">
        <v>46134.41777777778</v>
      </c>
      <c r="AK50">
        <v>55936512</v>
      </c>
      <c r="AL50">
        <v>0</v>
      </c>
      <c r="AM50">
        <v>0</v>
      </c>
      <c r="AN50">
        <v>0</v>
      </c>
      <c r="AO50">
        <v>46073</v>
      </c>
      <c r="AP50">
        <v>0</v>
      </c>
      <c r="AQ50">
        <v>1</v>
      </c>
      <c r="AR50">
        <v>0</v>
      </c>
      <c r="AS50" t="s">
        <v>3</v>
      </c>
      <c r="AT50">
        <v>1</v>
      </c>
      <c r="AU50">
        <v>27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Гришечкина Ольга Александровна</cp:lastModifiedBy>
  <dcterms:created xsi:type="dcterms:W3CDTF">2026-07-17T06:43:26Z</dcterms:created>
  <dcterms:modified xsi:type="dcterms:W3CDTF">2026-07-17T06:45:46Z</dcterms:modified>
</cp:coreProperties>
</file>